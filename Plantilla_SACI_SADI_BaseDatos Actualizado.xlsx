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Resumen" sheetId="2" state="visible" r:id="rId4"/>
    <sheet name="Base de Datos SACI" sheetId="3" state="visible" r:id="rId5"/>
    <sheet name="Base de Datos SADI" sheetId="4" state="visible" r:id="rId6"/>
    <sheet name="Equipamiento" sheetId="5" state="visible" r:id="rId7"/>
    <sheet name="Comparativa" sheetId="6" state="visible" r:id="rId8"/>
    <sheet name="Lista de Precios" sheetId="7" state="visible" r:id="rId9"/>
  </sheets>
  <definedNames>
    <definedName function="false" hidden="false" localSheetId="2" name="_xlnm.Print_Titles" vbProcedure="false">'Base de Datos SACI'!$4:$4</definedName>
    <definedName function="false" hidden="true" localSheetId="2" name="_xlnm._FilterDatabase" vbProcedure="false">'Base de Datos SACI'!$B$4:$AP$1076</definedName>
    <definedName function="false" hidden="false" localSheetId="3" name="_xlnm.Print_Titles" vbProcedure="false">'Base de Datos SADI'!$4:$4</definedName>
    <definedName function="false" hidden="true" localSheetId="3" name="_xlnm._FilterDatabase" vbProcedure="false">'Base de Datos SADI'!$B$4:$AQ$716</definedName>
    <definedName function="false" hidden="false" localSheetId="4" name="_xlnm.Print_Titles" vbProcedure="false">Equipamiento!$4:$4</definedName>
    <definedName function="false" hidden="true" localSheetId="4" name="_xlnm._FilterDatabase" vbProcedure="false">Equipamiento!$B$4:$Z$72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<sst xmlns="http://schemas.openxmlformats.org/spreadsheetml/2006/main" count="63748" uniqueCount="4666">
  <si>
    <t xml:space="preserve">BASE DE DATOS TÉCNICA — SACI (INTRUSIÓN) Y SADI (DETECCIÓN DE INCENDIOS)</t>
  </si>
  <si>
    <t xml:space="preserve">Plantilla editable · 34 marcas · 32 tipos de dispositivo · 5 variantes por tipo · 8 categorías de equipamiento común · Precios en USD</t>
  </si>
  <si>
    <t xml:space="preserve">Marcas (SACI + SADI)</t>
  </si>
  <si>
    <t xml:space="preserve">Tipos de dispositivo</t>
  </si>
  <si>
    <t xml:space="preserve">Modelos SACI</t>
  </si>
  <si>
    <t xml:space="preserve">Modelos SADI</t>
  </si>
  <si>
    <t xml:space="preserve">Categorías de equipo</t>
  </si>
  <si>
    <t xml:space="preserve">Equipos registrados</t>
  </si>
  <si>
    <t xml:space="preserve">Hoja</t>
  </si>
  <si>
    <t xml:space="preserve">Contenido</t>
  </si>
  <si>
    <t xml:space="preserve">Cobertura marca × tipo (SACI y SADI), estadísticas de precios y equipamiento</t>
  </si>
  <si>
    <t xml:space="preserve">Hoja maestra SACI: 1072 registros (5 variantes por tipo y marca) filtrables</t>
  </si>
  <si>
    <t xml:space="preserve">Hoja maestra SADI: 712 registros (5 variantes por tipo y marca) filtrables</t>
  </si>
  <si>
    <t xml:space="preserve">Baterías, fuentes, gabinetes, cableado, herramientas, monitoreo, accesorios y protección</t>
  </si>
  <si>
    <t xml:space="preserve">Fichas comparativas por tipo (modelo premium / medio / económico)</t>
  </si>
  <si>
    <t xml:space="preserve">Cotización integral: A SACI + B SADI + C equipamiento, con TOTAL GENERAL</t>
  </si>
  <si>
    <t xml:space="preserve">Niveles de marca incluidos</t>
  </si>
  <si>
    <t xml:space="preserve">Nivel</t>
  </si>
  <si>
    <t xml:space="preserve">Marcas</t>
  </si>
  <si>
    <t xml:space="preserve">Enfoque</t>
  </si>
  <si>
    <t xml:space="preserve">Alta</t>
  </si>
  <si>
    <t xml:space="preserve">Honeywell Security · DSC · Paradox · Bosch Security · Ajax Systems · Visonic · Texecom · Risco · Optex · Siemens · Honeywell Fire · Siemens · Bosch Fire · Edwards (EST) · Simplex (JCI) · Apollo Fire Detectors · Hochiki · Gent (Honeywell) · Xtralis (Honeywell) · Det-Tronics · Fire Sentry (Honeywell)</t>
  </si>
  <si>
    <t xml:space="preserve">Fabricantes premium con certificaciones UL/EN y soporte profesional</t>
  </si>
  <si>
    <t xml:space="preserve">Media</t>
  </si>
  <si>
    <t xml:space="preserve">Crow · Jablotron · Satel · Pyronix (Hikvision) · Hikvision · Qolsys · Morley-IAS (Honeywell) · System Sensor · GST · Fire-Lite (Honeywell)</t>
  </si>
  <si>
    <t xml:space="preserve">Relación calidad/precio sólida para proyectos estándar</t>
  </si>
  <si>
    <t xml:space="preserve">Entrada</t>
  </si>
  <si>
    <t xml:space="preserve">ELDES · Chuango · Zeta Alarm Systems</t>
  </si>
  <si>
    <t xml:space="preserve">Opciones económicas para proyectos con presupuesto ajustado</t>
  </si>
  <si>
    <t xml:space="preserve">Notas de uso</t>
  </si>
  <si>
    <t xml:space="preserve">1. Las especificaciones y precios son referenciales (USD, mercado 2026); verifique siempre la ficha técnica vigente del fabricante antes de cotizar o instalar.</t>
  </si>
  <si>
    <t xml:space="preserve">2. SACI = Sistemas de Alarma Contra Intrusos (paneles, PIR, contactos, ruptura de vidrio, sirenas, comunicadores, perimetrales, botones de pánico y mandos). SADI = Sistemas de Detección de Incendios (centrales, detectores, estaciones, notificación, módulos de monitoreo/control, terminales repetidoras).</t>
  </si>
  <si>
    <t xml:space="preserve">3. Filas «No disponible en portafolio» (marcadas en gris): la marca no fabrica ese tipo de dispositivo; en Observaciones se sugiere el equivalente de otra marca compatible.</t>
  </si>
  <si>
    <t xml:space="preserve">4. Certificaciones de referencia: SACI — UL 1023/1610, EN 50131 grado 2; SADI — UL 864, EN 54 (partes 2/4/5/7/11/17/20), FM, NFPA 72. Respete la normativa local (NMX, RETIE, etc.).</t>
  </si>
  <si>
    <t xml:space="preserve">5. Use los filtros de la fila de encabezados en las hojas de Base de Datos (panel congelado en H5) y Equipamiento (G5) para segmentar por marca, tipo, nivel o precio.</t>
  </si>
  <si>
    <t xml:space="preserve">6. En Lista de Precios, complete Cantidad y Descuento en las secciones A/B/C; los subtotales y el TOTAL GENERAL se calculan automáticamente.</t>
  </si>
  <si>
    <t xml:space="preserve">7. Las columnas Proveedor y Stock están listas para registrar sus distribuidores locales (listas desplegables en Nivel, Stock y Categoría).</t>
  </si>
  <si>
    <t xml:space="preserve">8. Hoja Comparativa: fichas de los 32 tipos con modelos de referencia por nivel (alto / medio / económico); Aspiración (ASD) incluye 2 especialistas (Xtralis y Honeywell FAAST).</t>
  </si>
  <si>
    <t xml:space="preserve">9. Columnas estructuradas para motor de cálculo (Y en adelante en ambas BD, S en adelante en Equipamiento): consumos en A, tensiones en V, coberturas (m²/m/grados), alturas de montaje, potencia acústica, zonas/particiones/lazos/puntos, sección-ampacidad de cables. Unidades SI; los campos no aplicables a un tipo de equipo quedan como «N/A»; valores referenciales editables.</t>
  </si>
  <si>
    <t xml:space="preserve">Resumen — Cobertura Marca × Tipo y Estadísticas de Precios</t>
  </si>
  <si>
    <t xml:space="preserve">Tipo de Dispositivo \ Marca</t>
  </si>
  <si>
    <t xml:space="preserve">Honeywell Security</t>
  </si>
  <si>
    <t xml:space="preserve">DSC</t>
  </si>
  <si>
    <t xml:space="preserve">Paradox</t>
  </si>
  <si>
    <t xml:space="preserve">Bosch Security</t>
  </si>
  <si>
    <t xml:space="preserve">Ajax Systems</t>
  </si>
  <si>
    <t xml:space="preserve">Visonic</t>
  </si>
  <si>
    <t xml:space="preserve">Texecom</t>
  </si>
  <si>
    <t xml:space="preserve">Risco</t>
  </si>
  <si>
    <t xml:space="preserve">Crow</t>
  </si>
  <si>
    <t xml:space="preserve">Jablotron</t>
  </si>
  <si>
    <t xml:space="preserve">Satel</t>
  </si>
  <si>
    <t xml:space="preserve">Pyronix (Hikvision)</t>
  </si>
  <si>
    <t xml:space="preserve">Hikvision</t>
  </si>
  <si>
    <t xml:space="preserve">Qolsys</t>
  </si>
  <si>
    <t xml:space="preserve">ELDES</t>
  </si>
  <si>
    <t xml:space="preserve">Chuango</t>
  </si>
  <si>
    <t xml:space="preserve">Optex</t>
  </si>
  <si>
    <t xml:space="preserve">Siemens</t>
  </si>
  <si>
    <t xml:space="preserve">Total</t>
  </si>
  <si>
    <t xml:space="preserve">Panel híbrido</t>
  </si>
  <si>
    <t xml:space="preserve">Panel alámbrico</t>
  </si>
  <si>
    <t xml:space="preserve">Panel inalámbrico / Hub</t>
  </si>
  <si>
    <t xml:space="preserve">Teclado de control</t>
  </si>
  <si>
    <t xml:space="preserve">Detector PIR interior</t>
  </si>
  <si>
    <t xml:space="preserve">PIR inalámbrico</t>
  </si>
  <si>
    <t xml:space="preserve">Doble tecnología / exterior</t>
  </si>
  <si>
    <t xml:space="preserve">Contacto magnético</t>
  </si>
  <si>
    <t xml:space="preserve">Ruptura de vidrio</t>
  </si>
  <si>
    <t xml:space="preserve">Sirena exterior</t>
  </si>
  <si>
    <t xml:space="preserve">Sirena interior</t>
  </si>
  <si>
    <t xml:space="preserve">Comunicador de eventos</t>
  </si>
  <si>
    <t xml:space="preserve">Perimetral exterior</t>
  </si>
  <si>
    <t xml:space="preserve">Expansor / receptor</t>
  </si>
  <si>
    <t xml:space="preserve">Botón de pánico</t>
  </si>
  <si>
    <t xml:space="preserve">Mando inalámbrico</t>
  </si>
  <si>
    <t xml:space="preserve">Modelos activos por marca</t>
  </si>
  <si>
    <t xml:space="preserve">Cobertura SADI — Detectores y Centrales de Incendios</t>
  </si>
  <si>
    <t xml:space="preserve">Honeywell Fire</t>
  </si>
  <si>
    <t xml:space="preserve">Bosch Fire</t>
  </si>
  <si>
    <t xml:space="preserve">Edwards (EST)</t>
  </si>
  <si>
    <t xml:space="preserve">Simplex (JCI)</t>
  </si>
  <si>
    <t xml:space="preserve">Morley-IAS (Honeywell)</t>
  </si>
  <si>
    <t xml:space="preserve">Apollo Fire Detectors</t>
  </si>
  <si>
    <t xml:space="preserve">Hochiki</t>
  </si>
  <si>
    <t xml:space="preserve">System Sensor</t>
  </si>
  <si>
    <t xml:space="preserve">GST</t>
  </si>
  <si>
    <t xml:space="preserve">Fire-Lite (Honeywell)</t>
  </si>
  <si>
    <t xml:space="preserve">Zeta Alarm Systems</t>
  </si>
  <si>
    <t xml:space="preserve">Gent (Honeywell)</t>
  </si>
  <si>
    <t xml:space="preserve">Xtralis (Honeywell)</t>
  </si>
  <si>
    <t xml:space="preserve">Det-Tronics</t>
  </si>
  <si>
    <t xml:space="preserve">Fire Sentry (Honeywell)</t>
  </si>
  <si>
    <t xml:space="preserve">Panel direccionable</t>
  </si>
  <si>
    <t xml:space="preserve">Panel convencional</t>
  </si>
  <si>
    <t xml:space="preserve">Humo convencional</t>
  </si>
  <si>
    <t xml:space="preserve">Humo direccionable</t>
  </si>
  <si>
    <t xml:space="preserve">Térmico direccionable</t>
  </si>
  <si>
    <t xml:space="preserve">Multicriterio</t>
  </si>
  <si>
    <t xml:space="preserve">Detector de llama</t>
  </si>
  <si>
    <t xml:space="preserve">Aspiración (ASD)</t>
  </si>
  <si>
    <t xml:space="preserve">Lineal de haz</t>
  </si>
  <si>
    <t xml:space="preserve">Estación manual</t>
  </si>
  <si>
    <t xml:space="preserve">Sirena con estrobo</t>
  </si>
  <si>
    <t xml:space="preserve">Módulo de monitoreo</t>
  </si>
  <si>
    <t xml:space="preserve">Módulo de control/relevador</t>
  </si>
  <si>
    <t xml:space="preserve">Terminal repetidora</t>
  </si>
  <si>
    <t xml:space="preserve">Detector de ducto</t>
  </si>
  <si>
    <t xml:space="preserve">Aislador/base lazo</t>
  </si>
  <si>
    <t xml:space="preserve">Estadísticas SACI por marca (precio USD)</t>
  </si>
  <si>
    <t xml:space="preserve">Marca</t>
  </si>
  <si>
    <t xml:space="preserve">País</t>
  </si>
  <si>
    <t xml:space="preserve">Modelos activos</t>
  </si>
  <si>
    <t xml:space="preserve">Precio mín. (USD)</t>
  </si>
  <si>
    <t xml:space="preserve">Precio máx. (USD)</t>
  </si>
  <si>
    <t xml:space="preserve">Precio promedio (USD)</t>
  </si>
  <si>
    <t xml:space="preserve">EE. UU.</t>
  </si>
  <si>
    <t xml:space="preserve">Canadá</t>
  </si>
  <si>
    <t xml:space="preserve">Alemania</t>
  </si>
  <si>
    <t xml:space="preserve">Ucrania</t>
  </si>
  <si>
    <t xml:space="preserve">Israel</t>
  </si>
  <si>
    <t xml:space="preserve">Reino Unido</t>
  </si>
  <si>
    <t xml:space="preserve">Rep. Checa</t>
  </si>
  <si>
    <t xml:space="preserve">Polonia</t>
  </si>
  <si>
    <t xml:space="preserve">China</t>
  </si>
  <si>
    <t xml:space="preserve">Lituania</t>
  </si>
  <si>
    <t xml:space="preserve">Japón</t>
  </si>
  <si>
    <t xml:space="preserve">TOTAL / GENERAL</t>
  </si>
  <si>
    <t xml:space="preserve">Estadísticas SADI por marca (precio USD)</t>
  </si>
  <si>
    <t xml:space="preserve">Irlanda</t>
  </si>
  <si>
    <t xml:space="preserve">Estadísticas de equipamiento común por categoría</t>
  </si>
  <si>
    <t xml:space="preserve">Categoría de Equipamiento</t>
  </si>
  <si>
    <t xml:space="preserve">Modelos</t>
  </si>
  <si>
    <t xml:space="preserve">Baterías de respaldo</t>
  </si>
  <si>
    <t xml:space="preserve">Fuentes de poder</t>
  </si>
  <si>
    <t xml:space="preserve">Gabinetes y canastillas</t>
  </si>
  <si>
    <t xml:space="preserve">Cableado y conductores</t>
  </si>
  <si>
    <t xml:space="preserve">Herramientas y pruebas</t>
  </si>
  <si>
    <t xml:space="preserve">Comunicación y monitoreo</t>
  </si>
  <si>
    <t xml:space="preserve">Accesorios de instalación</t>
  </si>
  <si>
    <t xml:space="preserve">Protección eléctrica</t>
  </si>
  <si>
    <t xml:space="preserve">Nota: las matrices cuentan modelos activos (excluyen filas «No disponible en portafolio»); cada marca × tipo activo incluye 5 variantes de gama. Celda 0 = la marca no fabrica ese tipo; en Base de Datos se sugiere el equivalente. Las estadísticas de precio leen el bloque de filas de cada marca en su hoja (SACI/SADI) y las del equipamiento el bloque de cada categoría en la hoja Equipamiento; si reordena los registros, ajuste los rangos.</t>
  </si>
  <si>
    <t xml:space="preserve">Base de Datos Técnica — SACI · Sistemas de Alarma Contra Intrusos (18 marcas × 16 tipos × 5 variantes)</t>
  </si>
  <si>
    <t xml:space="preserve">N°</t>
  </si>
  <si>
    <t xml:space="preserve">Tipo de Dispositivo</t>
  </si>
  <si>
    <t xml:space="preserve">Modelo</t>
  </si>
  <si>
    <t xml:space="preserve">Capacidad / Alcance</t>
  </si>
  <si>
    <t xml:space="preserve">Tecnología de Detección</t>
  </si>
  <si>
    <t xml:space="preserve">Anti-Falsa Alarma / Inmunidad</t>
  </si>
  <si>
    <t xml:space="preserve">Comunicación de Eventos</t>
  </si>
  <si>
    <t xml:space="preserve">Protocolo / Frecuencia</t>
  </si>
  <si>
    <t xml:space="preserve">Alimentación</t>
  </si>
  <si>
    <t xml:space="preserve">Consumo</t>
  </si>
  <si>
    <t xml:space="preserve">Protección</t>
  </si>
  <si>
    <t xml:space="preserve">Temp. Operación</t>
  </si>
  <si>
    <t xml:space="preserve">Dimensiones</t>
  </si>
  <si>
    <t xml:space="preserve">Peso</t>
  </si>
  <si>
    <t xml:space="preserve">Certificaciones</t>
  </si>
  <si>
    <t xml:space="preserve">Uso Recomendado</t>
  </si>
  <si>
    <t xml:space="preserve">Precio Ref. (USD)</t>
  </si>
  <si>
    <t xml:space="preserve">Proveedor</t>
  </si>
  <si>
    <t xml:space="preserve">Stock</t>
  </si>
  <si>
    <t xml:space="preserve">Observaciones</t>
  </si>
  <si>
    <t xml:space="preserve">Consumo en Reposo (A)</t>
  </si>
  <si>
    <t xml:space="preserve">Consumo en Alarma (A)</t>
  </si>
  <si>
    <t xml:space="preserve">Tensión de Alimentación (V)</t>
  </si>
  <si>
    <t xml:space="preserve">Protocolos Compatibles</t>
  </si>
  <si>
    <t xml:space="preserve">Centrales Compatibles</t>
  </si>
  <si>
    <t xml:space="preserve">Consumo en Reposo de la Central (A)</t>
  </si>
  <si>
    <t xml:space="preserve">Consumo en Alarma de la Central (A)</t>
  </si>
  <si>
    <t xml:space="preserve">Corriente Nominal de la Fuente (A)</t>
  </si>
  <si>
    <t xml:space="preserve">Zonas de la Central</t>
  </si>
  <si>
    <t xml:space="preserve">Particiones</t>
  </si>
  <si>
    <t xml:space="preserve">Área de Cobertura (m²)</t>
  </si>
  <si>
    <t xml:space="preserve">Radio de Cobertura (m)</t>
  </si>
  <si>
    <t xml:space="preserve">Alcance (m)</t>
  </si>
  <si>
    <t xml:space="preserve">Apertura del Sector (grados)</t>
  </si>
  <si>
    <t xml:space="preserve">Forma de Cobertura</t>
  </si>
  <si>
    <t xml:space="preserve">Potencia Acústica (W)</t>
  </si>
  <si>
    <t xml:space="preserve">Altura Mínima de Montaje (m)</t>
  </si>
  <si>
    <t xml:space="preserve">Altura Máxima de Montaje (m)</t>
  </si>
  <si>
    <t xml:space="preserve">VISTA-20P</t>
  </si>
  <si>
    <t xml:space="preserve">128 zonas / 8 particiones</t>
  </si>
  <si>
    <t xml:space="preserve">Híbrido: 8 zonas alámbricas de base + bus ECP</t>
  </si>
  <si>
    <t xml:space="preserve">Auto-Stay / Instant; detección de sabotaje por zona</t>
  </si>
  <si>
    <t xml:space="preserve">Contact ID a central o CSDC</t>
  </si>
  <si>
    <t xml:space="preserve">Contact ID / SIA DC-09 (AlarmNet)</t>
  </si>
  <si>
    <t xml:space="preserve">16.5 VAC 40 VA · batería 12 V 7 Ah</t>
  </si>
  <si>
    <t xml:space="preserve">700 mA máx con respaldo</t>
  </si>
  <si>
    <t xml:space="preserve">—</t>
  </si>
  <si>
    <t xml:space="preserve">0 °C a +49 °C</t>
  </si>
  <si>
    <t xml:space="preserve">312 × 360 × 80 mm</t>
  </si>
  <si>
    <t xml:space="preserve">3.4 kg</t>
  </si>
  <si>
    <t xml:space="preserve">UL 1023/1610, CE, FCC</t>
  </si>
  <si>
    <t xml:space="preserve">Residencial y comercial mediano</t>
  </si>
  <si>
    <t xml:space="preserve">Variante económica de la gama</t>
  </si>
  <si>
    <t xml:space="preserve">Central maestra — admite periféricos del ecosistema VISTA/ProA7 (bus ECP)</t>
  </si>
  <si>
    <t xml:space="preserve">N/A</t>
  </si>
  <si>
    <t xml:space="preserve">VISTA-48LA</t>
  </si>
  <si>
    <t xml:space="preserve">Gama de entrada</t>
  </si>
  <si>
    <t xml:space="preserve">VISTA-128BPT</t>
  </si>
  <si>
    <t xml:space="preserve">Panel clásico del mercado, expansión modular ECP</t>
  </si>
  <si>
    <t xml:space="preserve">VISTA-128FBP</t>
  </si>
  <si>
    <t xml:space="preserve">Capacidad y rendimiento mejorados</t>
  </si>
  <si>
    <t xml:space="preserve">ProA7Plus</t>
  </si>
  <si>
    <t xml:space="preserve">Tope de gama — máxima especificación</t>
  </si>
  <si>
    <t xml:space="preserve">48 zonas / 4 particiones</t>
  </si>
  <si>
    <t xml:space="preserve">Alámbrico con expansión inalámbrica 5800 opcional</t>
  </si>
  <si>
    <t xml:space="preserve">Detección de sabotaje, salida PGM programable</t>
  </si>
  <si>
    <t xml:space="preserve">Contact ID integrado (dialer 56k)</t>
  </si>
  <si>
    <t xml:space="preserve">600 mA máx</t>
  </si>
  <si>
    <t xml:space="preserve">262 × 300 × 78 mm</t>
  </si>
  <si>
    <t xml:space="preserve">2.6 kg</t>
  </si>
  <si>
    <t xml:space="preserve">Residencial y PYME</t>
  </si>
  <si>
    <t xml:space="preserve">Versión latinoamericana del VISTA 48</t>
  </si>
  <si>
    <t xml:space="preserve">VISTA-250FBP</t>
  </si>
  <si>
    <t xml:space="preserve">ProA7</t>
  </si>
  <si>
    <t xml:space="preserve">Hasta 100 zonas inalámbricas</t>
  </si>
  <si>
    <t xml:space="preserve">Inalámbrico 319.5 MHz con radio SiX</t>
  </si>
  <si>
    <t xml:space="preserve">Cifrado SiX Two-Way, foto-verificación</t>
  </si>
  <si>
    <t xml:space="preserve">LTE + Wi-Fi integrado (AlarmNet)</t>
  </si>
  <si>
    <t xml:space="preserve">26 VAC 40 VA · batería 12 V</t>
  </si>
  <si>
    <t xml:space="preserve">450 mA máx</t>
  </si>
  <si>
    <t xml:space="preserve">250 × 230 × 75 mm</t>
  </si>
  <si>
    <t xml:space="preserve">2.2 kg</t>
  </si>
  <si>
    <t xml:space="preserve">Residencial smart</t>
  </si>
  <si>
    <t xml:space="preserve">ProA7 Plus LTE</t>
  </si>
  <si>
    <t xml:space="preserve">Gestión vía app Alarm.com/Total Connect</t>
  </si>
  <si>
    <t xml:space="preserve">Lyric Controller</t>
  </si>
  <si>
    <t xml:space="preserve">L5000C</t>
  </si>
  <si>
    <t xml:space="preserve">6150</t>
  </si>
  <si>
    <t xml:space="preserve">Controla hasta 48 zonas del sistema</t>
  </si>
  <si>
    <t xml:space="preserve">Teclado alfanumérico LCD 2×16</t>
  </si>
  <si>
    <t xml:space="preserve">Transceptor 5800 integrado para zonas inalámbricas</t>
  </si>
  <si>
    <t xml:space="preserve">Bus ECP</t>
  </si>
  <si>
    <t xml:space="preserve">12 VDC desde panel</t>
  </si>
  <si>
    <t xml:space="preserve">110 mA</t>
  </si>
  <si>
    <t xml:space="preserve">146 × 111 × 32 mm</t>
  </si>
  <si>
    <t xml:space="preserve">310 g</t>
  </si>
  <si>
    <t xml:space="preserve">Uso general</t>
  </si>
  <si>
    <t xml:space="preserve">Centrales VISTA/ProA7 (bus ECP) (mismo bus)</t>
  </si>
  <si>
    <t xml:space="preserve">6150RF</t>
  </si>
  <si>
    <t xml:space="preserve">6160RF</t>
  </si>
  <si>
    <t xml:space="preserve">Teclado premium con proximity opcional</t>
  </si>
  <si>
    <t xml:space="preserve">6270CV</t>
  </si>
  <si>
    <t xml:space="preserve">Tuxedo Touch</t>
  </si>
  <si>
    <t xml:space="preserve">IS-2120</t>
  </si>
  <si>
    <t xml:space="preserve">8 m · 90°</t>
  </si>
  <si>
    <t xml:space="preserve">PIR doble elemento con procesamiento T</t>
  </si>
  <si>
    <t xml:space="preserve">Inmunidad a mascotas hasta 36 kg (lente opcional)</t>
  </si>
  <si>
    <t xml:space="preserve">Zona alámbrica</t>
  </si>
  <si>
    <t xml:space="preserve">12 VDC</t>
  </si>
  <si>
    <t xml:space="preserve">14 mA</t>
  </si>
  <si>
    <t xml:space="preserve">80 × 50 × 38 mm</t>
  </si>
  <si>
    <t xml:space="preserve">85 g</t>
  </si>
  <si>
    <t xml:space="preserve">Interior salas y pasillos</t>
  </si>
  <si>
    <t xml:space="preserve">Zona 12 V universal — centrales VISTA/ProA7 (bus ECP) y compatibles</t>
  </si>
  <si>
    <t xml:space="preserve">Volumétrica rectangular (lentes múltiples)</t>
  </si>
  <si>
    <t xml:space="preserve">IS-2135</t>
  </si>
  <si>
    <t xml:space="preserve">10 m · 90°</t>
  </si>
  <si>
    <t xml:space="preserve">IS-215T</t>
  </si>
  <si>
    <t xml:space="preserve">12 m · 90°</t>
  </si>
  <si>
    <t xml:space="preserve">Lente espejo Fresnel reemplazable</t>
  </si>
  <si>
    <t xml:space="preserve">IS-25100TC</t>
  </si>
  <si>
    <t xml:space="preserve">12 m · 110°</t>
  </si>
  <si>
    <t xml:space="preserve">AURORA PIR</t>
  </si>
  <si>
    <t xml:space="preserve">15 m · 110°</t>
  </si>
  <si>
    <t xml:space="preserve">5800PIR-RES</t>
  </si>
  <si>
    <t xml:space="preserve">PIR inalámbrico 319.5 MHz</t>
  </si>
  <si>
    <t xml:space="preserve">Pet-inmune hasta 18 kg, supervisión radio</t>
  </si>
  <si>
    <t xml:space="preserve">Transmisión 5800 a panel</t>
  </si>
  <si>
    <t xml:space="preserve">Batería CR123A (3 V)</t>
  </si>
  <si>
    <t xml:space="preserve">15 µA en reposo</t>
  </si>
  <si>
    <t xml:space="preserve">73 × 50 × 40 mm</t>
  </si>
  <si>
    <t xml:space="preserve">70 g</t>
  </si>
  <si>
    <t xml:space="preserve">Interior residencial</t>
  </si>
  <si>
    <t xml:space="preserve">Exclusivo radio de marca: radio SiX/5800 (ProA7, VISTA + transceptor)</t>
  </si>
  <si>
    <t xml:space="preserve">5800PIR-OD</t>
  </si>
  <si>
    <t xml:space="preserve">5800PIR-VEC</t>
  </si>
  <si>
    <t xml:space="preserve">Montaje pared, esquina o plano sin ajustes</t>
  </si>
  <si>
    <t xml:space="preserve">5800-2</t>
  </si>
  <si>
    <t xml:space="preserve">12 m · 90° pet</t>
  </si>
  <si>
    <t xml:space="preserve">5898</t>
  </si>
  <si>
    <t xml:space="preserve">15 m · 90° pet</t>
  </si>
  <si>
    <t xml:space="preserve">DT-8035</t>
  </si>
  <si>
    <t xml:space="preserve">10 m</t>
  </si>
  <si>
    <t xml:space="preserve">IR pasivo + microondas (dual tech)</t>
  </si>
  <si>
    <t xml:space="preserve">Análisis de señal bidireccional, anti-falsa alarma avanzada</t>
  </si>
  <si>
    <t xml:space="preserve">20 mA</t>
  </si>
  <si>
    <t xml:space="preserve">118 × 70 × 48 mm</t>
  </si>
  <si>
    <t xml:space="preserve">210 g</t>
  </si>
  <si>
    <t xml:space="preserve">Interior hostil (talleres, depósitos)</t>
  </si>
  <si>
    <t xml:space="preserve">Volumétrica rectangular (IR + microondas)</t>
  </si>
  <si>
    <t xml:space="preserve">DT-8050</t>
  </si>
  <si>
    <t xml:space="preserve">12 m</t>
  </si>
  <si>
    <t xml:space="preserve">DT-8060</t>
  </si>
  <si>
    <t xml:space="preserve">12 m · IP54</t>
  </si>
  <si>
    <t xml:space="preserve">K-band microondas con rango ajustable</t>
  </si>
  <si>
    <t xml:space="preserve">IS-312</t>
  </si>
  <si>
    <t xml:space="preserve">15 m · IP55</t>
  </si>
  <si>
    <t xml:space="preserve">AURORA DT</t>
  </si>
  <si>
    <t xml:space="preserve">20 m · IP55</t>
  </si>
  <si>
    <t xml:space="preserve">944</t>
  </si>
  <si>
    <t xml:space="preserve">Disparo 10 mm</t>
  </si>
  <si>
    <t xml:space="preserve">Contacto magnético con terminales atornillados</t>
  </si>
  <si>
    <t xml:space="preserve">Contacto reed conmutable NA/NC</t>
  </si>
  <si>
    <t xml:space="preserve">Pasivo (seco)</t>
  </si>
  <si>
    <t xml:space="preserve">63 × 12 × 12 mm</t>
  </si>
  <si>
    <t xml:space="preserve">20 g</t>
  </si>
  <si>
    <t xml:space="preserve">Puertas y ventanas</t>
  </si>
  <si>
    <t xml:space="preserve">Perimetral (apertura de puerta/ventana)</t>
  </si>
  <si>
    <t xml:space="preserve">943</t>
  </si>
  <si>
    <t xml:space="preserve">Disparo 15 mm</t>
  </si>
  <si>
    <t xml:space="preserve">956RPT</t>
  </si>
  <si>
    <t xml:space="preserve">Disparo 20 mm</t>
  </si>
  <si>
    <t xml:space="preserve">Incluye imán y carcasa con sabotaje</t>
  </si>
  <si>
    <t xml:space="preserve">941-G</t>
  </si>
  <si>
    <t xml:space="preserve">Disparo 25 mm</t>
  </si>
  <si>
    <t xml:space="preserve">7939WG-WH</t>
  </si>
  <si>
    <t xml:space="preserve">Disparo 40 mm</t>
  </si>
  <si>
    <t xml:space="preserve">5150MN</t>
  </si>
  <si>
    <t xml:space="preserve">6 m</t>
  </si>
  <si>
    <t xml:space="preserve">Micro-procesamiento de audio (espectro de vidrio)</t>
  </si>
  <si>
    <t xml:space="preserve">Filtra compresores, campanas y música</t>
  </si>
  <si>
    <t xml:space="preserve">18 mA</t>
  </si>
  <si>
    <t xml:space="preserve">Ø 88 × 28 mm</t>
  </si>
  <si>
    <t xml:space="preserve">130 g</t>
  </si>
  <si>
    <t xml:space="preserve">Interior frente a vidrios</t>
  </si>
  <si>
    <t xml:space="preserve">Hemisférica omnidireccional (audio)</t>
  </si>
  <si>
    <t xml:space="preserve">Flex 100</t>
  </si>
  <si>
    <t xml:space="preserve">7.6 m</t>
  </si>
  <si>
    <t xml:space="preserve">FG-730</t>
  </si>
  <si>
    <t xml:space="preserve">7.6 m filtrado digital</t>
  </si>
  <si>
    <t xml:space="preserve">Auto-verificación LED y modo de prueba</t>
  </si>
  <si>
    <t xml:space="preserve">5150WA</t>
  </si>
  <si>
    <t xml:space="preserve">9 m</t>
  </si>
  <si>
    <t xml:space="preserve">FG-1625</t>
  </si>
  <si>
    <t xml:space="preserve">9 m filtrado digital</t>
  </si>
  <si>
    <t xml:space="preserve">748LC</t>
  </si>
  <si>
    <t xml:space="preserve">105 dB</t>
  </si>
  <si>
    <t xml:space="preserve">Sirena autocontenida con batería de respaldo</t>
  </si>
  <si>
    <t xml:space="preserve">Caja hermética anti-sabotaje (tapa y arrancado)</t>
  </si>
  <si>
    <t xml:space="preserve">Activación 12 VDC</t>
  </si>
  <si>
    <t xml:space="preserve">12 VDC + batería interna 9 V</t>
  </si>
  <si>
    <t xml:space="preserve">280 mA sirena</t>
  </si>
  <si>
    <t xml:space="preserve">IP34</t>
  </si>
  <si>
    <t xml:space="preserve">270 × 135 × 82 mm</t>
  </si>
  <si>
    <t xml:space="preserve">1.6 kg</t>
  </si>
  <si>
    <t xml:space="preserve">Exterior fachada</t>
  </si>
  <si>
    <t xml:space="preserve">SSX52S</t>
  </si>
  <si>
    <t xml:space="preserve">108 dB</t>
  </si>
  <si>
    <t xml:space="preserve">AB-4</t>
  </si>
  <si>
    <t xml:space="preserve">110 dB</t>
  </si>
  <si>
    <t xml:space="preserve">Opción con LED blanco o azul</t>
  </si>
  <si>
    <t xml:space="preserve">746SS</t>
  </si>
  <si>
    <t xml:space="preserve">113 dB</t>
  </si>
  <si>
    <t xml:space="preserve">SS-52</t>
  </si>
  <si>
    <t xml:space="preserve">118 dB</t>
  </si>
  <si>
    <t xml:space="preserve">7473</t>
  </si>
  <si>
    <t xml:space="preserve">95 dB</t>
  </si>
  <si>
    <t xml:space="preserve">Sirena autocontenida compacta</t>
  </si>
  <si>
    <t xml:space="preserve">Tapa anti-sabotaje, tono estándar</t>
  </si>
  <si>
    <t xml:space="preserve">350 mA</t>
  </si>
  <si>
    <t xml:space="preserve">110 × 110 × 55 mm</t>
  </si>
  <si>
    <t xml:space="preserve">280 g</t>
  </si>
  <si>
    <t xml:space="preserve">Interior pasillo/cuarto técnico</t>
  </si>
  <si>
    <t xml:space="preserve">719</t>
  </si>
  <si>
    <t xml:space="preserve">100 dB</t>
  </si>
  <si>
    <t xml:space="preserve">7415</t>
  </si>
  <si>
    <t xml:space="preserve">102 dB</t>
  </si>
  <si>
    <t xml:space="preserve">Montaje en pared o techo</t>
  </si>
  <si>
    <t xml:space="preserve">Wave-2</t>
  </si>
  <si>
    <t xml:space="preserve">WS-100</t>
  </si>
  <si>
    <t xml:space="preserve">7845i-ENT</t>
  </si>
  <si>
    <t xml:space="preserve">Solo IP</t>
  </si>
  <si>
    <t xml:space="preserve">Transmisor de eventos AlarmNet</t>
  </si>
  <si>
    <t xml:space="preserve">Cifrado AES 128-bit, supervisión remota</t>
  </si>
  <si>
    <t xml:space="preserve">Contact ID / SIA sobre IP y LTE</t>
  </si>
  <si>
    <t xml:space="preserve">95 mA IP / 190 mA LTE</t>
  </si>
  <si>
    <t xml:space="preserve">88 × 152 × 30 mm</t>
  </si>
  <si>
    <t xml:space="preserve">300 g</t>
  </si>
  <si>
    <t xml:space="preserve">Central de monitoreo / residencial premium</t>
  </si>
  <si>
    <t xml:space="preserve">7847i</t>
  </si>
  <si>
    <t xml:space="preserve">IP + GPRS</t>
  </si>
  <si>
    <t xml:space="preserve">7847i-L</t>
  </si>
  <si>
    <t xml:space="preserve">IP + LTE</t>
  </si>
  <si>
    <t xml:space="preserve">Compatible con paneles VISTA y ECP</t>
  </si>
  <si>
    <t xml:space="preserve">LTE-XV</t>
  </si>
  <si>
    <t xml:space="preserve">LTE dual-SIM</t>
  </si>
  <si>
    <t xml:space="preserve">LTE-IA</t>
  </si>
  <si>
    <t xml:space="preserve">LTE + IP + dialer</t>
  </si>
  <si>
    <t xml:space="preserve">No disponible en portafolio</t>
  </si>
  <si>
    <t xml:space="preserve">Honeywell no fabrica barreras IR; referencia Optex AX-200TTO compatible con zonas alámbricas</t>
  </si>
  <si>
    <t xml:space="preserve">4204</t>
  </si>
  <si>
    <t xml:space="preserve">4 zonas</t>
  </si>
  <si>
    <t xml:space="preserve">Expansor de zonas por bus ECP</t>
  </si>
  <si>
    <t xml:space="preserve">Soporta contactos y PIR cableados en caseta</t>
  </si>
  <si>
    <t xml:space="preserve">45 mA + zonas</t>
  </si>
  <si>
    <t xml:space="preserve">165 × 100 × 35 mm</t>
  </si>
  <si>
    <t xml:space="preserve">230 g</t>
  </si>
  <si>
    <t xml:space="preserve">Ampliación de paneles VISTA</t>
  </si>
  <si>
    <t xml:space="preserve">4229</t>
  </si>
  <si>
    <t xml:space="preserve">8 zonas</t>
  </si>
  <si>
    <t xml:space="preserve">4219</t>
  </si>
  <si>
    <t xml:space="preserve">8 zonas + 2 salidas</t>
  </si>
  <si>
    <t xml:space="preserve">Cada zona admite EOL y sabotaje</t>
  </si>
  <si>
    <t xml:space="preserve">5881ENH</t>
  </si>
  <si>
    <t xml:space="preserve">16 zonas</t>
  </si>
  <si>
    <t xml:space="preserve">5800RP</t>
  </si>
  <si>
    <t xml:space="preserve">16 zonas + 4 salidas</t>
  </si>
  <si>
    <t xml:space="preserve">5802</t>
  </si>
  <si>
    <t xml:space="preserve">Colgante básico</t>
  </si>
  <si>
    <t xml:space="preserve">Transmisor de pánico 319.5 MHz con retén</t>
  </si>
  <si>
    <t xml:space="preserve">Botón con cierre de seguridad, señal supervisada</t>
  </si>
  <si>
    <t xml:space="preserve">Zona inalámbrica 5800</t>
  </si>
  <si>
    <t xml:space="preserve">Batería CR2032 (3 V)</t>
  </si>
  <si>
    <t xml:space="preserve">10 µA en reposo</t>
  </si>
  <si>
    <t xml:space="preserve">50 × 33 × 13 mm</t>
  </si>
  <si>
    <t xml:space="preserve">25 g</t>
  </si>
  <si>
    <t xml:space="preserve">Comercio, bancario y adultos mayores</t>
  </si>
  <si>
    <t xml:space="preserve">5802LX</t>
  </si>
  <si>
    <t xml:space="preserve">Colgante supervisado</t>
  </si>
  <si>
    <t xml:space="preserve">5802LXT2</t>
  </si>
  <si>
    <t xml:space="preserve">Botón de pared</t>
  </si>
  <si>
    <t xml:space="preserve">Versión alámbrica 269R para hold-up en caja</t>
  </si>
  <si>
    <t xml:space="preserve">269R</t>
  </si>
  <si>
    <t xml:space="preserve">Con carcasa sabotaje</t>
  </si>
  <si>
    <t xml:space="preserve">5804BD</t>
  </si>
  <si>
    <t xml:space="preserve">Hold-up con código</t>
  </si>
  <si>
    <t xml:space="preserve">5804</t>
  </si>
  <si>
    <t xml:space="preserve">4 botones</t>
  </si>
  <si>
    <t xml:space="preserve">Llave inalámbrica para armado/desarmado</t>
  </si>
  <si>
    <t xml:space="preserve">Botones dedicados armado/desarmado + pánico</t>
  </si>
  <si>
    <t xml:space="preserve">5 µA en reposo</t>
  </si>
  <si>
    <t xml:space="preserve">64 × 38 × 13 mm</t>
  </si>
  <si>
    <t xml:space="preserve">30 g</t>
  </si>
  <si>
    <t xml:space="preserve">Armado diario y pánico</t>
  </si>
  <si>
    <t xml:space="preserve">5834-2</t>
  </si>
  <si>
    <t xml:space="preserve">4 botones + pánico</t>
  </si>
  <si>
    <t xml:space="preserve">5834-4</t>
  </si>
  <si>
    <t xml:space="preserve">5 botones + pánico</t>
  </si>
  <si>
    <t xml:space="preserve">5804BD = versión bidireccional con confirmación</t>
  </si>
  <si>
    <t xml:space="preserve">5834-4M</t>
  </si>
  <si>
    <t xml:space="preserve">Bidireccional con retroalimentación</t>
  </si>
  <si>
    <t xml:space="preserve">Bidireccional táctil</t>
  </si>
  <si>
    <t xml:space="preserve">HS2032</t>
  </si>
  <si>
    <t xml:space="preserve">32 zonas / 2 particiones</t>
  </si>
  <si>
    <t xml:space="preserve">Híbrido: 8 alámbricas de base + bus bus conectable</t>
  </si>
  <si>
    <t xml:space="preserve">Detector de sabotaje por zona, teclados con proximity</t>
  </si>
  <si>
    <t xml:space="preserve">Contact ID/SIA vía módulo TL280</t>
  </si>
  <si>
    <t xml:space="preserve">Contact ID / SIA (vía módulo TL)</t>
  </si>
  <si>
    <t xml:space="preserve">650 mA máx</t>
  </si>
  <si>
    <t xml:space="preserve">300 × 295 × 76 mm</t>
  </si>
  <si>
    <t xml:space="preserve">2.8 kg</t>
  </si>
  <si>
    <t xml:space="preserve">UL, CE, EN 50131 grado 2</t>
  </si>
  <si>
    <t xml:space="preserve">Comercial mediano</t>
  </si>
  <si>
    <t xml:space="preserve">Central maestra — admite periféricos del ecosistema PowerSeries Neo/PC (Keybus)</t>
  </si>
  <si>
    <t xml:space="preserve">HS2128</t>
  </si>
  <si>
    <t xml:space="preserve">HS3232</t>
  </si>
  <si>
    <t xml:space="preserve">Plataforma Neo con cifrado en teclados</t>
  </si>
  <si>
    <t xml:space="preserve">HS3248</t>
  </si>
  <si>
    <t xml:space="preserve">PC1864</t>
  </si>
  <si>
    <t xml:space="preserve">PC1616</t>
  </si>
  <si>
    <t xml:space="preserve">Alámbrico con expansores PC5xxx</t>
  </si>
  <si>
    <t xml:space="preserve">8 salidas PGM programables</t>
  </si>
  <si>
    <t xml:space="preserve">Contact ID (dialer integrado)</t>
  </si>
  <si>
    <t xml:space="preserve">550 mA máx</t>
  </si>
  <si>
    <t xml:space="preserve">279 × 279 × 76 mm</t>
  </si>
  <si>
    <t xml:space="preserve">2.4 kg</t>
  </si>
  <si>
    <t xml:space="preserve">PC1832</t>
  </si>
  <si>
    <t xml:space="preserve">Serie PowerSeries probada, expansión modular</t>
  </si>
  <si>
    <t xml:space="preserve">PC4020</t>
  </si>
  <si>
    <t xml:space="preserve">PC9155-433</t>
  </si>
  <si>
    <t xml:space="preserve">SCW9047G-433</t>
  </si>
  <si>
    <t xml:space="preserve">Hasta 32 zonas inalámbricas 433 MHz</t>
  </si>
  <si>
    <t xml:space="preserve">Autocontenido con teclado y sirena</t>
  </si>
  <si>
    <t xml:space="preserve">Detección de sabotaje, armado por proximity</t>
  </si>
  <si>
    <t xml:space="preserve">GSM opcional + dialer integrado</t>
  </si>
  <si>
    <t xml:space="preserve">16.5 VAC · batería 12 V</t>
  </si>
  <si>
    <t xml:space="preserve">400 mA máx</t>
  </si>
  <si>
    <t xml:space="preserve">220 × 150 × 60 mm</t>
  </si>
  <si>
    <t xml:space="preserve">1.3 kg</t>
  </si>
  <si>
    <t xml:space="preserve">Residencial inalámbrico</t>
  </si>
  <si>
    <t xml:space="preserve">SCW9057G-433</t>
  </si>
  <si>
    <t xml:space="preserve">SCW9045G-433</t>
  </si>
  <si>
    <t xml:space="preserve">Panel + teclado + sirena en un cuerpo</t>
  </si>
  <si>
    <t xml:space="preserve">Alexor KT-200</t>
  </si>
  <si>
    <t xml:space="preserve">Impassa Kit</t>
  </si>
  <si>
    <t xml:space="preserve">PK5500</t>
  </si>
  <si>
    <t xml:space="preserve">Atiende 64 zonas del sistema</t>
  </si>
  <si>
    <t xml:space="preserve">LCD alfanumérico 2×16</t>
  </si>
  <si>
    <t xml:space="preserve">Proximity integrado (armar/desarmar con tag)</t>
  </si>
  <si>
    <t xml:space="preserve">Bus bus conectable</t>
  </si>
  <si>
    <t xml:space="preserve">65 mA</t>
  </si>
  <si>
    <t xml:space="preserve">120 × 165 × 28 mm</t>
  </si>
  <si>
    <t xml:space="preserve">Centrales PowerSeries Neo/PC (Keybus) (mismo bus)</t>
  </si>
  <si>
    <t xml:space="preserve">HS2LCD</t>
  </si>
  <si>
    <t xml:space="preserve">HS2LCDRF</t>
  </si>
  <si>
    <t xml:space="preserve">Compatible con toda la serie Neo</t>
  </si>
  <si>
    <t xml:space="preserve">HS2TCHP</t>
  </si>
  <si>
    <t xml:space="preserve">HS3LCD</t>
  </si>
  <si>
    <t xml:space="preserve">LC-100-PI</t>
  </si>
  <si>
    <t xml:space="preserve">PIR con lente Fresnel espejo</t>
  </si>
  <si>
    <t xml:space="preserve">Pet-inmune hasta 27 kg, filtro DigitalFLEX</t>
  </si>
  <si>
    <t xml:space="preserve">15 mA</t>
  </si>
  <si>
    <t xml:space="preserve">70 × 45 × 33 mm</t>
  </si>
  <si>
    <t xml:space="preserve">80 g</t>
  </si>
  <si>
    <t xml:space="preserve">Interior residencial/comercial</t>
  </si>
  <si>
    <t xml:space="preserve">Zona 12 V universal — centrales PowerSeries Neo/PC (Keybus) y compatibles</t>
  </si>
  <si>
    <t xml:space="preserve">LC-103-PMI</t>
  </si>
  <si>
    <t xml:space="preserve">ES-423</t>
  </si>
  <si>
    <t xml:space="preserve">Salida tamper y EOL supervisada</t>
  </si>
  <si>
    <t xml:space="preserve">DSC PIR-99</t>
  </si>
  <si>
    <t xml:space="preserve">EC-401</t>
  </si>
  <si>
    <t xml:space="preserve">WS4904</t>
  </si>
  <si>
    <t xml:space="preserve">PIR inalámbrico 433 MHz</t>
  </si>
  <si>
    <t xml:space="preserve">Pet-inmune hasta 18 kg</t>
  </si>
  <si>
    <t xml:space="preserve">Transmisión 433 a panel</t>
  </si>
  <si>
    <t xml:space="preserve">Batería CR123A</t>
  </si>
  <si>
    <t xml:space="preserve">20 µA reposo</t>
  </si>
  <si>
    <t xml:space="preserve">90 × 60 × 45 mm</t>
  </si>
  <si>
    <t xml:space="preserve">105 g</t>
  </si>
  <si>
    <t xml:space="preserve">Exclusivo radio de marca: Neo RF5132/PowerSeries 433 (Alexor, Impassa)</t>
  </si>
  <si>
    <t xml:space="preserve">WS4904P</t>
  </si>
  <si>
    <t xml:space="preserve">WS4935</t>
  </si>
  <si>
    <t xml:space="preserve">Compatible con Impassa y Neo (receptor)</t>
  </si>
  <si>
    <t xml:space="preserve">WS4965</t>
  </si>
  <si>
    <t xml:space="preserve">WS4985</t>
  </si>
  <si>
    <t xml:space="preserve">LC-100-DT</t>
  </si>
  <si>
    <t xml:space="preserve">PIR exterior con análisis dual de señal</t>
  </si>
  <si>
    <t xml:space="preserve">IP54, anti-falsa alarma por ventana de tiempo</t>
  </si>
  <si>
    <t xml:space="preserve">IP54</t>
  </si>
  <si>
    <t xml:space="preserve">105 × 65 × 55 mm</t>
  </si>
  <si>
    <t xml:space="preserve">Exterior fachada y patios</t>
  </si>
  <si>
    <t xml:space="preserve">LC-151-PI</t>
  </si>
  <si>
    <t xml:space="preserve">ES-424GB</t>
  </si>
  <si>
    <t xml:space="preserve">Cuerpo sellado con lente multicapa</t>
  </si>
  <si>
    <t xml:space="preserve">LC-152-DT</t>
  </si>
  <si>
    <t xml:space="preserve">EC-DT151</t>
  </si>
  <si>
    <t xml:space="preserve">WS4945</t>
  </si>
  <si>
    <t xml:space="preserve">Transmisor de contacto 433 MHz</t>
  </si>
  <si>
    <t xml:space="preserve">Supervisión radio, sabotaje de tapa</t>
  </si>
  <si>
    <t xml:space="preserve">Batería CR2032</t>
  </si>
  <si>
    <t xml:space="preserve">10 µA reposo</t>
  </si>
  <si>
    <t xml:space="preserve">75 × 32 × 17 mm</t>
  </si>
  <si>
    <t xml:space="preserve">45 g</t>
  </si>
  <si>
    <t xml:space="preserve">Puertas/ventanas sin cableado</t>
  </si>
  <si>
    <t xml:space="preserve">EV-DW4927</t>
  </si>
  <si>
    <t xml:space="preserve">EV-DW4975</t>
  </si>
  <si>
    <t xml:space="preserve">Admite contacto cableado auxiliar</t>
  </si>
  <si>
    <t xml:space="preserve">WS4945V</t>
  </si>
  <si>
    <t xml:space="preserve">EC-MC101</t>
  </si>
  <si>
    <t xml:space="preserve">AC-100</t>
  </si>
  <si>
    <t xml:space="preserve">Detector acústico de vidrio</t>
  </si>
  <si>
    <t xml:space="preserve">Procesamiento de firma espectral</t>
  </si>
  <si>
    <t xml:space="preserve">Ø 85 × 30 mm</t>
  </si>
  <si>
    <t xml:space="preserve">120 g</t>
  </si>
  <si>
    <t xml:space="preserve">Interior con ventanería</t>
  </si>
  <si>
    <t xml:space="preserve">AC-101</t>
  </si>
  <si>
    <t xml:space="preserve">AC-500</t>
  </si>
  <si>
    <t xml:space="preserve">LED de estado y modo de prueba</t>
  </si>
  <si>
    <t xml:space="preserve">ES-423GB</t>
  </si>
  <si>
    <t xml:space="preserve">EC-GB101</t>
  </si>
  <si>
    <t xml:space="preserve">SS-108E</t>
  </si>
  <si>
    <t xml:space="preserve">Sirena con caja metálica anti-sabotaje</t>
  </si>
  <si>
    <t xml:space="preserve">Tapa y arranque supervisados</t>
  </si>
  <si>
    <t xml:space="preserve">500 mA</t>
  </si>
  <si>
    <t xml:space="preserve">265 × 130 × 80 mm</t>
  </si>
  <si>
    <t xml:space="preserve">1.5 kg</t>
  </si>
  <si>
    <t xml:space="preserve">SS-105</t>
  </si>
  <si>
    <t xml:space="preserve">SB-1</t>
  </si>
  <si>
    <t xml:space="preserve">Compatible con cualquier panel 12 V</t>
  </si>
  <si>
    <t xml:space="preserve">SD-108E</t>
  </si>
  <si>
    <t xml:space="preserve">WS4936</t>
  </si>
  <si>
    <t xml:space="preserve">WS4920</t>
  </si>
  <si>
    <t xml:space="preserve">Sirena inalámbrica autocontenida</t>
  </si>
  <si>
    <t xml:space="preserve">Supervisión radio, sabotaje tapa</t>
  </si>
  <si>
    <t xml:space="preserve">4× AA alcalinas</t>
  </si>
  <si>
    <t xml:space="preserve">130 × 90 × 50 mm</t>
  </si>
  <si>
    <t xml:space="preserve">WS4920V</t>
  </si>
  <si>
    <t xml:space="preserve">ES-463</t>
  </si>
  <si>
    <t xml:space="preserve">Tono y volumen seleccionables</t>
  </si>
  <si>
    <t xml:space="preserve">SB-2</t>
  </si>
  <si>
    <t xml:space="preserve">EC-SIR101</t>
  </si>
  <si>
    <t xml:space="preserve">GS2065</t>
  </si>
  <si>
    <t xml:space="preserve">Transmisor de eventos universal</t>
  </si>
  <si>
    <t xml:space="preserve">Cifrado AES, supervisión en línea</t>
  </si>
  <si>
    <t xml:space="preserve">Contact ID / SIA sobre IP y GPRS</t>
  </si>
  <si>
    <t xml:space="preserve">110 mA IP / 160 mA GPRS</t>
  </si>
  <si>
    <t xml:space="preserve">90 × 150 × 30 mm</t>
  </si>
  <si>
    <t xml:space="preserve">290 g</t>
  </si>
  <si>
    <t xml:space="preserve">Central de monitoreo</t>
  </si>
  <si>
    <t xml:space="preserve">TL260</t>
  </si>
  <si>
    <t xml:space="preserve">TL260GS</t>
  </si>
  <si>
    <t xml:space="preserve">Compatible con paneles PowerSeries/Neo</t>
  </si>
  <si>
    <t xml:space="preserve">TL280</t>
  </si>
  <si>
    <t xml:space="preserve">3G2065</t>
  </si>
  <si>
    <t xml:space="preserve">DSC no fabrica barreras IR; referencia Optex AX-200TTO en zona alámbrica</t>
  </si>
  <si>
    <t xml:space="preserve">PC5204</t>
  </si>
  <si>
    <t xml:space="preserve">Expansor de zonas por bus Keybus</t>
  </si>
  <si>
    <t xml:space="preserve">Salida 1 A para sirena/relés</t>
  </si>
  <si>
    <t xml:space="preserve">Bus Keybus</t>
  </si>
  <si>
    <t xml:space="preserve">50 mA + zonas</t>
  </si>
  <si>
    <t xml:space="preserve">120 × 100 × 30 mm</t>
  </si>
  <si>
    <t xml:space="preserve">180 g</t>
  </si>
  <si>
    <t xml:space="preserve">Ampliación PowerSeries</t>
  </si>
  <si>
    <t xml:space="preserve">PC5208</t>
  </si>
  <si>
    <t xml:space="preserve">PC5108</t>
  </si>
  <si>
    <t xml:space="preserve">Zonas supervisadas con EOL</t>
  </si>
  <si>
    <t xml:space="preserve">PC5928</t>
  </si>
  <si>
    <t xml:space="preserve">RF5132-433</t>
  </si>
  <si>
    <t xml:space="preserve">WS4938</t>
  </si>
  <si>
    <t xml:space="preserve">Péndulo de pánico PowerSeries 433 MHz</t>
  </si>
  <si>
    <t xml:space="preserve">Señal supervisada, cordón para cuello</t>
  </si>
  <si>
    <t xml:space="preserve">Zona inalámbrica 433 MHz</t>
  </si>
  <si>
    <t xml:space="preserve">8 µA en reposo</t>
  </si>
  <si>
    <t xml:space="preserve">55 × 36 × 14 mm</t>
  </si>
  <si>
    <t xml:space="preserve">22 g</t>
  </si>
  <si>
    <t xml:space="preserve">Pánico personal y hold-up</t>
  </si>
  <si>
    <t xml:space="preserve">WS4938I</t>
  </si>
  <si>
    <t xml:space="preserve">WS4938-433</t>
  </si>
  <si>
    <t xml:space="preserve">Compatible con receptores RF5132/PC5132</t>
  </si>
  <si>
    <t xml:space="preserve">WS4939 (con pánico)</t>
  </si>
  <si>
    <t xml:space="preserve">WS4945 (universal)</t>
  </si>
  <si>
    <t xml:space="preserve">WS4939</t>
  </si>
  <si>
    <t xml:space="preserve">Llave inalámbrica PowerSeries</t>
  </si>
  <si>
    <t xml:space="preserve">Botones armado/desarmado + pánico</t>
  </si>
  <si>
    <t xml:space="preserve">60 × 36 × 13 mm</t>
  </si>
  <si>
    <t xml:space="preserve">28 g</t>
  </si>
  <si>
    <t xml:space="preserve">WS4939I</t>
  </si>
  <si>
    <t xml:space="preserve">WT4989</t>
  </si>
  <si>
    <t xml:space="preserve">WT4989 = versión bidireccional Neo</t>
  </si>
  <si>
    <t xml:space="preserve">WT4989I</t>
  </si>
  <si>
    <t xml:space="preserve">WT4989W</t>
  </si>
  <si>
    <t xml:space="preserve">SP4000</t>
  </si>
  <si>
    <t xml:space="preserve">192 zonas / 8 particiones</t>
  </si>
  <si>
    <t xml:space="preserve">Híbrido: bus 4 hilos + inalámbrico vía expansor</t>
  </si>
  <si>
    <t xml:space="preserve">Detección de sabotaje modular, programación WinLoad</t>
  </si>
  <si>
    <t xml:space="preserve">Contact ID / Paradox IP150</t>
  </si>
  <si>
    <t xml:space="preserve">Contact ID / SIA / Paradox IP150</t>
  </si>
  <si>
    <t xml:space="preserve">0 °C a +50 °C</t>
  </si>
  <si>
    <t xml:space="preserve">316 × 300 × 83 mm</t>
  </si>
  <si>
    <t xml:space="preserve">3.0 kg</t>
  </si>
  <si>
    <t xml:space="preserve">UL, CE, FCC, EN 50131</t>
  </si>
  <si>
    <t xml:space="preserve">Comercial e industrial</t>
  </si>
  <si>
    <t xml:space="preserve">Central maestra — admite periféricos del ecosistema Spectra SP/Magellan/EVO (bus Paradox)</t>
  </si>
  <si>
    <t xml:space="preserve">SP5500</t>
  </si>
  <si>
    <t xml:space="preserve">SP6000</t>
  </si>
  <si>
    <t xml:space="preserve">Plataforma EVO escalable hasta 192 zonas</t>
  </si>
  <si>
    <t xml:space="preserve">SP7000</t>
  </si>
  <si>
    <t xml:space="preserve">EVO192</t>
  </si>
  <si>
    <t xml:space="preserve">32 zonas / 4 particiones</t>
  </si>
  <si>
    <t xml:space="preserve">Alámbrico con expansores bus ZX</t>
  </si>
  <si>
    <t xml:space="preserve">6 salidas PGM, armado por proximity</t>
  </si>
  <si>
    <t xml:space="preserve">16.5 VAC 25 VA · batería 12 V 4 Ah</t>
  </si>
  <si>
    <t xml:space="preserve">244 × 215 × 62 mm</t>
  </si>
  <si>
    <t xml:space="preserve">Serie SP con 2 zonas de reloj para teclados</t>
  </si>
  <si>
    <t xml:space="preserve">MG5050</t>
  </si>
  <si>
    <t xml:space="preserve">32 zonas (bus + inalámbricas 433 MHz)</t>
  </si>
  <si>
    <t xml:space="preserve">Panel con teclado y receptor integrados</t>
  </si>
  <si>
    <t xml:space="preserve">Receptor 433 MHz de fábrica, PGM vía app</t>
  </si>
  <si>
    <t xml:space="preserve">Contact ID + GSM opcional</t>
  </si>
  <si>
    <t xml:space="preserve">350 mA máx</t>
  </si>
  <si>
    <t xml:space="preserve">225 × 150 × 55 mm</t>
  </si>
  <si>
    <t xml:space="preserve">1.2 kg</t>
  </si>
  <si>
    <t xml:space="preserve">MG5050+</t>
  </si>
  <si>
    <t xml:space="preserve">SP5500MG</t>
  </si>
  <si>
    <t xml:space="preserve">Compatible con la familia Magellan/SP</t>
  </si>
  <si>
    <t xml:space="preserve">EVO192+RTX3</t>
  </si>
  <si>
    <t xml:space="preserve">MAGELLAN K636</t>
  </si>
  <si>
    <t xml:space="preserve">TM40</t>
  </si>
  <si>
    <t xml:space="preserve">Gestiona 32 zonas del sistema</t>
  </si>
  <si>
    <t xml:space="preserve">Táctil 5" con menús gráficos</t>
  </si>
  <si>
    <t xml:space="preserve">Vista de eventos, planos y PGM</t>
  </si>
  <si>
    <t xml:space="preserve">Bus 4 hilos</t>
  </si>
  <si>
    <t xml:space="preserve">138 × 96 × 18 mm</t>
  </si>
  <si>
    <t xml:space="preserve">250 g</t>
  </si>
  <si>
    <t xml:space="preserve">Uso general premium</t>
  </si>
  <si>
    <t xml:space="preserve">Centrales Spectra SP/Magellan/EVO (bus Paradox) (mismo bus)</t>
  </si>
  <si>
    <t xml:space="preserve">TM50</t>
  </si>
  <si>
    <t xml:space="preserve">TM70</t>
  </si>
  <si>
    <t xml:space="preserve">Iconografía intuitiva, idiomas múltiples</t>
  </si>
  <si>
    <t xml:space="preserve">K32</t>
  </si>
  <si>
    <t xml:space="preserve">K35LCD</t>
  </si>
  <si>
    <t xml:space="preserve">NV4</t>
  </si>
  <si>
    <t xml:space="preserve">PIR DigiSense con lente espejo</t>
  </si>
  <si>
    <t xml:space="preserve">Anti-masking óptico, inmunidad &lt; 18 kg</t>
  </si>
  <si>
    <t xml:space="preserve">16 mA</t>
  </si>
  <si>
    <t xml:space="preserve">95 × 55 × 40 mm</t>
  </si>
  <si>
    <t xml:space="preserve">110 g</t>
  </si>
  <si>
    <t xml:space="preserve">Interior comercial</t>
  </si>
  <si>
    <t xml:space="preserve">Zona 12 V universal — centrales Spectra SP/Magellan/EVO (bus Paradox) y compatibles</t>
  </si>
  <si>
    <t xml:space="preserve">NV5</t>
  </si>
  <si>
    <t xml:space="preserve">NV80</t>
  </si>
  <si>
    <t xml:space="preserve">Alta resistencia a interferencias de RF</t>
  </si>
  <si>
    <t xml:space="preserve">DG467</t>
  </si>
  <si>
    <t xml:space="preserve">DG559</t>
  </si>
  <si>
    <t xml:space="preserve">PMD1P</t>
  </si>
  <si>
    <t xml:space="preserve">Pet-inmune, supervisión de batería</t>
  </si>
  <si>
    <t xml:space="preserve">18 µA reposo</t>
  </si>
  <si>
    <t xml:space="preserve">88 × 55 × 42 mm</t>
  </si>
  <si>
    <t xml:space="preserve">95 g</t>
  </si>
  <si>
    <t xml:space="preserve">Exclusivo radio de marca: Magellan/MG con RTX3 (433 MHz)</t>
  </si>
  <si>
    <t xml:space="preserve">PMD2P</t>
  </si>
  <si>
    <t xml:space="preserve">PMDCI</t>
  </si>
  <si>
    <t xml:space="preserve">Compatible Magellan/SP/EVO con receptor</t>
  </si>
  <si>
    <t xml:space="preserve">PMD85</t>
  </si>
  <si>
    <t xml:space="preserve">NV5MX</t>
  </si>
  <si>
    <t xml:space="preserve">PIR exterior doble con lente anti-masking</t>
  </si>
  <si>
    <t xml:space="preserve">IP65, análisis por ventana de tiempo</t>
  </si>
  <si>
    <t xml:space="preserve">22 mA</t>
  </si>
  <si>
    <t xml:space="preserve">IP65</t>
  </si>
  <si>
    <t xml:space="preserve">120 × 75 × 60 mm</t>
  </si>
  <si>
    <t xml:space="preserve">320 g</t>
  </si>
  <si>
    <t xml:space="preserve">Perímetros de fachada</t>
  </si>
  <si>
    <t xml:space="preserve">NVX80</t>
  </si>
  <si>
    <t xml:space="preserve">DG467-MX</t>
  </si>
  <si>
    <t xml:space="preserve">Doble PIR con algoritmo total-crossing</t>
  </si>
  <si>
    <t xml:space="preserve">NVX84</t>
  </si>
  <si>
    <t xml:space="preserve">DG85-MX</t>
  </si>
  <si>
    <t xml:space="preserve">MCW</t>
  </si>
  <si>
    <t xml:space="preserve">Transmisor 433 MHz</t>
  </si>
  <si>
    <t xml:space="preserve">Sabotaje de tapa y arrancado</t>
  </si>
  <si>
    <t xml:space="preserve">8 µA reposo</t>
  </si>
  <si>
    <t xml:space="preserve">78 × 30 × 16 mm</t>
  </si>
  <si>
    <t xml:space="preserve">40 g</t>
  </si>
  <si>
    <t xml:space="preserve">MCT2</t>
  </si>
  <si>
    <t xml:space="preserve">ADS-CM-2</t>
  </si>
  <si>
    <t xml:space="preserve">Admite contacto cableado N.C.</t>
  </si>
  <si>
    <t xml:space="preserve">DCT2</t>
  </si>
  <si>
    <t xml:space="preserve">GB-85</t>
  </si>
  <si>
    <t xml:space="preserve">Análisis digital de audio</t>
  </si>
  <si>
    <t xml:space="preserve">Filtra ruido de compresores y TV</t>
  </si>
  <si>
    <t xml:space="preserve">Ø 85 × 28 mm</t>
  </si>
  <si>
    <t xml:space="preserve">115 g</t>
  </si>
  <si>
    <t xml:space="preserve">Interior con ventanas</t>
  </si>
  <si>
    <t xml:space="preserve">GB-85T</t>
  </si>
  <si>
    <t xml:space="preserve">DG-85</t>
  </si>
  <si>
    <t xml:space="preserve">Modo de prueba por contacto</t>
  </si>
  <si>
    <t xml:space="preserve">GB-460</t>
  </si>
  <si>
    <t xml:space="preserve">AG-45</t>
  </si>
  <si>
    <t xml:space="preserve">PS25</t>
  </si>
  <si>
    <t xml:space="preserve">Sirena exterior con caja anti-sabotaje</t>
  </si>
  <si>
    <t xml:space="preserve">Tapa supervisada, goma sellada</t>
  </si>
  <si>
    <t xml:space="preserve">450 mA</t>
  </si>
  <si>
    <t xml:space="preserve">260 × 130 × 78 mm</t>
  </si>
  <si>
    <t xml:space="preserve">1.4 kg</t>
  </si>
  <si>
    <t xml:space="preserve">PS45</t>
  </si>
  <si>
    <t xml:space="preserve">PS85</t>
  </si>
  <si>
    <t xml:space="preserve">Compatible con cualquier central 12 V</t>
  </si>
  <si>
    <t xml:space="preserve">SR-150</t>
  </si>
  <si>
    <t xml:space="preserve">SIRUS-EX</t>
  </si>
  <si>
    <t xml:space="preserve">Sirena interior compacta</t>
  </si>
  <si>
    <t xml:space="preserve">Tapa anti-sabotaje</t>
  </si>
  <si>
    <t xml:space="preserve">300 mA</t>
  </si>
  <si>
    <t xml:space="preserve">105 × 105 × 52 mm</t>
  </si>
  <si>
    <t xml:space="preserve">PS15</t>
  </si>
  <si>
    <t xml:space="preserve">SR-100</t>
  </si>
  <si>
    <t xml:space="preserve">Montaje pared/techo</t>
  </si>
  <si>
    <t xml:space="preserve">SIREX-IN</t>
  </si>
  <si>
    <t xml:space="preserve">PS35</t>
  </si>
  <si>
    <t xml:space="preserve">IP100</t>
  </si>
  <si>
    <t xml:space="preserve">Interfaz Ethernet para paneles Paradox</t>
  </si>
  <si>
    <t xml:space="preserve">App Insite Gold, notificaciones push</t>
  </si>
  <si>
    <t xml:space="preserve">Contact ID / Paradox protocolo propio</t>
  </si>
  <si>
    <t xml:space="preserve">80 mA</t>
  </si>
  <si>
    <t xml:space="preserve">75 × 110 × 25 mm</t>
  </si>
  <si>
    <t xml:space="preserve">Monitoreo IP y gestión remota</t>
  </si>
  <si>
    <t xml:space="preserve">IP150</t>
  </si>
  <si>
    <t xml:space="preserve">IP150+</t>
  </si>
  <si>
    <t xml:space="preserve">Conexión Ethernet; para LTE usar módulo GSM3500</t>
  </si>
  <si>
    <t xml:space="preserve">GSM3500</t>
  </si>
  <si>
    <t xml:space="preserve">GPRS-4G</t>
  </si>
  <si>
    <t xml:space="preserve">Paradox no fabrica barreras IR; referencia Optex AX-200TTO vía zona alámbrica</t>
  </si>
  <si>
    <t xml:space="preserve">ZX8</t>
  </si>
  <si>
    <t xml:space="preserve">Expansor de zonas bus ZX</t>
  </si>
  <si>
    <t xml:space="preserve">Zonas supervisadas, admite contactos/PIR</t>
  </si>
  <si>
    <t xml:space="preserve">Bus ZX</t>
  </si>
  <si>
    <t xml:space="preserve">35 mA</t>
  </si>
  <si>
    <t xml:space="preserve">95 × 70 × 25 mm</t>
  </si>
  <si>
    <t xml:space="preserve">140 g</t>
  </si>
  <si>
    <t xml:space="preserve">Ampliación Spectra/EVO</t>
  </si>
  <si>
    <t xml:space="preserve">ZX82</t>
  </si>
  <si>
    <t xml:space="preserve">ZX22</t>
  </si>
  <si>
    <t xml:space="preserve">Montaje en caja o gabinete</t>
  </si>
  <si>
    <t xml:space="preserve">RTX3</t>
  </si>
  <si>
    <t xml:space="preserve">RPT1</t>
  </si>
  <si>
    <t xml:space="preserve">El pánico se cubre con mandos REM25/REM3; referencia Ajax Button</t>
  </si>
  <si>
    <t xml:space="preserve">REM101</t>
  </si>
  <si>
    <t xml:space="preserve">Control remoto para Spectra/Magellan</t>
  </si>
  <si>
    <t xml:space="preserve">Radio 433 MHz del panel</t>
  </si>
  <si>
    <t xml:space="preserve">Batería 12 V tipo A23</t>
  </si>
  <si>
    <t xml:space="preserve">60 × 38 × 12 mm</t>
  </si>
  <si>
    <t xml:space="preserve">REM2</t>
  </si>
  <si>
    <t xml:space="preserve">REM25</t>
  </si>
  <si>
    <t xml:space="preserve">REM3 = versión bidireccional Magellan</t>
  </si>
  <si>
    <t xml:space="preserve">REM3</t>
  </si>
  <si>
    <t xml:space="preserve">REM25 (largo alcance)</t>
  </si>
  <si>
    <t xml:space="preserve">Solution 2000</t>
  </si>
  <si>
    <t xml:space="preserve">Híbrido: 8 alámbricas + inalámbrico Radion opcional</t>
  </si>
  <si>
    <t xml:space="preserve">4 teclados máx, armado por proximity</t>
  </si>
  <si>
    <t xml:space="preserve">Contact ID / Conettix vía B450</t>
  </si>
  <si>
    <t xml:space="preserve">Contact ID / Bosch Conettix IP</t>
  </si>
  <si>
    <t xml:space="preserve">290 × 280 × 78 mm</t>
  </si>
  <si>
    <t xml:space="preserve">2.7 kg</t>
  </si>
  <si>
    <t xml:space="preserve">Central maestra — admite periféricos del ecosistema Serie G (SDI2)/AMAX/Solution</t>
  </si>
  <si>
    <t xml:space="preserve">Solution 3000</t>
  </si>
  <si>
    <t xml:space="preserve">AMAX 4000</t>
  </si>
  <si>
    <t xml:space="preserve">Serie Solution con gestión vía RSC+ app</t>
  </si>
  <si>
    <t xml:space="preserve">D7412GV4</t>
  </si>
  <si>
    <t xml:space="preserve">B5512</t>
  </si>
  <si>
    <t xml:space="preserve">16 zonas / 2 particiones</t>
  </si>
  <si>
    <t xml:space="preserve">Alámbrico con expansores por bus</t>
  </si>
  <si>
    <t xml:space="preserve">Salidas PGM programables</t>
  </si>
  <si>
    <t xml:space="preserve">16.5 VAC 30 VA · batería 12 V 7 Ah</t>
  </si>
  <si>
    <t xml:space="preserve">270 × 265 × 72 mm</t>
  </si>
  <si>
    <t xml:space="preserve">2.3 kg</t>
  </si>
  <si>
    <t xml:space="preserve">Costo eficiente con fiabilidad Bosch</t>
  </si>
  <si>
    <t xml:space="preserve">D9412GV4</t>
  </si>
  <si>
    <t xml:space="preserve">B8512G</t>
  </si>
  <si>
    <t xml:space="preserve">AMAX 2000</t>
  </si>
  <si>
    <t xml:space="preserve">40 zonas inalámbricas Radion</t>
  </si>
  <si>
    <t xml:space="preserve">Panel con receptor Radion integrado</t>
  </si>
  <si>
    <t xml:space="preserve">Cifrado Radion, supervisión bidireccional</t>
  </si>
  <si>
    <t xml:space="preserve">Contact ID / GPRS opcional</t>
  </si>
  <si>
    <t xml:space="preserve">380 mA máx</t>
  </si>
  <si>
    <t xml:space="preserve">230 × 160 × 62 mm</t>
  </si>
  <si>
    <t xml:space="preserve">AMAX 3000</t>
  </si>
  <si>
    <t xml:space="preserve">Ecosistema Radion de dispositivos PowerG-like</t>
  </si>
  <si>
    <t xml:space="preserve">Solution 3000+RF</t>
  </si>
  <si>
    <t xml:space="preserve">B5512+RF</t>
  </si>
  <si>
    <t xml:space="preserve">ICP-CP504</t>
  </si>
  <si>
    <t xml:space="preserve">Atiende 16 zonas del sistema</t>
  </si>
  <si>
    <t xml:space="preserve">LCD alfanumérico 16 caracteres</t>
  </si>
  <si>
    <t xml:space="preserve">Proximity opcional (CP516 armado con tag)</t>
  </si>
  <si>
    <t xml:space="preserve">Bus SDI</t>
  </si>
  <si>
    <t xml:space="preserve">60 mA</t>
  </si>
  <si>
    <t xml:space="preserve">155 × 105 × 26 mm</t>
  </si>
  <si>
    <t xml:space="preserve">220 g</t>
  </si>
  <si>
    <t xml:space="preserve">Centrales Serie G (SDI2)/AMAX/Solution (mismo bus)</t>
  </si>
  <si>
    <t xml:space="preserve">ICP-CP516</t>
  </si>
  <si>
    <t xml:space="preserve">ICP-CP516W</t>
  </si>
  <si>
    <t xml:space="preserve">Textos en español seleccionables</t>
  </si>
  <si>
    <t xml:space="preserve">ICP-CP540</t>
  </si>
  <si>
    <t xml:space="preserve">B942W</t>
  </si>
  <si>
    <t xml:space="preserve">ISC-BPR2-WP6</t>
  </si>
  <si>
    <t xml:space="preserve">PIR Blue Line con procesamiento FIFO</t>
  </si>
  <si>
    <t xml:space="preserve">Look-down, anti-falsa alarma por conteo</t>
  </si>
  <si>
    <t xml:space="preserve">105 × 60 × 45 mm</t>
  </si>
  <si>
    <t xml:space="preserve">150 g</t>
  </si>
  <si>
    <t xml:space="preserve">Zona 12 V universal — centrales Serie G (SDI2)/AMAX/Solution y compatibles</t>
  </si>
  <si>
    <t xml:space="preserve">ISC-BPR2-WP12</t>
  </si>
  <si>
    <t xml:space="preserve">ISC-BL-12</t>
  </si>
  <si>
    <t xml:space="preserve">Lentes opcionales pet/curtain</t>
  </si>
  <si>
    <t xml:space="preserve">DS160</t>
  </si>
  <si>
    <t xml:space="preserve">AURORA-BOSCH</t>
  </si>
  <si>
    <t xml:space="preserve">RFPR-12</t>
  </si>
  <si>
    <t xml:space="preserve">PIR inalámbrico Radion</t>
  </si>
  <si>
    <t xml:space="preserve">Pet-inmune 18 kg, supervisión bidireccional</t>
  </si>
  <si>
    <t xml:space="preserve">Radio Radion 868 MHz</t>
  </si>
  <si>
    <t xml:space="preserve">15 µA reposo</t>
  </si>
  <si>
    <t xml:space="preserve">90 × 58 × 45 mm</t>
  </si>
  <si>
    <t xml:space="preserve">Exclusivo radio de marca: AMAX/Solution con receptor Radion</t>
  </si>
  <si>
    <t xml:space="preserve">RFPR-24</t>
  </si>
  <si>
    <t xml:space="preserve">AMAX-2100</t>
  </si>
  <si>
    <t xml:space="preserve">Compatible AMAX y Solution con receptor</t>
  </si>
  <si>
    <t xml:space="preserve">RFPR-12-E</t>
  </si>
  <si>
    <t xml:space="preserve">RFPR-24-E</t>
  </si>
  <si>
    <t xml:space="preserve">ISC-BDL2-WP6-G</t>
  </si>
  <si>
    <t xml:space="preserve">IR pasivo + microondas TriTech</t>
  </si>
  <si>
    <t xml:space="preserve">Auto-focus de señal, anti-falsa avanzada</t>
  </si>
  <si>
    <t xml:space="preserve">120 × 70 × 50 mm</t>
  </si>
  <si>
    <t xml:space="preserve">240 g</t>
  </si>
  <si>
    <t xml:space="preserve">Interior hostil y almacenes</t>
  </si>
  <si>
    <t xml:space="preserve">ISC-BDL2-WP12-G</t>
  </si>
  <si>
    <t xml:space="preserve">DS938Z</t>
  </si>
  <si>
    <t xml:space="preserve">Ajuste de rango microondas</t>
  </si>
  <si>
    <t xml:space="preserve">ISC-BDL2-AM</t>
  </si>
  <si>
    <t xml:space="preserve">DS835i</t>
  </si>
  <si>
    <t xml:space="preserve">RFDC-TH</t>
  </si>
  <si>
    <t xml:space="preserve">Transmisor Radion con entrada externa</t>
  </si>
  <si>
    <t xml:space="preserve">Supervisión radio bidireccional</t>
  </si>
  <si>
    <t xml:space="preserve">80 × 32 × 18 mm</t>
  </si>
  <si>
    <t xml:space="preserve">50 g</t>
  </si>
  <si>
    <t xml:space="preserve">RFDC-TH-E</t>
  </si>
  <si>
    <t xml:space="preserve">AMAX-2300</t>
  </si>
  <si>
    <t xml:space="preserve">DS150i</t>
  </si>
  <si>
    <t xml:space="preserve">BD-12</t>
  </si>
  <si>
    <t xml:space="preserve">DS1101i</t>
  </si>
  <si>
    <t xml:space="preserve">Detección acústica filtrada</t>
  </si>
  <si>
    <t xml:space="preserve">Rechazo de ruido industrial</t>
  </si>
  <si>
    <t xml:space="preserve">Ø 88 × 30 mm</t>
  </si>
  <si>
    <t xml:space="preserve">135 g</t>
  </si>
  <si>
    <t xml:space="preserve">Interior ventanas y cristaleras</t>
  </si>
  <si>
    <t xml:space="preserve">DS1102i</t>
  </si>
  <si>
    <t xml:space="preserve">DS1104i</t>
  </si>
  <si>
    <t xml:space="preserve">Testeo por botón integrado</t>
  </si>
  <si>
    <t xml:space="preserve">FG-701</t>
  </si>
  <si>
    <t xml:space="preserve">DS1110i</t>
  </si>
  <si>
    <t xml:space="preserve">AMAX-4000</t>
  </si>
  <si>
    <t xml:space="preserve">Sirena exterior con caja sellada</t>
  </si>
  <si>
    <t xml:space="preserve">480 mA</t>
  </si>
  <si>
    <t xml:space="preserve">262 × 132 × 80 mm</t>
  </si>
  <si>
    <t xml:space="preserve">SS-1</t>
  </si>
  <si>
    <t xml:space="preserve">SB-EX</t>
  </si>
  <si>
    <t xml:space="preserve">Compatible paneles 12 V Bosch y terceros</t>
  </si>
  <si>
    <t xml:space="preserve">MS-47</t>
  </si>
  <si>
    <t xml:space="preserve">OS-47</t>
  </si>
  <si>
    <t xml:space="preserve">AMAX-3100</t>
  </si>
  <si>
    <t xml:space="preserve">280 mA</t>
  </si>
  <si>
    <t xml:space="preserve">108 × 108 × 54 mm</t>
  </si>
  <si>
    <t xml:space="preserve">260 g</t>
  </si>
  <si>
    <t xml:space="preserve">SS-2</t>
  </si>
  <si>
    <t xml:space="preserve">MD-1201</t>
  </si>
  <si>
    <t xml:space="preserve">Tonos seleccionables</t>
  </si>
  <si>
    <t xml:space="preserve">SB-IN</t>
  </si>
  <si>
    <t xml:space="preserve">MS-45</t>
  </si>
  <si>
    <t xml:space="preserve">B430</t>
  </si>
  <si>
    <t xml:space="preserve">Placa comunicadora Conettix</t>
  </si>
  <si>
    <t xml:space="preserve">Cifrado AES, formación en línea</t>
  </si>
  <si>
    <t xml:space="preserve">Contact ID / Conettix sobre IP/GPRS</t>
  </si>
  <si>
    <t xml:space="preserve">120 mA IP / 200 mA GPRS</t>
  </si>
  <si>
    <t xml:space="preserve">95 × 145 × 30 mm</t>
  </si>
  <si>
    <t xml:space="preserve">B440</t>
  </si>
  <si>
    <t xml:space="preserve">B450 Conettix</t>
  </si>
  <si>
    <t xml:space="preserve">Compatible Solution/AMAX y paneles Bosch</t>
  </si>
  <si>
    <t xml:space="preserve">B426</t>
  </si>
  <si>
    <t xml:space="preserve">B465</t>
  </si>
  <si>
    <t xml:space="preserve">Bosch no fabrica barreras IR; referencia Optex AX-200TTO vía zona alámbrica</t>
  </si>
  <si>
    <t xml:space="preserve">DS7430</t>
  </si>
  <si>
    <t xml:space="preserve">Expansor de zonas por bus SDI</t>
  </si>
  <si>
    <t xml:space="preserve">40 mA</t>
  </si>
  <si>
    <t xml:space="preserve">110 × 90 × 28 mm</t>
  </si>
  <si>
    <t xml:space="preserve">160 g</t>
  </si>
  <si>
    <t xml:space="preserve">Ampliación Solution/DS</t>
  </si>
  <si>
    <t xml:space="preserve">DS7432</t>
  </si>
  <si>
    <t xml:space="preserve">B308</t>
  </si>
  <si>
    <t xml:space="preserve">Admite hasta 4 módulos por panel</t>
  </si>
  <si>
    <t xml:space="preserve">B820</t>
  </si>
  <si>
    <t xml:space="preserve">RF3212</t>
  </si>
  <si>
    <t xml:space="preserve">Bosch no fabrica botón de pánico dedicado; referencia Honeywell 5802LX</t>
  </si>
  <si>
    <t xml:space="preserve">Los radio AMAX aceptan mandos RF del sistema; referencia Ajax SpaceControl</t>
  </si>
  <si>
    <t xml:space="preserve">Ajax es 100% inalámbrico; integración de zonas cableadas vía Transmitter</t>
  </si>
  <si>
    <t xml:space="preserve">Ajax es 100% inalámbrico; referencia Hub 2 Plus</t>
  </si>
  <si>
    <t xml:space="preserve">Hub 2 (2G)</t>
  </si>
  <si>
    <t xml:space="preserve">200 dispositivos / 25 grupos / 50 cámaras</t>
  </si>
  <si>
    <t xml:space="preserve">Hub inalámbrico con foto-verificación</t>
  </si>
  <si>
    <t xml:space="preserve">LTE (2 SIM) + Ethernet + Wi-Fi, 3 radios Jeweller</t>
  </si>
  <si>
    <t xml:space="preserve">Notificaciones a central + Ajax app</t>
  </si>
  <si>
    <t xml:space="preserve">Jeweller 866/868 MHz + LTE/Ethernet</t>
  </si>
  <si>
    <t xml:space="preserve">110-240 VAC · batería 13 h</t>
  </si>
  <si>
    <t xml:space="preserve">220 mA máx</t>
  </si>
  <si>
    <t xml:space="preserve">-10 °C a +40 °C</t>
  </si>
  <si>
    <t xml:space="preserve">162 × 162 × 33 mm</t>
  </si>
  <si>
    <t xml:space="preserve">560 g</t>
  </si>
  <si>
    <t xml:space="preserve">CE, EN 50131 grado 2, UL</t>
  </si>
  <si>
    <t xml:space="preserve">Residencial y comercial smart</t>
  </si>
  <si>
    <t xml:space="preserve">Central maestra — admite periféricos del ecosistema Hubs Ajax (Jeweller/Jeweller 2.0)</t>
  </si>
  <si>
    <t xml:space="preserve">Hub 2 (4G)</t>
  </si>
  <si>
    <t xml:space="preserve">Hub 2 Plus</t>
  </si>
  <si>
    <t xml:space="preserve">El hub de referencia del ecosistema Ajax</t>
  </si>
  <si>
    <t xml:space="preserve">Hub Plus</t>
  </si>
  <si>
    <t xml:space="preserve">Hub 2 Plus Black</t>
  </si>
  <si>
    <t xml:space="preserve">KeyPad</t>
  </si>
  <si>
    <t xml:space="preserve">Gestiona 200 dispositivos del hub</t>
  </si>
  <si>
    <t xml:space="preserve">Teclado táctil con proximity</t>
  </si>
  <si>
    <t xml:space="preserve">Desbloqueo por tag/mandos/código</t>
  </si>
  <si>
    <t xml:space="preserve">Radio Jeweller 868 MHz</t>
  </si>
  <si>
    <t xml:space="preserve">Batería 4 AA (2 años)</t>
  </si>
  <si>
    <t xml:space="preserve">148 × 87 × 15 mm</t>
  </si>
  <si>
    <t xml:space="preserve">Uso general Ajax</t>
  </si>
  <si>
    <t xml:space="preserve">Centrales Hubs Ajax (Jeweller/Jeweller 2.0) (mismo bus)</t>
  </si>
  <si>
    <t xml:space="preserve">KeyPad Plus</t>
  </si>
  <si>
    <t xml:space="preserve">KeyPad Plus Tag</t>
  </si>
  <si>
    <t xml:space="preserve">Comunicación bidireccional cifrada</t>
  </si>
  <si>
    <t xml:space="preserve">KeyPad Plus Black</t>
  </si>
  <si>
    <t xml:space="preserve">SpaceControl</t>
  </si>
  <si>
    <t xml:space="preserve">MotionProtect</t>
  </si>
  <si>
    <t xml:space="preserve">PIR + microondas (anti-falsa alarma)</t>
  </si>
  <si>
    <t xml:space="preserve">Filtrado de interferencias térmicas</t>
  </si>
  <si>
    <t xml:space="preserve">Batería CR123A (3 años)</t>
  </si>
  <si>
    <t xml:space="preserve">110 × 65 × 52 mm</t>
  </si>
  <si>
    <t xml:space="preserve">Interiores con condiciones adversas</t>
  </si>
  <si>
    <t xml:space="preserve">Exclusivo radio de marca: Hubs Ajax (Jeweller/Jeweller 2.0, 866-868 MHz)</t>
  </si>
  <si>
    <t xml:space="preserve">MotionProtect Plus</t>
  </si>
  <si>
    <t xml:space="preserve">MotionCam</t>
  </si>
  <si>
    <t xml:space="preserve">Versión ideal para cocinas y solarios</t>
  </si>
  <si>
    <t xml:space="preserve">MotionCam Outdoor</t>
  </si>
  <si>
    <t xml:space="preserve">MotionProtect Cup</t>
  </si>
  <si>
    <t xml:space="preserve">PIR inalámbrico Jeweller</t>
  </si>
  <si>
    <t xml:space="preserve">Inmunidad mascotas hasta 20 kg</t>
  </si>
  <si>
    <t xml:space="preserve">El sensor más vendido del ecosistema</t>
  </si>
  <si>
    <t xml:space="preserve">MotionProtect Pet</t>
  </si>
  <si>
    <t xml:space="preserve">MotionProtect Outdoor</t>
  </si>
  <si>
    <t xml:space="preserve">PIR doble + análisis inteligente LISA</t>
  </si>
  <si>
    <t xml:space="preserve">IP55, ignora mascotas y vegetación</t>
  </si>
  <si>
    <t xml:space="preserve">Radio Jeweller + Wings</t>
  </si>
  <si>
    <t xml:space="preserve">Baterías CR123A (3 años)</t>
  </si>
  <si>
    <t xml:space="preserve">IP55</t>
  </si>
  <si>
    <t xml:space="preserve">124 × 80 × 85 mm</t>
  </si>
  <si>
    <t xml:space="preserve">470 g</t>
  </si>
  <si>
    <t xml:space="preserve">Perímetro exterior</t>
  </si>
  <si>
    <t xml:space="preserve">MotionProtect Outdoor Black</t>
  </si>
  <si>
    <t xml:space="preserve">Anti-falsa alarma exterior de referencia</t>
  </si>
  <si>
    <t xml:space="preserve">MotionProtect Outdoor Pet</t>
  </si>
  <si>
    <t xml:space="preserve">MotionCam Outdoor Photo</t>
  </si>
  <si>
    <t xml:space="preserve">DoorProtect</t>
  </si>
  <si>
    <t xml:space="preserve">Transmisor Jeweller</t>
  </si>
  <si>
    <t xml:space="preserve">Apertura hasta 1 cm, sabotaje de tapa</t>
  </si>
  <si>
    <t xml:space="preserve">155 × 30 × 18 mm</t>
  </si>
  <si>
    <t xml:space="preserve">DoorProtect Plus</t>
  </si>
  <si>
    <t xml:space="preserve">DoorProtect Black</t>
  </si>
  <si>
    <t xml:space="preserve">Entrada externa para contactos cableados</t>
  </si>
  <si>
    <t xml:space="preserve">DoorProtect Plus Black</t>
  </si>
  <si>
    <t xml:space="preserve">DoorProtect G</t>
  </si>
  <si>
    <t xml:space="preserve">GlassProtect</t>
  </si>
  <si>
    <t xml:space="preserve">Detector de vidrio inalámbrico</t>
  </si>
  <si>
    <t xml:space="preserve">Filtrado de ruido, supervisión</t>
  </si>
  <si>
    <t xml:space="preserve">85 × 55 × 40 mm</t>
  </si>
  <si>
    <t xml:space="preserve">GlassProtect Black</t>
  </si>
  <si>
    <t xml:space="preserve">GlassProtect G</t>
  </si>
  <si>
    <t xml:space="preserve">Sensibilidad ajustada por app</t>
  </si>
  <si>
    <t xml:space="preserve">GlassProtect Plus</t>
  </si>
  <si>
    <t xml:space="preserve">GlassProtect Pro</t>
  </si>
  <si>
    <t xml:space="preserve">StreetSiren</t>
  </si>
  <si>
    <t xml:space="preserve">Sirena exterior con doble deck LED</t>
  </si>
  <si>
    <t xml:space="preserve">LED de estado 360°, tapa anti-sabotaje</t>
  </si>
  <si>
    <t xml:space="preserve">200 × 200 × 68 mm</t>
  </si>
  <si>
    <t xml:space="preserve">680 g</t>
  </si>
  <si>
    <t xml:space="preserve">Exterior fachada premium</t>
  </si>
  <si>
    <t xml:space="preserve">StreetSiren DoubleDeck</t>
  </si>
  <si>
    <t xml:space="preserve">StreetSiren Black</t>
  </si>
  <si>
    <t xml:space="preserve">Notificación visual personalizable</t>
  </si>
  <si>
    <t xml:space="preserve">StreetSiren DoubleDeck Black</t>
  </si>
  <si>
    <t xml:space="preserve">StreetSiren Pro</t>
  </si>
  <si>
    <t xml:space="preserve">HomeSiren</t>
  </si>
  <si>
    <t xml:space="preserve">Sirena interior inalámbrica</t>
  </si>
  <si>
    <t xml:space="preserve">Tapa anti-sabotaje, LED de estado</t>
  </si>
  <si>
    <t xml:space="preserve">139 × 139 × 46 mm</t>
  </si>
  <si>
    <t xml:space="preserve">HomeSiren Black</t>
  </si>
  <si>
    <t xml:space="preserve">HomeSiren Pro</t>
  </si>
  <si>
    <t xml:space="preserve">Volumen ajustable por app</t>
  </si>
  <si>
    <t xml:space="preserve">HomeSiren G</t>
  </si>
  <si>
    <t xml:space="preserve">HomeSiren Plus</t>
  </si>
  <si>
    <t xml:space="preserve">Transmitter</t>
  </si>
  <si>
    <t xml:space="preserve">Puente entre sensores cableados y hub</t>
  </si>
  <si>
    <t xml:space="preserve">Integra PIR/contactos alámbricos existentes</t>
  </si>
  <si>
    <t xml:space="preserve">68 × 36 × 24 mm</t>
  </si>
  <si>
    <t xml:space="preserve">60 g</t>
  </si>
  <si>
    <t xml:space="preserve">Migración de sistemas cableados</t>
  </si>
  <si>
    <t xml:space="preserve">Transmitter Plus</t>
  </si>
  <si>
    <t xml:space="preserve">Transmitter Black</t>
  </si>
  <si>
    <t xml:space="preserve">Hasta 8.2 m de cable hacia el sensor</t>
  </si>
  <si>
    <t xml:space="preserve">Transmitter Pro</t>
  </si>
  <si>
    <t xml:space="preserve">Transmitter G</t>
  </si>
  <si>
    <t xml:space="preserve">Ajax no fabrica barreras IR; referencia Optex AX-200TTO vía Transmitter</t>
  </si>
  <si>
    <t xml:space="preserve">ReX</t>
  </si>
  <si>
    <t xml:space="preserve">Repertor/repetidor Jeweller + sirena</t>
  </si>
  <si>
    <t xml:space="preserve">Extiende cobertura hasta 2 niveles de malla</t>
  </si>
  <si>
    <t xml:space="preserve">110-240 VAC + batería 16 h</t>
  </si>
  <si>
    <t xml:space="preserve">163 × 163 × 33 mm</t>
  </si>
  <si>
    <t xml:space="preserve">550 g</t>
  </si>
  <si>
    <t xml:space="preserve">Ampliación de cobertura Ajax</t>
  </si>
  <si>
    <t xml:space="preserve">ReX 2</t>
  </si>
  <si>
    <t xml:space="preserve">ReX 2 Black</t>
  </si>
  <si>
    <t xml:space="preserve">Incluye sirena de 113 dB integrada</t>
  </si>
  <si>
    <t xml:space="preserve">ReX Plus</t>
  </si>
  <si>
    <t xml:space="preserve">ReX Pro</t>
  </si>
  <si>
    <t xml:space="preserve">Button</t>
  </si>
  <si>
    <t xml:space="preserve">Botón SOS inalámbrico TwoWay</t>
  </si>
  <si>
    <t xml:space="preserve">Comunicación cifrada, prueba de botón</t>
  </si>
  <si>
    <t xml:space="preserve">Radio Jeweller (866/868 MHz)</t>
  </si>
  <si>
    <t xml:space="preserve">Batería CR2032 (3 V) · hasta 3 años</t>
  </si>
  <si>
    <t xml:space="preserve">50 × 45 × 15 mm</t>
  </si>
  <si>
    <t xml:space="preserve">SOS personal y pánico</t>
  </si>
  <si>
    <t xml:space="preserve">Button blanco</t>
  </si>
  <si>
    <t xml:space="preserve">Button negro</t>
  </si>
  <si>
    <t xml:space="preserve">Double Button = doble pulsación anti-falsa alarma</t>
  </si>
  <si>
    <t xml:space="preserve">Button Holder</t>
  </si>
  <si>
    <t xml:space="preserve">Double Button</t>
  </si>
  <si>
    <t xml:space="preserve">Control remoto con confirmación LED</t>
  </si>
  <si>
    <t xml:space="preserve">Botones armado/desarmado + pánico, cifrado</t>
  </si>
  <si>
    <t xml:space="preserve">58 × 38 × 14 mm</t>
  </si>
  <si>
    <t xml:space="preserve">SpaceControl blanco</t>
  </si>
  <si>
    <t xml:space="preserve">SpaceControl negro</t>
  </si>
  <si>
    <t xml:space="preserve">Tag = llavero de proximidad sin botones</t>
  </si>
  <si>
    <t xml:space="preserve">Tag</t>
  </si>
  <si>
    <t xml:space="preserve">Tag (llavero)</t>
  </si>
  <si>
    <t xml:space="preserve">Los paneles PowerMaster son inalámbricos; referencia PowerMaster 30 (3 zonas alámbricas)</t>
  </si>
  <si>
    <t xml:space="preserve">Visonic se centra en inalámbrico PowerG; referencia PowerMaster 30</t>
  </si>
  <si>
    <t xml:space="preserve">PowerMaster 10</t>
  </si>
  <si>
    <t xml:space="preserve">64 zonas PowerG + 3 alámbricas</t>
  </si>
  <si>
    <t xml:space="preserve">Panel inalámbrico con teclado integrado</t>
  </si>
  <si>
    <t xml:space="preserve">Radio PowerG bidireccional con cifrado</t>
  </si>
  <si>
    <t xml:space="preserve">Contact ID + PowerLink IP</t>
  </si>
  <si>
    <t xml:space="preserve">PowerG 868 MHz / Contact ID</t>
  </si>
  <si>
    <t xml:space="preserve">240 × 160 × 60 mm</t>
  </si>
  <si>
    <t xml:space="preserve">CE, EN 50131 grado 2, FCC</t>
  </si>
  <si>
    <t xml:space="preserve">Central maestra — admite periféricos del ecosistema PowerMaster/PowerMax (zonas cableadas + PowerG)</t>
  </si>
  <si>
    <t xml:space="preserve">PowerMaster 30</t>
  </si>
  <si>
    <t xml:space="preserve">PowerMaster 33</t>
  </si>
  <si>
    <t xml:space="preserve">Plataforma PowerMaster con gestión remota</t>
  </si>
  <si>
    <t xml:space="preserve">PowerMaster 360</t>
  </si>
  <si>
    <t xml:space="preserve">PowerMaster 360R</t>
  </si>
  <si>
    <t xml:space="preserve">KP-141 PG2</t>
  </si>
  <si>
    <t xml:space="preserve">Teclado LCD PowerG</t>
  </si>
  <si>
    <t xml:space="preserve">Proximity integrado (tag PowerG)</t>
  </si>
  <si>
    <t xml:space="preserve">Radio PowerG 868 MHz</t>
  </si>
  <si>
    <t xml:space="preserve">Batería 4 AA</t>
  </si>
  <si>
    <t xml:space="preserve">155 × 105 × 30 mm</t>
  </si>
  <si>
    <t xml:space="preserve">Uso general PowerMaster</t>
  </si>
  <si>
    <t xml:space="preserve">Centrales PowerMaster/PowerMax (zonas cableadas + PowerG) (mismo bus)</t>
  </si>
  <si>
    <t xml:space="preserve">KP-250 PG2</t>
  </si>
  <si>
    <t xml:space="preserve">KP-160 PG2</t>
  </si>
  <si>
    <t xml:space="preserve">Inalámbrico: se instala sin cableado</t>
  </si>
  <si>
    <t xml:space="preserve">LCD-250 PG2</t>
  </si>
  <si>
    <t xml:space="preserve">KP-400 PG2</t>
  </si>
  <si>
    <t xml:space="preserve">Next K9-85</t>
  </si>
  <si>
    <t xml:space="preserve">PIR con inmunidad mascotas 38 kg</t>
  </si>
  <si>
    <t xml:space="preserve">Procesamiento de señal K9, anti-falsa</t>
  </si>
  <si>
    <t xml:space="preserve">92 × 55 × 42 mm</t>
  </si>
  <si>
    <t xml:space="preserve">Zona 12 V universal — centrales PowerMaster/PowerMax (zonas cableadas + PowerG) y compatibles</t>
  </si>
  <si>
    <t xml:space="preserve">Next K9-85DT</t>
  </si>
  <si>
    <t xml:space="preserve">Next PG2 PIR</t>
  </si>
  <si>
    <t xml:space="preserve">Versión cableada de la familia Next</t>
  </si>
  <si>
    <t xml:space="preserve">Next+ K9-85</t>
  </si>
  <si>
    <t xml:space="preserve">Next K9-85-PT</t>
  </si>
  <si>
    <t xml:space="preserve">Next K9-85 MCW</t>
  </si>
  <si>
    <t xml:space="preserve">PIR inalámbrico PowerG</t>
  </si>
  <si>
    <t xml:space="preserve">Pet-inmune 38 kg, supervisión bidireccional</t>
  </si>
  <si>
    <t xml:space="preserve">16 µA reposo</t>
  </si>
  <si>
    <t xml:space="preserve">90 × 55 × 42 mm</t>
  </si>
  <si>
    <t xml:space="preserve">Exclusivo radio de marca: PowerMaster/PowerMax (PowerG 868 MHz)</t>
  </si>
  <si>
    <t xml:space="preserve">Next K9-85 MCW-PT</t>
  </si>
  <si>
    <t xml:space="preserve">Next PG2 MCW</t>
  </si>
  <si>
    <t xml:space="preserve">PowerG con cifrado y alcance 2 km línea vista</t>
  </si>
  <si>
    <t xml:space="preserve">Next+ MCW</t>
  </si>
  <si>
    <t xml:space="preserve">MCS-710</t>
  </si>
  <si>
    <t xml:space="preserve">MCS-720</t>
  </si>
  <si>
    <t xml:space="preserve">PIR exterior con análisis doble</t>
  </si>
  <si>
    <t xml:space="preserve">IP55, anti-falsa exterior</t>
  </si>
  <si>
    <t xml:space="preserve">120 × 70 × 58 mm</t>
  </si>
  <si>
    <t xml:space="preserve">Fachadas y patios</t>
  </si>
  <si>
    <t xml:space="preserve">MCS-740</t>
  </si>
  <si>
    <t xml:space="preserve">MCS-720-PT</t>
  </si>
  <si>
    <t xml:space="preserve">Lente multicapa con mirilla anti-obstrucción</t>
  </si>
  <si>
    <t xml:space="preserve">MCS-710-OUT</t>
  </si>
  <si>
    <t xml:space="preserve">MCS-730-OUT</t>
  </si>
  <si>
    <t xml:space="preserve">MC-302E</t>
  </si>
  <si>
    <t xml:space="preserve">Contacto reed con terminal atornillado</t>
  </si>
  <si>
    <t xml:space="preserve">Supervisión de sabotaje</t>
  </si>
  <si>
    <t xml:space="preserve">58 × 13 × 13 mm</t>
  </si>
  <si>
    <t xml:space="preserve">18 g</t>
  </si>
  <si>
    <t xml:space="preserve">MC-302T</t>
  </si>
  <si>
    <t xml:space="preserve">MCT-302</t>
  </si>
  <si>
    <t xml:space="preserve">Versión inalámbrica MCT-302 disponible</t>
  </si>
  <si>
    <t xml:space="preserve">MC-302E2</t>
  </si>
  <si>
    <t xml:space="preserve">MCT-340E</t>
  </si>
  <si>
    <t xml:space="preserve">GB-503</t>
  </si>
  <si>
    <t xml:space="preserve">Detector acústico digital de vidrio</t>
  </si>
  <si>
    <t xml:space="preserve">Filtrado de audio espectral</t>
  </si>
  <si>
    <t xml:space="preserve">125 g</t>
  </si>
  <si>
    <t xml:space="preserve">GB-503-2</t>
  </si>
  <si>
    <t xml:space="preserve">MCS-790</t>
  </si>
  <si>
    <t xml:space="preserve">Modo de prueba por LED</t>
  </si>
  <si>
    <t xml:space="preserve">GB-503-W</t>
  </si>
  <si>
    <t xml:space="preserve">MCS-795</t>
  </si>
  <si>
    <t xml:space="preserve">SR-720B</t>
  </si>
  <si>
    <t xml:space="preserve">Sirena exterior inalámbrica PowerG</t>
  </si>
  <si>
    <t xml:space="preserve">Batería interna, tapa y arranque supervisados</t>
  </si>
  <si>
    <t xml:space="preserve">Baterías internas</t>
  </si>
  <si>
    <t xml:space="preserve">SR-730 PG2</t>
  </si>
  <si>
    <t xml:space="preserve">SR-740 PG2</t>
  </si>
  <si>
    <t xml:space="preserve">Comunicación bidireccional PowerG</t>
  </si>
  <si>
    <t xml:space="preserve">SR-750 PG2</t>
  </si>
  <si>
    <t xml:space="preserve">SR-760 PG2</t>
  </si>
  <si>
    <t xml:space="preserve">SR-520</t>
  </si>
  <si>
    <t xml:space="preserve">Baterías AA</t>
  </si>
  <si>
    <t xml:space="preserve">115 × 100 × 55 mm</t>
  </si>
  <si>
    <t xml:space="preserve">SR-540</t>
  </si>
  <si>
    <t xml:space="preserve">SR-550</t>
  </si>
  <si>
    <t xml:space="preserve">Compatible PowerMaster/PowerG</t>
  </si>
  <si>
    <t xml:space="preserve">SR-560</t>
  </si>
  <si>
    <t xml:space="preserve">SR-570</t>
  </si>
  <si>
    <t xml:space="preserve">PowerLink</t>
  </si>
  <si>
    <t xml:space="preserve">Módulo de comunicación PowerMaster</t>
  </si>
  <si>
    <t xml:space="preserve">App MyPanel, push y eventos</t>
  </si>
  <si>
    <t xml:space="preserve">Contact ID / IP a central</t>
  </si>
  <si>
    <t xml:space="preserve">90 mA</t>
  </si>
  <si>
    <t xml:space="preserve">80 × 105 × 25 mm</t>
  </si>
  <si>
    <t xml:space="preserve">170 g</t>
  </si>
  <si>
    <t xml:space="preserve">Monitoreo IP y control remoto</t>
  </si>
  <si>
    <t xml:space="preserve">PowerLink 2</t>
  </si>
  <si>
    <t xml:space="preserve">PowerLink 3</t>
  </si>
  <si>
    <t xml:space="preserve">Se conecta al bus PowerMaster</t>
  </si>
  <si>
    <t xml:space="preserve">HM80-IP</t>
  </si>
  <si>
    <t xml:space="preserve">PowerLink 3-4G</t>
  </si>
  <si>
    <t xml:space="preserve">MCS-730</t>
  </si>
  <si>
    <t xml:space="preserve">Barrera 40 m</t>
  </si>
  <si>
    <t xml:space="preserve">Detector cortina para fachadas</t>
  </si>
  <si>
    <t xml:space="preserve">IP55, protege ventanas y puertas</t>
  </si>
  <si>
    <t xml:space="preserve">118 × 65 × 55 mm</t>
  </si>
  <si>
    <t xml:space="preserve">Perímetro de fachada (cortina vertical)</t>
  </si>
  <si>
    <t xml:space="preserve">Barrera plana multi-haz IR activo</t>
  </si>
  <si>
    <t xml:space="preserve">MCS-730-2</t>
  </si>
  <si>
    <t xml:space="preserve">Barrera 60 m</t>
  </si>
  <si>
    <t xml:space="preserve">MCS-740-CT</t>
  </si>
  <si>
    <t xml:space="preserve">Barrera 100 m</t>
  </si>
  <si>
    <t xml:space="preserve">Ideal para grandes ventanales</t>
  </si>
  <si>
    <t xml:space="preserve">MCS-730-PT</t>
  </si>
  <si>
    <t xml:space="preserve">Barrera 200 m</t>
  </si>
  <si>
    <t xml:space="preserve">MCS-745</t>
  </si>
  <si>
    <t xml:space="preserve">Barrera 300 m</t>
  </si>
  <si>
    <t xml:space="preserve">PowerMaster usa repetidores PowerG integrados (sin expansor separado)</t>
  </si>
  <si>
    <t xml:space="preserve">MCT-401</t>
  </si>
  <si>
    <t xml:space="preserve">Transmisor de pánico/hold-up inalámbrico</t>
  </si>
  <si>
    <t xml:space="preserve">Señal supervisada PowerCode, ID único</t>
  </si>
  <si>
    <t xml:space="preserve">Radio PowerCode/PowerG del panel</t>
  </si>
  <si>
    <t xml:space="preserve">MCT-401 PG2</t>
  </si>
  <si>
    <t xml:space="preserve">MCT-401 (pared)</t>
  </si>
  <si>
    <t xml:space="preserve">Versión PG2 para paneles PowerMaster G2</t>
  </si>
  <si>
    <t xml:space="preserve">MCT-234 (con pánico)</t>
  </si>
  <si>
    <t xml:space="preserve">KP-141 PG2 (pánico)</t>
  </si>
  <si>
    <t xml:space="preserve">MCT-211</t>
  </si>
  <si>
    <t xml:space="preserve">Llave TwoWay con confirmación visual</t>
  </si>
  <si>
    <t xml:space="preserve">Confirmación LED del estado del sistema</t>
  </si>
  <si>
    <t xml:space="preserve">Batería 12 V (tipo 23A)</t>
  </si>
  <si>
    <t xml:space="preserve">67 × 40 × 15 mm</t>
  </si>
  <si>
    <t xml:space="preserve">35 g</t>
  </si>
  <si>
    <t xml:space="preserve">MCT-234</t>
  </si>
  <si>
    <t xml:space="preserve">MCT-237</t>
  </si>
  <si>
    <t xml:space="preserve">MCT-211 = versión económica 2 botones</t>
  </si>
  <si>
    <t xml:space="preserve">Premier Elite 24</t>
  </si>
  <si>
    <t xml:space="preserve">168 zonas / 8 particiones</t>
  </si>
  <si>
    <t xml:space="preserve">Híbrido: 8 alámbricas + Ricochet inalámbrico</t>
  </si>
  <si>
    <t xml:space="preserve">Red mesh Ricochet auto-curable</t>
  </si>
  <si>
    <t xml:space="preserve">Contact ID / SmartCom IP</t>
  </si>
  <si>
    <t xml:space="preserve">Contact ID / SIA (vía SmartCom)</t>
  </si>
  <si>
    <t xml:space="preserve">305 × 295 × 85 mm</t>
  </si>
  <si>
    <t xml:space="preserve">3.1 kg</t>
  </si>
  <si>
    <t xml:space="preserve">CE, EN 50131 grado 2, PD 6662</t>
  </si>
  <si>
    <t xml:space="preserve">Comercial mediano/grande</t>
  </si>
  <si>
    <t xml:space="preserve">Central maestra — admite periféricos del ecosistema Premier Elite (zonas EOL/Ricochet)</t>
  </si>
  <si>
    <t xml:space="preserve">Premier Elite 48</t>
  </si>
  <si>
    <t xml:space="preserve">Premier Elite 88</t>
  </si>
  <si>
    <t xml:space="preserve">Malla inalámbrica Ricochet hasta 49 nodos</t>
  </si>
  <si>
    <t xml:space="preserve">Premier Elite 168</t>
  </si>
  <si>
    <t xml:space="preserve">Premier Elite 640</t>
  </si>
  <si>
    <t xml:space="preserve">Alámbrico con expansores bus</t>
  </si>
  <si>
    <t xml:space="preserve">8 salidas programables</t>
  </si>
  <si>
    <t xml:space="preserve">Contact ID / SmartCom</t>
  </si>
  <si>
    <t xml:space="preserve">520 mA máx</t>
  </si>
  <si>
    <t xml:space="preserve">280 × 270 × 78 mm</t>
  </si>
  <si>
    <t xml:space="preserve">Serie Premier Elite modular</t>
  </si>
  <si>
    <t xml:space="preserve">Texecom no ofrece panel autocontenido; referencia Premier Elite 24 + Ricochet</t>
  </si>
  <si>
    <t xml:space="preserve">Premier Elite LCD</t>
  </si>
  <si>
    <t xml:space="preserve">Atiende 48 zonas del sistema</t>
  </si>
  <si>
    <t xml:space="preserve">Proximity integrado, menú español</t>
  </si>
  <si>
    <t xml:space="preserve">Bus Premier</t>
  </si>
  <si>
    <t xml:space="preserve">75 mA</t>
  </si>
  <si>
    <t xml:space="preserve">160 × 110 × 28 mm</t>
  </si>
  <si>
    <t xml:space="preserve">Centrales Premier Elite (zonas EOL/Ricochet) (mismo bus)</t>
  </si>
  <si>
    <t xml:space="preserve">Premier Elite LCDL</t>
  </si>
  <si>
    <t xml:space="preserve">Premier Elite Keypad-W</t>
  </si>
  <si>
    <t xml:space="preserve">Teclado de gama alta con tarjetero</t>
  </si>
  <si>
    <t xml:space="preserve">Odysee KP</t>
  </si>
  <si>
    <t xml:space="preserve">Premier 4Keypad</t>
  </si>
  <si>
    <t xml:space="preserve">Premier Compact IL-AM</t>
  </si>
  <si>
    <t xml:space="preserve">PIR digital con procesamiento Capture</t>
  </si>
  <si>
    <t xml:space="preserve">Anti-falsa alarma avanzada (conteo y perfil)</t>
  </si>
  <si>
    <t xml:space="preserve">95 × 58 × 42 mm</t>
  </si>
  <si>
    <t xml:space="preserve">Zona 12 V universal — centrales Premier Elite (zonas EOL/Ricochet) y compatibles</t>
  </si>
  <si>
    <t xml:space="preserve">Capture 100</t>
  </si>
  <si>
    <t xml:space="preserve">Capture 300</t>
  </si>
  <si>
    <t xml:space="preserve">Lente espejo con look-down</t>
  </si>
  <si>
    <t xml:space="preserve">Capture 360</t>
  </si>
  <si>
    <t xml:space="preserve">Premier Elite 25 IM</t>
  </si>
  <si>
    <t xml:space="preserve">Compact IM-W</t>
  </si>
  <si>
    <t xml:space="preserve">PIR inalámbrico Ricochet mesh</t>
  </si>
  <si>
    <t xml:space="preserve">Inmunidad mascotas, batería supervisada</t>
  </si>
  <si>
    <t xml:space="preserve">Radio Ricochet 868 MHz</t>
  </si>
  <si>
    <t xml:space="preserve">92 × 56 × 44 mm</t>
  </si>
  <si>
    <t xml:space="preserve">Exclusivo radio de marca: Premier Elite con Ricochet (868 MHz)</t>
  </si>
  <si>
    <t xml:space="preserve">Premier Elite Compact IM-W</t>
  </si>
  <si>
    <t xml:space="preserve">Elite 12 IM-W</t>
  </si>
  <si>
    <t xml:space="preserve">Repetidor mesh nativo (Ricochet)</t>
  </si>
  <si>
    <t xml:space="preserve">Elite 15 IM-W</t>
  </si>
  <si>
    <t xml:space="preserve">Elite 25 IM-W</t>
  </si>
  <si>
    <t xml:space="preserve">Elite DT-W</t>
  </si>
  <si>
    <t xml:space="preserve">IR pasivo + microondas Ricochet</t>
  </si>
  <si>
    <t xml:space="preserve">Anti-falsa alarma dual con verificación</t>
  </si>
  <si>
    <t xml:space="preserve">110 × 65 × 50 mm</t>
  </si>
  <si>
    <t xml:space="preserve">Interior hostil</t>
  </si>
  <si>
    <t xml:space="preserve">Premier Elite DT-W</t>
  </si>
  <si>
    <t xml:space="preserve">Elite 12 DT-W</t>
  </si>
  <si>
    <t xml:space="preserve">Ajuste de rango MW vía software</t>
  </si>
  <si>
    <t xml:space="preserve">Elite 25 DT-W</t>
  </si>
  <si>
    <t xml:space="preserve">Elite External IM-W</t>
  </si>
  <si>
    <t xml:space="preserve">Elite MC-W</t>
  </si>
  <si>
    <t xml:space="preserve">Transmisor Ricochet mesh</t>
  </si>
  <si>
    <t xml:space="preserve">Sabotaje de tapa y arranque</t>
  </si>
  <si>
    <t xml:space="preserve">55 g</t>
  </si>
  <si>
    <t xml:space="preserve">Premier Elite MC-W</t>
  </si>
  <si>
    <t xml:space="preserve">Compact MC-W</t>
  </si>
  <si>
    <t xml:space="preserve">Elite OC-W</t>
  </si>
  <si>
    <t xml:space="preserve">Elite UD-W</t>
  </si>
  <si>
    <t xml:space="preserve">Texecom no fabrica detectores de vidrio; referencia Honeywell FlexGuard 5150</t>
  </si>
  <si>
    <t xml:space="preserve">Odyssey 1E</t>
  </si>
  <si>
    <t xml:space="preserve">Sirena exterior con cubierta de policarbonato</t>
  </si>
  <si>
    <t xml:space="preserve">Tapa y pie supervisados, batería NiMH</t>
  </si>
  <si>
    <t xml:space="preserve">12 VDC + baterías internas</t>
  </si>
  <si>
    <t xml:space="preserve">550 mA</t>
  </si>
  <si>
    <t xml:space="preserve">300 × 140 × 85 mm</t>
  </si>
  <si>
    <t xml:space="preserve">1.7 kg</t>
  </si>
  <si>
    <t xml:space="preserve">Odyssey 3E</t>
  </si>
  <si>
    <t xml:space="preserve">Odyssey 5E</t>
  </si>
  <si>
    <t xml:space="preserve">Versión también inalámbrica (Odyssey X3-W)</t>
  </si>
  <si>
    <t xml:space="preserve">Odyssey X1</t>
  </si>
  <si>
    <t xml:space="preserve">Odyssey X3</t>
  </si>
  <si>
    <t xml:space="preserve">Premier Elite SR-W</t>
  </si>
  <si>
    <t xml:space="preserve">Sirena inalámbrica interior Ricochet</t>
  </si>
  <si>
    <t xml:space="preserve">Sabotaje de tapa, supervisión radio</t>
  </si>
  <si>
    <t xml:space="preserve">120 × 95 × 50 mm</t>
  </si>
  <si>
    <t xml:space="preserve">Elite SR-W</t>
  </si>
  <si>
    <t xml:space="preserve">Compact SR-W</t>
  </si>
  <si>
    <t xml:space="preserve">Compatible Premier Elite inalámbrico</t>
  </si>
  <si>
    <t xml:space="preserve">SR-1</t>
  </si>
  <si>
    <t xml:space="preserve">SR-2</t>
  </si>
  <si>
    <t xml:space="preserve">SmartCom</t>
  </si>
  <si>
    <t xml:space="preserve">Comunicador IP para Premier Elite</t>
  </si>
  <si>
    <t xml:space="preserve">TexecomCloud y app SmartServe</t>
  </si>
  <si>
    <t xml:space="preserve">Contact ID / SIA sobre IP</t>
  </si>
  <si>
    <t xml:space="preserve">85 mA</t>
  </si>
  <si>
    <t xml:space="preserve">SmartCom Pro</t>
  </si>
  <si>
    <t xml:space="preserve">Elite SmartCom</t>
  </si>
  <si>
    <t xml:space="preserve">Compatible Premier Elite 24/48/168/640</t>
  </si>
  <si>
    <t xml:space="preserve">Premier GSM</t>
  </si>
  <si>
    <t xml:space="preserve">Elite DIGI-GPRS</t>
  </si>
  <si>
    <t xml:space="preserve">Texecom no fabrica barreras IR; referencia Optex AX-200TTO</t>
  </si>
  <si>
    <t xml:space="preserve">Premier Elite EXP-W</t>
  </si>
  <si>
    <t xml:space="preserve">Expansor inalámbrico mesh</t>
  </si>
  <si>
    <t xml:space="preserve">Hasta 20 dispositivos por malla</t>
  </si>
  <si>
    <t xml:space="preserve">Bus Premier + radio 868</t>
  </si>
  <si>
    <t xml:space="preserve">55 mA</t>
  </si>
  <si>
    <t xml:space="preserve">160 × 110 × 32 mm</t>
  </si>
  <si>
    <t xml:space="preserve">Ampliación Premier Elite</t>
  </si>
  <si>
    <t xml:space="preserve">Elite EXP-W</t>
  </si>
  <si>
    <t xml:space="preserve">Elite EXP-8</t>
  </si>
  <si>
    <t xml:space="preserve">Cada EXP-W amplía la malla Ricochet</t>
  </si>
  <si>
    <t xml:space="preserve">Elite EXP-16</t>
  </si>
  <si>
    <t xml:space="preserve">Elite Com_Port</t>
  </si>
  <si>
    <t xml:space="preserve">Texecom no fabrica botón de pánico dedicado; referencia Honeywell 5802LX</t>
  </si>
  <si>
    <t xml:space="preserve">RF Keyfob (básico)</t>
  </si>
  <si>
    <t xml:space="preserve">Llave inalámbrica para Premier Elite</t>
  </si>
  <si>
    <t xml:space="preserve">Radio Ricochet bidireccional 868 MHz</t>
  </si>
  <si>
    <t xml:space="preserve">58 × 36 × 13 mm</t>
  </si>
  <si>
    <t xml:space="preserve">RF Keyfob (4 botones)</t>
  </si>
  <si>
    <t xml:space="preserve">Premier Elite RF Keyfob</t>
  </si>
  <si>
    <t xml:space="preserve">Requiere receptor Ricochet en el panel</t>
  </si>
  <si>
    <t xml:space="preserve">RF Keyfob (con pánico)</t>
  </si>
  <si>
    <t xml:space="preserve">RF Keyfob (bidireccional)</t>
  </si>
  <si>
    <t xml:space="preserve">LightSYS 8</t>
  </si>
  <si>
    <t xml:space="preserve">Híbrido: bus RS485 + inalámbrico RiscoNet</t>
  </si>
  <si>
    <t xml:space="preserve">Programación remota, app Risco</t>
  </si>
  <si>
    <t xml:space="preserve">Contact ID / IP vía RSCM</t>
  </si>
  <si>
    <t xml:space="preserve">Contact ID / SIA / Risco Cloud</t>
  </si>
  <si>
    <t xml:space="preserve">580 mA máx</t>
  </si>
  <si>
    <t xml:space="preserve">300 × 290 × 80 mm</t>
  </si>
  <si>
    <t xml:space="preserve">2.9 kg</t>
  </si>
  <si>
    <t xml:space="preserve">CE, EN 50131 grado 2</t>
  </si>
  <si>
    <t xml:space="preserve">Central maestra — admite periféricos del ecosistema LightSYS/Agility (bus Risco)</t>
  </si>
  <si>
    <t xml:space="preserve">LightSYS 32</t>
  </si>
  <si>
    <t xml:space="preserve">LightSYS 64</t>
  </si>
  <si>
    <t xml:space="preserve">Plataforma modular con módulos LTE/IP intercambiables</t>
  </si>
  <si>
    <t xml:space="preserve">LightSYS2 128</t>
  </si>
  <si>
    <t xml:space="preserve">LightSYS2 512</t>
  </si>
  <si>
    <t xml:space="preserve">Risco se enfoca en híbridos (LightSYS) e inalámbricos (Agility); referencia LightSYS 32</t>
  </si>
  <si>
    <t xml:space="preserve">Agility 3</t>
  </si>
  <si>
    <t xml:space="preserve">48 zonas inalámbricas</t>
  </si>
  <si>
    <t xml:space="preserve">Panel inalámbrico con teclado y sirena</t>
  </si>
  <si>
    <t xml:space="preserve">Foto-verificación vía cámara VUpoint</t>
  </si>
  <si>
    <t xml:space="preserve">IP/GPRS integrado + Risco Cloud</t>
  </si>
  <si>
    <t xml:space="preserve">420 mA máx</t>
  </si>
  <si>
    <t xml:space="preserve">220 × 150 × 58 mm</t>
  </si>
  <si>
    <t xml:space="preserve">Agility 4</t>
  </si>
  <si>
    <t xml:space="preserve">Agility 3 APT</t>
  </si>
  <si>
    <t xml:space="preserve">App Risco con control total remoto</t>
  </si>
  <si>
    <t xml:space="preserve">LightSYS2+RiscoNet</t>
  </si>
  <si>
    <t xml:space="preserve">Agility 4 VUpoint</t>
  </si>
  <si>
    <t xml:space="preserve">RP128KP</t>
  </si>
  <si>
    <t xml:space="preserve">Atiende 32 zonas del sistema</t>
  </si>
  <si>
    <t xml:space="preserve">LCD alfanumérico con teclas gruesas</t>
  </si>
  <si>
    <t xml:space="preserve">Proximity integrado</t>
  </si>
  <si>
    <t xml:space="preserve">Bus RS485</t>
  </si>
  <si>
    <t xml:space="preserve">150 × 100 × 26 mm</t>
  </si>
  <si>
    <t xml:space="preserve">Centrales LightSYS/Agility (bus Risco) (mismo bus)</t>
  </si>
  <si>
    <t xml:space="preserve">RP206KP</t>
  </si>
  <si>
    <t xml:space="preserve">RP432KP</t>
  </si>
  <si>
    <t xml:space="preserve">Compatible LightSYS y Agility</t>
  </si>
  <si>
    <t xml:space="preserve">RP512KP</t>
  </si>
  <si>
    <t xml:space="preserve">AGPR4TP</t>
  </si>
  <si>
    <t xml:space="preserve">RK-400PI</t>
  </si>
  <si>
    <t xml:space="preserve">PIR digital con lente espejo</t>
  </si>
  <si>
    <t xml:space="preserve">Anti-falsa por conteo, look-down</t>
  </si>
  <si>
    <t xml:space="preserve">95 × 55 × 42 mm</t>
  </si>
  <si>
    <t xml:space="preserve">Zona 12 V universal — centrales LightSYS/Agility (bus Risco) y compatibles</t>
  </si>
  <si>
    <t xml:space="preserve">RK-6000PI</t>
  </si>
  <si>
    <t xml:space="preserve">RK-800PI</t>
  </si>
  <si>
    <t xml:space="preserve">Lentes opcionales curtain/pet</t>
  </si>
  <si>
    <t xml:space="preserve">Lite-PD</t>
  </si>
  <si>
    <t xml:space="preserve">Elegance-PI</t>
  </si>
  <si>
    <t xml:space="preserve">AGDPR1</t>
  </si>
  <si>
    <t xml:space="preserve">PIR inalámbrico RiscoNet</t>
  </si>
  <si>
    <t xml:space="preserve">Pet-inmune, supervisión radio</t>
  </si>
  <si>
    <t xml:space="preserve">Radio RiscoNet 868 MHz</t>
  </si>
  <si>
    <t xml:space="preserve">Exclusivo radio de marca: LightSYS/Agility con RiscoNet (868 MHz)</t>
  </si>
  <si>
    <t xml:space="preserve">AGDPR2</t>
  </si>
  <si>
    <t xml:space="preserve">AGDPR-PT</t>
  </si>
  <si>
    <t xml:space="preserve">Compatible Agility y LightSYS inalámbrico</t>
  </si>
  <si>
    <t xml:space="preserve">LightSYS-PIR-W</t>
  </si>
  <si>
    <t xml:space="preserve">RPT-PIR</t>
  </si>
  <si>
    <t xml:space="preserve">WatchOUT</t>
  </si>
  <si>
    <t xml:space="preserve">PIR exterior doble + cámara opcional</t>
  </si>
  <si>
    <t xml:space="preserve">Análisis por algoritmo anti-falsa exterior IP55</t>
  </si>
  <si>
    <t xml:space="preserve">Zona alámbrica/RiscoNet</t>
  </si>
  <si>
    <t xml:space="preserve">25 mA</t>
  </si>
  <si>
    <t xml:space="preserve">130 × 80 × 65 mm</t>
  </si>
  <si>
    <t xml:space="preserve">380 g</t>
  </si>
  <si>
    <t xml:space="preserve">Perímetro exterior premium</t>
  </si>
  <si>
    <t xml:space="preserve">WatchOUT 2.0</t>
  </si>
  <si>
    <t xml:space="preserve">WatchOUT-V</t>
  </si>
  <si>
    <t xml:space="preserve">Verificación de video opcional (WatchOUT-V)</t>
  </si>
  <si>
    <t xml:space="preserve">RK-6000DT</t>
  </si>
  <si>
    <t xml:space="preserve">WatchIN</t>
  </si>
  <si>
    <t xml:space="preserve">AGDMC1</t>
  </si>
  <si>
    <t xml:space="preserve">Transmisor RiscoNet con entrada externa</t>
  </si>
  <si>
    <t xml:space="preserve">Sabotaje de tapa</t>
  </si>
  <si>
    <t xml:space="preserve">9 µA reposo</t>
  </si>
  <si>
    <t xml:space="preserve">78 × 30 × 17 mm</t>
  </si>
  <si>
    <t xml:space="preserve">AGDMC2</t>
  </si>
  <si>
    <t xml:space="preserve">RPT-MC</t>
  </si>
  <si>
    <t xml:space="preserve">LightSYS-MC-W</t>
  </si>
  <si>
    <t xml:space="preserve">AGDWB</t>
  </si>
  <si>
    <t xml:space="preserve">Risco no fabrica detectores de vidrio; referencia Honeywell FlexGuard 5150</t>
  </si>
  <si>
    <t xml:space="preserve">RT3201E</t>
  </si>
  <si>
    <t xml:space="preserve">Sirena exterior para LightSYS/Agility</t>
  </si>
  <si>
    <t xml:space="preserve">Tapa supervisada, batería interna</t>
  </si>
  <si>
    <t xml:space="preserve">1.55 kg</t>
  </si>
  <si>
    <t xml:space="preserve">RT3211E</t>
  </si>
  <si>
    <t xml:space="preserve">RT3211E-W</t>
  </si>
  <si>
    <t xml:space="preserve">Versión inalámbrica RT3211E-W disponible</t>
  </si>
  <si>
    <t xml:space="preserve">SIREX-EX</t>
  </si>
  <si>
    <t xml:space="preserve">RWS-330</t>
  </si>
  <si>
    <t xml:space="preserve">RT3201</t>
  </si>
  <si>
    <t xml:space="preserve">108 × 105 × 52 mm</t>
  </si>
  <si>
    <t xml:space="preserve">255 g</t>
  </si>
  <si>
    <t xml:space="preserve">RT3202</t>
  </si>
  <si>
    <t xml:space="preserve">Compatible paneles Risco 12 V</t>
  </si>
  <si>
    <t xml:space="preserve">AGSIREN</t>
  </si>
  <si>
    <t xml:space="preserve">RS-100</t>
  </si>
  <si>
    <t xml:space="preserve">RSCM-GPRS</t>
  </si>
  <si>
    <t xml:space="preserve">Comunicador dual para LightSYS</t>
  </si>
  <si>
    <t xml:space="preserve">Risco Cloud, push y supervisión</t>
  </si>
  <si>
    <t xml:space="preserve">Contact ID / SIA sobre IP/LTE</t>
  </si>
  <si>
    <t xml:space="preserve">85 × 120 × 28 mm</t>
  </si>
  <si>
    <t xml:space="preserve">Central de monitoreo y app</t>
  </si>
  <si>
    <t xml:space="preserve">RSCM-IP</t>
  </si>
  <si>
    <t xml:space="preserve">RSCM-LTE</t>
  </si>
  <si>
    <t xml:space="preserve">Intercambiable según módulo instalado</t>
  </si>
  <si>
    <t xml:space="preserve">VUcom</t>
  </si>
  <si>
    <t xml:space="preserve">RiscoCloud-GW</t>
  </si>
  <si>
    <t xml:space="preserve">WatchOUT-W</t>
  </si>
  <si>
    <t xml:space="preserve">PIR exterior con radio RiscoNet</t>
  </si>
  <si>
    <t xml:space="preserve">IP55, anti-falsa exterior avanzada</t>
  </si>
  <si>
    <t xml:space="preserve">Baterías AA litio</t>
  </si>
  <si>
    <t xml:space="preserve">25 µA reposo</t>
  </si>
  <si>
    <t xml:space="preserve">390 g</t>
  </si>
  <si>
    <t xml:space="preserve">WatchOUT 2.0-W</t>
  </si>
  <si>
    <t xml:space="preserve">WatchIN-W</t>
  </si>
  <si>
    <t xml:space="preserve">Versión inalámbrica del WatchOUT</t>
  </si>
  <si>
    <t xml:space="preserve">RK-700-OUT</t>
  </si>
  <si>
    <t xml:space="preserve">Perimeter-PIR-W</t>
  </si>
  <si>
    <t xml:space="preserve">RPB4</t>
  </si>
  <si>
    <t xml:space="preserve">Expansor de zonas bus RS485</t>
  </si>
  <si>
    <t xml:space="preserve">Zonas supervisadas</t>
  </si>
  <si>
    <t xml:space="preserve">95 × 70 × 26 mm</t>
  </si>
  <si>
    <t xml:space="preserve">145 g</t>
  </si>
  <si>
    <t xml:space="preserve">Ampliación LightSYS</t>
  </si>
  <si>
    <t xml:space="preserve">RPB8</t>
  </si>
  <si>
    <t xml:space="preserve">RPB16</t>
  </si>
  <si>
    <t xml:space="preserve">Hasta 8 módulos por panel</t>
  </si>
  <si>
    <t xml:space="preserve">RRTX3</t>
  </si>
  <si>
    <t xml:space="preserve">RPBus-Repeater</t>
  </si>
  <si>
    <t xml:space="preserve">Risco no fabrica botón de pánico dedicado; referencia DSC WS4938</t>
  </si>
  <si>
    <t xml:space="preserve">Risco no fabrica mando RF independiente; referencia Visonic MCT-234</t>
  </si>
  <si>
    <t xml:space="preserve">Runner 8</t>
  </si>
  <si>
    <t xml:space="preserve">Híbrido: 8 alámbricas + inalámbrico 433 opcional</t>
  </si>
  <si>
    <t xml:space="preserve">Armado por proximity, salida PGM</t>
  </si>
  <si>
    <t xml:space="preserve">Contact ID / SIA</t>
  </si>
  <si>
    <t xml:space="preserve">16.5 VAC 25 VA · batería 12 V 7 Ah</t>
  </si>
  <si>
    <t xml:space="preserve">250 × 220 × 65 mm</t>
  </si>
  <si>
    <t xml:space="preserve">1.8 kg</t>
  </si>
  <si>
    <t xml:space="preserve">Central maestra — admite periféricos del ecosistema Runner/Elder/SWAN (zonas EOL)</t>
  </si>
  <si>
    <t xml:space="preserve">Runner 16</t>
  </si>
  <si>
    <t xml:space="preserve">Runner 280</t>
  </si>
  <si>
    <t xml:space="preserve">Serie Runner con buena relación costo/beneficio</t>
  </si>
  <si>
    <t xml:space="preserve">Runner 450</t>
  </si>
  <si>
    <t xml:space="preserve">Elder 450</t>
  </si>
  <si>
    <t xml:space="preserve">2 PGM programables</t>
  </si>
  <si>
    <t xml:space="preserve">16.5 VAC 25 VA · batería 12 V</t>
  </si>
  <si>
    <t xml:space="preserve">235 × 205 × 62 mm</t>
  </si>
  <si>
    <t xml:space="preserve">Residencial</t>
  </si>
  <si>
    <t xml:space="preserve">Panel compacto confiable</t>
  </si>
  <si>
    <t xml:space="preserve">SWAN-1</t>
  </si>
  <si>
    <t xml:space="preserve">32 zonas inalámbricas 433 MHz</t>
  </si>
  <si>
    <t xml:space="preserve">Supervisión radio, armado por proximity</t>
  </si>
  <si>
    <t xml:space="preserve">GSM opcional + Contact ID</t>
  </si>
  <si>
    <t xml:space="preserve">330 mA máx</t>
  </si>
  <si>
    <t xml:space="preserve">215 × 145 × 55 mm</t>
  </si>
  <si>
    <t xml:space="preserve">1.1 kg</t>
  </si>
  <si>
    <t xml:space="preserve">SWAN Quad</t>
  </si>
  <si>
    <t xml:space="preserve">SWAN Pro</t>
  </si>
  <si>
    <t xml:space="preserve">Ecosistema SWAN de dispositivos</t>
  </si>
  <si>
    <t xml:space="preserve">Runner+RF</t>
  </si>
  <si>
    <t xml:space="preserve">Elder+RF</t>
  </si>
  <si>
    <t xml:space="preserve">KP-949</t>
  </si>
  <si>
    <t xml:space="preserve">Bus Crow</t>
  </si>
  <si>
    <t xml:space="preserve">145 × 95 × 25 mm</t>
  </si>
  <si>
    <t xml:space="preserve">Centrales Runner/Elder/SWAN (zonas EOL) (mismo bus)</t>
  </si>
  <si>
    <t xml:space="preserve">KP-969</t>
  </si>
  <si>
    <t xml:space="preserve">KP-979</t>
  </si>
  <si>
    <t xml:space="preserve">Textos configurables en español</t>
  </si>
  <si>
    <t xml:space="preserve">SWAN-KP</t>
  </si>
  <si>
    <t xml:space="preserve">ELDER-KP</t>
  </si>
  <si>
    <t xml:space="preserve">SRX-P60</t>
  </si>
  <si>
    <t xml:space="preserve">PIR digital con lente Fresnel</t>
  </si>
  <si>
    <t xml:space="preserve">Anti-falsa por conteo</t>
  </si>
  <si>
    <t xml:space="preserve">13 mA</t>
  </si>
  <si>
    <t xml:space="preserve">90 × 52 × 40 mm</t>
  </si>
  <si>
    <t xml:space="preserve">Zona 12 V universal — centrales Runner/Elder/SWAN (zonas EOL) y compatibles</t>
  </si>
  <si>
    <t xml:space="preserve">SRX-P100</t>
  </si>
  <si>
    <t xml:space="preserve">SRX-P100PT</t>
  </si>
  <si>
    <t xml:space="preserve">Versión pet SRX-P100PT disponible</t>
  </si>
  <si>
    <t xml:space="preserve">PIR-99</t>
  </si>
  <si>
    <t xml:space="preserve">SRX-P150</t>
  </si>
  <si>
    <t xml:space="preserve">SRX-W60</t>
  </si>
  <si>
    <t xml:space="preserve">Pet-inmune opcional, supervisión</t>
  </si>
  <si>
    <t xml:space="preserve">100 g</t>
  </si>
  <si>
    <t xml:space="preserve">Exclusivo radio de marca: Runner/SWAN con receptor RF (433 MHz)</t>
  </si>
  <si>
    <t xml:space="preserve">SRX-W100</t>
  </si>
  <si>
    <t xml:space="preserve">SRX-W100PT</t>
  </si>
  <si>
    <t xml:space="preserve">Compatible SWAN y Runner</t>
  </si>
  <si>
    <t xml:space="preserve">SWAN-PIR</t>
  </si>
  <si>
    <t xml:space="preserve">WIR-100</t>
  </si>
  <si>
    <t xml:space="preserve">SRX-1000C</t>
  </si>
  <si>
    <t xml:space="preserve">PIR exterior con análisis dual</t>
  </si>
  <si>
    <t xml:space="preserve">IP54, anti-falsa exterior</t>
  </si>
  <si>
    <t xml:space="preserve">115 × 70 × 58 mm</t>
  </si>
  <si>
    <t xml:space="preserve">SRX-2000E</t>
  </si>
  <si>
    <t xml:space="preserve">SRX-DT</t>
  </si>
  <si>
    <t xml:space="preserve">Lente multicapa exterior</t>
  </si>
  <si>
    <t xml:space="preserve">OUT-2000</t>
  </si>
  <si>
    <t xml:space="preserve">SRX-2100</t>
  </si>
  <si>
    <t xml:space="preserve">MC-50</t>
  </si>
  <si>
    <t xml:space="preserve">Contacto reed con sabotaje</t>
  </si>
  <si>
    <t xml:space="preserve">Terminales atornillados</t>
  </si>
  <si>
    <t xml:space="preserve">58 × 12 × 12 mm</t>
  </si>
  <si>
    <t xml:space="preserve">15 g</t>
  </si>
  <si>
    <t xml:space="preserve">MC-100</t>
  </si>
  <si>
    <t xml:space="preserve">SWAN-MC</t>
  </si>
  <si>
    <t xml:space="preserve">Incluye imán y tornillería</t>
  </si>
  <si>
    <t xml:space="preserve">WIR-MC</t>
  </si>
  <si>
    <t xml:space="preserve">MC-200</t>
  </si>
  <si>
    <t xml:space="preserve">Crow no fabrica detectores de vidrio; referencia Honeywell FlexGuard 5150</t>
  </si>
  <si>
    <t xml:space="preserve">SRX-8100</t>
  </si>
  <si>
    <t xml:space="preserve">258 × 128 × 78 mm</t>
  </si>
  <si>
    <t xml:space="preserve">SRX-8150</t>
  </si>
  <si>
    <t xml:space="preserve">SWAN-SIR</t>
  </si>
  <si>
    <t xml:space="preserve">Compatible paneles 12 V</t>
  </si>
  <si>
    <t xml:space="preserve">EX-100</t>
  </si>
  <si>
    <t xml:space="preserve">EX-200</t>
  </si>
  <si>
    <t xml:space="preserve">S-85</t>
  </si>
  <si>
    <t xml:space="preserve">105 × 100 × 52 mm</t>
  </si>
  <si>
    <t xml:space="preserve">S-105</t>
  </si>
  <si>
    <t xml:space="preserve">SWAN-SIR-IN</t>
  </si>
  <si>
    <t xml:space="preserve">IN-100</t>
  </si>
  <si>
    <t xml:space="preserve">IN-200</t>
  </si>
  <si>
    <t xml:space="preserve">ComLink-2G</t>
  </si>
  <si>
    <t xml:space="preserve">Comunicador de eventos Crow</t>
  </si>
  <si>
    <t xml:space="preserve">Supervisión remota, app Crow</t>
  </si>
  <si>
    <t xml:space="preserve">Contact ID / SIA sobre LTE</t>
  </si>
  <si>
    <t xml:space="preserve">105 mA</t>
  </si>
  <si>
    <t xml:space="preserve">82 × 115 × 27 mm</t>
  </si>
  <si>
    <t xml:space="preserve">200 g</t>
  </si>
  <si>
    <t xml:space="preserve">Monitoreo y gestión remota</t>
  </si>
  <si>
    <t xml:space="preserve">ComLink-4G</t>
  </si>
  <si>
    <t xml:space="preserve">SWAN-COM</t>
  </si>
  <si>
    <t xml:space="preserve">Compatible Runner/SWAN/Elder</t>
  </si>
  <si>
    <t xml:space="preserve">GSM-Crow</t>
  </si>
  <si>
    <t xml:space="preserve">IP-Crow</t>
  </si>
  <si>
    <t xml:space="preserve">Crow no fabrica barreras IR; referencia Optex AX-200TTO</t>
  </si>
  <si>
    <t xml:space="preserve">RIO-4</t>
  </si>
  <si>
    <t xml:space="preserve">Expansor de zonas bus Crow</t>
  </si>
  <si>
    <t xml:space="preserve">30 mA</t>
  </si>
  <si>
    <t xml:space="preserve">92 × 68 × 25 mm</t>
  </si>
  <si>
    <t xml:space="preserve">Ampliación Runner</t>
  </si>
  <si>
    <t xml:space="preserve">RIO-8</t>
  </si>
  <si>
    <t xml:space="preserve">SWAN-RX</t>
  </si>
  <si>
    <t xml:space="preserve">Montaje en gabinete</t>
  </si>
  <si>
    <t xml:space="preserve">RX-8</t>
  </si>
  <si>
    <t xml:space="preserve">RX-16</t>
  </si>
  <si>
    <t xml:space="preserve">Crow no fabrica botón de pánico dedicado; referencia Honeywell 5802LX</t>
  </si>
  <si>
    <t xml:space="preserve">Crow no fabrica mando RF independiente; referencia DSC WS4939</t>
  </si>
  <si>
    <t xml:space="preserve">JA-82K</t>
  </si>
  <si>
    <t xml:space="preserve">50 zonas / 20 particiones</t>
  </si>
  <si>
    <t xml:space="preserve">Híbrido: bus + radio Jablotron 868 MHz</t>
  </si>
  <si>
    <t xml:space="preserve">Detección de sabotaje por dispositivo</t>
  </si>
  <si>
    <t xml:space="preserve">GSM integrado + Contact ID</t>
  </si>
  <si>
    <t xml:space="preserve">Contact ID / SIA / Jablotron protocol</t>
  </si>
  <si>
    <t xml:space="preserve">230 VAC · batería 12 V 2.6 Ah</t>
  </si>
  <si>
    <t xml:space="preserve">220 × 250 × 60 mm</t>
  </si>
  <si>
    <t xml:space="preserve">Central maestra — admite periféricos del ecosistema JA-100/Oasis (bus Jablotron)</t>
  </si>
  <si>
    <t xml:space="preserve">JA-101K</t>
  </si>
  <si>
    <t xml:space="preserve">JA-103K</t>
  </si>
  <si>
    <t xml:space="preserve">Serie JA-100 modular con bus central</t>
  </si>
  <si>
    <t xml:space="preserve">JA-107K</t>
  </si>
  <si>
    <t xml:space="preserve">JA-101KR</t>
  </si>
  <si>
    <t xml:space="preserve">40 zonas / 8 particiones</t>
  </si>
  <si>
    <t xml:space="preserve">Alámbrico bus OASIS</t>
  </si>
  <si>
    <t xml:space="preserve">Sirena y dialer integrados</t>
  </si>
  <si>
    <t xml:space="preserve">Contact ID (dialer GSM opcional)</t>
  </si>
  <si>
    <t xml:space="preserve">230 VAC · batería 12 V</t>
  </si>
  <si>
    <t xml:space="preserve">300 mA máx</t>
  </si>
  <si>
    <t xml:space="preserve">200 × 220 × 55 mm</t>
  </si>
  <si>
    <t xml:space="preserve">JA-82KR</t>
  </si>
  <si>
    <t xml:space="preserve">Serie OASIS clásica alámbrica</t>
  </si>
  <si>
    <t xml:space="preserve">Jablotron JA-100 es híbrido por naturaleza; referencia JA-101K con radio integrado</t>
  </si>
  <si>
    <t xml:space="preserve">JA-150E</t>
  </si>
  <si>
    <t xml:space="preserve">Atiende 50 zonas del sistema</t>
  </si>
  <si>
    <t xml:space="preserve">Teclado táctil RFID con LCD</t>
  </si>
  <si>
    <t xml:space="preserve">Lector de tags integrado</t>
  </si>
  <si>
    <t xml:space="preserve">Bus Jablotron</t>
  </si>
  <si>
    <t xml:space="preserve">70 mA</t>
  </si>
  <si>
    <t xml:space="preserve">160 × 105 × 22 mm</t>
  </si>
  <si>
    <t xml:space="preserve">Centrales JA-100/Oasis (bus Jablotron) (mismo bus)</t>
  </si>
  <si>
    <t xml:space="preserve">JA-151E</t>
  </si>
  <si>
    <t xml:space="preserve">JA-152E</t>
  </si>
  <si>
    <t xml:space="preserve">Armar/desarmar con tag o código</t>
  </si>
  <si>
    <t xml:space="preserve">JA-154E</t>
  </si>
  <si>
    <t xml:space="preserve">JA-156E</t>
  </si>
  <si>
    <t xml:space="preserve">JA-150P</t>
  </si>
  <si>
    <t xml:space="preserve">PIR inalámbrico Jablotron 868 MHz</t>
  </si>
  <si>
    <t xml:space="preserve">Inmunidad mascotas, supervisión radio</t>
  </si>
  <si>
    <t xml:space="preserve">Radio 868 MHz a panel</t>
  </si>
  <si>
    <t xml:space="preserve">Batería CR14505</t>
  </si>
  <si>
    <t xml:space="preserve">Exclusivo radio de marca: JA-100/Oasis (radio Jablotron 868 MHz)</t>
  </si>
  <si>
    <t xml:space="preserve">JA-151P</t>
  </si>
  <si>
    <t xml:space="preserve">JA-180P</t>
  </si>
  <si>
    <t xml:space="preserve">Compatible JA-100 y OASIS</t>
  </si>
  <si>
    <t xml:space="preserve">JA-155P</t>
  </si>
  <si>
    <t xml:space="preserve">JA-158P</t>
  </si>
  <si>
    <t xml:space="preserve">Detector cortina inalámbrico exterior</t>
  </si>
  <si>
    <t xml:space="preserve">Protección de fachadas y ventanas</t>
  </si>
  <si>
    <t xml:space="preserve">Batería litio AA</t>
  </si>
  <si>
    <t xml:space="preserve">125 × 60 × 45 mm</t>
  </si>
  <si>
    <t xml:space="preserve">Perímetro de fachada</t>
  </si>
  <si>
    <t xml:space="preserve">Montaje junto a ventana/doorway</t>
  </si>
  <si>
    <t xml:space="preserve">JA-190P</t>
  </si>
  <si>
    <t xml:space="preserve">JA-150PB</t>
  </si>
  <si>
    <t xml:space="preserve">PIR exterior inalámbrico</t>
  </si>
  <si>
    <t xml:space="preserve">IP55, análisis anti-falsa exterior</t>
  </si>
  <si>
    <t xml:space="preserve">28 µA reposo</t>
  </si>
  <si>
    <t xml:space="preserve">130 × 75 × 60 mm</t>
  </si>
  <si>
    <t xml:space="preserve">360 g</t>
  </si>
  <si>
    <t xml:space="preserve">JA-180PB</t>
  </si>
  <si>
    <t xml:space="preserve">JA-155PB</t>
  </si>
  <si>
    <t xml:space="preserve">Version pet disponible (JA-150PB-GR)</t>
  </si>
  <si>
    <t xml:space="preserve">JA-150PB-GR</t>
  </si>
  <si>
    <t xml:space="preserve">JA-190PB</t>
  </si>
  <si>
    <t xml:space="preserve">JA-150M</t>
  </si>
  <si>
    <t xml:space="preserve">Transmisor 868 MHz con entrada externa</t>
  </si>
  <si>
    <t xml:space="preserve">Batería CR14250</t>
  </si>
  <si>
    <t xml:space="preserve">12 µA reposo</t>
  </si>
  <si>
    <t xml:space="preserve">Zona 12 V universal — centrales JA-100/Oasis (bus Jablotron) y compatibles</t>
  </si>
  <si>
    <t xml:space="preserve">JA-151M</t>
  </si>
  <si>
    <t xml:space="preserve">JA-180M</t>
  </si>
  <si>
    <t xml:space="preserve">JA-155M</t>
  </si>
  <si>
    <t xml:space="preserve">JA-158M</t>
  </si>
  <si>
    <t xml:space="preserve">Jablotron no fabrica detectores de vidrio; referencia Honeywell FlexGuard 5150</t>
  </si>
  <si>
    <t xml:space="preserve">JA-151A</t>
  </si>
  <si>
    <t xml:space="preserve">Sirena exterior inalámbrica Jablotron</t>
  </si>
  <si>
    <t xml:space="preserve">Batería interna, tapa supervisada</t>
  </si>
  <si>
    <t xml:space="preserve">Batería litio interna</t>
  </si>
  <si>
    <t xml:space="preserve">260 × 135 × 80 mm</t>
  </si>
  <si>
    <t xml:space="preserve">JA-152A</t>
  </si>
  <si>
    <t xml:space="preserve">JA-153A</t>
  </si>
  <si>
    <t xml:space="preserve">Comunicación bidireccional</t>
  </si>
  <si>
    <t xml:space="preserve">JA-155A</t>
  </si>
  <si>
    <t xml:space="preserve">JA-151A-GR</t>
  </si>
  <si>
    <t xml:space="preserve">JA-150A</t>
  </si>
  <si>
    <t xml:space="preserve">JA-151A-IN</t>
  </si>
  <si>
    <t xml:space="preserve">JA-155A-IN</t>
  </si>
  <si>
    <t xml:space="preserve">JA-150A-GR</t>
  </si>
  <si>
    <t xml:space="preserve">JA-151J</t>
  </si>
  <si>
    <t xml:space="preserve">Comunicador de eventos para JA-100</t>
  </si>
  <si>
    <t xml:space="preserve">MyJABLOTRON cloud, SMS y llamadas</t>
  </si>
  <si>
    <t xml:space="preserve">85 × 110 × 26 mm</t>
  </si>
  <si>
    <t xml:space="preserve">190 g</t>
  </si>
  <si>
    <t xml:space="preserve">Monitoreo y app móvil</t>
  </si>
  <si>
    <t xml:space="preserve">JA-152J</t>
  </si>
  <si>
    <t xml:space="preserve">JA-150Y</t>
  </si>
  <si>
    <t xml:space="preserve">Instalación interna en el panel</t>
  </si>
  <si>
    <t xml:space="preserve">JA-151Y</t>
  </si>
  <si>
    <t xml:space="preserve">JA-150J</t>
  </si>
  <si>
    <t xml:space="preserve">Jablotron no fabrica barreras IR; referencia Optex AX-200TTO</t>
  </si>
  <si>
    <t xml:space="preserve">JA-150N</t>
  </si>
  <si>
    <t xml:space="preserve">Expansor de zonas bus Jablotron</t>
  </si>
  <si>
    <t xml:space="preserve">Zonas supervisadas alámbricas</t>
  </si>
  <si>
    <t xml:space="preserve">95 × 70 × 24 mm</t>
  </si>
  <si>
    <t xml:space="preserve">Ampliación JA-100</t>
  </si>
  <si>
    <t xml:space="preserve">JA-151N</t>
  </si>
  <si>
    <t xml:space="preserve">JA-150NR</t>
  </si>
  <si>
    <t xml:space="preserve">Admite contactos y PIR cableados</t>
  </si>
  <si>
    <t xml:space="preserve">JA-152N</t>
  </si>
  <si>
    <t xml:space="preserve">JA-150R</t>
  </si>
  <si>
    <t xml:space="preserve">Los mandos RC-86/RC-87 incluyen alarma de pánico; referencia Ajax Button</t>
  </si>
  <si>
    <t xml:space="preserve">RC-86</t>
  </si>
  <si>
    <t xml:space="preserve">Control remoto para JA-100/Oasis</t>
  </si>
  <si>
    <t xml:space="preserve">Radio Jablotron 868 MHz</t>
  </si>
  <si>
    <t xml:space="preserve">Batería CR2016 (3 V)</t>
  </si>
  <si>
    <t xml:space="preserve">68 × 38 × 13 mm</t>
  </si>
  <si>
    <t xml:space="preserve">RC-87</t>
  </si>
  <si>
    <t xml:space="preserve">RC-86 (4 botones)</t>
  </si>
  <si>
    <t xml:space="preserve">RC-87 = versión con tapa anti-falsa alarma</t>
  </si>
  <si>
    <t xml:space="preserve">RC-87 (con pánico)</t>
  </si>
  <si>
    <t xml:space="preserve">RC-87 (bidireccional)</t>
  </si>
  <si>
    <t xml:space="preserve">VERSA 10</t>
  </si>
  <si>
    <t xml:space="preserve">128 zonas / 32 particiones</t>
  </si>
  <si>
    <t xml:space="preserve">Híbrido: 8 alámbricas + ABAX inalámbrico</t>
  </si>
  <si>
    <t xml:space="preserve">Programación remota, 16 teclados</t>
  </si>
  <si>
    <t xml:space="preserve">Contact ID / IP vía ETHM-1</t>
  </si>
  <si>
    <t xml:space="preserve">Contact ID / SIA (ETHM)</t>
  </si>
  <si>
    <t xml:space="preserve">230 VAC · batería 12 V 7 Ah</t>
  </si>
  <si>
    <t xml:space="preserve">500 mA máx</t>
  </si>
  <si>
    <t xml:space="preserve">-10 °C a +55 °C</t>
  </si>
  <si>
    <t xml:space="preserve">314 × 285 × 90 mm</t>
  </si>
  <si>
    <t xml:space="preserve">3.3 kg</t>
  </si>
  <si>
    <t xml:space="preserve">CE, EN 50131 grado 2, EN 50136</t>
  </si>
  <si>
    <t xml:space="preserve">Central maestra — admite periféricos del ecosistema INTEGRA/VERSA (zonas EOL 4EOL)</t>
  </si>
  <si>
    <t xml:space="preserve">VERSA 15</t>
  </si>
  <si>
    <t xml:space="preserve">INTEGRA 32</t>
  </si>
  <si>
    <t xml:space="preserve">Plataforma INTEGRA con malla ABAX2</t>
  </si>
  <si>
    <t xml:space="preserve">INTEGRA 64</t>
  </si>
  <si>
    <t xml:space="preserve">INTEGRA 128-WRL</t>
  </si>
  <si>
    <t xml:space="preserve">64 zonas / 32 particiones</t>
  </si>
  <si>
    <t xml:space="preserve">Alámbrico con expansores E48/CA-5</t>
  </si>
  <si>
    <t xml:space="preserve">12 salidas programables</t>
  </si>
  <si>
    <t xml:space="preserve">290 × 280 × 85 mm</t>
  </si>
  <si>
    <t xml:space="preserve">Comercial</t>
  </si>
  <si>
    <t xml:space="preserve">INTEGRA 128</t>
  </si>
  <si>
    <t xml:space="preserve">Serie INTEGRA modular certificada</t>
  </si>
  <si>
    <t xml:space="preserve">INTEGRA 248</t>
  </si>
  <si>
    <t xml:space="preserve">INTEGRA 256</t>
  </si>
  <si>
    <t xml:space="preserve">PERFECTA 32-WRL</t>
  </si>
  <si>
    <t xml:space="preserve">32 zonas (inalámbricas + alámbricas)</t>
  </si>
  <si>
    <t xml:space="preserve">Panel con teclado integrado</t>
  </si>
  <si>
    <t xml:space="preserve">Radio propio 868 MHz integrado</t>
  </si>
  <si>
    <t xml:space="preserve">Contact ID + GSM/LTE integrado</t>
  </si>
  <si>
    <t xml:space="preserve">320 mA máx</t>
  </si>
  <si>
    <t xml:space="preserve">210 × 150 × 58 mm</t>
  </si>
  <si>
    <t xml:space="preserve">PERFECTA 64-WRL</t>
  </si>
  <si>
    <t xml:space="preserve">PERFECTA 32-M</t>
  </si>
  <si>
    <t xml:space="preserve">Gestión vía app PERFECTA CONTROL</t>
  </si>
  <si>
    <t xml:space="preserve">PERFECTA-T</t>
  </si>
  <si>
    <t xml:space="preserve">PERFECTA 4-WRL</t>
  </si>
  <si>
    <t xml:space="preserve">INT-KLCD</t>
  </si>
  <si>
    <t xml:space="preserve">Proximity opcional (INT-KLCDR)</t>
  </si>
  <si>
    <t xml:space="preserve">Bus INTEGRA</t>
  </si>
  <si>
    <t xml:space="preserve">150 × 100 × 24 mm</t>
  </si>
  <si>
    <t xml:space="preserve">215 g</t>
  </si>
  <si>
    <t xml:space="preserve">Centrales INTEGRA/VERSA (zonas EOL 4EOL) (mismo bus)</t>
  </si>
  <si>
    <t xml:space="preserve">INT-KLCDR</t>
  </si>
  <si>
    <t xml:space="preserve">INT-KSG2R</t>
  </si>
  <si>
    <t xml:space="preserve">Textos personalizables en español</t>
  </si>
  <si>
    <t xml:space="preserve">PRF-LCD</t>
  </si>
  <si>
    <t xml:space="preserve">INT-TSG2</t>
  </si>
  <si>
    <t xml:space="preserve">PIR-3</t>
  </si>
  <si>
    <t xml:space="preserve">Anti-falsa por conteo digital</t>
  </si>
  <si>
    <t xml:space="preserve">12 mA</t>
  </si>
  <si>
    <t xml:space="preserve">88 × 52 × 40 mm</t>
  </si>
  <si>
    <t xml:space="preserve">90 g</t>
  </si>
  <si>
    <t xml:space="preserve">Zona 12 V universal — centrales INTEGRA/VERSA (zonas EOL 4EOL) y compatibles</t>
  </si>
  <si>
    <t xml:space="preserve">SLIM-PIR</t>
  </si>
  <si>
    <t xml:space="preserve">PIR-4</t>
  </si>
  <si>
    <t xml:space="preserve">Serie SLIM disponible (SLIM-PIR)</t>
  </si>
  <si>
    <t xml:space="preserve">QUAD-PIR</t>
  </si>
  <si>
    <t xml:space="preserve">P-4</t>
  </si>
  <si>
    <t xml:space="preserve">PDR-1</t>
  </si>
  <si>
    <t xml:space="preserve">PIR inalámbrico ABAX2</t>
  </si>
  <si>
    <t xml:space="preserve">Pet-inmune, AES-128, supervisión</t>
  </si>
  <si>
    <t xml:space="preserve">Radio ABAX2 868 MHz</t>
  </si>
  <si>
    <t xml:space="preserve">Exclusivo radio de marca: INTEGRA/VERSA/PERFECTA con APR/ACX (868 MHz)</t>
  </si>
  <si>
    <t xml:space="preserve">PDR-4</t>
  </si>
  <si>
    <t xml:space="preserve">AMD-100</t>
  </si>
  <si>
    <t xml:space="preserve">Compatible INTEGRA/VERSA/PERFECTA</t>
  </si>
  <si>
    <t xml:space="preserve">PDR-PT</t>
  </si>
  <si>
    <t xml:space="preserve">AOD-250</t>
  </si>
  <si>
    <t xml:space="preserve">SLIM-OUT</t>
  </si>
  <si>
    <t xml:space="preserve">PIR exterior de perfil fino</t>
  </si>
  <si>
    <t xml:space="preserve">PIR-OUT</t>
  </si>
  <si>
    <t xml:space="preserve">Diseño discreto para marcos de puerta</t>
  </si>
  <si>
    <t xml:space="preserve">SLIM-DT</t>
  </si>
  <si>
    <t xml:space="preserve">AOD-260</t>
  </si>
  <si>
    <t xml:space="preserve">AD-2</t>
  </si>
  <si>
    <t xml:space="preserve">Transmisor con entrada externa</t>
  </si>
  <si>
    <t xml:space="preserve">AES-128, supervisión radio</t>
  </si>
  <si>
    <t xml:space="preserve">48 g</t>
  </si>
  <si>
    <t xml:space="preserve">AMD-101</t>
  </si>
  <si>
    <t xml:space="preserve">AD-1</t>
  </si>
  <si>
    <t xml:space="preserve">MMD-300</t>
  </si>
  <si>
    <t xml:space="preserve">AMD-102</t>
  </si>
  <si>
    <t xml:space="preserve">Satel no fabrica detectores de vidrio; referencia Honeywell FlexGuard 5150</t>
  </si>
  <si>
    <t xml:space="preserve">SP-4001</t>
  </si>
  <si>
    <t xml:space="preserve">Sirena exterior Satel con batería</t>
  </si>
  <si>
    <t xml:space="preserve">12 VDC + batería interna</t>
  </si>
  <si>
    <t xml:space="preserve">520 mA</t>
  </si>
  <si>
    <t xml:space="preserve">268 × 135 × 82 mm</t>
  </si>
  <si>
    <t xml:space="preserve">SP-4001 R</t>
  </si>
  <si>
    <t xml:space="preserve">SP-4001 GR</t>
  </si>
  <si>
    <t xml:space="preserve">Versiones satelitales SP-4001 R/GR</t>
  </si>
  <si>
    <t xml:space="preserve">SP-4101</t>
  </si>
  <si>
    <t xml:space="preserve">SQX-200</t>
  </si>
  <si>
    <t xml:space="preserve">SP-201</t>
  </si>
  <si>
    <t xml:space="preserve">290 mA</t>
  </si>
  <si>
    <t xml:space="preserve">245 g</t>
  </si>
  <si>
    <t xml:space="preserve">SP-101</t>
  </si>
  <si>
    <t xml:space="preserve">SQX-100</t>
  </si>
  <si>
    <t xml:space="preserve">SP-211</t>
  </si>
  <si>
    <t xml:space="preserve">SP-202</t>
  </si>
  <si>
    <t xml:space="preserve">ETHM-1</t>
  </si>
  <si>
    <t xml:space="preserve">Módulo de comunicación INTEGRA</t>
  </si>
  <si>
    <t xml:space="preserve">TORNADOcloud, push, email</t>
  </si>
  <si>
    <t xml:space="preserve">175 g</t>
  </si>
  <si>
    <t xml:space="preserve">ETHM-1 Plus</t>
  </si>
  <si>
    <t xml:space="preserve">GSM-X</t>
  </si>
  <si>
    <t xml:space="preserve">GSM-X LTE</t>
  </si>
  <si>
    <t xml:space="preserve">MGSM-2</t>
  </si>
  <si>
    <t xml:space="preserve">Satel no fabrica barreras IR; referencia Optex AX-200TTO</t>
  </si>
  <si>
    <t xml:space="preserve">ACU-220</t>
  </si>
  <si>
    <t xml:space="preserve">Controlador de dispositivos inalámbricos</t>
  </si>
  <si>
    <t xml:space="preserve">Malla ABAX2 con repetidores</t>
  </si>
  <si>
    <t xml:space="preserve">Bus INTEGRA + radio 868</t>
  </si>
  <si>
    <t xml:space="preserve">50 mA</t>
  </si>
  <si>
    <t xml:space="preserve">120 × 90 × 28 mm</t>
  </si>
  <si>
    <t xml:space="preserve">Ampliación inalámbrica</t>
  </si>
  <si>
    <t xml:space="preserve">ACU-280</t>
  </si>
  <si>
    <t xml:space="preserve">ARF-200</t>
  </si>
  <si>
    <t xml:space="preserve">Gestiona sensores y controles ABAX2</t>
  </si>
  <si>
    <t xml:space="preserve">E48</t>
  </si>
  <si>
    <t xml:space="preserve">CA-5</t>
  </si>
  <si>
    <t xml:space="preserve">Los mandos T-2/T-4 incluyen pánico; referencia Ajax Button</t>
  </si>
  <si>
    <t xml:space="preserve">T-2</t>
  </si>
  <si>
    <t xml:space="preserve">Control remoto para VERSA/INTEGRA</t>
  </si>
  <si>
    <t xml:space="preserve">Radio 433 MHz con receptor TRX</t>
  </si>
  <si>
    <t xml:space="preserve">62 × 38 × 13 mm</t>
  </si>
  <si>
    <t xml:space="preserve">T-4</t>
  </si>
  <si>
    <t xml:space="preserve">T-4 (4 botones)</t>
  </si>
  <si>
    <t xml:space="preserve">Requiere receptor/expansor TRX en el panel</t>
  </si>
  <si>
    <t xml:space="preserve">T-2 (2 botones)</t>
  </si>
  <si>
    <t xml:space="preserve">T-4 (con pánico)</t>
  </si>
  <si>
    <t xml:space="preserve">Veritas V8</t>
  </si>
  <si>
    <t xml:space="preserve">Híbrido: 8 alámbricas + radio Enforcer</t>
  </si>
  <si>
    <t xml:space="preserve">Radio bidireccional 868 MHz con cifrado</t>
  </si>
  <si>
    <t xml:space="preserve">LTE/IP vía módulo PyronixCloud</t>
  </si>
  <si>
    <t xml:space="preserve">Contact ID / SIA / PyronixCloud</t>
  </si>
  <si>
    <t xml:space="preserve">280 × 270 × 80 mm</t>
  </si>
  <si>
    <t xml:space="preserve">Central maestra — admite periféricos del ecosistema Enforcer/Veritas/HomeControl</t>
  </si>
  <si>
    <t xml:space="preserve">Veritas R8</t>
  </si>
  <si>
    <t xml:space="preserve">Enforcer V10</t>
  </si>
  <si>
    <t xml:space="preserve">Panel híbrido con ecosistema inalámbrico amplio</t>
  </si>
  <si>
    <t xml:space="preserve">Enforcer V11</t>
  </si>
  <si>
    <t xml:space="preserve">Enforcer 32-WE</t>
  </si>
  <si>
    <t xml:space="preserve">Pyronix se centra en híbridos (Enforcer) e inalámbricos; referencia Enforcer V11</t>
  </si>
  <si>
    <t xml:space="preserve">HomeControl HEC-1</t>
  </si>
  <si>
    <t xml:space="preserve">32 dispositivos inalámbricos</t>
  </si>
  <si>
    <t xml:space="preserve">Hub smart con app</t>
  </si>
  <si>
    <t xml:space="preserve">Control vía PyronixCloud</t>
  </si>
  <si>
    <t xml:space="preserve">LTE integrado + Wi-Fi</t>
  </si>
  <si>
    <t xml:space="preserve">210 × 150 × 55 mm</t>
  </si>
  <si>
    <t xml:space="preserve">HomeControl HEC-2</t>
  </si>
  <si>
    <t xml:space="preserve">Base para hogar inteligente Pyronix</t>
  </si>
  <si>
    <t xml:space="preserve">Enforcer V11-WE</t>
  </si>
  <si>
    <t xml:space="preserve">HEC-GATE</t>
  </si>
  <si>
    <t xml:space="preserve">RKP-LED</t>
  </si>
  <si>
    <t xml:space="preserve">Bus Enforcer</t>
  </si>
  <si>
    <t xml:space="preserve">150 × 100 × 25 mm</t>
  </si>
  <si>
    <t xml:space="preserve">Centrales Enforcer/Veritas/HomeControl (mismo bus)</t>
  </si>
  <si>
    <t xml:space="preserve">RKP-LCD</t>
  </si>
  <si>
    <t xml:space="preserve">RKP-LCD-P</t>
  </si>
  <si>
    <t xml:space="preserve">Compatible Enforcer/Veritas</t>
  </si>
  <si>
    <t xml:space="preserve">Enforcer-KP</t>
  </si>
  <si>
    <t xml:space="preserve">HEC-KP</t>
  </si>
  <si>
    <t xml:space="preserve">KX10DP</t>
  </si>
  <si>
    <t xml:space="preserve">PIR digital quad-element</t>
  </si>
  <si>
    <t xml:space="preserve">Anti-falsa por procesamiento KX</t>
  </si>
  <si>
    <t xml:space="preserve">Zona 12 V universal — centrales Enforcer/Veritas/HomeControl y compatibles</t>
  </si>
  <si>
    <t xml:space="preserve">KX10DPT</t>
  </si>
  <si>
    <t xml:space="preserve">KX10DPW</t>
  </si>
  <si>
    <t xml:space="preserve">Versión pet KX10DPT disponible</t>
  </si>
  <si>
    <t xml:space="preserve">COLT-PIR</t>
  </si>
  <si>
    <t xml:space="preserve">KX10DQ</t>
  </si>
  <si>
    <t xml:space="preserve">KX10DP-WE</t>
  </si>
  <si>
    <t xml:space="preserve">PIR inalámbrico Enforcer 868 MHz</t>
  </si>
  <si>
    <t xml:space="preserve">Pet-inmune, bidireccional</t>
  </si>
  <si>
    <t xml:space="preserve">17 µA reposo</t>
  </si>
  <si>
    <t xml:space="preserve">108 g</t>
  </si>
  <si>
    <t xml:space="preserve">Exclusivo radio de marca: Enforcer/HomeControl (radio Pyronix 868 MHz)</t>
  </si>
  <si>
    <t xml:space="preserve">KX10DPT-WE</t>
  </si>
  <si>
    <t xml:space="preserve">KX15DD-WE</t>
  </si>
  <si>
    <t xml:space="preserve">Compatible Enforcer V11 y HomeControl</t>
  </si>
  <si>
    <t xml:space="preserve">COLT-PIR-WE</t>
  </si>
  <si>
    <t xml:space="preserve">KX10DP-WE-P</t>
  </si>
  <si>
    <t xml:space="preserve">KX10DT-WE</t>
  </si>
  <si>
    <t xml:space="preserve">IP54, análisis exterior</t>
  </si>
  <si>
    <t xml:space="preserve">KX10DP-WE-OUT</t>
  </si>
  <si>
    <t xml:space="preserve">ForteO-WE</t>
  </si>
  <si>
    <t xml:space="preserve">Bidireccional con panel Enforcer</t>
  </si>
  <si>
    <t xml:space="preserve">KX-DT-WE</t>
  </si>
  <si>
    <t xml:space="preserve">OUT-PIR-WE</t>
  </si>
  <si>
    <t xml:space="preserve">MC1-WE</t>
  </si>
  <si>
    <t xml:space="preserve">Transmisor 868 MHz</t>
  </si>
  <si>
    <t xml:space="preserve">76 × 30 × 17 mm</t>
  </si>
  <si>
    <t xml:space="preserve">MC2-WE</t>
  </si>
  <si>
    <t xml:space="preserve">DC1-WE</t>
  </si>
  <si>
    <t xml:space="preserve">COLT-MC-WE</t>
  </si>
  <si>
    <t xml:space="preserve">MC-WE-PT</t>
  </si>
  <si>
    <t xml:space="preserve">Pyronix no fabrica detectores de vidrio; referencia Honeywell FlexGuard 5150</t>
  </si>
  <si>
    <t xml:space="preserve">Deltabell E</t>
  </si>
  <si>
    <t xml:space="preserve">Sirena exterior con cubierta Deltabell</t>
  </si>
  <si>
    <t xml:space="preserve">280 × 135 × 82 mm</t>
  </si>
  <si>
    <t xml:space="preserve">Deltabell M</t>
  </si>
  <si>
    <t xml:space="preserve">Deltabell G2</t>
  </si>
  <si>
    <t xml:space="preserve">Versión inalámbrica Deltabell E-WE</t>
  </si>
  <si>
    <t xml:space="preserve">Deltabell E-WE</t>
  </si>
  <si>
    <t xml:space="preserve">ODYSSEY-PY</t>
  </si>
  <si>
    <t xml:space="preserve">Pyronix no fabrica sirena interior cableada; referencia Deltabell M en exterior</t>
  </si>
  <si>
    <t xml:space="preserve">COM-GPRS</t>
  </si>
  <si>
    <t xml:space="preserve">Comunicador para Enforcer/HomeControl</t>
  </si>
  <si>
    <t xml:space="preserve">App HomeControl HSC, push</t>
  </si>
  <si>
    <t xml:space="preserve">82 × 112 × 26 mm</t>
  </si>
  <si>
    <t xml:space="preserve">195 g</t>
  </si>
  <si>
    <t xml:space="preserve">COM-IP</t>
  </si>
  <si>
    <t xml:space="preserve">PyronixCloud COM-IP</t>
  </si>
  <si>
    <t xml:space="preserve">Integración con PyronixCloud</t>
  </si>
  <si>
    <t xml:space="preserve">COM-LTE</t>
  </si>
  <si>
    <t xml:space="preserve">HEC-COM</t>
  </si>
  <si>
    <t xml:space="preserve">Pyronix no fabrica barreras IR; referencia Optex AX-200TTO</t>
  </si>
  <si>
    <t xml:space="preserve">ZEX-4</t>
  </si>
  <si>
    <t xml:space="preserve">Expansor de zonas bus Enforcer</t>
  </si>
  <si>
    <t xml:space="preserve">32 mA</t>
  </si>
  <si>
    <t xml:space="preserve">92 × 68 × 24 mm</t>
  </si>
  <si>
    <t xml:space="preserve">Ampliación Enforcer</t>
  </si>
  <si>
    <t xml:space="preserve">ZEX-8</t>
  </si>
  <si>
    <t xml:space="preserve">Enforcer-RX</t>
  </si>
  <si>
    <t xml:space="preserve">HEC-RX</t>
  </si>
  <si>
    <t xml:space="preserve">ZEX-16</t>
  </si>
  <si>
    <t xml:space="preserve">El mando KEYFOB-2W incluye pánico; referencia Ajax Button</t>
  </si>
  <si>
    <t xml:space="preserve">KEYFOB-2W</t>
  </si>
  <si>
    <t xml:space="preserve">Llave bidireccional para Enforcer V11</t>
  </si>
  <si>
    <t xml:space="preserve">Confirmación TwoWay LED</t>
  </si>
  <si>
    <t xml:space="preserve">Radio TwoWay 868 MHz Enforcer</t>
  </si>
  <si>
    <t xml:space="preserve">KEYFOB-2W (4 botones)</t>
  </si>
  <si>
    <t xml:space="preserve">KEYFOB-2W (con pánico)</t>
  </si>
  <si>
    <t xml:space="preserve">Compatible con Enforcer V10/V11 y HEC</t>
  </si>
  <si>
    <t xml:space="preserve">KEYFOB-2W (bidireccional)</t>
  </si>
  <si>
    <t xml:space="preserve">KEYFOB-2W (tapa pánico)</t>
  </si>
  <si>
    <t xml:space="preserve">Hikvision SACI se centra en inalámbrico AX Pro; referencia DS-PHA64 híbrida si disponible</t>
  </si>
  <si>
    <t xml:space="preserve">Hikvision no comercializa paneles alámbricos SACI; referencia Enforcer V11 (Pyronix)</t>
  </si>
  <si>
    <t xml:space="preserve">DS-PWA32-M-WE</t>
  </si>
  <si>
    <t xml:space="preserve">96 dispositivos / 48 zonas</t>
  </si>
  <si>
    <t xml:space="preserve">Hub AX Pro inalámbrico Tri-X</t>
  </si>
  <si>
    <t xml:space="preserve">Cifrado AES-128 bidireccional, foto-verificación</t>
  </si>
  <si>
    <t xml:space="preserve">LTE integrado + Wi-Fi/Ethernet</t>
  </si>
  <si>
    <t xml:space="preserve">Contact ID / SIA / Tri-X AX Pro</t>
  </si>
  <si>
    <t xml:space="preserve">230 VAC · batería 12 V 2 Ah</t>
  </si>
  <si>
    <t xml:space="preserve">280 mA máx</t>
  </si>
  <si>
    <t xml:space="preserve">220 × 155 × 55 mm</t>
  </si>
  <si>
    <t xml:space="preserve">CE, FCC, EN 50131 grado 2</t>
  </si>
  <si>
    <t xml:space="preserve">Residencial y PYME smart</t>
  </si>
  <si>
    <t xml:space="preserve">Central maestra — admite periféricos del ecosistema AX Pro (bus Tri-X + zonas cableadas)</t>
  </si>
  <si>
    <t xml:space="preserve">DS-PWA64-L-WE</t>
  </si>
  <si>
    <t xml:space="preserve">DS-PWA64-M-WE</t>
  </si>
  <si>
    <t xml:space="preserve">App Hik-Connect con control total</t>
  </si>
  <si>
    <t xml:space="preserve">DS-PWA96-M-WE</t>
  </si>
  <si>
    <t xml:space="preserve">DS-PWA96-L-WE</t>
  </si>
  <si>
    <t xml:space="preserve">DS-PH32-L</t>
  </si>
  <si>
    <t xml:space="preserve">Atiende 96 dispositivos del hub</t>
  </si>
  <si>
    <t xml:space="preserve">Teclado LCD 2 líneas</t>
  </si>
  <si>
    <t xml:space="preserve">Armado/desarmado con tag RFID</t>
  </si>
  <si>
    <t xml:space="preserve">Radio Tri-X 868 MHz</t>
  </si>
  <si>
    <t xml:space="preserve">145 × 95 × 24 mm</t>
  </si>
  <si>
    <t xml:space="preserve">Uso general AX Pro</t>
  </si>
  <si>
    <t xml:space="preserve">Centrales AX Pro (bus Tri-X + zonas cableadas) (mismo bus)</t>
  </si>
  <si>
    <t xml:space="preserve">DS-PH54-L</t>
  </si>
  <si>
    <t xml:space="preserve">DS-PH54-L-WE</t>
  </si>
  <si>
    <t xml:space="preserve">Comunicación bidireccional con hub</t>
  </si>
  <si>
    <t xml:space="preserve">DS-PH64-L</t>
  </si>
  <si>
    <t xml:space="preserve">DS-PT1-WE</t>
  </si>
  <si>
    <t xml:space="preserve">DS-PDP12P-EG2-WE</t>
  </si>
  <si>
    <t xml:space="preserve">PIR inalámbrico Tri-X bidireccional</t>
  </si>
  <si>
    <t xml:space="preserve">Anti-masking, análisis de señal</t>
  </si>
  <si>
    <t xml:space="preserve">62 × 62 × 46 mm</t>
  </si>
  <si>
    <t xml:space="preserve">Exclusivo radio de marca: AX Pro (Tri-X 868 MHz)</t>
  </si>
  <si>
    <t xml:space="preserve">DS-PDP15P-EG2-WE</t>
  </si>
  <si>
    <t xml:space="preserve">DS-PDTP18-E-WE</t>
  </si>
  <si>
    <t xml:space="preserve">Alta sensibilidad con filtrado digital</t>
  </si>
  <si>
    <t xml:space="preserve">DS-PDP15P-WE</t>
  </si>
  <si>
    <t xml:space="preserve">DS-PDCL12-EG2-WE</t>
  </si>
  <si>
    <t xml:space="preserve">DS-PDPC12P-EG2-WE</t>
  </si>
  <si>
    <t xml:space="preserve">Detector cortina inalámbrico Tri-X</t>
  </si>
  <si>
    <t xml:space="preserve">Protección de ventanas y balcones</t>
  </si>
  <si>
    <t xml:space="preserve">60 × 60 × 45 mm</t>
  </si>
  <si>
    <t xml:space="preserve">Perímetro interior de fachada</t>
  </si>
  <si>
    <t xml:space="preserve">DS-PDPC12P-WE</t>
  </si>
  <si>
    <t xml:space="preserve">DS-PDPC12-EG2-WE</t>
  </si>
  <si>
    <t xml:space="preserve">Montaje sobre ventana o pared</t>
  </si>
  <si>
    <t xml:space="preserve">DS-PDPC12P-EG2-WE-C</t>
  </si>
  <si>
    <t xml:space="preserve">DS-PDPC12P-WE-C</t>
  </si>
  <si>
    <t xml:space="preserve">DS-PDPG12P-EG2-WE</t>
  </si>
  <si>
    <t xml:space="preserve">PIR exterior inalámbrico Tri-X</t>
  </si>
  <si>
    <t xml:space="preserve">IP55, anti-falsa exterior con mascotas</t>
  </si>
  <si>
    <t xml:space="preserve">Baterías CR123A ×2</t>
  </si>
  <si>
    <t xml:space="preserve">125 × 68 × 58 mm</t>
  </si>
  <si>
    <t xml:space="preserve">330 g</t>
  </si>
  <si>
    <t xml:space="preserve">DS-PDPG12P-WE</t>
  </si>
  <si>
    <t xml:space="preserve">DS-PDPT12-WE</t>
  </si>
  <si>
    <t xml:space="preserve">Bidireccional con foto-verificación opcional</t>
  </si>
  <si>
    <t xml:space="preserve">DS-PDPG12P-EG2-WE-C</t>
  </si>
  <si>
    <t xml:space="preserve">DS-PDPG12P-WE-C</t>
  </si>
  <si>
    <t xml:space="preserve">DS-PDMC-EG2-WE</t>
  </si>
  <si>
    <t xml:space="preserve">Transmisor Tri-X con entrada externa</t>
  </si>
  <si>
    <t xml:space="preserve">Cifrado AES, sabotaje de tapa</t>
  </si>
  <si>
    <t xml:space="preserve">75 × 32 × 18 mm</t>
  </si>
  <si>
    <t xml:space="preserve">Zona 12 V universal — centrales AX Pro (bus Tri-X + zonas cableadas) y compatibles</t>
  </si>
  <si>
    <t xml:space="preserve">DS-PDMC-WE</t>
  </si>
  <si>
    <t xml:space="preserve">DS-PDMC-EG2-WE-C</t>
  </si>
  <si>
    <t xml:space="preserve">DS-PDMC-WE-C</t>
  </si>
  <si>
    <t xml:space="preserve">AX Pro no incluye detector de vidrio; referencia Honeywell FlexGuard 5150 en zona cableada</t>
  </si>
  <si>
    <t xml:space="preserve">DS-PS1-E-WE</t>
  </si>
  <si>
    <t xml:space="preserve">Sirena exterior inalámbrica Tri-X</t>
  </si>
  <si>
    <t xml:space="preserve">Batería interna, sabotaje tapa/arranque</t>
  </si>
  <si>
    <t xml:space="preserve">1.45 kg</t>
  </si>
  <si>
    <t xml:space="preserve">DS-PS1-E-B-WE</t>
  </si>
  <si>
    <t xml:space="preserve">DS-PS1-E-C-WE</t>
  </si>
  <si>
    <t xml:space="preserve">DS-PS1-W-WE</t>
  </si>
  <si>
    <t xml:space="preserve">DS-PSB1-E-WE</t>
  </si>
  <si>
    <t xml:space="preserve">AX Pro usa sirenas de exterior para interior; referencia DS-PS1-E-WE</t>
  </si>
  <si>
    <t xml:space="preserve">El hub AX Pro incluye LTE/Wi-Fi integrado (sin comunicador separado)</t>
  </si>
  <si>
    <t xml:space="preserve">Hikvision no fabrica barreras IR; referencia Optex AX-200TTO</t>
  </si>
  <si>
    <t xml:space="preserve">DS-PR1-WE</t>
  </si>
  <si>
    <t xml:space="preserve">Repetidor de radio bidireccional</t>
  </si>
  <si>
    <t xml:space="preserve">Amplía cobertura del hub</t>
  </si>
  <si>
    <t xml:space="preserve">230 VAC + batería</t>
  </si>
  <si>
    <t xml:space="preserve">45 mA</t>
  </si>
  <si>
    <t xml:space="preserve">150 × 100 × 30 mm</t>
  </si>
  <si>
    <t xml:space="preserve">Ampliación de cobertura AX Pro</t>
  </si>
  <si>
    <t xml:space="preserve">DS-PR1-WE-C</t>
  </si>
  <si>
    <t xml:space="preserve">DS-PR2-WE</t>
  </si>
  <si>
    <t xml:space="preserve">Compatible con toda la línea AX Pro</t>
  </si>
  <si>
    <t xml:space="preserve">DS-PM1-WE</t>
  </si>
  <si>
    <t xml:space="preserve">DS-PR1-WE-E</t>
  </si>
  <si>
    <t xml:space="preserve">AX Pro usa mando/etiqueta DS-PT1; referencia Ajax Button</t>
  </si>
  <si>
    <t xml:space="preserve">El hub AX Pro opera con etiquetas/mandos DS-PT1; referencia Ajax SpaceControl</t>
  </si>
  <si>
    <t xml:space="preserve">IQ Panel 2+</t>
  </si>
  <si>
    <t xml:space="preserve">Hasta 128 zonas (PowerG + S-line)</t>
  </si>
  <si>
    <t xml:space="preserve">Híbrido: radio PowerG + S-Line cableado</t>
  </si>
  <si>
    <t xml:space="preserve">Cifrado PowerG, foto-verificación</t>
  </si>
  <si>
    <t xml:space="preserve">LTE dual-SIM + Wi-Fi integrado</t>
  </si>
  <si>
    <t xml:space="preserve">SIA DC-09 / Alarm.com / PowerG</t>
  </si>
  <si>
    <t xml:space="preserve">12 VDC adaptador + batería</t>
  </si>
  <si>
    <t xml:space="preserve">180 × 125 × 25 mm</t>
  </si>
  <si>
    <t xml:space="preserve">700 g</t>
  </si>
  <si>
    <t xml:space="preserve">UL, CE, FCC</t>
  </si>
  <si>
    <t xml:space="preserve">Residencial smart premium</t>
  </si>
  <si>
    <t xml:space="preserve">Central maestra — admite periféricos del ecosistema IQ Panel (zonas cableadas + PowerG)</t>
  </si>
  <si>
    <t xml:space="preserve">IQ Panel 4</t>
  </si>
  <si>
    <t xml:space="preserve">IQ Panel 4 AT&amp;T</t>
  </si>
  <si>
    <t xml:space="preserve">Pantalla táctil 7" con alarm.com integrado</t>
  </si>
  <si>
    <t xml:space="preserve">IQ Panel 4 Verizon</t>
  </si>
  <si>
    <t xml:space="preserve">IQ Panel 4+</t>
  </si>
  <si>
    <t xml:space="preserve">Qolsys es 100% inalámbrico/híbrido PowerG; referencia IQ Panel 4</t>
  </si>
  <si>
    <t xml:space="preserve">El IQ Panel 4 sirve como hub inalámbrico; referencia IQ Hub para alarma.com</t>
  </si>
  <si>
    <t xml:space="preserve">IQ Remote</t>
  </si>
  <si>
    <t xml:space="preserve">Atiende todas las zonas del panel</t>
  </si>
  <si>
    <t xml:space="preserve">Táctil secundario 7" Wi-Fi</t>
  </si>
  <si>
    <t xml:space="preserve">Interfaz espejo del panel principal</t>
  </si>
  <si>
    <t xml:space="preserve">Wi-Fi + Z-Wave opcional</t>
  </si>
  <si>
    <t xml:space="preserve">12 VDC adaptador</t>
  </si>
  <si>
    <t xml:space="preserve">180 × 125 × 22 mm</t>
  </si>
  <si>
    <t xml:space="preserve">650 g</t>
  </si>
  <si>
    <t xml:space="preserve">Segundo punto de control</t>
  </si>
  <si>
    <t xml:space="preserve">Centrales IQ Panel (zonas cableadas + PowerG) (mismo bus)</t>
  </si>
  <si>
    <t xml:space="preserve">IQ Remote Plus</t>
  </si>
  <si>
    <t xml:space="preserve">IQ Remote HD</t>
  </si>
  <si>
    <t xml:space="preserve">Requiere IQ Panel 4 como central</t>
  </si>
  <si>
    <t xml:space="preserve">IQ Remote 4</t>
  </si>
  <si>
    <t xml:space="preserve">IQ Touchpad</t>
  </si>
  <si>
    <t xml:space="preserve">IQ Motion-S</t>
  </si>
  <si>
    <t xml:space="preserve">Pet-inmune, cifrado PowerG</t>
  </si>
  <si>
    <t xml:space="preserve">Radio PowerG 912-919 MHz</t>
  </si>
  <si>
    <t xml:space="preserve">Exclusivo radio de marca: IQ Panel (PowerG/S-Line)</t>
  </si>
  <si>
    <t xml:space="preserve">IQ Motion-S PT</t>
  </si>
  <si>
    <t xml:space="preserve">IQ Motion-V</t>
  </si>
  <si>
    <t xml:space="preserve">Compatible IQ Panel 4 y IQ Hub</t>
  </si>
  <si>
    <t xml:space="preserve">PowerG PIR</t>
  </si>
  <si>
    <t xml:space="preserve">IQ Motion-D</t>
  </si>
  <si>
    <t xml:space="preserve">Qolsys usa IQ Motion-S como PIR inalámbrico (misma categoría)</t>
  </si>
  <si>
    <t xml:space="preserve">Qolsys no fabrica detector exterior; referencia Ajax MotionProtect Outdoor</t>
  </si>
  <si>
    <t xml:space="preserve">IQ Door/Window S</t>
  </si>
  <si>
    <t xml:space="preserve">Transmisor PowerG miniaturizado</t>
  </si>
  <si>
    <t xml:space="preserve">Cifrado PowerG, sabotaje de tapa</t>
  </si>
  <si>
    <t xml:space="preserve">72 × 30 × 17 mm</t>
  </si>
  <si>
    <t xml:space="preserve">Zona 12 V universal — centrales IQ Panel (zonas cableadas + PowerG) y compatibles</t>
  </si>
  <si>
    <t xml:space="preserve">IQ Door/Window E</t>
  </si>
  <si>
    <t xml:space="preserve">IQ Shock-S</t>
  </si>
  <si>
    <t xml:space="preserve">Admite contacto cableado externo</t>
  </si>
  <si>
    <t xml:space="preserve">PowerG MC</t>
  </si>
  <si>
    <t xml:space="preserve">IQ DW-Slim</t>
  </si>
  <si>
    <t xml:space="preserve">Qolsys no fabrica detector de vidrio; referencia IQ Shock-S como alternativa de impacto</t>
  </si>
  <si>
    <t xml:space="preserve">IQ Siren</t>
  </si>
  <si>
    <t xml:space="preserve">Dispositivo de notificación PowerG</t>
  </si>
  <si>
    <t xml:space="preserve">180 × 120 × 55 mm</t>
  </si>
  <si>
    <t xml:space="preserve">480 g</t>
  </si>
  <si>
    <t xml:space="preserve">Interior/porche techado</t>
  </si>
  <si>
    <t xml:space="preserve">IQ Siren-B</t>
  </si>
  <si>
    <t xml:space="preserve">PowerG Siren</t>
  </si>
  <si>
    <t xml:space="preserve">Exterior solo bajo techo (no IP)</t>
  </si>
  <si>
    <t xml:space="preserve">IQ Siren-LTE</t>
  </si>
  <si>
    <t xml:space="preserve">IQ Siren Pro</t>
  </si>
  <si>
    <t xml:space="preserve">El IQ Siren cubre uso interior; referencia HomeSiren (Ajax) para salas pequeñas</t>
  </si>
  <si>
    <t xml:space="preserve">El IQ Panel 4 incluye LTE dual-SIM integrado (sin comunicador separado)</t>
  </si>
  <si>
    <t xml:space="preserve">Qolsys no fabrica barreras IR; referencia Optex AX-200TTO</t>
  </si>
  <si>
    <t xml:space="preserve">Los radios PowerG/S-Line están integrados en el IQ Panel 4</t>
  </si>
  <si>
    <t xml:space="preserve">Pánico vía IQ Remote o colgantes PowerG; referencia Ajax Button</t>
  </si>
  <si>
    <t xml:space="preserve">Qolsys usa colgantes S-Line/PowerG; referencia Ajax SpaceControl</t>
  </si>
  <si>
    <t xml:space="preserve">ESIM310</t>
  </si>
  <si>
    <t xml:space="preserve">Híbrido: 16 alámbricas + inalámbrico EW</t>
  </si>
  <si>
    <t xml:space="preserve">Receptor EW integrado, control vía SMS/app</t>
  </si>
  <si>
    <t xml:space="preserve">Contact ID / SIA (GSM integrado)</t>
  </si>
  <si>
    <t xml:space="preserve">-20 °C a +55 °C</t>
  </si>
  <si>
    <t xml:space="preserve">255 × 200 × 55 mm</t>
  </si>
  <si>
    <t xml:space="preserve">Residencial y PYME con GSM</t>
  </si>
  <si>
    <t xml:space="preserve">Central maestra — admite periféricos del ecosistema ESIM/PITBUL (zonas EOL)</t>
  </si>
  <si>
    <t xml:space="preserve">ESIM320</t>
  </si>
  <si>
    <t xml:space="preserve">ESIM364</t>
  </si>
  <si>
    <t xml:space="preserve">Control por SMS/llamada y app ELDES EVOKI</t>
  </si>
  <si>
    <t xml:space="preserve">ESIM364-4G</t>
  </si>
  <si>
    <t xml:space="preserve">PITBUL ALARM PRO</t>
  </si>
  <si>
    <t xml:space="preserve">ESIM120</t>
  </si>
  <si>
    <t xml:space="preserve">16 zonas / 1 partición</t>
  </si>
  <si>
    <t xml:space="preserve">Alámbrico compacto con GSM</t>
  </si>
  <si>
    <t xml:space="preserve">Control vía SMS y llamadas</t>
  </si>
  <si>
    <t xml:space="preserve">210 × 165 × 45 mm</t>
  </si>
  <si>
    <t xml:space="preserve">1.0 kg</t>
  </si>
  <si>
    <t xml:space="preserve">Residencial económico</t>
  </si>
  <si>
    <t xml:space="preserve">ESIM310+GSM</t>
  </si>
  <si>
    <t xml:space="preserve">Ideal donde no hay internet fijo</t>
  </si>
  <si>
    <t xml:space="preserve">ESIM364-W</t>
  </si>
  <si>
    <t xml:space="preserve">PITBUL ALARM</t>
  </si>
  <si>
    <t xml:space="preserve">ELDES centra su oferta inalámbrica en sensores EW para paneles ESIM</t>
  </si>
  <si>
    <t xml:space="preserve">EKG2</t>
  </si>
  <si>
    <t xml:space="preserve">Proximity integrado (tag)</t>
  </si>
  <si>
    <t xml:space="preserve">Bus ELDES</t>
  </si>
  <si>
    <t xml:space="preserve">140 × 90 × 22 mm</t>
  </si>
  <si>
    <t xml:space="preserve">Centrales ESIM/PITBUL (zonas EOL) (mismo bus)</t>
  </si>
  <si>
    <t xml:space="preserve">EKG5</t>
  </si>
  <si>
    <t xml:space="preserve">EKG7</t>
  </si>
  <si>
    <t xml:space="preserve">Compatible ESIM320/364/310</t>
  </si>
  <si>
    <t xml:space="preserve">EKP-4</t>
  </si>
  <si>
    <t xml:space="preserve">EW-KP</t>
  </si>
  <si>
    <t xml:space="preserve">EWP1</t>
  </si>
  <si>
    <t xml:space="preserve">PIR inalámbrico ELDES EW</t>
  </si>
  <si>
    <t xml:space="preserve">Supervisión radio, batería baja</t>
  </si>
  <si>
    <t xml:space="preserve">Radio EW 868 MHz</t>
  </si>
  <si>
    <t xml:space="preserve">Exclusivo radio de marca: ESIM/PITBUL con radio ELDES</t>
  </si>
  <si>
    <t xml:space="preserve">EWP2</t>
  </si>
  <si>
    <t xml:space="preserve">EWP3</t>
  </si>
  <si>
    <t xml:space="preserve">Compatible paneles ESIM con radio EW</t>
  </si>
  <si>
    <t xml:space="preserve">EW-PIR</t>
  </si>
  <si>
    <t xml:space="preserve">PIR-ELDES-99</t>
  </si>
  <si>
    <t xml:space="preserve">PIR inalámbrico EW pet-inmune</t>
  </si>
  <si>
    <t xml:space="preserve">Inmunidad mascotas 20 kg</t>
  </si>
  <si>
    <t xml:space="preserve">90 × 56 × 42 mm</t>
  </si>
  <si>
    <t xml:space="preserve">Versión exterior EW-OUT disponible</t>
  </si>
  <si>
    <t xml:space="preserve">EW-PIR-PT</t>
  </si>
  <si>
    <t xml:space="preserve">EW-PIR-OUT</t>
  </si>
  <si>
    <t xml:space="preserve">ELDES no fabrica detectores duales; referencia Ajax MotionProtect Outdoor</t>
  </si>
  <si>
    <t xml:space="preserve">EMC-1</t>
  </si>
  <si>
    <t xml:space="preserve">Transmisor EW con entrada externa</t>
  </si>
  <si>
    <t xml:space="preserve">74 × 30 × 17 mm</t>
  </si>
  <si>
    <t xml:space="preserve">42 g</t>
  </si>
  <si>
    <t xml:space="preserve">Zona 12 V universal — centrales ESIM/PITBUL (zonas EOL) y compatibles</t>
  </si>
  <si>
    <t xml:space="preserve">EMC-2</t>
  </si>
  <si>
    <t xml:space="preserve">EW-MC</t>
  </si>
  <si>
    <t xml:space="preserve">EW-MC-EXT</t>
  </si>
  <si>
    <t xml:space="preserve">MC-ELDES</t>
  </si>
  <si>
    <t xml:space="preserve">ELDES no fabrica detectores de vidrio; referencia Honeywell FlexGuard 5150</t>
  </si>
  <si>
    <t xml:space="preserve">ESW-110</t>
  </si>
  <si>
    <t xml:space="preserve">Sirena exterior inalámbrica EW</t>
  </si>
  <si>
    <t xml:space="preserve">IP44</t>
  </si>
  <si>
    <t xml:space="preserve">250 × 125 × 75 mm</t>
  </si>
  <si>
    <t xml:space="preserve">ESW-120</t>
  </si>
  <si>
    <t xml:space="preserve">EW-SIREN</t>
  </si>
  <si>
    <t xml:space="preserve">Compatible paneles con radio EW</t>
  </si>
  <si>
    <t xml:space="preserve">SIREN-ELDES</t>
  </si>
  <si>
    <t xml:space="preserve">ESW-130</t>
  </si>
  <si>
    <t xml:space="preserve">La sirena ESW-110 se usa también en interior; referencia sirena cableada 12 V</t>
  </si>
  <si>
    <t xml:space="preserve">Los paneles ESIM incluyen GSM integrado (sin comunicador separado)</t>
  </si>
  <si>
    <t xml:space="preserve">ELDES no fabrica barreras IR; referencia Optex AX-200TTO</t>
  </si>
  <si>
    <t xml:space="preserve">Los paneles ESIM364 incluyen radio EW y expansión integrada</t>
  </si>
  <si>
    <t xml:space="preserve">ELDES no fabrica botón de pánico dedicado; referencia Ajax Button</t>
  </si>
  <si>
    <t xml:space="preserve">Los kits ESIM incluyen mandos EW; referencia Ajax SpaceControl</t>
  </si>
  <si>
    <t xml:space="preserve">Chuango es 100% inalámbrico DIY; referencia G5W</t>
  </si>
  <si>
    <t xml:space="preserve">Chuango no fabrica paneles alámbricos; referencia ELDES ESIM320</t>
  </si>
  <si>
    <t xml:space="preserve">G3</t>
  </si>
  <si>
    <t xml:space="preserve">100 zonas inalámbricas 433 MHz</t>
  </si>
  <si>
    <t xml:space="preserve">Panel autocontenido con pantalla táctil</t>
  </si>
  <si>
    <t xml:space="preserve">Armado por RFID, SMS y app</t>
  </si>
  <si>
    <t xml:space="preserve">GSM integrado (SIM)</t>
  </si>
  <si>
    <t xml:space="preserve">Contact ID (vía GSM panel)</t>
  </si>
  <si>
    <t xml:space="preserve">230 VAC + batería litio interna</t>
  </si>
  <si>
    <t xml:space="preserve">150 mA máx</t>
  </si>
  <si>
    <t xml:space="preserve">-10 °C a +50 °C</t>
  </si>
  <si>
    <t xml:space="preserve">185 × 125 × 28 mm</t>
  </si>
  <si>
    <t xml:space="preserve">CE, FCC</t>
  </si>
  <si>
    <t xml:space="preserve">Residencial DIY</t>
  </si>
  <si>
    <t xml:space="preserve">Central maestra — admite periféricos del ecosistema G5/G5W/A9 (radio 433 MHz)</t>
  </si>
  <si>
    <t xml:space="preserve">G5</t>
  </si>
  <si>
    <t xml:space="preserve">G5W</t>
  </si>
  <si>
    <t xml:space="preserve">Notificaciones SMS/llamada y app Chuango</t>
  </si>
  <si>
    <t xml:space="preserve">A9</t>
  </si>
  <si>
    <t xml:space="preserve">GT-900</t>
  </si>
  <si>
    <t xml:space="preserve">KP-700</t>
  </si>
  <si>
    <t xml:space="preserve">Atiende zonas del panel G5W</t>
  </si>
  <si>
    <t xml:space="preserve">Teclado RFID con LCD</t>
  </si>
  <si>
    <t xml:space="preserve">Armar/desarmar por tag</t>
  </si>
  <si>
    <t xml:space="preserve">Radio 433 MHz a panel</t>
  </si>
  <si>
    <t xml:space="preserve">6 VDC adaptador</t>
  </si>
  <si>
    <t xml:space="preserve">130 × 85 × 20 mm</t>
  </si>
  <si>
    <t xml:space="preserve">Uso general DIY</t>
  </si>
  <si>
    <t xml:space="preserve">Centrales G5/G5W/A9 (radio 433 MHz) (mismo bus)</t>
  </si>
  <si>
    <t xml:space="preserve">KP-701</t>
  </si>
  <si>
    <t xml:space="preserve">RFID-KP</t>
  </si>
  <si>
    <t xml:space="preserve">Compatible G5 y G5W</t>
  </si>
  <si>
    <t xml:space="preserve">GT-KP</t>
  </si>
  <si>
    <t xml:space="preserve">G5-KP</t>
  </si>
  <si>
    <t xml:space="preserve">PIR-910</t>
  </si>
  <si>
    <t xml:space="preserve">Anti-falsa básica por conteo</t>
  </si>
  <si>
    <t xml:space="preserve">9 V batería alcalina</t>
  </si>
  <si>
    <t xml:space="preserve">105 × 60 × 40 mm</t>
  </si>
  <si>
    <t xml:space="preserve">Interior residencial DIY</t>
  </si>
  <si>
    <t xml:space="preserve">Exclusivo radio de marca: G5/G5W/A9 (433 MHz Chuango)</t>
  </si>
  <si>
    <t xml:space="preserve">PIR-911</t>
  </si>
  <si>
    <t xml:space="preserve">PIR-900</t>
  </si>
  <si>
    <t xml:space="preserve">Alcance radio hasta 100 m en abierto</t>
  </si>
  <si>
    <t xml:space="preserve">PIR-910P</t>
  </si>
  <si>
    <t xml:space="preserve">GT-PIR</t>
  </si>
  <si>
    <t xml:space="preserve">PIR-900W</t>
  </si>
  <si>
    <t xml:space="preserve">PIR inalámbrico 433 MHz pet-inmune</t>
  </si>
  <si>
    <t xml:space="preserve">Inmunidad mascotas pequeñas</t>
  </si>
  <si>
    <t xml:space="preserve">13 µA reposo</t>
  </si>
  <si>
    <t xml:space="preserve">PIR-901W</t>
  </si>
  <si>
    <t xml:space="preserve">PIR-910W</t>
  </si>
  <si>
    <t xml:space="preserve">Compatible todos los paneles Chuango</t>
  </si>
  <si>
    <t xml:space="preserve">PIR-920W</t>
  </si>
  <si>
    <t xml:space="preserve">GT-PIR-W</t>
  </si>
  <si>
    <t xml:space="preserve">Chuango no fabrica detectores duales/exterior; referencia Ajax MotionProtect Outdoor</t>
  </si>
  <si>
    <t xml:space="preserve">DW-100</t>
  </si>
  <si>
    <t xml:space="preserve">Sabotaje básico de tapa</t>
  </si>
  <si>
    <t xml:space="preserve">12 V batería 23A</t>
  </si>
  <si>
    <t xml:space="preserve">70 × 30 × 15 mm</t>
  </si>
  <si>
    <t xml:space="preserve">Puertas y ventanas DIY</t>
  </si>
  <si>
    <t xml:space="preserve">DW-101</t>
  </si>
  <si>
    <t xml:space="preserve">DW-200</t>
  </si>
  <si>
    <t xml:space="preserve">Adhesivo o tornillos</t>
  </si>
  <si>
    <t xml:space="preserve">DW-300</t>
  </si>
  <si>
    <t xml:space="preserve">GT-DW</t>
  </si>
  <si>
    <t xml:space="preserve">GT-100</t>
  </si>
  <si>
    <t xml:space="preserve">Análisis de audio básico</t>
  </si>
  <si>
    <t xml:space="preserve">Ø 80 × 26 mm</t>
  </si>
  <si>
    <t xml:space="preserve">Interior con ventanas DIY</t>
  </si>
  <si>
    <t xml:space="preserve">GT-101</t>
  </si>
  <si>
    <t xml:space="preserve">GB-100</t>
  </si>
  <si>
    <t xml:space="preserve">Uso residencial sencillo</t>
  </si>
  <si>
    <t xml:space="preserve">GB-200</t>
  </si>
  <si>
    <t xml:space="preserve">GT-GB</t>
  </si>
  <si>
    <t xml:space="preserve">Chuango no fabrica sirena exterior IP; referencia Crow SRX-8150</t>
  </si>
  <si>
    <t xml:space="preserve">WS-105</t>
  </si>
  <si>
    <t xml:space="preserve">Tono estándar, supervisión</t>
  </si>
  <si>
    <t xml:space="preserve">110 × 100 × 50 mm</t>
  </si>
  <si>
    <t xml:space="preserve">WS-106</t>
  </si>
  <si>
    <t xml:space="preserve">WS-110</t>
  </si>
  <si>
    <t xml:space="preserve">Activación remota desde panel</t>
  </si>
  <si>
    <t xml:space="preserve">GT-SIR</t>
  </si>
  <si>
    <t xml:space="preserve">Los paneles Chuango incluyen GSM integrado (sin comunicador separado)</t>
  </si>
  <si>
    <t xml:space="preserve">Chuango no fabrica barreras IR; referencia Optex AX-200TTO</t>
  </si>
  <si>
    <t xml:space="preserve">Los paneles Chuango no admiten expansores; alcance limitado al radio propio</t>
  </si>
  <si>
    <t xml:space="preserve">Los kits G5 incluyen mandos con pánico; referencia Ajax Button</t>
  </si>
  <si>
    <t xml:space="preserve">Los kits G5/G3 incluyen mandos RC; referencia Ajax SpaceControl</t>
  </si>
  <si>
    <t xml:space="preserve">Optex es fabricante de sensores (no centrales); integrar vía zonas de cualquier panel</t>
  </si>
  <si>
    <t xml:space="preserve">Optex es fabricante de sensores (no centrales)</t>
  </si>
  <si>
    <t xml:space="preserve">FX-40</t>
  </si>
  <si>
    <t xml:space="preserve">PIR interior con lente Fresnel</t>
  </si>
  <si>
    <t xml:space="preserve">Análisis digital de señal, anti-falsa</t>
  </si>
  <si>
    <t xml:space="preserve">Zona alámbrica N.C./EOL</t>
  </si>
  <si>
    <t xml:space="preserve">10-30 VDC</t>
  </si>
  <si>
    <t xml:space="preserve">-25 °C a +60 °C (exterior)</t>
  </si>
  <si>
    <t xml:space="preserve">70 × 48 × 40 mm</t>
  </si>
  <si>
    <t xml:space="preserve">CE, FCC, EN 50131 grado 3</t>
  </si>
  <si>
    <t xml:space="preserve">Zona 12 V universal — centrales Cualquier central 12 V (contacto seco N.C.) y compatibles</t>
  </si>
  <si>
    <t xml:space="preserve">FX-60</t>
  </si>
  <si>
    <t xml:space="preserve">FX-360</t>
  </si>
  <si>
    <t xml:space="preserve">Especialista en detección, lentes intercambiables</t>
  </si>
  <si>
    <t xml:space="preserve">CDX-NAM</t>
  </si>
  <si>
    <t xml:space="preserve">SX-12Z</t>
  </si>
  <si>
    <t xml:space="preserve">Optex ofrece BX-80NR con radio vía módulos del panel; referencia BX-80NR cableado</t>
  </si>
  <si>
    <t xml:space="preserve">VXI-RAM</t>
  </si>
  <si>
    <t xml:space="preserve">PIR exterior con análisis RAM</t>
  </si>
  <si>
    <t xml:space="preserve">IP55, resistente a niebla y sol</t>
  </si>
  <si>
    <t xml:space="preserve">78 × 68 × 58 mm</t>
  </si>
  <si>
    <t xml:space="preserve">VXI-ST</t>
  </si>
  <si>
    <t xml:space="preserve">BX-80NR</t>
  </si>
  <si>
    <t xml:space="preserve">Algoritmo anti-falsa de referencia en el mercado</t>
  </si>
  <si>
    <t xml:space="preserve">VXI-AM</t>
  </si>
  <si>
    <t xml:space="preserve">BX-100PLUS</t>
  </si>
  <si>
    <t xml:space="preserve">Optex no fabrica contactos magnéticos; referencia DSC WS4945</t>
  </si>
  <si>
    <t xml:space="preserve">Optex no fabrica detectores de vidrio; referencia Honeywell FlexGuard 5150</t>
  </si>
  <si>
    <t xml:space="preserve">Optex no fabrica sirenas; referencia Texecom Odyssey X3</t>
  </si>
  <si>
    <t xml:space="preserve">Optex no fabrica sirenas; referencia Satel SP-201</t>
  </si>
  <si>
    <t xml:space="preserve">Optex es fabricante de sensores (no comunicadores)</t>
  </si>
  <si>
    <t xml:space="preserve">AX-100TTO</t>
  </si>
  <si>
    <t xml:space="preserve">4 haces IR síncronos con corte por ángulo</t>
  </si>
  <si>
    <t xml:space="preserve">IP66, resistencia a nieve/niebla, anti-masking</t>
  </si>
  <si>
    <t xml:space="preserve">35 mA ambos lados</t>
  </si>
  <si>
    <t xml:space="preserve">IP66</t>
  </si>
  <si>
    <t xml:space="preserve">Transmisor/receptor 310 × 96 × 78 mm</t>
  </si>
  <si>
    <t xml:space="preserve">620 g (par)</t>
  </si>
  <si>
    <t xml:space="preserve">AX-200TTO</t>
  </si>
  <si>
    <t xml:space="preserve">AX-650TF</t>
  </si>
  <si>
    <t xml:space="preserve">Referencia mundial en barreras IR de cuadrante</t>
  </si>
  <si>
    <t xml:space="preserve">Redscan mini RLS-2020I</t>
  </si>
  <si>
    <t xml:space="preserve">Redscan Pro RLS-2020VI</t>
  </si>
  <si>
    <t xml:space="preserve">Optex es fabricante de sensores (no expansores)</t>
  </si>
  <si>
    <t xml:space="preserve">Optex es fabricante de sensores (no botones); referencia Honeywell 5802LX</t>
  </si>
  <si>
    <t xml:space="preserve">Optex es fabricante de sensores (no mandos); referencia Ajax SpaceControl</t>
  </si>
  <si>
    <t xml:space="preserve">SPC4320.320</t>
  </si>
  <si>
    <t xml:space="preserve">16 zonas a bordo · máx. 128 zonas / 16 áreas</t>
  </si>
  <si>
    <t xml:space="preserve">Central híbrida SPC G5 con doble X-BUS y Ethernet integrada</t>
  </si>
  <si>
    <t xml:space="preserve">Antimáscara por zona analizada, sabotaje integral</t>
  </si>
  <si>
    <t xml:space="preserve">Contact ID / SIA vía Ethernet, GSM y SPC Connect</t>
  </si>
  <si>
    <t xml:space="preserve">Contact ID / SIA DC-09 (SPC)</t>
  </si>
  <si>
    <t xml:space="preserve">18 VDC / batería 12 V 7 Ah</t>
  </si>
  <si>
    <t xml:space="preserve">315 × 318 × 82 mm</t>
  </si>
  <si>
    <t xml:space="preserve">3.2 kg</t>
  </si>
  <si>
    <t xml:space="preserve">EN 50131 grado 3, UL 1610, CE</t>
  </si>
  <si>
    <t xml:space="preserve">Comercial y residencial premium</t>
  </si>
  <si>
    <t xml:space="preserve">Central maestra — admite periféricos del ecosistema SPC (zonas mixtas 12 V)</t>
  </si>
  <si>
    <t xml:space="preserve">SPC5320.320</t>
  </si>
  <si>
    <t xml:space="preserve">SPC5350.320</t>
  </si>
  <si>
    <t xml:space="preserve">Familia 5000 G5; SPC6350 escala a 512 zonas / 60 áreas</t>
  </si>
  <si>
    <t xml:space="preserve">SPC eVo 53</t>
  </si>
  <si>
    <t xml:space="preserve">SPC6350.320</t>
  </si>
  <si>
    <t xml:space="preserve">SPC es híbrida G2-G5 (zonas alámbricas de serie); línea 100% alámbrica no vigente</t>
  </si>
  <si>
    <t xml:space="preserve">SPC requiere central física; para hub 100% inalámbrico ver Ajax o Chuango</t>
  </si>
  <si>
    <t xml:space="preserve">SPCK420.100</t>
  </si>
  <si>
    <t xml:space="preserve">LCD 128×64 · teclas táctiles</t>
  </si>
  <si>
    <t xml:space="preserve">Teclado táctil slim con altavoz integrado</t>
  </si>
  <si>
    <t xml:space="preserve">Tamper frontal y trasero, menús en 3D</t>
  </si>
  <si>
    <t xml:space="preserve">X-BUS</t>
  </si>
  <si>
    <t xml:space="preserve">130 × 105 × 25 mm</t>
  </si>
  <si>
    <t xml:space="preserve">Uso general sistemas SPC</t>
  </si>
  <si>
    <t xml:space="preserve">Centrales SPC (zonas mixtas 12 V) (mismo bus)</t>
  </si>
  <si>
    <t xml:space="preserve">SPCK421.100</t>
  </si>
  <si>
    <t xml:space="preserve">SPCK520.100-N</t>
  </si>
  <si>
    <t xml:space="preserve">Familia SPCK 420/421/520/521/620/623 con proximidad opcional</t>
  </si>
  <si>
    <t xml:space="preserve">SPCK620.100-N</t>
  </si>
  <si>
    <t xml:space="preserve">SPCK623.100-N</t>
  </si>
  <si>
    <t xml:space="preserve">Siemens no fabrica PIR cableado; usar zonas SPC con PIR de otras marcas</t>
  </si>
  <si>
    <t xml:space="preserve">WPIR-9F (8 m)</t>
  </si>
  <si>
    <t xml:space="preserve">PIR inalámbrico TwoWay 868 MHz (familia W)</t>
  </si>
  <si>
    <t xml:space="preserve">Inmunidad a mascotas en variantes pet, supervisión radio</t>
  </si>
  <si>
    <t xml:space="preserve">Radio TwoWay SPC (receptor G2/G5)</t>
  </si>
  <si>
    <t xml:space="preserve">12 µA en reposo</t>
  </si>
  <si>
    <t xml:space="preserve">Interior residencial y comercial</t>
  </si>
  <si>
    <t xml:space="preserve">Exclusivo radio de marca: SPC con receptor inalámbrico (868 MHz)</t>
  </si>
  <si>
    <t xml:space="preserve">WPIR-9F (10 m)</t>
  </si>
  <si>
    <t xml:space="preserve">WPIR-9F</t>
  </si>
  <si>
    <t xml:space="preserve">Compatibles WMAG/WGB/WSIR de la misma familia W</t>
  </si>
  <si>
    <t xml:space="preserve">WPIR-9F pet (12 m)</t>
  </si>
  <si>
    <t xml:space="preserve">WPIR-9F pet (15 m)</t>
  </si>
  <si>
    <t xml:space="preserve">No en catálogo SPC actual; referencia Bosch ISC-BDL2 TriTech</t>
  </si>
  <si>
    <t xml:space="preserve">WMAG-I (disparo 10 mm)</t>
  </si>
  <si>
    <t xml:space="preserve">Contacto magnético inalámbrico con entrada adicional</t>
  </si>
  <si>
    <t xml:space="preserve">Supervisión radio y sabotaje de tapa</t>
  </si>
  <si>
    <t xml:space="preserve">Radio TwoWay SPC</t>
  </si>
  <si>
    <t xml:space="preserve">70 × 28 × 22 mm</t>
  </si>
  <si>
    <t xml:space="preserve">WMAG-I (disparo 15 mm)</t>
  </si>
  <si>
    <t xml:space="preserve">WMAG-I</t>
  </si>
  <si>
    <t xml:space="preserve">Entrada auxiliar para contacto cableado adicional</t>
  </si>
  <si>
    <t xml:space="preserve">WMAG-I (disparo 25 mm)</t>
  </si>
  <si>
    <t xml:space="preserve">WMAG-I (disparo 40 mm)</t>
  </si>
  <si>
    <t xml:space="preserve">WGB (6 m)</t>
  </si>
  <si>
    <t xml:space="preserve">Detector acústico inalámbrico de rotura de vidrio</t>
  </si>
  <si>
    <t xml:space="preserve">Análisis digital del espectro de vidrio</t>
  </si>
  <si>
    <t xml:space="preserve">WGB (7.6 m)</t>
  </si>
  <si>
    <t xml:space="preserve">WGB</t>
  </si>
  <si>
    <t xml:space="preserve">Familia inalámbrica W de SPC</t>
  </si>
  <si>
    <t xml:space="preserve">WGB (9 m)</t>
  </si>
  <si>
    <t xml:space="preserve">WGB (9 m filtrado)</t>
  </si>
  <si>
    <t xml:space="preserve">WSIR-EXT (105 dB)</t>
  </si>
  <si>
    <t xml:space="preserve">Sirena exterior inalámbrica TwoWay con flash</t>
  </si>
  <si>
    <t xml:space="preserve">Caja anti-sabotaje (tapa y arrancado), batería interna</t>
  </si>
  <si>
    <t xml:space="preserve">Batería interna Li</t>
  </si>
  <si>
    <t xml:space="preserve">280 × 135 × 80 mm</t>
  </si>
  <si>
    <t xml:space="preserve">WSIR-EXT (108 dB)</t>
  </si>
  <si>
    <t xml:space="preserve">WSIR-EXT</t>
  </si>
  <si>
    <t xml:space="preserve">Vinculada al panel vía receptor TwoWay G2/G5</t>
  </si>
  <si>
    <t xml:space="preserve">WSIR-EXT (113 dB)</t>
  </si>
  <si>
    <t xml:space="preserve">WSIR-EXT (118 dB)</t>
  </si>
  <si>
    <t xml:space="preserve">WSIR-INT (95 dB)</t>
  </si>
  <si>
    <t xml:space="preserve">Sirena interior inalámbrica TwoWay</t>
  </si>
  <si>
    <t xml:space="preserve">Tapa anti-sabotaje, tono programable</t>
  </si>
  <si>
    <t xml:space="preserve">200 mA sirena</t>
  </si>
  <si>
    <t xml:space="preserve">130 × 130 × 45 mm</t>
  </si>
  <si>
    <t xml:space="preserve">350 g</t>
  </si>
  <si>
    <t xml:space="preserve">Interior pasillo / hall</t>
  </si>
  <si>
    <t xml:space="preserve">WSIR-INT (100 dB)</t>
  </si>
  <si>
    <t xml:space="preserve">WSIR-INT</t>
  </si>
  <si>
    <t xml:space="preserve">Complemento de la familia inalámbrica W</t>
  </si>
  <si>
    <t xml:space="preserve">WSIR-INT (105 dB)</t>
  </si>
  <si>
    <t xml:space="preserve">WSIR-INT (110 dB)</t>
  </si>
  <si>
    <t xml:space="preserve">SPLN1000</t>
  </si>
  <si>
    <t xml:space="preserve">Comunicador celular plug-on para SPC</t>
  </si>
  <si>
    <t xml:space="preserve">SMS bidireccional, SIA/Contact ID</t>
  </si>
  <si>
    <t xml:space="preserve">GSM/GPRS sobre X-BUS del panel</t>
  </si>
  <si>
    <t xml:space="preserve">65 mA promedio</t>
  </si>
  <si>
    <t xml:space="preserve">90 × 60 × 20 mm</t>
  </si>
  <si>
    <t xml:space="preserve">Respaldo celular y reporte a CSDC</t>
  </si>
  <si>
    <t xml:space="preserve">SPCN320.000</t>
  </si>
  <si>
    <t xml:space="preserve">SPC Web Gateway</t>
  </si>
  <si>
    <t xml:space="preserve">SPLN1000 (LAN) y SPC Web Gateway para IP; SPC Connect para nube</t>
  </si>
  <si>
    <t xml:space="preserve">SPC Connect Basic</t>
  </si>
  <si>
    <t xml:space="preserve">SPC Connect Pro</t>
  </si>
  <si>
    <t xml:space="preserve">Siemens no fabrica barreras IR; referencia Optex AX-200TTO vía zona alámbrica</t>
  </si>
  <si>
    <t xml:space="preserve">SPCE452.100</t>
  </si>
  <si>
    <t xml:space="preserve">Expansor de zonas por X-BUS</t>
  </si>
  <si>
    <t xml:space="preserve">Zonas con antimáscara y sabotaje por doble resistencia</t>
  </si>
  <si>
    <t xml:space="preserve">35 mA + zonas</t>
  </si>
  <si>
    <t xml:space="preserve">165 × 105 × 30 mm</t>
  </si>
  <si>
    <t xml:space="preserve">Ampliación de paneles SPC</t>
  </si>
  <si>
    <t xml:space="preserve">SPCE652.100</t>
  </si>
  <si>
    <t xml:space="preserve">SPCE651.100</t>
  </si>
  <si>
    <t xml:space="preserve">SPCE452 (8 relés) y SPCW120/130 (radios SiWay) completan la gama</t>
  </si>
  <si>
    <t xml:space="preserve">SPCW130.100</t>
  </si>
  <si>
    <t xml:space="preserve">SPCW120.000</t>
  </si>
  <si>
    <t xml:space="preserve">WPAN (colgante básico)</t>
  </si>
  <si>
    <t xml:space="preserve">Botón de pánico inalámbrico personal</t>
  </si>
  <si>
    <t xml:space="preserve">Señal supervisada y confirmación TwoWay</t>
  </si>
  <si>
    <t xml:space="preserve">WPAN (colgante supervisado)</t>
  </si>
  <si>
    <t xml:space="preserve">WPAN</t>
  </si>
  <si>
    <t xml:space="preserve">WPAN (carcasa sabotaje)</t>
  </si>
  <si>
    <t xml:space="preserve">WPAN (hold-up)</t>
  </si>
  <si>
    <t xml:space="preserve">WRMT (básico)</t>
  </si>
  <si>
    <t xml:space="preserve">Mando remoto inalámbrico con retroalimentación</t>
  </si>
  <si>
    <t xml:space="preserve">Confirmación TwoWay LED/vibración</t>
  </si>
  <si>
    <t xml:space="preserve">60 × 35 × 12 mm</t>
  </si>
  <si>
    <t xml:space="preserve">Armado/desarmado y pánico</t>
  </si>
  <si>
    <t xml:space="preserve">WRMT (4 botones)</t>
  </si>
  <si>
    <t xml:space="preserve">WRMT</t>
  </si>
  <si>
    <t xml:space="preserve">WRMT (con pánico)</t>
  </si>
  <si>
    <t xml:space="preserve">WRMT (bidireccional)</t>
  </si>
  <si>
    <t xml:space="preserve">Base de Datos Técnica — SADI · Sistemas de Detección de Incendios (16 marcas × 16 tipos × 5 variantes)</t>
  </si>
  <si>
    <t xml:space="preserve">Puntos / Lazos · Área</t>
  </si>
  <si>
    <t xml:space="preserve">Tecnología / Sensor</t>
  </si>
  <si>
    <t xml:space="preserve">Clase / Modo de Operación</t>
  </si>
  <si>
    <t xml:space="preserve">Comunicación / Red</t>
  </si>
  <si>
    <t xml:space="preserve">Protocolo del Lazo</t>
  </si>
  <si>
    <t xml:space="preserve">Lazos</t>
  </si>
  <si>
    <t xml:space="preserve">Puntos por Lazo</t>
  </si>
  <si>
    <t xml:space="preserve">MS-9050UD</t>
  </si>
  <si>
    <t xml:space="preserve">2 lazos · 318 puntos</t>
  </si>
  <si>
    <t xml:space="preserve">Central direccionable con procesador dual</t>
  </si>
  <si>
    <t xml:space="preserve">Sincronización Notifier, LCD-160 display</t>
  </si>
  <si>
    <t xml:space="preserve">Red Notifier ONNX / SNMP</t>
  </si>
  <si>
    <t xml:space="preserve">Protocolo Notifier (ONNX)</t>
  </si>
  <si>
    <t xml:space="preserve">120/240 VAC · baterías 12 V 18 Ah</t>
  </si>
  <si>
    <t xml:space="preserve">500 mA en reposo</t>
  </si>
  <si>
    <t xml:space="preserve">406 × 457 × 117 mm</t>
  </si>
  <si>
    <t xml:space="preserve">14.5 kg</t>
  </si>
  <si>
    <t xml:space="preserve">UL 864 (10.ª ed.), FM, CE</t>
  </si>
  <si>
    <t xml:space="preserve">Edificios medianos y grandes</t>
  </si>
  <si>
    <t xml:space="preserve">Central maestra — Centrales Notifier (protocolo ONNX/FlashScan)</t>
  </si>
  <si>
    <t xml:space="preserve">NFS-320</t>
  </si>
  <si>
    <t xml:space="preserve">NFS2-640</t>
  </si>
  <si>
    <t xml:space="preserve">Ampliable a 4 lazos con módulos</t>
  </si>
  <si>
    <t xml:space="preserve">NFS2-3030</t>
  </si>
  <si>
    <t xml:space="preserve">NFS-320E</t>
  </si>
  <si>
    <t xml:space="preserve">Notifier es direccionable; línea convencional bajo Fire-Lite (MS-9050UD)</t>
  </si>
  <si>
    <t xml:space="preserve">Línea convencional bajo Fire-Lite / System Sensor i3</t>
  </si>
  <si>
    <t xml:space="preserve">FSP-851</t>
  </si>
  <si>
    <t xml:space="preserve">Área 60 m²</t>
  </si>
  <si>
    <t xml:space="preserve">Óptico fotoeléctrico con cámara inmune a polvo</t>
  </si>
  <si>
    <t xml:space="preserve">Sensibilidad ajustable, deriva compensada</t>
  </si>
  <si>
    <t xml:space="preserve">Lazo Notifier</t>
  </si>
  <si>
    <t xml:space="preserve">Lazo 24 VDC</t>
  </si>
  <si>
    <t xml:space="preserve">Ø 102 × 42 mm + base</t>
  </si>
  <si>
    <t xml:space="preserve">Interior general (oficinas, aulas)</t>
  </si>
  <si>
    <t xml:space="preserve">Centrales Notifier (protocolo ONNX/FlashScan)</t>
  </si>
  <si>
    <t xml:space="preserve">Volumétrica cilíndrica (montaje techo)</t>
  </si>
  <si>
    <t xml:space="preserve">FSP-951</t>
  </si>
  <si>
    <t xml:space="preserve">Área 80 m²</t>
  </si>
  <si>
    <t xml:space="preserve">FSA-951</t>
  </si>
  <si>
    <t xml:space="preserve">Área 100 m²</t>
  </si>
  <si>
    <t xml:space="preserve">Base B210LP incluida; detector de referencia</t>
  </si>
  <si>
    <t xml:space="preserve">FAPT-851</t>
  </si>
  <si>
    <t xml:space="preserve">Área 100 m² + direccionamiento</t>
  </si>
  <si>
    <t xml:space="preserve">FSA-210B</t>
  </si>
  <si>
    <t xml:space="preserve">Área 120 m²</t>
  </si>
  <si>
    <t xml:space="preserve">FST-851</t>
  </si>
  <si>
    <t xml:space="preserve">Clase A1R</t>
  </si>
  <si>
    <t xml:space="preserve">Termovelocimétrico 57 °C con termistor</t>
  </si>
  <si>
    <t xml:space="preserve">Clase A1R (EN 54-5), compensación de deriva</t>
  </si>
  <si>
    <t xml:space="preserve">155 g</t>
  </si>
  <si>
    <t xml:space="preserve">Cocinas, cuartos técnicos</t>
  </si>
  <si>
    <t xml:space="preserve">FST-951</t>
  </si>
  <si>
    <t xml:space="preserve">Clase A1S</t>
  </si>
  <si>
    <t xml:space="preserve">FST-951R</t>
  </si>
  <si>
    <t xml:space="preserve">Clase A2S</t>
  </si>
  <si>
    <t xml:space="preserve">Opción con aislador FST-951R</t>
  </si>
  <si>
    <t xml:space="preserve">FST-951V</t>
  </si>
  <si>
    <t xml:space="preserve">A2S + compensación deriva</t>
  </si>
  <si>
    <t xml:space="preserve">FSA-210T</t>
  </si>
  <si>
    <t xml:space="preserve">CS + compensación</t>
  </si>
  <si>
    <t xml:space="preserve">FSC-851</t>
  </si>
  <si>
    <t xml:space="preserve">Humo + térmico</t>
  </si>
  <si>
    <t xml:space="preserve">Sensor multi-criterio láser-foto VIEW</t>
  </si>
  <si>
    <t xml:space="preserve">Algoritmos anti-falsa alarma con verificación doble</t>
  </si>
  <si>
    <t xml:space="preserve">165 g</t>
  </si>
  <si>
    <t xml:space="preserve">Riesgos con falsas alarmas históricas</t>
  </si>
  <si>
    <t xml:space="preserve">Volumétrica multi-sensor (humo+térmico+CO)</t>
  </si>
  <si>
    <t xml:space="preserve">FSC-851 (alta sensibilidad)</t>
  </si>
  <si>
    <t xml:space="preserve">Humo + térmico + CO</t>
  </si>
  <si>
    <t xml:space="preserve">FSC-851-ISO</t>
  </si>
  <si>
    <t xml:space="preserve">Multi-sensor 3 canales</t>
  </si>
  <si>
    <t xml:space="preserve">FSC-851T añade sensor térmico; base B210LP</t>
  </si>
  <si>
    <t xml:space="preserve">FSC-851T (con térmico)</t>
  </si>
  <si>
    <t xml:space="preserve">Multi + algoritmos anti-falsa</t>
  </si>
  <si>
    <t xml:space="preserve">FSA-951 (referencia foto)</t>
  </si>
  <si>
    <t xml:space="preserve">Multi + verificación doble</t>
  </si>
  <si>
    <t xml:space="preserve">Flamas bajo Fire Sentry (Honeywell) FS-24X</t>
  </si>
  <si>
    <t xml:space="preserve">FAAST LT-100</t>
  </si>
  <si>
    <t xml:space="preserve">Área 800 m²</t>
  </si>
  <si>
    <t xml:space="preserve">Aspiración láser con cámara de detección dual</t>
  </si>
  <si>
    <t xml:space="preserve">4 umbrales de alarma, filtro de reemplazo</t>
  </si>
  <si>
    <t xml:space="preserve">Ethernet/IP + lazo opcional</t>
  </si>
  <si>
    <t xml:space="preserve">24 VDC</t>
  </si>
  <si>
    <t xml:space="preserve">90 W máx con calefacción</t>
  </si>
  <si>
    <t xml:space="preserve">IP40</t>
  </si>
  <si>
    <t xml:space="preserve">330 × 225 × 130 mm</t>
  </si>
  <si>
    <t xml:space="preserve">4.2 kg</t>
  </si>
  <si>
    <t xml:space="preserve">Almacenes, centros de datos, atrios</t>
  </si>
  <si>
    <t xml:space="preserve">Autónomo con relés/Ethernet; integrable a Centrales Notifier (protocolo ONNX/FlashScan) vía módulo de monitoreo</t>
  </si>
  <si>
    <t xml:space="preserve">Muestreo por red de tubos (aspiración)</t>
  </si>
  <si>
    <t xml:space="preserve">FAAST LT-200</t>
  </si>
  <si>
    <t xml:space="preserve">Área 1,000 m²</t>
  </si>
  <si>
    <t xml:space="preserve">FAAST XL-50</t>
  </si>
  <si>
    <t xml:space="preserve">Área 1,600 m²</t>
  </si>
  <si>
    <t xml:space="preserve">FAAST LT con red Ethernet integrada</t>
  </si>
  <si>
    <t xml:space="preserve">FAAST 810</t>
  </si>
  <si>
    <t xml:space="preserve">Área 2,000 m²</t>
  </si>
  <si>
    <t xml:space="preserve">VESDA VLP-000</t>
  </si>
  <si>
    <t xml:space="preserve">Área 2,500 m²</t>
  </si>
  <si>
    <t xml:space="preserve">FSL-100</t>
  </si>
  <si>
    <t xml:space="preserve">Alcance 50 m</t>
  </si>
  <si>
    <t xml:space="preserve">Haz proyectado láser con cámara refleja</t>
  </si>
  <si>
    <t xml:space="preserve">Compensación de deriva, anti-obstrucción</t>
  </si>
  <si>
    <t xml:space="preserve">Transmisor 210 × 125 × 90 mm</t>
  </si>
  <si>
    <t xml:space="preserve">620 g</t>
  </si>
  <si>
    <t xml:space="preserve">Atrios, naves y grandes alturas</t>
  </si>
  <si>
    <t xml:space="preserve">Centrales Notifier (protocolo ONNX/FlashScan) (lazo con base receptora)</t>
  </si>
  <si>
    <t xml:space="preserve">Lineal (haz proyectado)</t>
  </si>
  <si>
    <t xml:space="preserve">FSL-751</t>
  </si>
  <si>
    <t xml:space="preserve">Alcance 70 m</t>
  </si>
  <si>
    <t xml:space="preserve">FSL-756</t>
  </si>
  <si>
    <t xml:space="preserve">Alcance 100 m</t>
  </si>
  <si>
    <t xml:space="preserve">Detección para techos de 8-100 m</t>
  </si>
  <si>
    <t xml:space="preserve">FS-24X-BEAM</t>
  </si>
  <si>
    <t xml:space="preserve">100 m auto-alineado</t>
  </si>
  <si>
    <t xml:space="preserve">FSL-251</t>
  </si>
  <si>
    <t xml:space="preserve">150 m auto-alineado</t>
  </si>
  <si>
    <t xml:space="preserve">NBG-12LX</t>
  </si>
  <si>
    <t xml:space="preserve">Simple acción</t>
  </si>
  <si>
    <t xml:space="preserve">Palanca doble acción con llave de rearme</t>
  </si>
  <si>
    <t xml:space="preserve">Cerradura knock-down reutilizable</t>
  </si>
  <si>
    <t xml:space="preserve">120 × 120 × 40 mm</t>
  </si>
  <si>
    <t xml:space="preserve">Vías de evacuación (NFPA 72)</t>
  </si>
  <si>
    <t xml:space="preserve">NBG-12LX-A</t>
  </si>
  <si>
    <t xml:space="preserve">Simple acción rearmable</t>
  </si>
  <si>
    <t xml:space="preserve">NBG-12LO</t>
  </si>
  <si>
    <t xml:space="preserve">Doble acción</t>
  </si>
  <si>
    <t xml:space="preserve">Incluye aislador opcional</t>
  </si>
  <si>
    <t xml:space="preserve">NBG-12LSP</t>
  </si>
  <si>
    <t xml:space="preserve">Doble acción + indicador</t>
  </si>
  <si>
    <t xml:space="preserve">M500K</t>
  </si>
  <si>
    <t xml:space="preserve">Direccionable con aislador</t>
  </si>
  <si>
    <t xml:space="preserve">Notificación bajo System Sensor SpectrAlert Advance</t>
  </si>
  <si>
    <t xml:space="preserve">FMM-1</t>
  </si>
  <si>
    <t xml:space="preserve">1 entrada</t>
  </si>
  <si>
    <t xml:space="preserve">Módulo direccionable FlashScan de monitoreo</t>
  </si>
  <si>
    <t xml:space="preserve">Monitorea zonas convencionales y contactos secos</t>
  </si>
  <si>
    <t xml:space="preserve">65 × 45 × 18 mm</t>
  </si>
  <si>
    <t xml:space="preserve">Integración de equipos existentes</t>
  </si>
  <si>
    <t xml:space="preserve">FMM-101</t>
  </si>
  <si>
    <t xml:space="preserve">1 entrada supervisada</t>
  </si>
  <si>
    <t xml:space="preserve">FJM-5</t>
  </si>
  <si>
    <t xml:space="preserve">2 entradas</t>
  </si>
  <si>
    <t xml:space="preserve">FMM-101 = versión miniatura; FZM-1 para zonas</t>
  </si>
  <si>
    <t xml:space="preserve">FZM-1</t>
  </si>
  <si>
    <t xml:space="preserve">2 entradas + aislador</t>
  </si>
  <si>
    <t xml:space="preserve">FMM-1 con aislador</t>
  </si>
  <si>
    <t xml:space="preserve">4 entradas</t>
  </si>
  <si>
    <t xml:space="preserve">FRM-1</t>
  </si>
  <si>
    <t xml:space="preserve">1 relevador</t>
  </si>
  <si>
    <t xml:space="preserve">Módulo direccionable de relevador FlashScan</t>
  </si>
  <si>
    <t xml:space="preserve">Controla equipos externos con confirmación de coils</t>
  </si>
  <si>
    <t xml:space="preserve">Control de HVAC, ascensores y puertas</t>
  </si>
  <si>
    <t xml:space="preserve">FCM-1</t>
  </si>
  <si>
    <t xml:space="preserve">1 relevador SPDT</t>
  </si>
  <si>
    <t xml:space="preserve">FRM-1 con aislador</t>
  </si>
  <si>
    <t xml:space="preserve">2 relevadores</t>
  </si>
  <si>
    <t xml:space="preserve">FCM-1 = versión de control con alimentación supervisada</t>
  </si>
  <si>
    <t xml:space="preserve">FCM-1 (SPDT)</t>
  </si>
  <si>
    <t xml:space="preserve">2 relevadores + aislador</t>
  </si>
  <si>
    <t xml:space="preserve">FRM-1 (mini)</t>
  </si>
  <si>
    <t xml:space="preserve">4 relevadores</t>
  </si>
  <si>
    <t xml:space="preserve">ANN-80</t>
  </si>
  <si>
    <t xml:space="preserve">Anunciador LCD 80 caracteres</t>
  </si>
  <si>
    <t xml:space="preserve">Anunciador remoto Notifier con controles</t>
  </si>
  <si>
    <t xml:space="preserve">Indicación de alarma/problema y supervisión</t>
  </si>
  <si>
    <t xml:space="preserve">Bus EIA-485 (ACS)</t>
  </si>
  <si>
    <t xml:space="preserve">24 VDC desde central</t>
  </si>
  <si>
    <t xml:space="preserve">222 × 165 × 50 mm</t>
  </si>
  <si>
    <t xml:space="preserve">Lobbies y accesos (UL 864)</t>
  </si>
  <si>
    <t xml:space="preserve">Centrales Notifier (protocolo ONNX/FlashScan) (red repetidora)</t>
  </si>
  <si>
    <t xml:space="preserve">ANN-80-WH</t>
  </si>
  <si>
    <t xml:space="preserve">ANN-80-RLY</t>
  </si>
  <si>
    <t xml:space="preserve">ANN-80-WH en blanco; ANN-80-RLY con relevador</t>
  </si>
  <si>
    <t xml:space="preserve">LCD-160</t>
  </si>
  <si>
    <t xml:space="preserve">LCD2-160</t>
  </si>
  <si>
    <t xml:space="preserve">Ductos bajo System Sensor InnovairFlex D4120</t>
  </si>
  <si>
    <t xml:space="preserve">ISO-X</t>
  </si>
  <si>
    <t xml:space="preserve">Básica</t>
  </si>
  <si>
    <t xml:space="preserve">Módulo aislador direccionable</t>
  </si>
  <si>
    <t xml:space="preserve">Separa cortos de lazo por sección</t>
  </si>
  <si>
    <t xml:space="preserve">Protección del lazo (NFPA 72)</t>
  </si>
  <si>
    <t xml:space="preserve">Centrales Centrales Notifier (protocolo ONNX/FlashScan)</t>
  </si>
  <si>
    <t xml:space="preserve">B210LP-ISO</t>
  </si>
  <si>
    <t xml:space="preserve">Con aislador</t>
  </si>
  <si>
    <t xml:space="preserve">B224BI</t>
  </si>
  <si>
    <t xml:space="preserve">Aislador + LED</t>
  </si>
  <si>
    <t xml:space="preserve">Instalar cada 25 dispositivos</t>
  </si>
  <si>
    <t xml:space="preserve">B710LP-ISO</t>
  </si>
  <si>
    <t xml:space="preserve">Programable</t>
  </si>
  <si>
    <t xml:space="preserve">ISO-X-Fault</t>
  </si>
  <si>
    <t xml:space="preserve">Programable + aislador</t>
  </si>
  <si>
    <t xml:space="preserve">FC721</t>
  </si>
  <si>
    <t xml:space="preserve">Hasta 4 lazos · 252 direcciones</t>
  </si>
  <si>
    <t xml:space="preserve">Central Cerberus PRO compacta enlazable</t>
  </si>
  <si>
    <t xml:space="preserve">FireMIND, autodiagnóstico integral</t>
  </si>
  <si>
    <t xml:space="preserve">Ethernet + SNMP + FW204/Wifi</t>
  </si>
  <si>
    <t xml:space="preserve">Protocolo Cerberus (FDnet)</t>
  </si>
  <si>
    <t xml:space="preserve">120/240 VAC · baterías 12 V</t>
  </si>
  <si>
    <t xml:space="preserve">450 mA en reposo</t>
  </si>
  <si>
    <t xml:space="preserve">420 × 320 × 120 mm</t>
  </si>
  <si>
    <t xml:space="preserve">11 kg</t>
  </si>
  <si>
    <t xml:space="preserve">EN 54-2/4, VdS, UL 864</t>
  </si>
  <si>
    <t xml:space="preserve">Edificios medianos (EN 54)</t>
  </si>
  <si>
    <t xml:space="preserve">Central maestra — Cerberus PRO / Sinteso (C-NET)</t>
  </si>
  <si>
    <t xml:space="preserve">FC722</t>
  </si>
  <si>
    <t xml:space="preserve">FC723</t>
  </si>
  <si>
    <t xml:space="preserve">Generación C-NET; FC721 compacta 1 lazo, FC726 modular hasta 28 lazos</t>
  </si>
  <si>
    <t xml:space="preserve">FC724</t>
  </si>
  <si>
    <t xml:space="preserve">FC726</t>
  </si>
  <si>
    <t xml:space="preserve">Siemens se enfoca en direccionable Cerberus PRO (FC721-FC726); convencional bajo otras marcas</t>
  </si>
  <si>
    <t xml:space="preserve">DH912</t>
  </si>
  <si>
    <t xml:space="preserve">Óptico fotoeléctrico convencional</t>
  </si>
  <si>
    <t xml:space="preserve">Modo estándar/vapores, LED de alarma</t>
  </si>
  <si>
    <t xml:space="preserve">Zona 24 V convencional</t>
  </si>
  <si>
    <t xml:space="preserve">24 VDC de central</t>
  </si>
  <si>
    <t xml:space="preserve">Ø 100 × 40 mm + base</t>
  </si>
  <si>
    <t xml:space="preserve">Interior general</t>
  </si>
  <si>
    <t xml:space="preserve">Cualquier central convencional 24 V (circuito ZA)</t>
  </si>
  <si>
    <t xml:space="preserve">DH913</t>
  </si>
  <si>
    <t xml:space="preserve">OH921</t>
  </si>
  <si>
    <t xml:space="preserve">Base DB-1190 incluida</t>
  </si>
  <si>
    <t xml:space="preserve">DH991</t>
  </si>
  <si>
    <t xml:space="preserve">Área 100 m² + modo drifter</t>
  </si>
  <si>
    <t xml:space="preserve">ORP-73</t>
  </si>
  <si>
    <t xml:space="preserve">FDOOT241 (60 m²)</t>
  </si>
  <si>
    <t xml:space="preserve">Óptico fotoeléctrico direccionable (FD18)</t>
  </si>
  <si>
    <t xml:space="preserve">Sensibilidad por software, deriva compensada</t>
  </si>
  <si>
    <t xml:space="preserve">Lazo C-Net / FDnet</t>
  </si>
  <si>
    <t xml:space="preserve">Ø 100 × 42 mm + base</t>
  </si>
  <si>
    <t xml:space="preserve">Interior general (EN 54-7)</t>
  </si>
  <si>
    <t xml:space="preserve">Cerberus PRO / Sinteso (C-NET)</t>
  </si>
  <si>
    <t xml:space="preserve">FDOOT241 (80 m²)</t>
  </si>
  <si>
    <t xml:space="preserve">FDOOT241</t>
  </si>
  <si>
    <t xml:space="preserve">Base FDMM201-B1; familia FD18 Cerberus PRO</t>
  </si>
  <si>
    <t xml:space="preserve">FDOOTC241</t>
  </si>
  <si>
    <t xml:space="preserve">FDOOTC241 (aislador integrado)</t>
  </si>
  <si>
    <t xml:space="preserve">FDT241 (A1R)</t>
  </si>
  <si>
    <t xml:space="preserve">Termovelocimétrico direccionable (FD18)</t>
  </si>
  <si>
    <t xml:space="preserve">Clase A1R/A2S por software</t>
  </si>
  <si>
    <t xml:space="preserve">148 g</t>
  </si>
  <si>
    <t xml:space="preserve">Cocinas y cuartos técnicos (EN 54-5)</t>
  </si>
  <si>
    <t xml:space="preserve">FDT241 (A1S)</t>
  </si>
  <si>
    <t xml:space="preserve">FDT241</t>
  </si>
  <si>
    <t xml:space="preserve">Base común FDMM201-B1 con FDOOT241</t>
  </si>
  <si>
    <t xml:space="preserve">FDT241 (A2S)</t>
  </si>
  <si>
    <t xml:space="preserve">FDT241 (CS)</t>
  </si>
  <si>
    <t xml:space="preserve">Cerberus usa FDOOT241 con FireMIND; multicriterio EN en Apollo Discovery</t>
  </si>
  <si>
    <t xml:space="preserve">FDL241-9</t>
  </si>
  <si>
    <t xml:space="preserve">Detección 12 m</t>
  </si>
  <si>
    <t xml:space="preserve">Detector de flama IR3 (triple infrarrojo)</t>
  </si>
  <si>
    <t xml:space="preserve">Inmune a radiación solar y soldadura puntual</t>
  </si>
  <si>
    <t xml:space="preserve">Lazo FDnet + salida relé</t>
  </si>
  <si>
    <t xml:space="preserve">160 × 120 × 95 mm</t>
  </si>
  <si>
    <t xml:space="preserve">Hangares, petroquímica, turbinas</t>
  </si>
  <si>
    <t xml:space="preserve">Autónomo con relés; compatible con Cerberus PRO / Sinteso (C-NET)</t>
  </si>
  <si>
    <t xml:space="preserve">Cono de visión (UV/IR/IR3)</t>
  </si>
  <si>
    <t xml:space="preserve">FDL241-9-EX</t>
  </si>
  <si>
    <t xml:space="preserve">Detección 15 m</t>
  </si>
  <si>
    <t xml:space="preserve">FDL271</t>
  </si>
  <si>
    <t xml:space="preserve">Detección 20 m</t>
  </si>
  <si>
    <t xml:space="preserve">Certificado para industrias de alto riesgo</t>
  </si>
  <si>
    <t xml:space="preserve">FVL-11</t>
  </si>
  <si>
    <t xml:space="preserve">Detección 25 m</t>
  </si>
  <si>
    <t xml:space="preserve">FDL-271-9</t>
  </si>
  <si>
    <t xml:space="preserve">Detección 30 m</t>
  </si>
  <si>
    <t xml:space="preserve">Siemens no fabrica ASD actual; referencia FAAST/VESDA para aspiración</t>
  </si>
  <si>
    <t xml:space="preserve">Siemens no fabrica haz proyectado actual; referencia Bosch D296</t>
  </si>
  <si>
    <t xml:space="preserve">FDM171-1 (simple)</t>
  </si>
  <si>
    <t xml:space="preserve">Pulsador manual direccionable rearmable</t>
  </si>
  <si>
    <t xml:space="preserve">Elemento rearmable, rearme con llave</t>
  </si>
  <si>
    <t xml:space="preserve">93 × 93 × 42 mm</t>
  </si>
  <si>
    <t xml:space="preserve">Vías de evacuación (EN 54-11)</t>
  </si>
  <si>
    <t xml:space="preserve">FDM171-1 (rearmable)</t>
  </si>
  <si>
    <t xml:space="preserve">FDM171-1</t>
  </si>
  <si>
    <t xml:space="preserve">FDMR171-1 = variante para intemperie</t>
  </si>
  <si>
    <t xml:space="preserve">FDMR171-1 (intemperie)</t>
  </si>
  <si>
    <t xml:space="preserve">FDMR171-1 (con aislador)</t>
  </si>
  <si>
    <t xml:space="preserve">Notificación bajo Edwards/System Sensor según región</t>
  </si>
  <si>
    <t xml:space="preserve">FDCI181-2</t>
  </si>
  <si>
    <t xml:space="preserve">Módulo de entrada direccionable con aislador</t>
  </si>
  <si>
    <t xml:space="preserve">Monitorea circuitos convencionales y contactos</t>
  </si>
  <si>
    <t xml:space="preserve">120 × 100 × 35 mm</t>
  </si>
  <si>
    <t xml:space="preserve">Integración de zonas existentes</t>
  </si>
  <si>
    <t xml:space="preserve">FDCI181-2 con aislador</t>
  </si>
  <si>
    <t xml:space="preserve">FDCI181-2 (entrada dual)</t>
  </si>
  <si>
    <t xml:space="preserve">Incluye aislador de lazo; familia FD18</t>
  </si>
  <si>
    <t xml:space="preserve">FDCIO221-1 (entrada)</t>
  </si>
  <si>
    <t xml:space="preserve">FDCI181-2 (mini)</t>
  </si>
  <si>
    <t xml:space="preserve">FDCIO221-1</t>
  </si>
  <si>
    <t xml:space="preserve">Módulo E/S direccionable para lazo</t>
  </si>
  <si>
    <t xml:space="preserve">Controla relevadores y monitorea confirmación</t>
  </si>
  <si>
    <t xml:space="preserve">185 g</t>
  </si>
  <si>
    <t xml:space="preserve">Control de HVAC, puertas y equipos</t>
  </si>
  <si>
    <t xml:space="preserve">FDCIO221-1 con aislador</t>
  </si>
  <si>
    <t xml:space="preserve">FDCIO221-1 (salida relé)</t>
  </si>
  <si>
    <t xml:space="preserve">FDCIO422-4 = versión de 4 salidas</t>
  </si>
  <si>
    <t xml:space="preserve">FDCIO422-4</t>
  </si>
  <si>
    <t xml:space="preserve">FDCRL-1</t>
  </si>
  <si>
    <t xml:space="preserve">FT724 (anunciador LED)</t>
  </si>
  <si>
    <t xml:space="preserve">Terminal táctil 7" · espejo de central</t>
  </si>
  <si>
    <t xml:space="preserve">Terminal/repetidor de piso con manejo completo</t>
  </si>
  <si>
    <t xml:space="preserve">Mismo visualizado y manejo que FC724</t>
  </si>
  <si>
    <t xml:space="preserve">C-Net / FCnet</t>
  </si>
  <si>
    <t xml:space="preserve">900 g</t>
  </si>
  <si>
    <t xml:space="preserve">Pisos y accesos de evacuación</t>
  </si>
  <si>
    <t xml:space="preserve">Cerberus PRO / Sinteso (C-NET) (red repetidora)</t>
  </si>
  <si>
    <t xml:space="preserve">FT724 (LCD)</t>
  </si>
  <si>
    <t xml:space="preserve">FT724</t>
  </si>
  <si>
    <t xml:space="preserve">Terminal oficial Cerberus PRO (FC724)</t>
  </si>
  <si>
    <t xml:space="preserve">FT724 (controles completos)</t>
  </si>
  <si>
    <t xml:space="preserve">FT724 (terminal de red)</t>
  </si>
  <si>
    <t xml:space="preserve">FDU291 (flujo 300)</t>
  </si>
  <si>
    <t xml:space="preserve">Flujo 300 m³/min</t>
  </si>
  <si>
    <t xml:space="preserve">Detector de humo para ductos (aloja FDOOT241)</t>
  </si>
  <si>
    <t xml:space="preserve">Muestreo de flujo con tubos de medición</t>
  </si>
  <si>
    <t xml:space="preserve">Carcasa 380 × 260 × 110 mm</t>
  </si>
  <si>
    <t xml:space="preserve">Ductos de climatización (EN 54-7)</t>
  </si>
  <si>
    <t xml:space="preserve">Autónomo con relés de flujo; integrable a cualquier central</t>
  </si>
  <si>
    <t xml:space="preserve">Muestreo de flujo en conducto (tubos de muestreo)</t>
  </si>
  <si>
    <t xml:space="preserve">FDU291 (flujo 500)</t>
  </si>
  <si>
    <t xml:space="preserve">Flujo 500 m³/min</t>
  </si>
  <si>
    <t xml:space="preserve">FDU291</t>
  </si>
  <si>
    <t xml:space="preserve">Flujo 700 m³/min</t>
  </si>
  <si>
    <t xml:space="preserve">Tubos de muestreo para flujos de 300-1,000 m³/min</t>
  </si>
  <si>
    <t xml:space="preserve">FDU291 (flujo 1000)</t>
  </si>
  <si>
    <t xml:space="preserve">Flujo 1,000 m³/min</t>
  </si>
  <si>
    <t xml:space="preserve">FDU291 con FDOOT241</t>
  </si>
  <si>
    <t xml:space="preserve">Flujo 1,500 m³/min</t>
  </si>
  <si>
    <t xml:space="preserve">FDMM201-B1 (básica)</t>
  </si>
  <si>
    <t xml:space="preserve">Base de montaje para detectores FD18</t>
  </si>
  <si>
    <t xml:space="preserve">Aísla cortocircuitos por sección de lazo</t>
  </si>
  <si>
    <t xml:space="preserve">Ø 100 × 22 mm</t>
  </si>
  <si>
    <t xml:space="preserve">Bases y aislamiento del lazo (EN 54-17)</t>
  </si>
  <si>
    <t xml:space="preserve">Centrales Cerberus PRO / Sinteso (C-NET)</t>
  </si>
  <si>
    <t xml:space="preserve">FDMM201-B1</t>
  </si>
  <si>
    <t xml:space="preserve">FDMM201-B1 con aislador</t>
  </si>
  <si>
    <t xml:space="preserve">Instalar aislador cada 25 dispositivos del lazo</t>
  </si>
  <si>
    <t xml:space="preserve">FDMM201-B1 con LED</t>
  </si>
  <si>
    <t xml:space="preserve">DBZ-1190 (C-Net)</t>
  </si>
  <si>
    <t xml:space="preserve">FPA-1000-VULC</t>
  </si>
  <si>
    <t xml:space="preserve">2 lazos · 508 puntos</t>
  </si>
  <si>
    <t xml:space="preserve">Central direccionable modular UL 864</t>
  </si>
  <si>
    <t xml:space="preserve">Autodiagnóstico, B700 display</t>
  </si>
  <si>
    <t xml:space="preserve">Red IP + SNMP</t>
  </si>
  <si>
    <t xml:space="preserve">Protocolo Bosch LSN / MODULO</t>
  </si>
  <si>
    <t xml:space="preserve">550 mA en reposo</t>
  </si>
  <si>
    <t xml:space="preserve">445 × 415 × 130 mm</t>
  </si>
  <si>
    <t xml:space="preserve">13 kg</t>
  </si>
  <si>
    <t xml:space="preserve">UL 864, EN 54-2/4, FM</t>
  </si>
  <si>
    <t xml:space="preserve">Central maestra — Centrales Bosch FPA-1200/LSN</t>
  </si>
  <si>
    <t xml:space="preserve">FPA-1200-VULC</t>
  </si>
  <si>
    <t xml:space="preserve">FPA-1200-VULC-A2</t>
  </si>
  <si>
    <t xml:space="preserve">Plataforma VULC expandible a 4 lazos</t>
  </si>
  <si>
    <t xml:space="preserve">FPA-1000-V2</t>
  </si>
  <si>
    <t xml:space="preserve">D9412GV4-FIRE</t>
  </si>
  <si>
    <t xml:space="preserve">2 zonas · 24 puntos</t>
  </si>
  <si>
    <t xml:space="preserve">Central convencional compacta UL</t>
  </si>
  <si>
    <t xml:space="preserve">Relés de alarma y problema integrados</t>
  </si>
  <si>
    <t xml:space="preserve">120/240 VAC · baterías 12 V 7 Ah</t>
  </si>
  <si>
    <t xml:space="preserve">300 mA en reposo</t>
  </si>
  <si>
    <t xml:space="preserve">343 × 343 × 89 mm</t>
  </si>
  <si>
    <t xml:space="preserve">6.5 kg</t>
  </si>
  <si>
    <t xml:space="preserve">Instalaciones pequeñas UL</t>
  </si>
  <si>
    <t xml:space="preserve">FPA-1000-VULC-C</t>
  </si>
  <si>
    <t xml:space="preserve">D1620</t>
  </si>
  <si>
    <t xml:space="preserve">Ideal para edificios de 2-6 zonas</t>
  </si>
  <si>
    <t xml:space="preserve">D1640</t>
  </si>
  <si>
    <t xml:space="preserve">D285TH</t>
  </si>
  <si>
    <t xml:space="preserve">F220-PL</t>
  </si>
  <si>
    <t xml:space="preserve">Compensación de deriva, LED de estado</t>
  </si>
  <si>
    <t xml:space="preserve">Ø 100 × 38 mm + base</t>
  </si>
  <si>
    <t xml:space="preserve">Interior general UL</t>
  </si>
  <si>
    <t xml:space="preserve">F220-PTH</t>
  </si>
  <si>
    <t xml:space="preserve">F220-P</t>
  </si>
  <si>
    <t xml:space="preserve">Base B210LP estándar</t>
  </si>
  <si>
    <t xml:space="preserve">D285B</t>
  </si>
  <si>
    <t xml:space="preserve">D7050TH</t>
  </si>
  <si>
    <t xml:space="preserve">FAP-420</t>
  </si>
  <si>
    <t xml:space="preserve">Óptico fotoeléctrico direccionable</t>
  </si>
  <si>
    <t xml:space="preserve">Lazo MODULO</t>
  </si>
  <si>
    <t xml:space="preserve">Interior general (EN/UL)</t>
  </si>
  <si>
    <t xml:space="preserve">Centrales Bosch FPA-1200/LSN</t>
  </si>
  <si>
    <t xml:space="preserve">FAP-620</t>
  </si>
  <si>
    <t xml:space="preserve">FAP-OT-420</t>
  </si>
  <si>
    <t xml:space="preserve">Base común con FPT-420</t>
  </si>
  <si>
    <t xml:space="preserve">FDP-420</t>
  </si>
  <si>
    <t xml:space="preserve">FAP-420-ISO</t>
  </si>
  <si>
    <t xml:space="preserve">FPT-420</t>
  </si>
  <si>
    <t xml:space="preserve">Termovelocimétrico direccionable</t>
  </si>
  <si>
    <t xml:space="preserve">Clase A1R/A2S, compensación</t>
  </si>
  <si>
    <t xml:space="preserve">152 g</t>
  </si>
  <si>
    <t xml:space="preserve">Cocinas y cuartos técnicos</t>
  </si>
  <si>
    <t xml:space="preserve">FPT-620</t>
  </si>
  <si>
    <t xml:space="preserve">FPT-420-ISO</t>
  </si>
  <si>
    <t xml:space="preserve">Misma base y lazo que FAP-420</t>
  </si>
  <si>
    <t xml:space="preserve">FPT-11</t>
  </si>
  <si>
    <t xml:space="preserve">FDT-420</t>
  </si>
  <si>
    <t xml:space="preserve">Sensor óptico-térmico (multicriterio)</t>
  </si>
  <si>
    <t xml:space="preserve">Combina humo + temperatura con algoritmos anti-falsa</t>
  </si>
  <si>
    <t xml:space="preserve">158 g</t>
  </si>
  <si>
    <t xml:space="preserve">Hoteles, hospitales y cocinas</t>
  </si>
  <si>
    <t xml:space="preserve">FAP-OT-420-ISO</t>
  </si>
  <si>
    <t xml:space="preserve">FAP-OT-420 (clase A1R)</t>
  </si>
  <si>
    <t xml:space="preserve">Base común con FAP-420; variante -ISO con aislador</t>
  </si>
  <si>
    <t xml:space="preserve">FAP-OT-420 (clase A2S)</t>
  </si>
  <si>
    <t xml:space="preserve">FAP-OT-420 (alta sensibilidad)</t>
  </si>
  <si>
    <t xml:space="preserve">Bosch no fabrica detectores de llama; referencia Det-Tronics X3301</t>
  </si>
  <si>
    <t xml:space="preserve">Bosch no fabrica ASD; referencia VESDA (Xtralis)</t>
  </si>
  <si>
    <t xml:space="preserve">D296</t>
  </si>
  <si>
    <t xml:space="preserve">Detector de humo por haz proyectado</t>
  </si>
  <si>
    <t xml:space="preserve">Compensación de deriva, test de alcance</t>
  </si>
  <si>
    <t xml:space="preserve">Zona alámbrica 24 V</t>
  </si>
  <si>
    <t xml:space="preserve">Transmisor/receptor 280 × 140 × 95 mm</t>
  </si>
  <si>
    <t xml:space="preserve">850 g</t>
  </si>
  <si>
    <t xml:space="preserve">Atrios, naves, techos altos</t>
  </si>
  <si>
    <t xml:space="preserve">Centrales Bosch FPA-1200/LSN (lazo con base receptora)</t>
  </si>
  <si>
    <t xml:space="preserve">D297</t>
  </si>
  <si>
    <t xml:space="preserve">D295</t>
  </si>
  <si>
    <t xml:space="preserve">Detección 12-100 m con reflector</t>
  </si>
  <si>
    <t xml:space="preserve">D2422</t>
  </si>
  <si>
    <t xml:space="preserve">D2442</t>
  </si>
  <si>
    <t xml:space="preserve">F220-B6R</t>
  </si>
  <si>
    <t xml:space="preserve">Palanca doble acción rearmable</t>
  </si>
  <si>
    <t xml:space="preserve">Rearme con llave</t>
  </si>
  <si>
    <t xml:space="preserve">120 × 120 × 38 mm</t>
  </si>
  <si>
    <t xml:space="preserve">Vías de evacuación UL</t>
  </si>
  <si>
    <t xml:space="preserve">F220-B6R-R</t>
  </si>
  <si>
    <t xml:space="preserve">FDMH-265</t>
  </si>
  <si>
    <t xml:space="preserve">Compatible centrales convencionales</t>
  </si>
  <si>
    <t xml:space="preserve">F220-B9R</t>
  </si>
  <si>
    <t xml:space="preserve">MS-4001</t>
  </si>
  <si>
    <t xml:space="preserve">Notificación bajo System Sensor / Edwards según región</t>
  </si>
  <si>
    <t xml:space="preserve">FMM-104</t>
  </si>
  <si>
    <t xml:space="preserve">Módulo direccionable de monitoreo MODULO</t>
  </si>
  <si>
    <t xml:space="preserve">Monitorea zonas convencionales y contactos</t>
  </si>
  <si>
    <t xml:space="preserve">FMM-204</t>
  </si>
  <si>
    <t xml:space="preserve">FMM-204 = versión de 2 entradas + 2 relevadores</t>
  </si>
  <si>
    <t xml:space="preserve">FMZ-4</t>
  </si>
  <si>
    <t xml:space="preserve">FMM-104 (mini)</t>
  </si>
  <si>
    <t xml:space="preserve">FMR-1</t>
  </si>
  <si>
    <t xml:space="preserve">Módulo direccionable de relevador MODULO</t>
  </si>
  <si>
    <t xml:space="preserve">Controla equipos externos con confirmación</t>
  </si>
  <si>
    <t xml:space="preserve">Control de HVAC y puertas</t>
  </si>
  <si>
    <t xml:space="preserve">FMM-204 (2 relevadores)</t>
  </si>
  <si>
    <t xml:space="preserve">FMR-1 con aislador</t>
  </si>
  <si>
    <t xml:space="preserve">FMM-204 también entrega 2 relevadores programables</t>
  </si>
  <si>
    <t xml:space="preserve">FMR-1 (SPDT)</t>
  </si>
  <si>
    <t xml:space="preserve">FMZ-4 (salida)</t>
  </si>
  <si>
    <t xml:space="preserve">Bosch usa displays integrados FPA; terminal dedicada bajo proyecto (referencia ANN-80)</t>
  </si>
  <si>
    <t xml:space="preserve">Bosch no fabrica ducto; referencia InnovairFlex D4120</t>
  </si>
  <si>
    <t xml:space="preserve">Aisladores integrados en bases y módulos MODULO</t>
  </si>
  <si>
    <t xml:space="preserve">EST2</t>
  </si>
  <si>
    <t xml:space="preserve">Hasta 4 lazos · 1,000 puntos</t>
  </si>
  <si>
    <t xml:space="preserve">Plataforma direccionable de red</t>
  </si>
  <si>
    <t xml:space="preserve">Red de hasta 64 centrales, sincronización</t>
  </si>
  <si>
    <t xml:space="preserve">Red EST3 / IP</t>
  </si>
  <si>
    <t xml:space="preserve">Protocolo EST SIGA</t>
  </si>
  <si>
    <t xml:space="preserve">120/240 VAC · baterías 12 V 26 Ah</t>
  </si>
  <si>
    <t xml:space="preserve">600 mA en reposo</t>
  </si>
  <si>
    <t xml:space="preserve">480 × 450 × 140 mm</t>
  </si>
  <si>
    <t xml:space="preserve">18 kg</t>
  </si>
  <si>
    <t xml:space="preserve">UL 864 (9.ª ed.), FM, CSFM</t>
  </si>
  <si>
    <t xml:space="preserve">Edificios grandes y campus</t>
  </si>
  <si>
    <t xml:space="preserve">Central maestra — EST3/EST4/iO (protocolo Signature)</t>
  </si>
  <si>
    <t xml:space="preserve">EST3</t>
  </si>
  <si>
    <t xml:space="preserve">EST3X</t>
  </si>
  <si>
    <t xml:space="preserve">Estándar de misión crítica y campus universitarios</t>
  </si>
  <si>
    <t xml:space="preserve">EST4</t>
  </si>
  <si>
    <t xml:space="preserve">IO1000G</t>
  </si>
  <si>
    <t xml:space="preserve">IO500</t>
  </si>
  <si>
    <t xml:space="preserve">2 zonas · 12 puntos</t>
  </si>
  <si>
    <t xml:space="preserve">Central convencional compacta</t>
  </si>
  <si>
    <t xml:space="preserve">LCD 80 caracteres, 1 lazo expandible</t>
  </si>
  <si>
    <t xml:space="preserve">280 mA en reposo</t>
  </si>
  <si>
    <t xml:space="preserve">343 × 343 × 92 mm</t>
  </si>
  <si>
    <t xml:space="preserve">6.2 kg</t>
  </si>
  <si>
    <t xml:space="preserve">Instalaciones pequeñas</t>
  </si>
  <si>
    <t xml:space="preserve">IO1000</t>
  </si>
  <si>
    <t xml:space="preserve">IO64</t>
  </si>
  <si>
    <t xml:space="preserve">IO500 = versión de 1 zona</t>
  </si>
  <si>
    <t xml:space="preserve">GE-4Z</t>
  </si>
  <si>
    <t xml:space="preserve">IO1000G-4</t>
  </si>
  <si>
    <t xml:space="preserve">Edwards se enfoca en direccionable SIGA; convencional bajo IO/GE Security</t>
  </si>
  <si>
    <t xml:space="preserve">SIGA-PS</t>
  </si>
  <si>
    <t xml:space="preserve">Auto-diagnóstico, deriva compensada</t>
  </si>
  <si>
    <t xml:space="preserve">Lazo SIGA</t>
  </si>
  <si>
    <t xml:space="preserve">EST3/EST4/iO (protocolo Signature)</t>
  </si>
  <si>
    <t xml:space="preserve">SIGA-PHS</t>
  </si>
  <si>
    <t xml:space="preserve">SIGA-PD</t>
  </si>
  <si>
    <t xml:space="preserve">Base SIGA-SB estándar</t>
  </si>
  <si>
    <t xml:space="preserve">SIGA-PHD</t>
  </si>
  <si>
    <t xml:space="preserve">SIGA2-PS</t>
  </si>
  <si>
    <t xml:space="preserve">SIGA-HRS</t>
  </si>
  <si>
    <t xml:space="preserve">Termovelocimétrico + térmico fijo</t>
  </si>
  <si>
    <t xml:space="preserve">Clase A1R + 57 °C fijo</t>
  </si>
  <si>
    <t xml:space="preserve">SIGA-HFD</t>
  </si>
  <si>
    <t xml:space="preserve">SIGA-HRD</t>
  </si>
  <si>
    <t xml:space="preserve">Base SIGA-SB común</t>
  </si>
  <si>
    <t xml:space="preserve">SIGA2-HRS</t>
  </si>
  <si>
    <t xml:space="preserve">SIGA2-HFD</t>
  </si>
  <si>
    <t xml:space="preserve">Sensor multicriterio fotoeléctrico + térmico</t>
  </si>
  <si>
    <t xml:space="preserve">Algoritmos con deriva compensada</t>
  </si>
  <si>
    <t xml:space="preserve">Riesgos mixtos con vapores</t>
  </si>
  <si>
    <t xml:space="preserve">SIGA2-PHS</t>
  </si>
  <si>
    <t xml:space="preserve">Base SIGA-SB estándar; SIGA2 = segunda generación</t>
  </si>
  <si>
    <t xml:space="preserve">SIGA-PD (deriva compensada)</t>
  </si>
  <si>
    <t xml:space="preserve">SIGA2-PHD</t>
  </si>
  <si>
    <t xml:space="preserve">Edwards no fabrica detectores de llama; referencia Det-Tronics X3301</t>
  </si>
  <si>
    <t xml:space="preserve">Edwards no fabrica ASD; referencia FAAST (Honeywell)</t>
  </si>
  <si>
    <t xml:space="preserve">Edwards no fabrica haz proyectado actual; referencia Bosch D296</t>
  </si>
  <si>
    <t xml:space="preserve">SIGA-270</t>
  </si>
  <si>
    <t xml:space="preserve">Palanca doble acción con llave</t>
  </si>
  <si>
    <t xml:space="preserve">Cerradura rearmable, LED de estado</t>
  </si>
  <si>
    <t xml:space="preserve">225 g</t>
  </si>
  <si>
    <t xml:space="preserve">SIGA-278</t>
  </si>
  <si>
    <t xml:space="preserve">SIGA-278R</t>
  </si>
  <si>
    <t xml:space="preserve">Versión SIGA-270 simple acción</t>
  </si>
  <si>
    <t xml:space="preserve">SIGA2-278</t>
  </si>
  <si>
    <t xml:space="preserve">M200-278</t>
  </si>
  <si>
    <t xml:space="preserve">G1F-RM</t>
  </si>
  <si>
    <t xml:space="preserve">95 dB / 15 cd</t>
  </si>
  <si>
    <t xml:space="preserve">Horn/strobe de pared GENESYS</t>
  </si>
  <si>
    <t xml:space="preserve">Candela seleccionable 15-75 cd</t>
  </si>
  <si>
    <t xml:space="preserve">Circuito NAC 24 V</t>
  </si>
  <si>
    <t xml:space="preserve">24 VDC NAC</t>
  </si>
  <si>
    <t xml:space="preserve">130 × 130 × 55 mm</t>
  </si>
  <si>
    <t xml:space="preserve">Notificación interior UL</t>
  </si>
  <si>
    <t xml:space="preserve">Circuitos NAC 24 V sincronizados de cualquier central</t>
  </si>
  <si>
    <t xml:space="preserve">G1F-HDVM</t>
  </si>
  <si>
    <t xml:space="preserve">100 dB / 15 cd</t>
  </si>
  <si>
    <t xml:space="preserve">G1-HDVM</t>
  </si>
  <si>
    <t xml:space="preserve">105 dB / 15 cd</t>
  </si>
  <si>
    <t xml:space="preserve">Compatible sistemas sincronizados EST</t>
  </si>
  <si>
    <t xml:space="preserve">G1F-RM-75</t>
  </si>
  <si>
    <t xml:space="preserve">110 dB / 15 cd</t>
  </si>
  <si>
    <t xml:space="preserve">Genesys-HS</t>
  </si>
  <si>
    <t xml:space="preserve">110 dB / 30 cd</t>
  </si>
  <si>
    <t xml:space="preserve">SIGA-MCT1</t>
  </si>
  <si>
    <t xml:space="preserve">Módulo direccionable de monitoreo SIGA</t>
  </si>
  <si>
    <t xml:space="preserve">Monitorea contactos y zonas convencionales</t>
  </si>
  <si>
    <t xml:space="preserve">110 × 90 × 32 mm</t>
  </si>
  <si>
    <t xml:space="preserve">SIGA-MCT2</t>
  </si>
  <si>
    <t xml:space="preserve">SIGA-CT1</t>
  </si>
  <si>
    <t xml:space="preserve">SIGA-MCT2 = versión de 2 entradas</t>
  </si>
  <si>
    <t xml:space="preserve">SIGA-UM</t>
  </si>
  <si>
    <t xml:space="preserve">SIGA-MCT2 (dual)</t>
  </si>
  <si>
    <t xml:space="preserve">SIGA-CR</t>
  </si>
  <si>
    <t xml:space="preserve">Módulo direccionable de relevador SIGA</t>
  </si>
  <si>
    <t xml:space="preserve">Controla equipos externos con supervisión</t>
  </si>
  <si>
    <t xml:space="preserve">SIGA-CR (SPDT)</t>
  </si>
  <si>
    <t xml:space="preserve">SIGA-CR con aislador</t>
  </si>
  <si>
    <t xml:space="preserve">SIGA-UM añade funciones de control de notificación</t>
  </si>
  <si>
    <t xml:space="preserve">SIGA-UM (salida)</t>
  </si>
  <si>
    <t xml:space="preserve">SIGA-CR (mini)</t>
  </si>
  <si>
    <t xml:space="preserve">Edwards usa LCD remota EST3/IO1000 bajo configuración de red; referencia ANN-80</t>
  </si>
  <si>
    <t xml:space="preserve">Edwards usa InnovairFlex D4120 (System Sensor)</t>
  </si>
  <si>
    <t xml:space="preserve">SIGA-IB</t>
  </si>
  <si>
    <t xml:space="preserve">Separa cortos por sección de lazo</t>
  </si>
  <si>
    <t xml:space="preserve">Ø 102 × 30 mm (base)</t>
  </si>
  <si>
    <t xml:space="preserve">Protección del lazo UL</t>
  </si>
  <si>
    <t xml:space="preserve">Centrales EST3/EST4/iO (protocolo Signature)</t>
  </si>
  <si>
    <t xml:space="preserve">SIGA2-IB</t>
  </si>
  <si>
    <t xml:space="preserve">SIGA-IB-CT2</t>
  </si>
  <si>
    <t xml:space="preserve">SIGA-ILC</t>
  </si>
  <si>
    <t xml:space="preserve">SIGA-IC</t>
  </si>
  <si>
    <t xml:space="preserve">4006</t>
  </si>
  <si>
    <t xml:space="preserve">4 lazos · 1,000 puntos</t>
  </si>
  <si>
    <t xml:space="preserve">Plataforma direccionable modular</t>
  </si>
  <si>
    <t xml:space="preserve">TrueAlarm analógico, red 4100ES</t>
  </si>
  <si>
    <t xml:space="preserve">Red Simplex / IP</t>
  </si>
  <si>
    <t xml:space="preserve">Protocolo Simplex TrueAlarm</t>
  </si>
  <si>
    <t xml:space="preserve">650 mA en reposo</t>
  </si>
  <si>
    <t xml:space="preserve">483 × 457 × 140 mm</t>
  </si>
  <si>
    <t xml:space="preserve">19 kg</t>
  </si>
  <si>
    <t xml:space="preserve">UL 864 (10.ª ed.), FM, CSFM</t>
  </si>
  <si>
    <t xml:space="preserve">Central maestra — 4100ES/4007ES (TrueAlarm)</t>
  </si>
  <si>
    <t xml:space="preserve">4007ES</t>
  </si>
  <si>
    <t xml:space="preserve">4100ES</t>
  </si>
  <si>
    <t xml:space="preserve">Estándar en hospitales y aeropuertos</t>
  </si>
  <si>
    <t xml:space="preserve">4100U</t>
  </si>
  <si>
    <t xml:space="preserve">4100ES-S1</t>
  </si>
  <si>
    <t xml:space="preserve">4005</t>
  </si>
  <si>
    <t xml:space="preserve">2 lazos · 100 puntos</t>
  </si>
  <si>
    <t xml:space="preserve">Central direccionable compacta</t>
  </si>
  <si>
    <t xml:space="preserve">LCD 160 caracteres, batería interna</t>
  </si>
  <si>
    <t xml:space="preserve">120/240 VAC · baterías 12 V 12 Ah</t>
  </si>
  <si>
    <t xml:space="preserve">320 mA en reposo</t>
  </si>
  <si>
    <t xml:space="preserve">368 × 343 × 105 mm</t>
  </si>
  <si>
    <t xml:space="preserve">8.2 kg</t>
  </si>
  <si>
    <t xml:space="preserve">Edificios pequeños/medianos</t>
  </si>
  <si>
    <t xml:space="preserve">Versión económica de la serie 4100ES</t>
  </si>
  <si>
    <t xml:space="preserve">4009</t>
  </si>
  <si>
    <t xml:space="preserve">4100ES-C</t>
  </si>
  <si>
    <t xml:space="preserve">Simplex se enfoca en TrueAlarm direccionable; convencional en 4005/4006 legacy</t>
  </si>
  <si>
    <t xml:space="preserve">4098-9714</t>
  </si>
  <si>
    <t xml:space="preserve">Óptico fotoeléctrico analógico</t>
  </si>
  <si>
    <t xml:space="preserve">Sensibilidad múltiple por software</t>
  </si>
  <si>
    <t xml:space="preserve">Lazo TrueAlarm</t>
  </si>
  <si>
    <t xml:space="preserve">4100ES/4007ES (TrueAlarm)</t>
  </si>
  <si>
    <t xml:space="preserve">4098-9733</t>
  </si>
  <si>
    <t xml:space="preserve">4098-9754</t>
  </si>
  <si>
    <t xml:space="preserve">Base 4098-9792 estándar</t>
  </si>
  <si>
    <t xml:space="preserve">4098-9711</t>
  </si>
  <si>
    <t xml:space="preserve">4098-9756</t>
  </si>
  <si>
    <t xml:space="preserve">4098-9719</t>
  </si>
  <si>
    <t xml:space="preserve">Térmico analógico (A1R + 57 °C)</t>
  </si>
  <si>
    <t xml:space="preserve">Clase A1R con termovelocímetro</t>
  </si>
  <si>
    <t xml:space="preserve">4098-9718</t>
  </si>
  <si>
    <t xml:space="preserve">4098-9757</t>
  </si>
  <si>
    <t xml:space="preserve">Base común con 4098-9733</t>
  </si>
  <si>
    <t xml:space="preserve">4098-9717</t>
  </si>
  <si>
    <t xml:space="preserve">4098-9758</t>
  </si>
  <si>
    <t xml:space="preserve">Multisensor foto + térmico analógico</t>
  </si>
  <si>
    <t xml:space="preserve">Algoritmo combinado humo/temp</t>
  </si>
  <si>
    <t xml:space="preserve">Ambientes desafiantes</t>
  </si>
  <si>
    <t xml:space="preserve">4098-9755</t>
  </si>
  <si>
    <t xml:space="preserve">Reduce falsas alarmas en hoteles</t>
  </si>
  <si>
    <t xml:space="preserve">TrueAlarm-MS</t>
  </si>
  <si>
    <t xml:space="preserve">4098-9760</t>
  </si>
  <si>
    <t xml:space="preserve">Simplex no fabrica detectores de llama; referencia Det-Tronics X3301</t>
  </si>
  <si>
    <t xml:space="preserve">Simplex no fabrica ASD; referencia VESDA (Xtralis)</t>
  </si>
  <si>
    <t xml:space="preserve">Simplex no fabrica haz proyectado actual; referencia Bosch D296</t>
  </si>
  <si>
    <t xml:space="preserve">4099-9003</t>
  </si>
  <si>
    <t xml:space="preserve">Rearme con llave, LED de alarma</t>
  </si>
  <si>
    <t xml:space="preserve">Lazo TrueAlarm / NAC</t>
  </si>
  <si>
    <t xml:space="preserve">140 × 115 × 40 mm</t>
  </si>
  <si>
    <t xml:space="preserve">4099-9006</t>
  </si>
  <si>
    <t xml:space="preserve">4099-9020</t>
  </si>
  <si>
    <t xml:space="preserve">Versión simple acción 4099-9006</t>
  </si>
  <si>
    <t xml:space="preserve">4099-9013</t>
  </si>
  <si>
    <t xml:space="preserve">2099-9204</t>
  </si>
  <si>
    <t xml:space="preserve">4906-9101</t>
  </si>
  <si>
    <t xml:space="preserve">Horn/strobe de pared TrueAlert</t>
  </si>
  <si>
    <t xml:space="preserve">Candela seleccionable, sincronizado</t>
  </si>
  <si>
    <t xml:space="preserve">140 × 135 × 55 mm</t>
  </si>
  <si>
    <t xml:space="preserve">410 g</t>
  </si>
  <si>
    <t xml:space="preserve">4906-9127</t>
  </si>
  <si>
    <t xml:space="preserve">4906-9152</t>
  </si>
  <si>
    <t xml:space="preserve">Serie TrueAlert sincronizable</t>
  </si>
  <si>
    <t xml:space="preserve">4906-9227</t>
  </si>
  <si>
    <t xml:space="preserve">4906-9253</t>
  </si>
  <si>
    <t xml:space="preserve">4090-9001</t>
  </si>
  <si>
    <t xml:space="preserve">Módulo direccionable de monitoreo TrueAlarm</t>
  </si>
  <si>
    <t xml:space="preserve">Lazo Simplex</t>
  </si>
  <si>
    <t xml:space="preserve">4090-9003</t>
  </si>
  <si>
    <t xml:space="preserve">4090-9010</t>
  </si>
  <si>
    <t xml:space="preserve">4090-9002 = versión de control/relevador</t>
  </si>
  <si>
    <t xml:space="preserve">4090-9002</t>
  </si>
  <si>
    <t xml:space="preserve">4090-9001 (mini)</t>
  </si>
  <si>
    <t xml:space="preserve">Módulo direccionable de relevador TrueAlarm</t>
  </si>
  <si>
    <t xml:space="preserve">4090-9022</t>
  </si>
  <si>
    <t xml:space="preserve">4090-9002 (SPDT)</t>
  </si>
  <si>
    <t xml:space="preserve">4090-9022 = versión de relevo doble con aislador</t>
  </si>
  <si>
    <t xml:space="preserve">4090-9003 (control)</t>
  </si>
  <si>
    <t xml:space="preserve">4090-9022 (mini)</t>
  </si>
  <si>
    <t xml:space="preserve">Anunciadores Simplex 4602 bajo configuración de proyecto; referencia ANN-80</t>
  </si>
  <si>
    <t xml:space="preserve">Simplex usa InnovairFlex D4120 (System Sensor)</t>
  </si>
  <si>
    <t xml:space="preserve">Aisladores integrados en bases y módulos TrueAlarm</t>
  </si>
  <si>
    <t xml:space="preserve">MAx</t>
  </si>
  <si>
    <t xml:space="preserve">1-2 lazos · 254 puntos</t>
  </si>
  <si>
    <t xml:space="preserve">LCD grande, programación en sitio</t>
  </si>
  <si>
    <t xml:space="preserve">Red IP opcional</t>
  </si>
  <si>
    <t xml:space="preserve">Protocolo Morley-IAS (protocolo System Sensor)</t>
  </si>
  <si>
    <t xml:space="preserve">230 VAC · baterías 12 V 12 Ah</t>
  </si>
  <si>
    <t xml:space="preserve">400 mA en reposo</t>
  </si>
  <si>
    <t xml:space="preserve">385 × 340 × 110 mm</t>
  </si>
  <si>
    <t xml:space="preserve">9 kg</t>
  </si>
  <si>
    <t xml:space="preserve">EN 54-2/4, LPCB, CE</t>
  </si>
  <si>
    <t xml:space="preserve">Edificios medianos EN 54</t>
  </si>
  <si>
    <t xml:space="preserve">Central maestra — Centrales Morley-IAS MAx/DXc</t>
  </si>
  <si>
    <t xml:space="preserve">MAx-2</t>
  </si>
  <si>
    <t xml:space="preserve">MAx-4</t>
  </si>
  <si>
    <t xml:space="preserve">Escala a 4 lazos en versión MAx-4</t>
  </si>
  <si>
    <t xml:space="preserve">DXc1e-ADDR</t>
  </si>
  <si>
    <t xml:space="preserve">MAx-6</t>
  </si>
  <si>
    <t xml:space="preserve">DXc1</t>
  </si>
  <si>
    <t xml:space="preserve">2 zonas · 20 puntos</t>
  </si>
  <si>
    <t xml:space="preserve">Central convencional LPCB</t>
  </si>
  <si>
    <t xml:space="preserve">Circuito de sirenas 500 mA</t>
  </si>
  <si>
    <t xml:space="preserve">230 VAC · baterías 12 V 2.1 Ah</t>
  </si>
  <si>
    <t xml:space="preserve">150 mA en reposo</t>
  </si>
  <si>
    <t xml:space="preserve">280 × 220 × 75 mm</t>
  </si>
  <si>
    <t xml:space="preserve">Instalaciones pequeñas EN 54</t>
  </si>
  <si>
    <t xml:space="preserve">DXc2</t>
  </si>
  <si>
    <t xml:space="preserve">DXc4</t>
  </si>
  <si>
    <t xml:space="preserve">Versiones DXc1/DXc4 según zonas</t>
  </si>
  <si>
    <t xml:space="preserve">DXc6</t>
  </si>
  <si>
    <t xml:space="preserve">DXc8</t>
  </si>
  <si>
    <t xml:space="preserve">MI-PS191</t>
  </si>
  <si>
    <t xml:space="preserve">Compensación de deriva, LED</t>
  </si>
  <si>
    <t xml:space="preserve">Interior general EN 54-7</t>
  </si>
  <si>
    <t xml:space="preserve">MI-PS195</t>
  </si>
  <si>
    <t xml:space="preserve">MI-PS191-ION</t>
  </si>
  <si>
    <t xml:space="preserve">Base estándar 45681-246</t>
  </si>
  <si>
    <t xml:space="preserve">MI-PS199</t>
  </si>
  <si>
    <t xml:space="preserve">MI-PS-TE</t>
  </si>
  <si>
    <t xml:space="preserve">MI-PD191</t>
  </si>
  <si>
    <t xml:space="preserve">Óptico direccionable protocolo Morley</t>
  </si>
  <si>
    <t xml:space="preserve">Sensibilidad por software, deriva</t>
  </si>
  <si>
    <t xml:space="preserve">Lazo Morley-IAS</t>
  </si>
  <si>
    <t xml:space="preserve">Interior general EN</t>
  </si>
  <si>
    <t xml:space="preserve">Centrales Morley-IAS MAx/DXc</t>
  </si>
  <si>
    <t xml:space="preserve">MI-PD195</t>
  </si>
  <si>
    <t xml:space="preserve">MI-PD199</t>
  </si>
  <si>
    <t xml:space="preserve">Compatible con centrales MAx/DXc1e</t>
  </si>
  <si>
    <t xml:space="preserve">MI-PD-OT</t>
  </si>
  <si>
    <t xml:space="preserve">MI-PD-TH</t>
  </si>
  <si>
    <t xml:space="preserve">MI-HS191</t>
  </si>
  <si>
    <t xml:space="preserve">Clase A1R/A2S</t>
  </si>
  <si>
    <t xml:space="preserve">MI-HS195</t>
  </si>
  <si>
    <t xml:space="preserve">MI-HS-OT</t>
  </si>
  <si>
    <t xml:space="preserve">Base común con MI-PD191</t>
  </si>
  <si>
    <t xml:space="preserve">MI-HS199</t>
  </si>
  <si>
    <t xml:space="preserve">MI-HS-TE</t>
  </si>
  <si>
    <t xml:space="preserve">Morley usa protocolo Apollo; multicriterio en Discovery (Apollo)</t>
  </si>
  <si>
    <t xml:space="preserve">Morley no fabrica detectores de llama; referencia Det-Tronics X3301</t>
  </si>
  <si>
    <t xml:space="preserve">Morley no fabrica ASD; referencia VESDA (Xtralis)</t>
  </si>
  <si>
    <t xml:space="preserve">Morley no fabrica haz proyectado; referencia Bosch D296</t>
  </si>
  <si>
    <t xml:space="preserve">MI-MS7</t>
  </si>
  <si>
    <t xml:space="preserve">Palanca simple acción con vidrio</t>
  </si>
  <si>
    <t xml:space="preserve">Vidrio de reemplazo, llave de rearme</t>
  </si>
  <si>
    <t xml:space="preserve">93 × 93 × 32 mm</t>
  </si>
  <si>
    <t xml:space="preserve">Vías de evacuación EN 54-11</t>
  </si>
  <si>
    <t xml:space="preserve">MI-MS7R</t>
  </si>
  <si>
    <t xml:space="preserve">MI-MS5</t>
  </si>
  <si>
    <t xml:space="preserve">Versiones rearmables disponibles</t>
  </si>
  <si>
    <t xml:space="preserve">MI-MS9</t>
  </si>
  <si>
    <t xml:space="preserve">MI-MS-DA</t>
  </si>
  <si>
    <t xml:space="preserve">Notificación bajo System Sensor/Vimpex según región</t>
  </si>
  <si>
    <t xml:space="preserve">MI-MO1</t>
  </si>
  <si>
    <t xml:space="preserve">Módulo direccionable de monitoreo (protocolo Apollo)</t>
  </si>
  <si>
    <t xml:space="preserve">Lazo Morley (Apollo compatible)</t>
  </si>
  <si>
    <t xml:space="preserve">MI-MO2</t>
  </si>
  <si>
    <t xml:space="preserve">MI-MO1 (dual)</t>
  </si>
  <si>
    <t xml:space="preserve">MI-MO2 = versión de 2 entradas</t>
  </si>
  <si>
    <t xml:space="preserve">MI-MO1 (mini)</t>
  </si>
  <si>
    <t xml:space="preserve">MI-RL1 (monitor/zona)</t>
  </si>
  <si>
    <t xml:space="preserve">MI-RL1</t>
  </si>
  <si>
    <t xml:space="preserve">Módulo direccionable de relevador (protocolo Apollo)</t>
  </si>
  <si>
    <t xml:space="preserve">MI-RL2</t>
  </si>
  <si>
    <t xml:space="preserve">MI-RL4</t>
  </si>
  <si>
    <t xml:space="preserve">MI-RL4 = versión de relevo cuádruple</t>
  </si>
  <si>
    <t xml:space="preserve">MI-RL1 (SPDT)</t>
  </si>
  <si>
    <t xml:space="preserve">MI-RL2 (doble)</t>
  </si>
  <si>
    <t xml:space="preserve">Morley no fabrica terminal remota dedicada; referencia ANN-80 (Honeywell)</t>
  </si>
  <si>
    <t xml:space="preserve">Morley no fabrica ducto; referencia InnovairFlex D4120</t>
  </si>
  <si>
    <t xml:space="preserve">Aisladores integrados en bases y módulos de lazo</t>
  </si>
  <si>
    <t xml:space="preserve">Apollo es fabricante de detectores (no centrales); protocolo XP95 en 40+ centrales</t>
  </si>
  <si>
    <t xml:space="preserve">Apollo es fabricante de detectores; sus convencionales van con centrales de terceros</t>
  </si>
  <si>
    <t xml:space="preserve">Series 65 Ión (55000-120)</t>
  </si>
  <si>
    <t xml:space="preserve">Compensación de deriva, LED dual</t>
  </si>
  <si>
    <t xml:space="preserve">Protocolo Apollo XP95/Discovery</t>
  </si>
  <si>
    <t xml:space="preserve">-20 °C a +60 °C</t>
  </si>
  <si>
    <t xml:space="preserve">EN 54-7/5/17, LPCB, VdS, CE</t>
  </si>
  <si>
    <t xml:space="preserve">Series 65 Óptico (55000-322)</t>
  </si>
  <si>
    <t xml:space="preserve">Series 65 Térmico (55000-330)</t>
  </si>
  <si>
    <t xml:space="preserve">Base 45681-205 estándar; OEM de muchas centrales</t>
  </si>
  <si>
    <t xml:space="preserve">Orbis Óptico (ORB-OP-12001)</t>
  </si>
  <si>
    <t xml:space="preserve">Orbis Térmico (ORB-HT-12002)</t>
  </si>
  <si>
    <t xml:space="preserve">XP95 Óptico (55000-600)</t>
  </si>
  <si>
    <t xml:space="preserve">Óptico fotoeléctrico XP95</t>
  </si>
  <si>
    <t xml:space="preserve">Sensibilidad fija optimizada, LED</t>
  </si>
  <si>
    <t xml:space="preserve">Lazo XP95/Discovery</t>
  </si>
  <si>
    <t xml:space="preserve">Interior general (protocolo XP95)</t>
  </si>
  <si>
    <t xml:space="preserve">Cualquier central con protocolo Apollo (XP95/Discovery)</t>
  </si>
  <si>
    <t xml:space="preserve">XP95 Ión (55000-225)</t>
  </si>
  <si>
    <t xml:space="preserve">XP95 Óptico IS (55000-860)</t>
  </si>
  <si>
    <t xml:space="preserve">Compatible con 40+ fabricantes de centrales</t>
  </si>
  <si>
    <t xml:space="preserve">Orbis IS Óptico (ORB-OP-10302)</t>
  </si>
  <si>
    <t xml:space="preserve">XP95 Alta Sensibilidad (55000-700)</t>
  </si>
  <si>
    <t xml:space="preserve">XP95 A1R (55000-400)</t>
  </si>
  <si>
    <t xml:space="preserve">Termovelocimétrico XP95</t>
  </si>
  <si>
    <t xml:space="preserve">Clase A1R (57 °C/15 °C/min)</t>
  </si>
  <si>
    <t xml:space="preserve">XP95 CS (55000-410)</t>
  </si>
  <si>
    <t xml:space="preserve">Discovery Térmico (58000-400)</t>
  </si>
  <si>
    <t xml:space="preserve">Versión CS (fijo 90 °C) disponible</t>
  </si>
  <si>
    <t xml:space="preserve">Orbis A1R (ORB-HT-11101)</t>
  </si>
  <si>
    <t xml:space="preserve">XP95 A2S (55000-430)</t>
  </si>
  <si>
    <t xml:space="preserve">Discovery Óptico (58000-505)</t>
  </si>
  <si>
    <t xml:space="preserve">Multisensor CO + térmico</t>
  </si>
  <si>
    <t xml:space="preserve">Modos CO/Heat/CO-Heat por software</t>
  </si>
  <si>
    <t xml:space="preserve">Dormitorios y ambientes desafiantes</t>
  </si>
  <si>
    <t xml:space="preserve">Discovery CO/Heat (58000-575)</t>
  </si>
  <si>
    <t xml:space="preserve">Discovery Multisensor (58000-600)</t>
  </si>
  <si>
    <t xml:space="preserve">Referencia mundial anti-falsa alarma</t>
  </si>
  <si>
    <t xml:space="preserve">XP95 Multisensor IS (55000-880)</t>
  </si>
  <si>
    <t xml:space="preserve">Discovery Térmico Mult (58000-450)</t>
  </si>
  <si>
    <t xml:space="preserve">Apollo no fabrica detectores de llama; referencia Det-Tronics X3301</t>
  </si>
  <si>
    <t xml:space="preserve">Apollo no fabrica ASD; referencia VESDA (Xtralis)</t>
  </si>
  <si>
    <t xml:space="preserve">Discovery Beam 5-70 m (58000-600)</t>
  </si>
  <si>
    <t xml:space="preserve">Detector óptico de haz proyectado</t>
  </si>
  <si>
    <t xml:space="preserve">Auto-compensación, alineación LED</t>
  </si>
  <si>
    <t xml:space="preserve">Transmisor 205 × 135 × 105 mm</t>
  </si>
  <si>
    <t xml:space="preserve">890 g</t>
  </si>
  <si>
    <t xml:space="preserve">Atrios y naves (techos 2.5-70 m)</t>
  </si>
  <si>
    <t xml:space="preserve">Cualquier central con protocolo Apollo (XP95/Discovery) (lazo con base receptora)</t>
  </si>
  <si>
    <t xml:space="preserve">Discovery Beam IR3 (58000-620)</t>
  </si>
  <si>
    <t xml:space="preserve">Beam 5-100 m (58000-650)</t>
  </si>
  <si>
    <t xml:space="preserve">Versión IR3 para ambientes agresivos</t>
  </si>
  <si>
    <t xml:space="preserve">Beam Mini (58000-680)</t>
  </si>
  <si>
    <t xml:space="preserve">Beam II (58000-690)</t>
  </si>
  <si>
    <t xml:space="preserve">Estaciones manuales vía KAC/Vimpex con protocolo XP95; referencia KAC MCP4A</t>
  </si>
  <si>
    <t xml:space="preserve">Notificación vía Vimpex/Hochiki CHQ; Apollo no fabrica sirenas</t>
  </si>
  <si>
    <t xml:space="preserve">XP95 Monitor (55000-406)</t>
  </si>
  <si>
    <t xml:space="preserve">Módulo direccionable XP95 de monitoreo</t>
  </si>
  <si>
    <t xml:space="preserve">Lazo Apollo XP95/Discovery</t>
  </si>
  <si>
    <t xml:space="preserve">98 × 98 × 22 mm (base)</t>
  </si>
  <si>
    <t xml:space="preserve">XP95 Switch Monitor (55000-590)</t>
  </si>
  <si>
    <t xml:space="preserve">XP95 I/O (55000-722)</t>
  </si>
  <si>
    <t xml:space="preserve">55000-590 = Switch Monitor con relé de aislamiento</t>
  </si>
  <si>
    <t xml:space="preserve">XP95 Monitor (aislado)</t>
  </si>
  <si>
    <t xml:space="preserve">XP95 Monitor (mini)</t>
  </si>
  <si>
    <t xml:space="preserve">XP95 Control (55000-742)</t>
  </si>
  <si>
    <t xml:space="preserve">Módulo direccionable XP95 de control</t>
  </si>
  <si>
    <t xml:space="preserve">Discovery I/O (58000-720)</t>
  </si>
  <si>
    <t xml:space="preserve">58000-720 = versión Discovery con aislador</t>
  </si>
  <si>
    <t xml:space="preserve">XP95 Control (doble)</t>
  </si>
  <si>
    <t xml:space="preserve">XP95 Control (con LED)</t>
  </si>
  <si>
    <t xml:space="preserve">Apollo es fabricante de detectores; terminales según central compatible</t>
  </si>
  <si>
    <t xml:space="preserve">Ducto vía muestreo VESDA en ductos; referencia D4120</t>
  </si>
  <si>
    <t xml:space="preserve">XP95 Aisladora (45681-279)</t>
  </si>
  <si>
    <t xml:space="preserve">Base con aislador XP95</t>
  </si>
  <si>
    <t xml:space="preserve">Ø 100 × 22 mm (base)</t>
  </si>
  <si>
    <t xml:space="preserve">Protección del lazo EN 54-17</t>
  </si>
  <si>
    <t xml:space="preserve">Centrales Cualquier central con protocolo Apollo (XP95/Discovery)</t>
  </si>
  <si>
    <t xml:space="preserve">XP95 Aisladora IS (45681-290)</t>
  </si>
  <si>
    <t xml:space="preserve">Discovery Aisladora (45681-295)</t>
  </si>
  <si>
    <t xml:space="preserve">Instalar cada 20-25 dispositivos</t>
  </si>
  <si>
    <t xml:space="preserve">XP95 Aislador (55000-580)</t>
  </si>
  <si>
    <t xml:space="preserve">Orbis Aisladora (ORB-BA-12101)</t>
  </si>
  <si>
    <t xml:space="preserve">Hochiki es fabricante de detectores ESP (no centrales); centrales ESP de 20+ fabricantes</t>
  </si>
  <si>
    <t xml:space="preserve">Hochiki es fabricante de detectores; sus convencionales van con centrales de terceros</t>
  </si>
  <si>
    <t xml:space="preserve">SLV-E</t>
  </si>
  <si>
    <t xml:space="preserve">Cámara de insectos, deriva compensada</t>
  </si>
  <si>
    <t xml:space="preserve">Protocolo Hochiki ESP (ALN-V/ASC)</t>
  </si>
  <si>
    <t xml:space="preserve">-10 °C a +60 °C</t>
  </si>
  <si>
    <t xml:space="preserve">Ø 100 × 46 mm + base</t>
  </si>
  <si>
    <t xml:space="preserve">EN 54-7/5/11/17, LPCB, VdS, UL</t>
  </si>
  <si>
    <t xml:space="preserve">SLK-E</t>
  </si>
  <si>
    <t xml:space="preserve">SLG-E</t>
  </si>
  <si>
    <t xml:space="preserve">Base YBN-R/1 estándar</t>
  </si>
  <si>
    <t xml:space="preserve">SLL-E</t>
  </si>
  <si>
    <t xml:space="preserve">DFJ-E</t>
  </si>
  <si>
    <t xml:space="preserve">ALN-V</t>
  </si>
  <si>
    <t xml:space="preserve">Lazo ESP</t>
  </si>
  <si>
    <t xml:space="preserve">Interior general (protocolo ESP)</t>
  </si>
  <si>
    <t xml:space="preserve">Cualquier central con protocolo Hochiki ESP</t>
  </si>
  <si>
    <t xml:space="preserve">ALG-V</t>
  </si>
  <si>
    <t xml:space="preserve">ALV-V</t>
  </si>
  <si>
    <t xml:space="preserve">Compatible con centrales ESP de muchos fabricantes</t>
  </si>
  <si>
    <t xml:space="preserve">ACA-V</t>
  </si>
  <si>
    <t xml:space="preserve">ALN-VX</t>
  </si>
  <si>
    <t xml:space="preserve">ATJ-E</t>
  </si>
  <si>
    <t xml:space="preserve">ATG-E</t>
  </si>
  <si>
    <t xml:space="preserve">ATV-V</t>
  </si>
  <si>
    <t xml:space="preserve">Base YBN-R/1 común con ALN-V</t>
  </si>
  <si>
    <t xml:space="preserve">ATJ-EX</t>
  </si>
  <si>
    <t xml:space="preserve">ATJ-E-CS</t>
  </si>
  <si>
    <t xml:space="preserve">Sensor multi-canal humo + CO + térmico</t>
  </si>
  <si>
    <t xml:space="preserve">Algoritmos anti-falsa alarma multicriterio</t>
  </si>
  <si>
    <t xml:space="preserve">Lazo Hochiki ESP</t>
  </si>
  <si>
    <t xml:space="preserve">ACA-V (aislado)</t>
  </si>
  <si>
    <t xml:space="preserve">ACA-V (alta sensibilidad)</t>
  </si>
  <si>
    <t xml:space="preserve">ALV-V = variante foto + térmico; base YBN-R/3</t>
  </si>
  <si>
    <t xml:space="preserve">ALV-V (multisensor)</t>
  </si>
  <si>
    <t xml:space="preserve">ACA-V (ajuste fino)</t>
  </si>
  <si>
    <t xml:space="preserve">Hochiki no fabrica detectores de llama; referencia Det-Tronics X3301</t>
  </si>
  <si>
    <t xml:space="preserve">Hochiki no fabrica ASD; referencia VESDA (Xtralis)</t>
  </si>
  <si>
    <t xml:space="preserve">Hochiki no fabrica haz proyectado; referencia FFE Fireray/Bosch D296</t>
  </si>
  <si>
    <t xml:space="preserve">HCP-1004-SC</t>
  </si>
  <si>
    <t xml:space="preserve">93 × 93 × 35 mm</t>
  </si>
  <si>
    <t xml:space="preserve">HCP-1004-R</t>
  </si>
  <si>
    <t xml:space="preserve">HCP-1004-K</t>
  </si>
  <si>
    <t xml:space="preserve">Versiones con llave y LED de dirección</t>
  </si>
  <si>
    <t xml:space="preserve">HCP-1006</t>
  </si>
  <si>
    <t xml:space="preserve">HCP-1004-DA</t>
  </si>
  <si>
    <t xml:space="preserve">CHQ-WS2</t>
  </si>
  <si>
    <t xml:space="preserve">Sirena/estrobo de lazo ESP</t>
  </si>
  <si>
    <t xml:space="preserve">Sincronización por lazo, direccionable</t>
  </si>
  <si>
    <t xml:space="preserve">110 × 110 × 58 mm</t>
  </si>
  <si>
    <t xml:space="preserve">420 g</t>
  </si>
  <si>
    <t xml:space="preserve">Notificación interior EN 54-3/23</t>
  </si>
  <si>
    <t xml:space="preserve">CHQ-WSB</t>
  </si>
  <si>
    <t xml:space="preserve">CHQ-WS2/SI</t>
  </si>
  <si>
    <t xml:space="preserve">Versión aislada CHQ-WS2/SI</t>
  </si>
  <si>
    <t xml:space="preserve">CHQ-WS3</t>
  </si>
  <si>
    <t xml:space="preserve">CHQ-WS2/WP</t>
  </si>
  <si>
    <t xml:space="preserve">CHQ-MON</t>
  </si>
  <si>
    <t xml:space="preserve">Módulo direccionable ESP de monitoreo</t>
  </si>
  <si>
    <t xml:space="preserve">98 × 98 × 24 mm (base)</t>
  </si>
  <si>
    <t xml:space="preserve">CHQ-SIM</t>
  </si>
  <si>
    <t xml:space="preserve">CHQ-MON (aislado)</t>
  </si>
  <si>
    <t xml:space="preserve">CHQ-SIM = módulo de entrada sencillo montaje DIN</t>
  </si>
  <si>
    <t xml:space="preserve">CHQ-MON (dual)</t>
  </si>
  <si>
    <t xml:space="preserve">CHQ-SIM (mini)</t>
  </si>
  <si>
    <t xml:space="preserve">CHQ-RC</t>
  </si>
  <si>
    <t xml:space="preserve">Módulo direccionable ESP de relevador</t>
  </si>
  <si>
    <t xml:space="preserve">CHQ-RC/SI</t>
  </si>
  <si>
    <t xml:space="preserve">CHQ-RC-2</t>
  </si>
  <si>
    <t xml:space="preserve">CHQ-RC/SI = versión con aislador de cortocircuito</t>
  </si>
  <si>
    <t xml:space="preserve">CHQ-RC (SPDT)</t>
  </si>
  <si>
    <t xml:space="preserve">CHQ-CM (control)</t>
  </si>
  <si>
    <t xml:space="preserve">Hochiki no fabrica terminales; centrales compatibles incluyen repetidoras propias</t>
  </si>
  <si>
    <t xml:space="preserve">DCH-100</t>
  </si>
  <si>
    <t xml:space="preserve">Detector de ducto con cámara de flujo</t>
  </si>
  <si>
    <t xml:space="preserve">Monitoreo de flujo, test plug</t>
  </si>
  <si>
    <t xml:space="preserve">Zona 24 V / lazo ESP</t>
  </si>
  <si>
    <t xml:space="preserve">Cámara 220 × 180 × 120 mm</t>
  </si>
  <si>
    <t xml:space="preserve">Ductos de HVAC EN 54-7</t>
  </si>
  <si>
    <t xml:space="preserve">DCH-200</t>
  </si>
  <si>
    <t xml:space="preserve">DCH-300</t>
  </si>
  <si>
    <t xml:space="preserve">Sonda de flujo incluida</t>
  </si>
  <si>
    <t xml:space="preserve">DCH-100-E</t>
  </si>
  <si>
    <t xml:space="preserve">DCH-400</t>
  </si>
  <si>
    <t xml:space="preserve">YBN-R/3-ISO</t>
  </si>
  <si>
    <t xml:space="preserve">Base direccionable con aislador ESP</t>
  </si>
  <si>
    <t xml:space="preserve">Centrales Cualquier central con protocolo Hochiki ESP</t>
  </si>
  <si>
    <t xml:space="preserve">YBN-R/3-ISO/SI</t>
  </si>
  <si>
    <t xml:space="preserve">YBN-R/4-ISO</t>
  </si>
  <si>
    <t xml:space="preserve">Compatible ALN-V/ATJ-E y otros ESP</t>
  </si>
  <si>
    <t xml:space="preserve">CHQ-IB</t>
  </si>
  <si>
    <t xml:space="preserve">YBN-R/3-ISO-B</t>
  </si>
  <si>
    <t xml:space="preserve">System Sensor es fabricante de dispositivos (no centrales)</t>
  </si>
  <si>
    <t xml:space="preserve">i3 2WTA-B</t>
  </si>
  <si>
    <t xml:space="preserve">Óptico fotoeléctrico i3 con estrobo</t>
  </si>
  <si>
    <t xml:space="preserve">Serie i3 con modo coyote (drift)</t>
  </si>
  <si>
    <t xml:space="preserve">Circuito 2 hilos 12/24 V</t>
  </si>
  <si>
    <t xml:space="preserve">Circuito convencional 12/24 V (i3)</t>
  </si>
  <si>
    <t xml:space="preserve">12/24 VDC de central</t>
  </si>
  <si>
    <t xml:space="preserve">Ø 130 × 45 mm</t>
  </si>
  <si>
    <t xml:space="preserve">UL 268, UL 464, FM</t>
  </si>
  <si>
    <t xml:space="preserve">Habitaciones residenciales/hotel</t>
  </si>
  <si>
    <t xml:space="preserve">i3 2WTAB</t>
  </si>
  <si>
    <t xml:space="preserve">i3 4WTAB</t>
  </si>
  <si>
    <t xml:space="preserve">Estrobo integrado 15 cd; opción 4WTAB de 4 hilos</t>
  </si>
  <si>
    <t xml:space="preserve">i3 2WTR-B</t>
  </si>
  <si>
    <t xml:space="preserve">PC1216</t>
  </si>
  <si>
    <t xml:space="preserve">Dispositivos direccionables vía Honeywell Notifier FSP-951</t>
  </si>
  <si>
    <t xml:space="preserve">Dispositivos direccionables vía Honeywell Notifier FST-951</t>
  </si>
  <si>
    <t xml:space="preserve">System Sensor no fabrica multicriterio; referencia Apollo Discovery</t>
  </si>
  <si>
    <t xml:space="preserve">System Sensor no fabrica detectores de llama; referencia Det-Tronics X3301</t>
  </si>
  <si>
    <t xml:space="preserve">System Sensor no fabrica ASD; referencia VESDA (Xtralis)</t>
  </si>
  <si>
    <t xml:space="preserve">BEAM1224</t>
  </si>
  <si>
    <t xml:space="preserve">Detector de humo por haz con reflector</t>
  </si>
  <si>
    <t xml:space="preserve">Auto-compensación de deriva, test integrado</t>
  </si>
  <si>
    <t xml:space="preserve">Transmisor/receptor 250 × 130 × 90 mm</t>
  </si>
  <si>
    <t xml:space="preserve">790 g</t>
  </si>
  <si>
    <t xml:space="preserve">Atrios, naves, techos altos UL</t>
  </si>
  <si>
    <t xml:space="preserve">Circuitos convencionales 24 V (i3) (lazo con base receptora)</t>
  </si>
  <si>
    <t xml:space="preserve">BEAM1224S</t>
  </si>
  <si>
    <t xml:space="preserve">BEAM2000</t>
  </si>
  <si>
    <t xml:space="preserve">Detección 7-100 m con reflector incluido</t>
  </si>
  <si>
    <t xml:space="preserve">BEAM1224-24</t>
  </si>
  <si>
    <t xml:space="preserve">BEAM-EX</t>
  </si>
  <si>
    <t xml:space="preserve">Estaciones manuales bajo Fire-Lite BG-12 / Edwards SIGA-278</t>
  </si>
  <si>
    <t xml:space="preserve">P2RL</t>
  </si>
  <si>
    <t xml:space="preserve">Horn/strobe de pared</t>
  </si>
  <si>
    <t xml:space="preserve">Candela seleccionable con DIP</t>
  </si>
  <si>
    <t xml:space="preserve">Circuito NAC 12/24 V</t>
  </si>
  <si>
    <t xml:space="preserve">12/24 VDC NAC</t>
  </si>
  <si>
    <t xml:space="preserve">140 × 135 × 52 mm</t>
  </si>
  <si>
    <t xml:space="preserve">400 g</t>
  </si>
  <si>
    <t xml:space="preserve">Notificación interior UL (mercado universal)</t>
  </si>
  <si>
    <t xml:space="preserve">P2RLK</t>
  </si>
  <si>
    <t xml:space="preserve">P2RK</t>
  </si>
  <si>
    <t xml:space="preserve">Versiones P2RLK (blanco) y P2RK (rojo)</t>
  </si>
  <si>
    <t xml:space="preserve">P2RL-75</t>
  </si>
  <si>
    <t xml:space="preserve">P4RL</t>
  </si>
  <si>
    <t xml:space="preserve">Módulos bajo Fire-Lite FRM-1 / Notifier FMM-1 (misma familia Honeywell)</t>
  </si>
  <si>
    <t xml:space="preserve">Módulos de relevador bajo Fire-Lite CRF-300 / Notifier FRM-1</t>
  </si>
  <si>
    <t xml:space="preserve">System Sensor es fabricante de dispositivos (no terminales)</t>
  </si>
  <si>
    <t xml:space="preserve">D4120</t>
  </si>
  <si>
    <t xml:space="preserve">Detector fotoeléctrico de ducto</t>
  </si>
  <si>
    <t xml:space="preserve">Cámara de flujo con sonda, test plug</t>
  </si>
  <si>
    <t xml:space="preserve">Circuito convencional / lazo vía módulo</t>
  </si>
  <si>
    <t xml:space="preserve">Cámara 200 × 160 × 110 mm</t>
  </si>
  <si>
    <t xml:space="preserve">Ductos de HVAC (referencia del mercado)</t>
  </si>
  <si>
    <t xml:space="preserve">D4120P</t>
  </si>
  <si>
    <t xml:space="preserve">D4S</t>
  </si>
  <si>
    <t xml:space="preserve">Son compatible sondas A/B según ducto</t>
  </si>
  <si>
    <t xml:space="preserve">D4120-24</t>
  </si>
  <si>
    <t xml:space="preserve">InnovairFlex-D4S</t>
  </si>
  <si>
    <t xml:space="preserve">Aisladores bajo Fire-Lite ISO-X / Apollo 45681-279</t>
  </si>
  <si>
    <t xml:space="preserve">GST200</t>
  </si>
  <si>
    <t xml:space="preserve">2 lazos · 486 puntos</t>
  </si>
  <si>
    <t xml:space="preserve">Central direccionable con LCD</t>
  </si>
  <si>
    <t xml:space="preserve">Programación en sitio, red RS485</t>
  </si>
  <si>
    <t xml:space="preserve">Red GST / módulo GSM opcional</t>
  </si>
  <si>
    <t xml:space="preserve">Protocolo GST (bus propio)</t>
  </si>
  <si>
    <t xml:space="preserve">220 VAC · baterías 12 V 12 Ah</t>
  </si>
  <si>
    <t xml:space="preserve">350 mA en reposo</t>
  </si>
  <si>
    <t xml:space="preserve">400 × 300 × 110 mm</t>
  </si>
  <si>
    <t xml:space="preserve">10 kg</t>
  </si>
  <si>
    <t xml:space="preserve">CE, EN 54-2/4/7/5</t>
  </si>
  <si>
    <t xml:space="preserve">Edificios medianos (buena relación costo)</t>
  </si>
  <si>
    <t xml:space="preserve">Central maestra — Centrales GST5000/GST200 (protocolo GST)</t>
  </si>
  <si>
    <t xml:space="preserve">GST5000</t>
  </si>
  <si>
    <t xml:space="preserve">GST500</t>
  </si>
  <si>
    <t xml:space="preserve">Plataforma GST con red en cascada</t>
  </si>
  <si>
    <t xml:space="preserve">GST10000</t>
  </si>
  <si>
    <t xml:space="preserve">GST5000-2L</t>
  </si>
  <si>
    <t xml:space="preserve">Circuito de sirenas 1 A</t>
  </si>
  <si>
    <t xml:space="preserve">220 VAC · baterías 12 V 4.5 Ah</t>
  </si>
  <si>
    <t xml:space="preserve">120 mA en reposo</t>
  </si>
  <si>
    <t xml:space="preserve">300 × 240 × 85 mm</t>
  </si>
  <si>
    <t xml:space="preserve">4.5 kg</t>
  </si>
  <si>
    <t xml:space="preserve">GST200-2</t>
  </si>
  <si>
    <t xml:space="preserve">GST400</t>
  </si>
  <si>
    <t xml:space="preserve">Ideal para locales de 2-6 detectores</t>
  </si>
  <si>
    <t xml:space="preserve">GST100</t>
  </si>
  <si>
    <t xml:space="preserve">GST200-4</t>
  </si>
  <si>
    <t xml:space="preserve">JTY-GD-G3</t>
  </si>
  <si>
    <t xml:space="preserve">JTY-GD-3000</t>
  </si>
  <si>
    <t xml:space="preserve">JTY-GD-G3T</t>
  </si>
  <si>
    <t xml:space="preserve">Base estándar incluida</t>
  </si>
  <si>
    <t xml:space="preserve">JTY-GD-HA</t>
  </si>
  <si>
    <t xml:space="preserve">JTY-GD-G5</t>
  </si>
  <si>
    <t xml:space="preserve">JTY-GD-GST5000</t>
  </si>
  <si>
    <t xml:space="preserve">Óptico direccionable</t>
  </si>
  <si>
    <t xml:space="preserve">Direccionamiento por interruptor</t>
  </si>
  <si>
    <t xml:space="preserve">Lazo GST</t>
  </si>
  <si>
    <t xml:space="preserve">Centrales GST5000/GST200 (protocolo GST)</t>
  </si>
  <si>
    <t xml:space="preserve">JTY-GD-GST9611</t>
  </si>
  <si>
    <t xml:space="preserve">JTY-GD-GST5000B</t>
  </si>
  <si>
    <t xml:space="preserve">Compatible con toda la serie GST</t>
  </si>
  <si>
    <t xml:space="preserve">JTY-GD-GST5000C</t>
  </si>
  <si>
    <t xml:space="preserve">JTY-GD-GST5001</t>
  </si>
  <si>
    <t xml:space="preserve">JTW-ZDM-GST85B</t>
  </si>
  <si>
    <t xml:space="preserve">JTW-ZCD-G3N</t>
  </si>
  <si>
    <t xml:space="preserve">JTW-ZDM-GST85A</t>
  </si>
  <si>
    <t xml:space="preserve">Base común con humo GST</t>
  </si>
  <si>
    <t xml:space="preserve">JTW-BD-GST9612</t>
  </si>
  <si>
    <t xml:space="preserve">JTW-ZDM-GST85C</t>
  </si>
  <si>
    <t xml:space="preserve">GST usa JTY-GD-G3 + algoritmos; multicriterio en Apollo Discovery</t>
  </si>
  <si>
    <t xml:space="preserve">GST no fabrica detectores de llama; referencia Det-Tronics X3301</t>
  </si>
  <si>
    <t xml:space="preserve">GST no fabrica ASD; referencia VESDA (Xtralis)</t>
  </si>
  <si>
    <t xml:space="preserve">GST no fabrica haz proyectado; referencia Bosch D296</t>
  </si>
  <si>
    <t xml:space="preserve">J-SAP-M-GST9113</t>
  </si>
  <si>
    <t xml:space="preserve">Rearme con llave, LED</t>
  </si>
  <si>
    <t xml:space="preserve">93 × 93 × 33 mm</t>
  </si>
  <si>
    <t xml:space="preserve">Vías de evacuación</t>
  </si>
  <si>
    <t xml:space="preserve">J-SAP-M-GST9112</t>
  </si>
  <si>
    <t xml:space="preserve">J-SAP-M-GST9115</t>
  </si>
  <si>
    <t xml:space="preserve">Versión direccionable y convencional</t>
  </si>
  <si>
    <t xml:space="preserve">J-SAP-M-9113R</t>
  </si>
  <si>
    <t xml:space="preserve">J-SAP-M-GST9116</t>
  </si>
  <si>
    <t xml:space="preserve">HX-100B</t>
  </si>
  <si>
    <t xml:space="preserve">Sirena de lazo/convencional</t>
  </si>
  <si>
    <t xml:space="preserve">Lazo GST / NAC 24 V</t>
  </si>
  <si>
    <t xml:space="preserve">Ø 140 × 60 mm</t>
  </si>
  <si>
    <t xml:space="preserve">Notificación interior</t>
  </si>
  <si>
    <t xml:space="preserve">HX-100F</t>
  </si>
  <si>
    <t xml:space="preserve">HX-100D</t>
  </si>
  <si>
    <t xml:space="preserve">Versión con estrobo HX-100F disponible</t>
  </si>
  <si>
    <t xml:space="preserve">HX-200B</t>
  </si>
  <si>
    <t xml:space="preserve">HX-100B/T</t>
  </si>
  <si>
    <t xml:space="preserve">GST-LD-KZ014</t>
  </si>
  <si>
    <t xml:space="preserve">Módulo direccionable de monitoreo GST</t>
  </si>
  <si>
    <t xml:space="preserve">110 × 80 × 30 mm</t>
  </si>
  <si>
    <t xml:space="preserve">GST-LD-KZ014R</t>
  </si>
  <si>
    <t xml:space="preserve">GST-LD-KZ014B</t>
  </si>
  <si>
    <t xml:space="preserve">KZ014R = versión con aislador de lazo</t>
  </si>
  <si>
    <t xml:space="preserve">GST-LD-KZ014 (dual)</t>
  </si>
  <si>
    <t xml:space="preserve">GST-LD-KZ014 (mini)</t>
  </si>
  <si>
    <t xml:space="preserve">GST-LD-KZ016</t>
  </si>
  <si>
    <t xml:space="preserve">Módulo direccionable de relevador GST</t>
  </si>
  <si>
    <t xml:space="preserve">GST-LD-KZ018</t>
  </si>
  <si>
    <t xml:space="preserve">GST-LD-KZ016 (SPDT)</t>
  </si>
  <si>
    <t xml:space="preserve">KZ018 = versión de salida doble</t>
  </si>
  <si>
    <t xml:space="preserve">GST-LD-KZ016R</t>
  </si>
  <si>
    <t xml:space="preserve">GST-LD-KZ018 (doble)</t>
  </si>
  <si>
    <t xml:space="preserve">GST ofrece repetidoras según región (referencia ANN-80)</t>
  </si>
  <si>
    <t xml:space="preserve">GST usa muestreo en ducto vía módulo; referencia D4120</t>
  </si>
  <si>
    <t xml:space="preserve">Aisladores integrados en módulos LD-KZ014R y bases</t>
  </si>
  <si>
    <t xml:space="preserve">MS-9200UDLS</t>
  </si>
  <si>
    <t xml:space="preserve">2 lazos · 198 puntos</t>
  </si>
  <si>
    <t xml:space="preserve">Central direccionable con pantalla táctil 4.3"</t>
  </si>
  <si>
    <t xml:space="preserve">LiteSpeed, programación en sitio</t>
  </si>
  <si>
    <t xml:space="preserve">Ethernet + IPDACT opcional</t>
  </si>
  <si>
    <t xml:space="preserve">Protocolo Fire-Lite LiteSpeed</t>
  </si>
  <si>
    <t xml:space="preserve">420 mA en reposo</t>
  </si>
  <si>
    <t xml:space="preserve">400 × 380 × 125 mm</t>
  </si>
  <si>
    <t xml:space="preserve">UL 864 (9.ª/10.ª ed.), FM, CSFM</t>
  </si>
  <si>
    <t xml:space="preserve">Edificios medianos UL 864</t>
  </si>
  <si>
    <t xml:space="preserve">Central maestra — Fire-Lite serie ES/MS (LiteSpeed/CLIP)</t>
  </si>
  <si>
    <t xml:space="preserve">ES-50X</t>
  </si>
  <si>
    <t xml:space="preserve">ES-200X</t>
  </si>
  <si>
    <t xml:space="preserve">Pantalla táctil color con app Fire-Lite</t>
  </si>
  <si>
    <t xml:space="preserve">MS-9050UD-ADDR</t>
  </si>
  <si>
    <t xml:space="preserve">ES-200X-2L</t>
  </si>
  <si>
    <t xml:space="preserve">MS-4</t>
  </si>
  <si>
    <t xml:space="preserve">1 circuito convencional + dialer</t>
  </si>
  <si>
    <t xml:space="preserve">Central convencional con comunicador</t>
  </si>
  <si>
    <t xml:space="preserve">LCD 80 caracteres, 2 NAC integrados</t>
  </si>
  <si>
    <t xml:space="preserve">Dialer integrado + IPDACT</t>
  </si>
  <si>
    <t xml:space="preserve">343 × 343 × 91 mm</t>
  </si>
  <si>
    <t xml:space="preserve">7.0 kg</t>
  </si>
  <si>
    <t xml:space="preserve">MS-5UD-3</t>
  </si>
  <si>
    <t xml:space="preserve">MS-10UD-7</t>
  </si>
  <si>
    <t xml:space="preserve">El convencional más vendido de EE. UU.</t>
  </si>
  <si>
    <t xml:space="preserve">MS-9200UDLS-C</t>
  </si>
  <si>
    <t xml:space="preserve">Detectores convencionales bajo System Sensor i3; Fire-Lite centrales</t>
  </si>
  <si>
    <t xml:space="preserve">SD355</t>
  </si>
  <si>
    <t xml:space="preserve">Detector óptico direccionable Fire·Lite</t>
  </si>
  <si>
    <t xml:space="preserve">Lazo Fire·Lite (protocolo propio)</t>
  </si>
  <si>
    <t xml:space="preserve">Interior general (UL 268)</t>
  </si>
  <si>
    <t xml:space="preserve">Fire-Lite serie ES/MS (LiteSpeed/CLIP)</t>
  </si>
  <si>
    <t xml:space="preserve">SD355R</t>
  </si>
  <si>
    <t xml:space="preserve">SD355T</t>
  </si>
  <si>
    <t xml:space="preserve">Base B710LP; SD355R = versión empotrada</t>
  </si>
  <si>
    <t xml:space="preserve">SD355-ISO</t>
  </si>
  <si>
    <t xml:space="preserve">SD355 con base B710LP</t>
  </si>
  <si>
    <t xml:space="preserve">HD355</t>
  </si>
  <si>
    <t xml:space="preserve">Detector térmico direccionable Fire·Lite</t>
  </si>
  <si>
    <t xml:space="preserve">Cocinas y cuartos técnicos (UL 521)</t>
  </si>
  <si>
    <t xml:space="preserve">HD355R</t>
  </si>
  <si>
    <t xml:space="preserve">HD355 (fijo 57 °C)</t>
  </si>
  <si>
    <t xml:space="preserve">Base B710LP; HD355R = versión empotrada</t>
  </si>
  <si>
    <t xml:space="preserve">HD355-ISO</t>
  </si>
  <si>
    <t xml:space="preserve">HD355 con base B710LP</t>
  </si>
  <si>
    <t xml:space="preserve">Fire-Lite no fabrica multicriterio; referencia Apollo Discovery</t>
  </si>
  <si>
    <t xml:space="preserve">Fire-Lite no fabrica detectores de llama; referencia Det-Tronics X3301</t>
  </si>
  <si>
    <t xml:space="preserve">Fire-Lite no fabrica ASD; referencia FAAST (Honeywell)</t>
  </si>
  <si>
    <t xml:space="preserve">Fire-Lite no fabrica haz proyectado; referencia System Sensor BEAM1224</t>
  </si>
  <si>
    <t xml:space="preserve">BG-12</t>
  </si>
  <si>
    <t xml:space="preserve">Lazo LiteSpeed</t>
  </si>
  <si>
    <t xml:space="preserve">BG-12LX</t>
  </si>
  <si>
    <t xml:space="preserve">BG-12LO</t>
  </si>
  <si>
    <t xml:space="preserve">Versión simple acción BG-12</t>
  </si>
  <si>
    <t xml:space="preserve">BG-12LX-A</t>
  </si>
  <si>
    <t xml:space="preserve">BG-12DLX</t>
  </si>
  <si>
    <t xml:space="preserve">Módulo direccionable de monitoreo (Fire·Lite)</t>
  </si>
  <si>
    <t xml:space="preserve">MMF-302 = versión de 2 zonas monitoreadas</t>
  </si>
  <si>
    <t xml:space="preserve">MMF-302</t>
  </si>
  <si>
    <t xml:space="preserve">MMF-301</t>
  </si>
  <si>
    <t xml:space="preserve">Módulo direccionable de relevador (Fire·Lite)</t>
  </si>
  <si>
    <t xml:space="preserve">FRM-2</t>
  </si>
  <si>
    <t xml:space="preserve">CRF-300</t>
  </si>
  <si>
    <t xml:space="preserve">CRF-300 = módulo de relevador de control convencional</t>
  </si>
  <si>
    <t xml:space="preserve">CRF-300 (SPDT)</t>
  </si>
  <si>
    <t xml:space="preserve">CRF-300 con aislador</t>
  </si>
  <si>
    <t xml:space="preserve">Anunciador remoto Fire·Lite con controles</t>
  </si>
  <si>
    <t xml:space="preserve">Lobbies y accesos</t>
  </si>
  <si>
    <t xml:space="preserve">Fire-Lite serie ES/MS (LiteSpeed/CLIP) (red repetidora)</t>
  </si>
  <si>
    <t xml:space="preserve">ANN-80-WH (blanco)</t>
  </si>
  <si>
    <t xml:space="preserve">ANN-80-RLY (relevador)</t>
  </si>
  <si>
    <t xml:space="preserve">Compatibles con centrales MS/ES de Fire·Lite</t>
  </si>
  <si>
    <t xml:space="preserve">ANN-80 (LED)</t>
  </si>
  <si>
    <t xml:space="preserve">ANN-80-RLY (LED + relé)</t>
  </si>
  <si>
    <t xml:space="preserve">Ducto bajo System Sensor InnovairFlex D4120</t>
  </si>
  <si>
    <t xml:space="preserve">B710LP</t>
  </si>
  <si>
    <t xml:space="preserve">Base de montaje para detectores direccionables Fire·Lite</t>
  </si>
  <si>
    <t xml:space="preserve">Aislador disponible en versión -ISO</t>
  </si>
  <si>
    <t xml:space="preserve">Ø 102 × 22 mm</t>
  </si>
  <si>
    <t xml:space="preserve">75 g</t>
  </si>
  <si>
    <t xml:space="preserve">Bases y aislamiento del lazo</t>
  </si>
  <si>
    <t xml:space="preserve">Centrales Fire-Lite serie ES/MS (LiteSpeed/CLIP)</t>
  </si>
  <si>
    <t xml:space="preserve">B210LP</t>
  </si>
  <si>
    <t xml:space="preserve">B210LP/B224BI cubren la gama Notifier/Fire·Lite</t>
  </si>
  <si>
    <t xml:space="preserve">Premier 4Z</t>
  </si>
  <si>
    <t xml:space="preserve">1 lazo · 99 puntos</t>
  </si>
  <si>
    <t xml:space="preserve">Central direccionable económica</t>
  </si>
  <si>
    <t xml:space="preserve">Protocolo Apollo XP95 compatible</t>
  </si>
  <si>
    <t xml:space="preserve">RS485 / repetidor opcional</t>
  </si>
  <si>
    <t xml:space="preserve">Zona convencional / protocolo Apollo XP95</t>
  </si>
  <si>
    <t xml:space="preserve">230 VAC · baterías 12 V 7 Ah</t>
  </si>
  <si>
    <t xml:space="preserve">340 × 300 × 90 mm</t>
  </si>
  <si>
    <t xml:space="preserve">Pequeños edificios con presupuesto ajustado</t>
  </si>
  <si>
    <t xml:space="preserve">Central maestra — Centrales Zeta (convencional + XP95)</t>
  </si>
  <si>
    <t xml:space="preserve">Premier 8Z</t>
  </si>
  <si>
    <t xml:space="preserve">Premier Plus 4</t>
  </si>
  <si>
    <t xml:space="preserve">Ampliable a 2 lazos (Premier 8Z)</t>
  </si>
  <si>
    <t xml:space="preserve">Premier M</t>
  </si>
  <si>
    <t xml:space="preserve">Premier 12Z</t>
  </si>
  <si>
    <t xml:space="preserve">Premier AL2</t>
  </si>
  <si>
    <t xml:space="preserve">2 zonas · 16 puntos</t>
  </si>
  <si>
    <t xml:space="preserve">110 mA en reposo</t>
  </si>
  <si>
    <t xml:space="preserve">270 × 210 × 72 mm</t>
  </si>
  <si>
    <t xml:space="preserve">Premier AL4</t>
  </si>
  <si>
    <t xml:space="preserve">Premier AL8</t>
  </si>
  <si>
    <t xml:space="preserve">Versiones AL4/AL8 según zonas</t>
  </si>
  <si>
    <t xml:space="preserve">Premier EX-4</t>
  </si>
  <si>
    <t xml:space="preserve">Premier AL12</t>
  </si>
  <si>
    <t xml:space="preserve">Fyrey Extra MkII Óptico</t>
  </si>
  <si>
    <t xml:space="preserve">Fyrey Extra MkII Iónico</t>
  </si>
  <si>
    <t xml:space="preserve">Fyrey Óptico</t>
  </si>
  <si>
    <t xml:space="preserve">Base estándar incluida; muy usado en LatAm</t>
  </si>
  <si>
    <t xml:space="preserve">Fyrey Térmico A1R</t>
  </si>
  <si>
    <t xml:space="preserve">Fyrey Extra Térmico CS</t>
  </si>
  <si>
    <t xml:space="preserve">Zeta direccionable usa protocolo Apollo; detectores XP95 de Apollo</t>
  </si>
  <si>
    <t xml:space="preserve">Zeta direccionable usa protocolo Apollo; térmicos XP95 de Apollo</t>
  </si>
  <si>
    <t xml:space="preserve">Zeta no fabrica multicriterio; referencia Apollo Discovery</t>
  </si>
  <si>
    <t xml:space="preserve">Zeta no fabrica detectores de llama; referencia Det-Tronics X3301</t>
  </si>
  <si>
    <t xml:space="preserve">Zeta no fabrica ASD; referencia VESDA (Xtralis)</t>
  </si>
  <si>
    <t xml:space="preserve">Zeta no fabrica haz proyectado; referencia Bosch D296</t>
  </si>
  <si>
    <t xml:space="preserve">CP9</t>
  </si>
  <si>
    <t xml:space="preserve">Vidrio de reemplazo, llave</t>
  </si>
  <si>
    <t xml:space="preserve">CP9-R</t>
  </si>
  <si>
    <t xml:space="preserve">CP9-DA</t>
  </si>
  <si>
    <t xml:space="preserve">Versión rearmable CP9-R disponible</t>
  </si>
  <si>
    <t xml:space="preserve">CP9-K</t>
  </si>
  <si>
    <t xml:space="preserve">CP9-WP</t>
  </si>
  <si>
    <t xml:space="preserve">ZSB-E</t>
  </si>
  <si>
    <t xml:space="preserve">Sirena con estrobo convencional</t>
  </si>
  <si>
    <t xml:space="preserve">IP33C</t>
  </si>
  <si>
    <t xml:space="preserve">Ø 140 × 65 mm</t>
  </si>
  <si>
    <t xml:space="preserve">ZSB-EX</t>
  </si>
  <si>
    <t xml:space="preserve">ZSB-E/WP</t>
  </si>
  <si>
    <t xml:space="preserve">Versión IP65 exterior ZSB-EX</t>
  </si>
  <si>
    <t xml:space="preserve">ZSB-E-75</t>
  </si>
  <si>
    <t xml:space="preserve">ZSB-E-15</t>
  </si>
  <si>
    <t xml:space="preserve">Módulos vía protocolo Apollo XP95 (referencia Apollo 55000-406/742)</t>
  </si>
  <si>
    <t xml:space="preserve">Zeta no fabrica terminal remota; referencia ANN-80</t>
  </si>
  <si>
    <t xml:space="preserve">Zeta no fabrica ducto; referencia InnovairFlex D4120</t>
  </si>
  <si>
    <t xml:space="preserve">Aisladores vía bases XP95 (referencia Apollo 45681-279)</t>
  </si>
  <si>
    <t xml:space="preserve">Vigilon Compact</t>
  </si>
  <si>
    <t xml:space="preserve">4 lazos · 400 puntos</t>
  </si>
  <si>
    <t xml:space="preserve">Central Vigilon modular</t>
  </si>
  <si>
    <t xml:space="preserve">Pantalla gráfica, red de hasta 6 centrales</t>
  </si>
  <si>
    <t xml:space="preserve">Red Vigilon / IP</t>
  </si>
  <si>
    <t xml:space="preserve">Protocolo Gent Vigilon</t>
  </si>
  <si>
    <t xml:space="preserve">230 VAC · baterías 12 V 17 Ah</t>
  </si>
  <si>
    <t xml:space="preserve">420 × 380 × 115 mm</t>
  </si>
  <si>
    <t xml:space="preserve">12 kg</t>
  </si>
  <si>
    <t xml:space="preserve">EN 54-2/4/7, LPCB, CE</t>
  </si>
  <si>
    <t xml:space="preserve">Edificios medianos y grandes EN 54</t>
  </si>
  <si>
    <t xml:space="preserve">Central maestra — Gent Vigilon/Sentai (protocolo Gent)</t>
  </si>
  <si>
    <t xml:space="preserve">Vigilon Compact Plus</t>
  </si>
  <si>
    <t xml:space="preserve">Vigilon</t>
  </si>
  <si>
    <t xml:space="preserve">Redundancia de lazo opcional</t>
  </si>
  <si>
    <t xml:space="preserve">Vigilon Plus</t>
  </si>
  <si>
    <t xml:space="preserve">Gent GB-4L</t>
  </si>
  <si>
    <t xml:space="preserve">2 lazos · 126 puntos</t>
  </si>
  <si>
    <t xml:space="preserve">Central Vigilon compacta</t>
  </si>
  <si>
    <t xml:space="preserve">LCD integral, programación en sitio</t>
  </si>
  <si>
    <t xml:space="preserve">350 × 310 × 95 mm</t>
  </si>
  <si>
    <t xml:space="preserve">7.5 kg</t>
  </si>
  <si>
    <t xml:space="preserve">Vigilon 2L</t>
  </si>
  <si>
    <t xml:space="preserve">Versión Plus con 4 lazos</t>
  </si>
  <si>
    <t xml:space="preserve">Vigilon 4L</t>
  </si>
  <si>
    <t xml:space="preserve">Vigilon-EX</t>
  </si>
  <si>
    <t xml:space="preserve">Gent se enfoca en direccionable Vigilon; convencional bajo Zeta/Fyrey</t>
  </si>
  <si>
    <t xml:space="preserve">S-Quad Óptico (SQA-SO)</t>
  </si>
  <si>
    <t xml:space="preserve">Óptico + S-Quad multi-capa</t>
  </si>
  <si>
    <t xml:space="preserve">Sensor cuádruple con opciones de sonido</t>
  </si>
  <si>
    <t xml:space="preserve">Lazo Vigilon</t>
  </si>
  <si>
    <t xml:space="preserve">Ø 110 × 48 mm + base</t>
  </si>
  <si>
    <t xml:space="preserve">Gent Vigilon/Sentai (protocolo Gent)</t>
  </si>
  <si>
    <t xml:space="preserve">S-Quad Óptico Aislado (SQA-SO-ISO)</t>
  </si>
  <si>
    <t xml:space="preserve">S-Quad Óptico VOX (SQA-SO-V)</t>
  </si>
  <si>
    <t xml:space="preserve">La base puede incluir sirena y VOX</t>
  </si>
  <si>
    <t xml:space="preserve">S-Quad Óptico Strobe (SQA-SO-ST)</t>
  </si>
  <si>
    <t xml:space="preserve">S-Quad Óptico Sounder (SQA-SO-S)</t>
  </si>
  <si>
    <t xml:space="preserve">Gent usa S-Quad con capa térmica; térmico puro en Hochiki ATJ-E</t>
  </si>
  <si>
    <t xml:space="preserve">S-Quad Multisensor (SQ-MC)</t>
  </si>
  <si>
    <t xml:space="preserve">Multi-capa: óptico + térmico + CO + sonido</t>
  </si>
  <si>
    <t xml:space="preserve">Algoritmos S-Quad anti-falsa avanzados</t>
  </si>
  <si>
    <t xml:space="preserve">270 g</t>
  </si>
  <si>
    <t xml:space="preserve">Dormitorios, hoteles, hospitales</t>
  </si>
  <si>
    <t xml:space="preserve">S-Quad Multisensor VOX (SQ-MC-V)</t>
  </si>
  <si>
    <t xml:space="preserve">S-Quad Multisensor Aislado (SQ-MC-ISO)</t>
  </si>
  <si>
    <t xml:space="preserve">Referencia en detección multi-capa</t>
  </si>
  <si>
    <t xml:space="preserve">S-Quad Multisensor Strobe (SQ-MC-ST)</t>
  </si>
  <si>
    <t xml:space="preserve">S-Quad Multisensor Sounder (SQ-MC-S)</t>
  </si>
  <si>
    <t xml:space="preserve">Gent no fabrica detectores de llama; referencia Det-Tronics X3301</t>
  </si>
  <si>
    <t xml:space="preserve">Gent no fabrica ASD; referencia VESDA (Xtralis)</t>
  </si>
  <si>
    <t xml:space="preserve">Gent no fabrica haz proyectado; referencia Bosch D296</t>
  </si>
  <si>
    <t xml:space="preserve">SQA-CP</t>
  </si>
  <si>
    <t xml:space="preserve">Palanca con interruptor direccionable</t>
  </si>
  <si>
    <t xml:space="preserve">Rearme frontal, LED de dirección</t>
  </si>
  <si>
    <t xml:space="preserve">95 × 95 × 35 mm</t>
  </si>
  <si>
    <t xml:space="preserve">SQA-CP-K</t>
  </si>
  <si>
    <t xml:space="preserve">SQA-CP-DA</t>
  </si>
  <si>
    <t xml:space="preserve">Integrado a la familia S-Quad</t>
  </si>
  <si>
    <t xml:space="preserve">SQA-CP-ISO</t>
  </si>
  <si>
    <t xml:space="preserve">SQA-CP-WP</t>
  </si>
  <si>
    <t xml:space="preserve">SQ-SS</t>
  </si>
  <si>
    <t xml:space="preserve">S-Quad con altavoz/estrobo integrado</t>
  </si>
  <si>
    <t xml:space="preserve">Voz/sirena, candela 15-75 cd</t>
  </si>
  <si>
    <t xml:space="preserve">Ø 110 × 55 mm + base</t>
  </si>
  <si>
    <t xml:space="preserve">SQ-SS-75</t>
  </si>
  <si>
    <t xml:space="preserve">SQ-SS-WP</t>
  </si>
  <si>
    <t xml:space="preserve">Reduce cableado de NAC (todo por lazo)</t>
  </si>
  <si>
    <t xml:space="preserve">SQ-SS-VOX</t>
  </si>
  <si>
    <t xml:space="preserve">SQ-SS-30</t>
  </si>
  <si>
    <t xml:space="preserve">No fabrica módulos de lazo; integración vía central compatible</t>
  </si>
  <si>
    <t xml:space="preserve">Gent usa repetidor Vigilon bajo configuración de lazo; referencia ANN-80</t>
  </si>
  <si>
    <t xml:space="preserve">Gent usa muestreo VESDA en ductos; referencia D4120</t>
  </si>
  <si>
    <t xml:space="preserve">Aisladores integrados en bases S-Quad ISO y módulos VIO</t>
  </si>
  <si>
    <t xml:space="preserve">Xtralis es fabricante de ASD (no centrales); integración vía relés/Ethernet</t>
  </si>
  <si>
    <t xml:space="preserve">Xtralis es fabricante de ASD (no centrales)</t>
  </si>
  <si>
    <t xml:space="preserve">Xtralis no fabrica detectores puntuales; referencia Apollo/System Sensor</t>
  </si>
  <si>
    <t xml:space="preserve">Xtralis no fabrica detectores puntuales; su VESDA cubre alta sensibilidad</t>
  </si>
  <si>
    <t xml:space="preserve">Xtralis no fabrica detectores térmicos; referencia Honeywell FST-951</t>
  </si>
  <si>
    <t xml:space="preserve">Xtralis no fabrica multicriterio puntual; VESDA es su alternativa</t>
  </si>
  <si>
    <t xml:space="preserve">Xtralis no fabrica detectores de llama; referencia Det-Tronics X3301</t>
  </si>
  <si>
    <t xml:space="preserve">VESDA VLC-505</t>
  </si>
  <si>
    <t xml:space="preserve">Aspiración láser de alta sensibilidad</t>
  </si>
  <si>
    <t xml:space="preserve">4 umbrales, Clase A EN 54-20, autodiagnóstico</t>
  </si>
  <si>
    <t xml:space="preserve">Ethernet/IP + lazo vía relés</t>
  </si>
  <si>
    <t xml:space="preserve">Ethernet / lazo vía módulo (no direccionable propio)</t>
  </si>
  <si>
    <t xml:space="preserve">70 W máx</t>
  </si>
  <si>
    <t xml:space="preserve">0 °C a +39 °C</t>
  </si>
  <si>
    <t xml:space="preserve">350 × 225 × 135 mm</t>
  </si>
  <si>
    <t xml:space="preserve">EN 54-20 Clase A, UL 268 7.ª ed., FM</t>
  </si>
  <si>
    <t xml:space="preserve">Centros de datos, atrios, almacenes críticos</t>
  </si>
  <si>
    <t xml:space="preserve">Autónomo con relés/Ethernet; integrable a Autónomo (relés) / VESDAnet / Ethernet vía módulo de monitoreo</t>
  </si>
  <si>
    <t xml:space="preserve">VESDA VLC-500</t>
  </si>
  <si>
    <t xml:space="preserve">VESDA VEP-A00-P</t>
  </si>
  <si>
    <t xml:space="preserve">El ASD de referencia mundial (VESDA)</t>
  </si>
  <si>
    <t xml:space="preserve">VESDA-E VEU</t>
  </si>
  <si>
    <t xml:space="preserve">Xtralis no fabrica haz proyectado; referencia Bosch D296</t>
  </si>
  <si>
    <t xml:space="preserve">Xtralis no fabrica estaciones manuales; referencia KAC/Simplex</t>
  </si>
  <si>
    <t xml:space="preserve">Xtralis no fabrica notificación; referencia System Sensor P2RL</t>
  </si>
  <si>
    <t xml:space="preserve">Integración vía tarjetas relé VESDA (incluidas)</t>
  </si>
  <si>
    <t xml:space="preserve">Xtralis es fabricante de ASD (no terminales)</t>
  </si>
  <si>
    <t xml:space="preserve">VESDA VAT</t>
  </si>
  <si>
    <t xml:space="preserve">Aspiración en ductos HVAC</t>
  </si>
  <si>
    <t xml:space="preserve">Sonda de flujo, umbral ajustable</t>
  </si>
  <si>
    <t xml:space="preserve">Ethernet/IP + relés</t>
  </si>
  <si>
    <t xml:space="preserve">35 W máx</t>
  </si>
  <si>
    <t xml:space="preserve">330 × 220 × 130 mm</t>
  </si>
  <si>
    <t xml:space="preserve">3.8 kg</t>
  </si>
  <si>
    <t xml:space="preserve">Ductos de retorno críticos</t>
  </si>
  <si>
    <t xml:space="preserve">VESDA VLT</t>
  </si>
  <si>
    <t xml:space="preserve">VESDA VAD</t>
  </si>
  <si>
    <t xml:space="preserve">Aplica tecnología VESDA al monitoreo de ductos</t>
  </si>
  <si>
    <t xml:space="preserve">VAT-E</t>
  </si>
  <si>
    <t xml:space="preserve">VLT-E</t>
  </si>
  <si>
    <t xml:space="preserve">Xtralis no fabrica aisladores; referencia Apollo 45681-279</t>
  </si>
  <si>
    <t xml:space="preserve">Det-Tronics es fabricante de detectores industriales (no centrales EN 54)</t>
  </si>
  <si>
    <t xml:space="preserve">Det-Tronics es fabricante de detectores industriales</t>
  </si>
  <si>
    <t xml:space="preserve">Det-Tronics se especializa en flamas y gases; humo bajo Apollo/Notifier</t>
  </si>
  <si>
    <t xml:space="preserve">Det-Tronics se especializa en flamas y gases</t>
  </si>
  <si>
    <t xml:space="preserve">El X3301 es multiespectro IR3 (flama); multicriterio EN 54 en Apollo Discovery</t>
  </si>
  <si>
    <t xml:space="preserve">X3301</t>
  </si>
  <si>
    <t xml:space="preserve">Multiespectro IR3 (triple infrarrojo)</t>
  </si>
  <si>
    <t xml:space="preserve">Inmune a radiación solar y falsas fuentes, SIL 2</t>
  </si>
  <si>
    <t xml:space="preserve">4-20 mA + Modbus + relés HART</t>
  </si>
  <si>
    <t xml:space="preserve">4-20 mA / Modbus RTU / relés</t>
  </si>
  <si>
    <t xml:space="preserve">3.5 W</t>
  </si>
  <si>
    <t xml:space="preserve">IP66 / ATEX</t>
  </si>
  <si>
    <t xml:space="preserve">-40 °C a +75 °C</t>
  </si>
  <si>
    <t xml:space="preserve">145 × 125 × 95 mm</t>
  </si>
  <si>
    <t xml:space="preserve">FM, ATEX, IECEx, SIL 2</t>
  </si>
  <si>
    <t xml:space="preserve">Petroquímica, hangares, turbinas, LNG</t>
  </si>
  <si>
    <t xml:space="preserve">Autónomo con relés; compatible con Eagle Quantum Premier / relés 4-20 mA</t>
  </si>
  <si>
    <t xml:space="preserve">X3301-EX</t>
  </si>
  <si>
    <t xml:space="preserve">X5200</t>
  </si>
  <si>
    <t xml:space="preserve">Referencia mundial en detección de flamas industriales</t>
  </si>
  <si>
    <t xml:space="preserve">X9800</t>
  </si>
  <si>
    <t xml:space="preserve">X3301-MT</t>
  </si>
  <si>
    <t xml:space="preserve">Det-Tronics no fabrica ASD; referencia VESDA (Xtralis)</t>
  </si>
  <si>
    <t xml:space="preserve">Det-Tronics no fabrica haz proyectado; referencia Bosch D296</t>
  </si>
  <si>
    <t xml:space="preserve">Det-Tronics no fabrica estaciones manuales; referencia KAC</t>
  </si>
  <si>
    <t xml:space="preserve">Det-Tronics no fabrica notificación; referencia System Sensor</t>
  </si>
  <si>
    <t xml:space="preserve">Integración vía Modbus/relés del X3301</t>
  </si>
  <si>
    <t xml:space="preserve">Det-Tronics es fabricante industrial (no terminales EN 54)</t>
  </si>
  <si>
    <t xml:space="preserve">Det-Tronics no fabrica ducto; referencia D4120</t>
  </si>
  <si>
    <t xml:space="preserve">Det-Tronics no fabrica aisladores EN 54</t>
  </si>
  <si>
    <t xml:space="preserve">Fire Sentry es fabricante de detectores de flama (no centrales)</t>
  </si>
  <si>
    <t xml:space="preserve">Fire Sentry es fabricante de detectores de flama</t>
  </si>
  <si>
    <t xml:space="preserve">Fire Sentry se especializa en flamas; humo bajo Apollo/Notifier</t>
  </si>
  <si>
    <t xml:space="preserve">Fire Sentry se especializa en flamas</t>
  </si>
  <si>
    <t xml:space="preserve">El FS-24X es de amplio espectro (flama); multicriterio EN 54 en Apollo Discovery</t>
  </si>
  <si>
    <t xml:space="preserve">FS-24X</t>
  </si>
  <si>
    <t xml:space="preserve">Detector de flama de amplio espectro UV/IR/Visible</t>
  </si>
  <si>
    <t xml:space="preserve">Detección de combustión incipiente, FM 3260</t>
  </si>
  <si>
    <t xml:space="preserve">4-20 mA + relés</t>
  </si>
  <si>
    <t xml:space="preserve">4-20 mA / relés / HART</t>
  </si>
  <si>
    <t xml:space="preserve">4 W</t>
  </si>
  <si>
    <t xml:space="preserve">180 × 140 × 120 mm</t>
  </si>
  <si>
    <t xml:space="preserve">FM 3260, UL, ATEX, IECEx</t>
  </si>
  <si>
    <t xml:space="preserve">Almacenes de polímeros, munición, turbinas</t>
  </si>
  <si>
    <t xml:space="preserve">Autónomo con relés; compatible con Control FS-Series autónomo (relés)</t>
  </si>
  <si>
    <t xml:space="preserve">FS-20X</t>
  </si>
  <si>
    <t xml:space="preserve">FS-10X</t>
  </si>
  <si>
    <t xml:space="preserve">Tecnología de amplio espectro única (FM 3260)</t>
  </si>
  <si>
    <t xml:space="preserve">FS-24X-EX</t>
  </si>
  <si>
    <t xml:space="preserve">FS-OPX</t>
  </si>
  <si>
    <t xml:space="preserve">Fire Sentry no fabrica ASD; referencia VESDA (Xtralis)</t>
  </si>
  <si>
    <t xml:space="preserve">Fire Sentry no fabrica haz proyectado; referencia Bosch D296</t>
  </si>
  <si>
    <t xml:space="preserve">Fire Sentry no fabrica estaciones manuales; referencia KAC</t>
  </si>
  <si>
    <t xml:space="preserve">Fire Sentry no fabrica notificación; referencia System Sensor</t>
  </si>
  <si>
    <t xml:space="preserve">Integración vía 4-20 mA/relés del detector</t>
  </si>
  <si>
    <t xml:space="preserve">Fire Sentry es fabricante de flamas (no terminales)</t>
  </si>
  <si>
    <t xml:space="preserve">Fire Sentry no fabrica ducto; referencia D4120</t>
  </si>
  <si>
    <t xml:space="preserve">Fire Sentry no fabrica aisladores EN 54</t>
  </si>
  <si>
    <t xml:space="preserve">Base de Datos de Equipamiento Común — Baterías · Fuentes · Gabinetes · Cableado · Herramientas · Monitoreo · Accesorios · Protección</t>
  </si>
  <si>
    <t xml:space="preserve">Categoría</t>
  </si>
  <si>
    <t xml:space="preserve">Descripción</t>
  </si>
  <si>
    <t xml:space="preserve">Especificación Principal</t>
  </si>
  <si>
    <t xml:space="preserve">Características</t>
  </si>
  <si>
    <t xml:space="preserve">Compatibilidad / Integración</t>
  </si>
  <si>
    <t xml:space="preserve">Montaje / Formato</t>
  </si>
  <si>
    <t xml:space="preserve">Tensión (V)</t>
  </si>
  <si>
    <t xml:space="preserve">Corriente (A)</t>
  </si>
  <si>
    <t xml:space="preserve">Capacidad (Ah)</t>
  </si>
  <si>
    <t xml:space="preserve">Sección (mm²)</t>
  </si>
  <si>
    <t xml:space="preserve">Número de Conductores</t>
  </si>
  <si>
    <t xml:space="preserve">Ampacidad (A)</t>
  </si>
  <si>
    <t xml:space="preserve">Yuasa</t>
  </si>
  <si>
    <t xml:space="preserve">NP7-12</t>
  </si>
  <si>
    <t xml:space="preserve">Batería AGM 12 V 7 Ah para centrales SACI</t>
  </si>
  <si>
    <t xml:space="preserve">12 V · 7 Ah · AGM VRLA sin mantenimiento</t>
  </si>
  <si>
    <t xml:space="preserve">Recombinación de gas &gt; 99%, hasta 5 años de vida, terminales F1/F2</t>
  </si>
  <si>
    <t xml:space="preserve">Paneles VISTA/DSC/Paradox/Solution y centrales SADI</t>
  </si>
  <si>
    <t xml:space="preserve">Carga flotante 13.5-13.8 V</t>
  </si>
  <si>
    <t xml:space="preserve">Interior sobre bandeja</t>
  </si>
  <si>
    <t xml:space="preserve">151 × 65 × 94 mm</t>
  </si>
  <si>
    <t xml:space="preserve">2.65 kg</t>
  </si>
  <si>
    <t xml:space="preserve">El estándar para respaldo de paneles SACI</t>
  </si>
  <si>
    <t xml:space="preserve">Vision</t>
  </si>
  <si>
    <t xml:space="preserve">CP1270</t>
  </si>
  <si>
    <t xml:space="preserve">Batería AGM 12 V 7 Ah económica</t>
  </si>
  <si>
    <t xml:space="preserve">12 V · 7 Ah · AGM VRLA</t>
  </si>
  <si>
    <t xml:space="preserve">Buena relación costo/desempeño, certificado UL</t>
  </si>
  <si>
    <t xml:space="preserve">Paneles SACI y centrales convencionales</t>
  </si>
  <si>
    <t xml:space="preserve">2.5 kg</t>
  </si>
  <si>
    <t xml:space="preserve">Opción económica certificada UL</t>
  </si>
  <si>
    <t xml:space="preserve">Enersys</t>
  </si>
  <si>
    <t xml:space="preserve">NP18-12</t>
  </si>
  <si>
    <t xml:space="preserve">Batería AGM 12 V 18 Ah para centrales con sirenas</t>
  </si>
  <si>
    <t xml:space="preserve">12 V · 18 Ah · AGM VRLA</t>
  </si>
  <si>
    <t xml:space="preserve">Alta tasa de descarga para sirenas, vida 5 años</t>
  </si>
  <si>
    <t xml:space="preserve">Centrales SADI y SACI con expansión</t>
  </si>
  <si>
    <t xml:space="preserve">181 × 77 × 167 mm</t>
  </si>
  <si>
    <t xml:space="preserve">6.0 kg</t>
  </si>
  <si>
    <t xml:space="preserve">Para sistemas con notificación integrada</t>
  </si>
  <si>
    <t xml:space="preserve">Mighty Max</t>
  </si>
  <si>
    <t xml:space="preserve">ML26-12</t>
  </si>
  <si>
    <t xml:space="preserve">Batería AGM 12 V 26 Ah para centrales direccionables</t>
  </si>
  <si>
    <t xml:space="preserve">12 V · 26 Ah · AGM VRLA</t>
  </si>
  <si>
    <t xml:space="preserve">Autonomía 24 h+, terminales insertables NB</t>
  </si>
  <si>
    <t xml:space="preserve">Centrales Notifier/EST3/Simplex</t>
  </si>
  <si>
    <t xml:space="preserve">Carga flotante 13.6-13.8 V</t>
  </si>
  <si>
    <t xml:space="preserve">175 × 166 × 126 mm</t>
  </si>
  <si>
    <t xml:space="preserve">8.7 kg</t>
  </si>
  <si>
    <t xml:space="preserve">Cumple autonomía NFPA 72 en centrales medianas</t>
  </si>
  <si>
    <t xml:space="preserve">Leoch</t>
  </si>
  <si>
    <t xml:space="preserve">LP12-55</t>
  </si>
  <si>
    <t xml:space="preserve">Batería AGM 12 V 55 Ah para gabinetes de baterías</t>
  </si>
  <si>
    <t xml:space="preserve">12 V · 55 Ah · AGM VRLA</t>
  </si>
  <si>
    <t xml:space="preserve">Alta capacidad, manejo con asas integradas</t>
  </si>
  <si>
    <t xml:space="preserve">Gabinetes de baterías y centrales grandes</t>
  </si>
  <si>
    <t xml:space="preserve">Interior sobre piso/gabinete</t>
  </si>
  <si>
    <t xml:space="preserve">229 × 138 × 208 mm</t>
  </si>
  <si>
    <t xml:space="preserve">17.2 kg</t>
  </si>
  <si>
    <t xml:space="preserve">Para centrales con autonomía de 24-60 h</t>
  </si>
  <si>
    <t xml:space="preserve">Power-Sonic</t>
  </si>
  <si>
    <t xml:space="preserve">PS-6120</t>
  </si>
  <si>
    <t xml:space="preserve">Batería AGM 6 V 12 Ah para centrales antiguas</t>
  </si>
  <si>
    <t xml:space="preserve">6 V · 12 Ah · AGM VRLA</t>
  </si>
  <si>
    <t xml:space="preserve">Configuración en pares para 12 V, terminales F2</t>
  </si>
  <si>
    <t xml:space="preserve">Centrales antiguas y paneles 6 V</t>
  </si>
  <si>
    <t xml:space="preserve">Carga flotante 6.8-6.9 V</t>
  </si>
  <si>
    <t xml:space="preserve">151 × 51 × 94 mm</t>
  </si>
  <si>
    <t xml:space="preserve">1.95 kg</t>
  </si>
  <si>
    <t xml:space="preserve">Reemplazo directo de baterías 6 V</t>
  </si>
  <si>
    <t xml:space="preserve">NP2.1-12</t>
  </si>
  <si>
    <t xml:space="preserve">Batería AGM 12 V 2.1 Ah compacta</t>
  </si>
  <si>
    <t xml:space="preserve">12 V · 2.1 Ah · AGM VRLA</t>
  </si>
  <si>
    <t xml:space="preserve">Tamaño compacto para teclados y módulos</t>
  </si>
  <si>
    <t xml:space="preserve">Teclados con radio y módulos expandidores</t>
  </si>
  <si>
    <t xml:space="preserve">Interior sobre cinta</t>
  </si>
  <si>
    <t xml:space="preserve">178 × 34 × 64 mm</t>
  </si>
  <si>
    <t xml:space="preserve">0.8 kg</t>
  </si>
  <si>
    <t xml:space="preserve">Para teclados inalámbricos y módulos</t>
  </si>
  <si>
    <t xml:space="preserve">HX+ 12-55</t>
  </si>
  <si>
    <t xml:space="preserve">Batería AGM high-rate para centrales SADI</t>
  </si>
  <si>
    <t xml:space="preserve">12 V · 55 Ah · AGM high-rate</t>
  </si>
  <si>
    <t xml:space="preserve">Descarga de alta tasa para centrales con notificación masiva, 10 años de diseño</t>
  </si>
  <si>
    <t xml:space="preserve">Centrales EST3/Simplex 4100ES/Notifier</t>
  </si>
  <si>
    <t xml:space="preserve">Interior en gabinete de baterías</t>
  </si>
  <si>
    <t xml:space="preserve">257 × 132 × 210 mm</t>
  </si>
  <si>
    <t xml:space="preserve">18.5 kg</t>
  </si>
  <si>
    <t xml:space="preserve">Cumple UL 864 para centrales de fuego</t>
  </si>
  <si>
    <t xml:space="preserve">PS-12120</t>
  </si>
  <si>
    <t xml:space="preserve">Batería AGM 12 V 12 Ah para centrales medianas</t>
  </si>
  <si>
    <t xml:space="preserve">12 V · 12 Ah · AGM VRLA</t>
  </si>
  <si>
    <t xml:space="preserve">Autonomía 24-48 h en paneles con expansión, terminales F2</t>
  </si>
  <si>
    <t xml:space="preserve">Paneles SACI con expansores y centrales SADI pequeñas</t>
  </si>
  <si>
    <t xml:space="preserve">151 × 98 × 94 mm</t>
  </si>
  <si>
    <t xml:space="preserve">3.9 kg</t>
  </si>
  <si>
    <t xml:space="preserve">Paso intermedio entre 7 Ah y 18 Ah</t>
  </si>
  <si>
    <t xml:space="preserve">NP12-55</t>
  </si>
  <si>
    <t xml:space="preserve">Batería AGM 12 V 55 Ah con terminales insertables</t>
  </si>
  <si>
    <t xml:space="preserve">Alta capacidad con asas integradas, terminales NB</t>
  </si>
  <si>
    <t xml:space="preserve">Centrales direccionables grandes y gabinetes de baterías</t>
  </si>
  <si>
    <t xml:space="preserve">229 × 138 × 210 mm</t>
  </si>
  <si>
    <t xml:space="preserve">17.5 kg</t>
  </si>
  <si>
    <t xml:space="preserve">Equivalente a LP12-55 con terminales insertables</t>
  </si>
  <si>
    <t xml:space="preserve">Altronix</t>
  </si>
  <si>
    <t xml:space="preserve">AL600UL</t>
  </si>
  <si>
    <t xml:space="preserve">Fuente supervisada 12/24 VDC 6 A con corte por batería</t>
  </si>
  <si>
    <t xml:space="preserve">12/24 VDC seleccionable · 6 A · corte por batería</t>
  </si>
  <si>
    <t xml:space="preserve">Corte por batería integrado, FAI, gabinete B incluido</t>
  </si>
  <si>
    <t xml:space="preserve">Paneles SACI y módulos periféricos</t>
  </si>
  <si>
    <t xml:space="preserve">115/230 VAC 60/50 Hz</t>
  </si>
  <si>
    <t xml:space="preserve">Pared / rack 1U</t>
  </si>
  <si>
    <t xml:space="preserve">152 × 105 × 64 mm</t>
  </si>
  <si>
    <t xml:space="preserve">La fuente de referencia para alarmas</t>
  </si>
  <si>
    <t xml:space="preserve">12/24</t>
  </si>
  <si>
    <t xml:space="preserve">AL125UL</t>
  </si>
  <si>
    <t xml:space="preserve">Fuente supervisada 12 VDC 1.75 A</t>
  </si>
  <si>
    <t xml:space="preserve">12 VDC · 1.75 A · corte por batería</t>
  </si>
  <si>
    <t xml:space="preserve">Compacta, FAI, para teclados y comunicadores</t>
  </si>
  <si>
    <t xml:space="preserve">Teclados, módulos y comunicadores</t>
  </si>
  <si>
    <t xml:space="preserve">115/230 VAC</t>
  </si>
  <si>
    <t xml:space="preserve">Pared o caja</t>
  </si>
  <si>
    <t xml:space="preserve">127 × 89 × 51 mm</t>
  </si>
  <si>
    <t xml:space="preserve">Para periféricos de baja corriente</t>
  </si>
  <si>
    <t xml:space="preserve">Mean Well</t>
  </si>
  <si>
    <t xml:space="preserve">LRS-50-12</t>
  </si>
  <si>
    <t xml:space="preserve">Fuente conmutada 12 VDC 4.2 A</t>
  </si>
  <si>
    <t xml:space="preserve">12 VDC · 4.2 A · 50 W</t>
  </si>
  <si>
    <t xml:space="preserve">Eficiencia 88%, protección de corto/sobrecarga</t>
  </si>
  <si>
    <t xml:space="preserve">Proyectos DIY y periféricos 12 V</t>
  </si>
  <si>
    <t xml:space="preserve">100-240 VAC</t>
  </si>
  <si>
    <t xml:space="preserve">Riel DIN / chasis</t>
  </si>
  <si>
    <t xml:space="preserve">159 × 97 × 30 mm</t>
  </si>
  <si>
    <t xml:space="preserve">0.6 kg</t>
  </si>
  <si>
    <t xml:space="preserve">Económica; sin corte por batería</t>
  </si>
  <si>
    <t xml:space="preserve">LRS-100-12</t>
  </si>
  <si>
    <t xml:space="preserve">Fuente conmutada 12 VDC 8.5 A</t>
  </si>
  <si>
    <t xml:space="preserve">12 VDC · 8.5 A · 100 W</t>
  </si>
  <si>
    <t xml:space="preserve">Eficiencia 89%, protección triple</t>
  </si>
  <si>
    <t xml:space="preserve">Múltiples periféricos 12 V</t>
  </si>
  <si>
    <t xml:space="preserve">159 × 97 × 38 mm</t>
  </si>
  <si>
    <t xml:space="preserve">0.75 kg</t>
  </si>
  <si>
    <t xml:space="preserve">Para varios módulos en gabinete</t>
  </si>
  <si>
    <t xml:space="preserve">LRS-150-24</t>
  </si>
  <si>
    <t xml:space="preserve">Fuente conmutada 24 VDC 6.5 A para SADI</t>
  </si>
  <si>
    <t xml:space="preserve">24 VDC · 6.5 A · 150 W</t>
  </si>
  <si>
    <t xml:space="preserve">24 VDC para NAC y módulos de fuego</t>
  </si>
  <si>
    <t xml:space="preserve">Centrales convencionales SADI y NAC</t>
  </si>
  <si>
    <t xml:space="preserve">159 × 97 × 50 mm</t>
  </si>
  <si>
    <t xml:space="preserve">1.05 kg</t>
  </si>
  <si>
    <t xml:space="preserve">Alimentación auxiliar de NAC 24 V</t>
  </si>
  <si>
    <t xml:space="preserve">Secutron</t>
  </si>
  <si>
    <t xml:space="preserve">ACPS-510</t>
  </si>
  <si>
    <t xml:space="preserve">Fuente supervisada 24 VDC 5 A UL 864</t>
  </si>
  <si>
    <t xml:space="preserve">24 VDC · 5 A · supervisión AC/batería</t>
  </si>
  <si>
    <t xml:space="preserve">Certificada UL 864, contactos de problema, corte por batería</t>
  </si>
  <si>
    <t xml:space="preserve">Centrales SADI (UL 864)</t>
  </si>
  <si>
    <t xml:space="preserve">120/240 VAC</t>
  </si>
  <si>
    <t xml:space="preserve">Pared / dentro de gabinete</t>
  </si>
  <si>
    <t xml:space="preserve">280 × 180 × 80 mm</t>
  </si>
  <si>
    <t xml:space="preserve">Fuente de notificación certificada para fuego</t>
  </si>
  <si>
    <t xml:space="preserve">AL624UL24</t>
  </si>
  <si>
    <t xml:space="preserve">Fuente supervisada 24 VDC 2.5 A</t>
  </si>
  <si>
    <t xml:space="preserve">24 VDC · 2.5 A · FAI</t>
  </si>
  <si>
    <t xml:space="preserve">FAI, supervisión, para centrales direccionables</t>
  </si>
  <si>
    <t xml:space="preserve">Centrales SADI y módulos 24 V</t>
  </si>
  <si>
    <t xml:space="preserve">Pared</t>
  </si>
  <si>
    <t xml:space="preserve">2.1 kg</t>
  </si>
  <si>
    <t xml:space="preserve">Para periféricos 24 V con respaldo</t>
  </si>
  <si>
    <t xml:space="preserve">Fuente conmutada supervisada 12/24 V 6.5 A</t>
  </si>
  <si>
    <t xml:space="preserve">12 VDC 6.5 A o 24 VDC 3.5 A · FAI</t>
  </si>
  <si>
    <t xml:space="preserve">Entrada FAI para batería, protección de sobrecarga, cert UL 1481</t>
  </si>
  <si>
    <t xml:space="preserve">Centrales SACI/SADI y dispositivos auxiliares</t>
  </si>
  <si>
    <t xml:space="preserve">115/230 VAC · batería 12 V</t>
  </si>
  <si>
    <t xml:space="preserve">Gabinete metálico mural</t>
  </si>
  <si>
    <t xml:space="preserve">219 × 175 × 76 mm</t>
  </si>
  <si>
    <t xml:space="preserve">Complementa a AL600UL para cargas medianas</t>
  </si>
  <si>
    <t xml:space="preserve">AL175ULX</t>
  </si>
  <si>
    <t xml:space="preserve">Fuente conmutada supervisada 12/24 V 6 A multiplexada</t>
  </si>
  <si>
    <t xml:space="preserve">12/24 VDC 6 A · 8 salidas protegidas</t>
  </si>
  <si>
    <t xml:space="preserve">Salidas PTC individuales, FAI, certificado UL 1481</t>
  </si>
  <si>
    <t xml:space="preserve">Centrales con múltiples circuitos auxiliares</t>
  </si>
  <si>
    <t xml:space="preserve">115/230 VAC · batería 12/18 Ah</t>
  </si>
  <si>
    <t xml:space="preserve">260 × 216 × 82 mm</t>
  </si>
  <si>
    <t xml:space="preserve">Ideal para repartir alimentación de módulos</t>
  </si>
  <si>
    <t xml:space="preserve">GB-ROJO-2</t>
  </si>
  <si>
    <t xml:space="preserve">Gabinete metálico rojo para central SADI</t>
  </si>
  <si>
    <t xml:space="preserve">Apto 2 baterías 12 V 7 Ah · puerta con cerradura</t>
  </si>
  <si>
    <t xml:space="preserve">Pintura roja anti-corrosión, pasacables con prensaestopas</t>
  </si>
  <si>
    <t xml:space="preserve">Centrales convencionales y direccionables</t>
  </si>
  <si>
    <t xml:space="preserve">Pared (anclajes incluidos)</t>
  </si>
  <si>
    <t xml:space="preserve">400 × 400 × 110 mm</t>
  </si>
  <si>
    <t xml:space="preserve">6.8 kg</t>
  </si>
  <si>
    <t xml:space="preserve">Color rojo requerido por normativa SADI</t>
  </si>
  <si>
    <t xml:space="preserve">GB-ROJO-3</t>
  </si>
  <si>
    <t xml:space="preserve">Gabinete metálico rojo grande para central + baterías</t>
  </si>
  <si>
    <t xml:space="preserve">Apto 2 baterías 12 V 26 Ah · 3 filas</t>
  </si>
  <si>
    <t xml:space="preserve">Espacio para central direccionable y baterías, lockout kit</t>
  </si>
  <si>
    <t xml:space="preserve">Centrales direccionables medianas</t>
  </si>
  <si>
    <t xml:space="preserve">Pared / semi-empotrado</t>
  </si>
  <si>
    <t xml:space="preserve">500 × 500 × 130 mm</t>
  </si>
  <si>
    <t xml:space="preserve">9.5 kg</t>
  </si>
  <si>
    <t xml:space="preserve">Para Notifier NFS-320/EST3 compactas</t>
  </si>
  <si>
    <t xml:space="preserve">CA-VISTA</t>
  </si>
  <si>
    <t xml:space="preserve">Canastilla plástica para paneles VISTA/PowerSeries</t>
  </si>
  <si>
    <t xml:space="preserve">Apto panel + batería 7 Ah</t>
  </si>
  <si>
    <t xml:space="preserve">Puerta transparente opcional, tornillería incluida</t>
  </si>
  <si>
    <t xml:space="preserve">VISTA 20P/48LA, PowerSeries Neo</t>
  </si>
  <si>
    <t xml:space="preserve">320 × 310 × 90 mm</t>
  </si>
  <si>
    <t xml:space="preserve">Instalación limpia de paneles SACI</t>
  </si>
  <si>
    <t xml:space="preserve">Hoffman</t>
  </si>
  <si>
    <t xml:space="preserve">A-Series 201208</t>
  </si>
  <si>
    <t xml:space="preserve">Gabinete metálico gris universal</t>
  </si>
  <si>
    <t xml:space="preserve">Apto 2 baterías 12 V 55 Ah · IP54</t>
  </si>
  <si>
    <t xml:space="preserve">Construcción reforzada, cerradura con llave doble, puerta 180°</t>
  </si>
  <si>
    <t xml:space="preserve">Centrales SACI/SADI y fuentes</t>
  </si>
  <si>
    <t xml:space="preserve">Pared / piso</t>
  </si>
  <si>
    <t xml:space="preserve">500 × 300 × 200 mm</t>
  </si>
  <si>
    <t xml:space="preserve">Gabinete industrial de referencia</t>
  </si>
  <si>
    <t xml:space="preserve">A-Series 302008</t>
  </si>
  <si>
    <t xml:space="preserve">Gabinete metálico exterior IP66</t>
  </si>
  <si>
    <t xml:space="preserve">Apto equipos perimetrales · IP66 con visera</t>
  </si>
  <si>
    <t xml:space="preserve">Resistente a UV e intemperie, prensaestopas múltiples</t>
  </si>
  <si>
    <t xml:space="preserve">Barreras IR, módulos y fuentes exteriores</t>
  </si>
  <si>
    <t xml:space="preserve">Pared exterior</t>
  </si>
  <si>
    <t xml:space="preserve">300 × 200 × 200 mm</t>
  </si>
  <si>
    <t xml:space="preserve">5.5 kg</t>
  </si>
  <si>
    <t xml:space="preserve">Para perimetrales y repetidores exteriores</t>
  </si>
  <si>
    <t xml:space="preserve">LOCKOUT-KIT</t>
  </si>
  <si>
    <t xml:space="preserve">Kit de bloqueo para gabinete SADI</t>
  </si>
  <si>
    <t xml:space="preserve">Lockout con candela/tag</t>
  </si>
  <si>
    <t xml:space="preserve">Impide cierre con problema activo (NFPA 72)</t>
  </si>
  <si>
    <t xml:space="preserve">Gabinetes rojos estándar</t>
  </si>
  <si>
    <t xml:space="preserve">Sobre puerta del gabinete</t>
  </si>
  <si>
    <t xml:space="preserve">120 × 60 × 20 mm</t>
  </si>
  <si>
    <t xml:space="preserve">0.3 kg</t>
  </si>
  <si>
    <t xml:space="preserve">Requerido en centrales certificadas</t>
  </si>
  <si>
    <t xml:space="preserve">Universal</t>
  </si>
  <si>
    <t xml:space="preserve">BANDEJA-BAT</t>
  </si>
  <si>
    <t xml:space="preserve">Bandeja metálica para baterías</t>
  </si>
  <si>
    <t xml:space="preserve">Apto 2 baterías 12 V 7-18 Ah</t>
  </si>
  <si>
    <t xml:space="preserve">Con cintas de sujeción y aislamiento</t>
  </si>
  <si>
    <t xml:space="preserve">Cualquier gabinete de central</t>
  </si>
  <si>
    <t xml:space="preserve">Interior de gabinete</t>
  </si>
  <si>
    <t xml:space="preserve">350 × 180 × 40 mm</t>
  </si>
  <si>
    <t xml:space="preserve">Organiza y protege las baterías</t>
  </si>
  <si>
    <t xml:space="preserve">General Cable</t>
  </si>
  <si>
    <t xml:space="preserve">FPL 18/2 ROJO 305m</t>
  </si>
  <si>
    <t xml:space="preserve">Cable FPL 2×18 AWG rojo para SACI</t>
  </si>
  <si>
    <t xml:space="preserve">2×18 AWG · 300 V · FPL (cable de alarma)</t>
  </si>
  <si>
    <t xml:space="preserve">Aislamiento PVC termoplástico, certificado FPL para interiores</t>
  </si>
  <si>
    <t xml:space="preserve">Zonas, sirenas y teclados SACI</t>
  </si>
  <si>
    <t xml:space="preserve">Canaleta / bandeja</t>
  </si>
  <si>
    <t xml:space="preserve">Caja 305 m</t>
  </si>
  <si>
    <t xml:space="preserve">9.8 kg</t>
  </si>
  <si>
    <t xml:space="preserve">El cable básico de zonas de alarma</t>
  </si>
  <si>
    <t xml:space="preserve">FPLR 18/2 ROJO 305m</t>
  </si>
  <si>
    <t xml:space="preserve">Cable FPLR 2×18 AWG rojo riser</t>
  </si>
  <si>
    <t xml:space="preserve">2×18 AWG · 300 V · FPLR (riser)</t>
  </si>
  <si>
    <t xml:space="preserve">Apto para inter-floor (riser), baja emisión de humo</t>
  </si>
  <si>
    <t xml:space="preserve">SADI y SACI entre pisos</t>
  </si>
  <si>
    <t xml:space="preserve">Canaleta / riser</t>
  </si>
  <si>
    <t xml:space="preserve">10.2 kg</t>
  </si>
  <si>
    <t xml:space="preserve">Obligatorio entre pisos (FPLR)</t>
  </si>
  <si>
    <t xml:space="preserve">FPL 18/6 GRIS 305m</t>
  </si>
  <si>
    <t xml:space="preserve">Cable FPL 6×18 AWG para multipares</t>
  </si>
  <si>
    <t xml:space="preserve">6×18 AWG · 300 V · FPL</t>
  </si>
  <si>
    <t xml:space="preserve">Multipar para teclados, módulos y expansores por bus</t>
  </si>
  <si>
    <t xml:space="preserve">Buses ECP/Keybus/RS485</t>
  </si>
  <si>
    <t xml:space="preserve">12.5 kg</t>
  </si>
  <si>
    <t xml:space="preserve">Un solo cable para bus de módulos</t>
  </si>
  <si>
    <t xml:space="preserve">FPLR 22/4 ROJO 305m</t>
  </si>
  <si>
    <t xml:space="preserve">Cable FPLR 4×22 AWG rojo fino</t>
  </si>
  <si>
    <t xml:space="preserve">4×22 AWG · 300 V · FPLR</t>
  </si>
  <si>
    <t xml:space="preserve">Fino para detectores de fuego en lazo</t>
  </si>
  <si>
    <t xml:space="preserve">Lazos SADI y detectores</t>
  </si>
  <si>
    <t xml:space="preserve">7.2 kg</t>
  </si>
  <si>
    <t xml:space="preserve">El estándar para lazos direccionables</t>
  </si>
  <si>
    <t xml:space="preserve">Ubiquiti</t>
  </si>
  <si>
    <t xml:space="preserve">Cat6 UTP CMX 305m</t>
  </si>
  <si>
    <t xml:space="preserve">Cable Cat6 para equipos IP</t>
  </si>
  <si>
    <t xml:space="preserve">4 pares 23 AWG · Cat6 UTP · CMX</t>
  </si>
  <si>
    <t xml:space="preserve">Exterior/direct burial para comunicadores IP y paneles</t>
  </si>
  <si>
    <t xml:space="preserve">Comunicadores IP, paneles con Ethernet</t>
  </si>
  <si>
    <t xml:space="preserve">Canaleta / exterior</t>
  </si>
  <si>
    <t xml:space="preserve">Para comunicadores IP y supervisión remota</t>
  </si>
  <si>
    <t xml:space="preserve">Generic</t>
  </si>
  <si>
    <t xml:space="preserve">CINTA-AISL 3M</t>
  </si>
  <si>
    <t xml:space="preserve">Cinta aislante profesional (pack ×10)</t>
  </si>
  <si>
    <t xml:space="preserve">19 mm × 20 m · 600 V</t>
  </si>
  <si>
    <t xml:space="preserve">Aislamiento 600 V, sin residuo</t>
  </si>
  <si>
    <t xml:space="preserve">Trabajos de cableado general</t>
  </si>
  <si>
    <t xml:space="preserve">Rollo 20 m × 10</t>
  </si>
  <si>
    <t xml:space="preserve">0.5 kg</t>
  </si>
  <si>
    <t xml:space="preserve">Insumo básico de instalación</t>
  </si>
  <si>
    <t xml:space="preserve">Wago</t>
  </si>
  <si>
    <t xml:space="preserve">221-413 (pack ×50)</t>
  </si>
  <si>
    <t xml:space="preserve">Conectores de resorte 3 conductores</t>
  </si>
  <si>
    <t xml:space="preserve">3 vías · 0.2-4 mm² · 450 V</t>
  </si>
  <si>
    <t xml:space="preserve">Conexión rápida sin herramientas, transparente</t>
  </si>
  <si>
    <t xml:space="preserve">Conexiones de zonas y NAC</t>
  </si>
  <si>
    <t xml:space="preserve">Caja 50 unidades</t>
  </si>
  <si>
    <t xml:space="preserve">El estándar para empalmes limpios</t>
  </si>
  <si>
    <t xml:space="preserve">Panduit</t>
  </si>
  <si>
    <t xml:space="preserve">CANA-25×16 2m</t>
  </si>
  <si>
    <t xml:space="preserve">Canaleta adhesiva 25×16 mm</t>
  </si>
  <si>
    <t xml:space="preserve">25 × 16 mm · con tapa · PVC</t>
  </si>
  <si>
    <t xml:space="preserve">Autoadhesiva, tapa removible, color blanco</t>
  </si>
  <si>
    <t xml:space="preserve">Cableado interior de detectores y zonas</t>
  </si>
  <si>
    <t xml:space="preserve">Pared / techo</t>
  </si>
  <si>
    <t xml:space="preserve">Barra 2 m</t>
  </si>
  <si>
    <t xml:space="preserve">0.25 kg</t>
  </si>
  <si>
    <t xml:space="preserve">Instalación estética en interiores</t>
  </si>
  <si>
    <t xml:space="preserve">Coflex</t>
  </si>
  <si>
    <t xml:space="preserve">Cable alarma FPLR 18 AWG 2 hilos para risers</t>
  </si>
  <si>
    <t xml:space="preserve">18 AWG · 2 conductores · FPLR (riser)</t>
  </si>
  <si>
    <t xml:space="preserve">Certificado para ductos verticales, aislamiento 105 °C</t>
  </si>
  <si>
    <t xml:space="preserve">Zonas SACI y lazos NAC SADI en risers</t>
  </si>
  <si>
    <t xml:space="preserve">Bobina 305 m</t>
  </si>
  <si>
    <t xml:space="preserve">Bobina Ø 300 mm</t>
  </si>
  <si>
    <t xml:space="preserve">Versión FPLR obligatoria en ductos verticales</t>
  </si>
  <si>
    <t xml:space="preserve">FPL 18/4 ROJO 305m</t>
  </si>
  <si>
    <t xml:space="preserve">Cable alarma FPL 18 AWG 4 hilos multipar</t>
  </si>
  <si>
    <t xml:space="preserve">18 AWG · 4 conductores · FPL</t>
  </si>
  <si>
    <t xml:space="preserve">Circuito 4 hilos para detectores con base relé</t>
  </si>
  <si>
    <t xml:space="preserve">Bases de detectores 4 hilos y teclados SACI</t>
  </si>
  <si>
    <t xml:space="preserve">Bobina Ø 320 mm</t>
  </si>
  <si>
    <t xml:space="preserve">13.5 kg</t>
  </si>
  <si>
    <t xml:space="preserve">Para detectores 4 hilos y teclados con bus</t>
  </si>
  <si>
    <t xml:space="preserve">SOLO</t>
  </si>
  <si>
    <t xml:space="preserve">SOLO 330</t>
  </si>
  <si>
    <t xml:space="preserve">Dispensador de aerosol para pruebas de detectores</t>
  </si>
  <si>
    <t xml:space="preserve">Recarga de aerosol 250 ml</t>
  </si>
  <si>
    <t xml:space="preserve">Cabeza magnética y telescópica, dosificador ajustable</t>
  </si>
  <si>
    <t xml:space="preserve">Detectores de humo convencionales y direccionables</t>
  </si>
  <si>
    <t xml:space="preserve">Sobre escalera SOLO</t>
  </si>
  <si>
    <t xml:space="preserve">Ø 60 × 350 mm</t>
  </si>
  <si>
    <t xml:space="preserve">0.7 kg</t>
  </si>
  <si>
    <t xml:space="preserve">El probador de humo de referencia mundial</t>
  </si>
  <si>
    <t xml:space="preserve">SOLO 100</t>
  </si>
  <si>
    <t xml:space="preserve">Escalera telescópica para pruebas en altura</t>
  </si>
  <si>
    <t xml:space="preserve">1.2-4.5 m telescópica</t>
  </si>
  <si>
    <t xml:space="preserve">Ligera de aluminio, compatible SOLO 330 y cazoletas</t>
  </si>
  <si>
    <t xml:space="preserve">Detectores en techos de 3-5 m</t>
  </si>
  <si>
    <t xml:space="preserve">Extensible</t>
  </si>
  <si>
    <t xml:space="preserve">1.2 m (cerrada) - 4.5 m</t>
  </si>
  <si>
    <t xml:space="preserve">1.9 kg</t>
  </si>
  <si>
    <t xml:space="preserve">Se combina con SOLO 330/121</t>
  </si>
  <si>
    <t xml:space="preserve">SOLO A3</t>
  </si>
  <si>
    <t xml:space="preserve">Aerosol de humo simulado 250 ml</t>
  </si>
  <si>
    <t xml:space="preserve">250 ml · partícula equivalente a humo</t>
  </si>
  <si>
    <t xml:space="preserve">Sin residuos, apto para detectores ópticos</t>
  </si>
  <si>
    <t xml:space="preserve">Detectores ópticos y fotoeléctricos</t>
  </si>
  <si>
    <t xml:space="preserve">En dispensador SOLO 330</t>
  </si>
  <si>
    <t xml:space="preserve">Ø 65 × 190 mm</t>
  </si>
  <si>
    <t xml:space="preserve">0.35 kg</t>
  </si>
  <si>
    <t xml:space="preserve">Consumible de pruebas periódicas</t>
  </si>
  <si>
    <t xml:space="preserve">Testifire</t>
  </si>
  <si>
    <t xml:space="preserve">TESTIFIRE 1001-001</t>
  </si>
  <si>
    <t xml:space="preserve">Probador combinado humo + calor</t>
  </si>
  <si>
    <t xml:space="preserve">Aerosol + calor 90 °C combinables</t>
  </si>
  <si>
    <t xml:space="preserve">Prueba de detectores de humo y térmico con un equipo</t>
  </si>
  <si>
    <t xml:space="preserve">Detectores ópticos y térmicos EN 54</t>
  </si>
  <si>
    <t xml:space="preserve">Ø 70 × 380 mm</t>
  </si>
  <si>
    <t xml:space="preserve">0.9 kg</t>
  </si>
  <si>
    <t xml:space="preserve">La alternativa profesional a SOLO 330</t>
  </si>
  <si>
    <t xml:space="preserve">Fluke</t>
  </si>
  <si>
    <t xml:space="preserve">117</t>
  </si>
  <si>
    <t xml:space="preserve">Multímetro digital True RMS</t>
  </si>
  <si>
    <t xml:space="preserve">600 V CAT III · True RMS</t>
  </si>
  <si>
    <t xml:space="preserve">Detección de voltaje sin contacto, medición de mA</t>
  </si>
  <si>
    <t xml:space="preserve">Pruebas de zonas, NAC y baterías</t>
  </si>
  <si>
    <t xml:space="preserve">Manual</t>
  </si>
  <si>
    <t xml:space="preserve">167 × 84 × 46 mm</t>
  </si>
  <si>
    <t xml:space="preserve">0.55 kg</t>
  </si>
  <si>
    <t xml:space="preserve">El multímetro estándar del instalador</t>
  </si>
  <si>
    <t xml:space="preserve">TIS</t>
  </si>
  <si>
    <t xml:space="preserve">PRO-CABLE</t>
  </si>
  <si>
    <t xml:space="preserve">Probador de continuidad de cable multipar</t>
  </si>
  <si>
    <t xml:space="preserve">8 pares · tono + continuidad</t>
  </si>
  <si>
    <t xml:space="preserve">Identifica pares cruzados y cortos</t>
  </si>
  <si>
    <t xml:space="preserve">Cableado de zonas y buses</t>
  </si>
  <si>
    <t xml:space="preserve">9 V batería</t>
  </si>
  <si>
    <t xml:space="preserve">200 × 90 × 35 mm</t>
  </si>
  <si>
    <t xml:space="preserve">0.4 kg</t>
  </si>
  <si>
    <t xml:space="preserve">Ahorra horas en diagnóstico de zonas</t>
  </si>
  <si>
    <t xml:space="preserve">IDEAL</t>
  </si>
  <si>
    <t xml:space="preserve">VDV II</t>
  </si>
  <si>
    <t xml:space="preserve">Tester de cableado coaxial/UTP con mapeo</t>
  </si>
  <si>
    <t xml:space="preserve">RJ45/RJ11/Coax · mapeo de pares</t>
  </si>
  <si>
    <t xml:space="preserve">Mapeo de 8 hilos, longitud de cable, tono</t>
  </si>
  <si>
    <t xml:space="preserve">Cat6 de comunicadores IP</t>
  </si>
  <si>
    <t xml:space="preserve">4× AAA</t>
  </si>
  <si>
    <t xml:space="preserve">180 × 85 × 40 mm</t>
  </si>
  <si>
    <t xml:space="preserve">Para verificar cableado estructurado IP</t>
  </si>
  <si>
    <t xml:space="preserve">Klein Tools</t>
  </si>
  <si>
    <t xml:space="preserve">KANGOO-POCKET</t>
  </si>
  <si>
    <t xml:space="preserve">Herramienta multifunción para installadores</t>
  </si>
  <si>
    <t xml:space="preserve">Cortador/pelador/crimpador 3-en-1</t>
  </si>
  <si>
    <t xml:space="preserve">Corta y pela 22-10 AWG, crimpador de terminales</t>
  </si>
  <si>
    <t xml:space="preserve">Trabajo de campo general</t>
  </si>
  <si>
    <t xml:space="preserve">200 × 60 × 20 mm</t>
  </si>
  <si>
    <t xml:space="preserve">La herramienta de bolsillo del técnico</t>
  </si>
  <si>
    <t xml:space="preserve">Sur-Gard</t>
  </si>
  <si>
    <t xml:space="preserve">SG-DRL3-IP</t>
  </si>
  <si>
    <t xml:space="preserve">Receptor de eventos IP universal</t>
  </si>
  <si>
    <t xml:space="preserve">4 cuentas IP + PSTN · 15,000 cuentas</t>
  </si>
  <si>
    <t xml:space="preserve">Recepción Contact ID/SIA sobre IP, PSTN y celular</t>
  </si>
  <si>
    <t xml:space="preserve">Comunicadores TL260GS/7847i-L/B450/RSCM</t>
  </si>
  <si>
    <t xml:space="preserve">120/240 VAC + batería</t>
  </si>
  <si>
    <t xml:space="preserve">Rack 1U</t>
  </si>
  <si>
    <t xml:space="preserve">483 × 260 × 45 mm</t>
  </si>
  <si>
    <t xml:space="preserve">El receptor de central de monitoreo de referencia</t>
  </si>
  <si>
    <t xml:space="preserve">SG-System5</t>
  </si>
  <si>
    <t xml:space="preserve">Receptor de eventos de alta capacidad</t>
  </si>
  <si>
    <t xml:space="preserve">IP redundante · 60,000 cuentas</t>
  </si>
  <si>
    <t xml:space="preserve">Multi-puerto IP, respaldo automático, reportes</t>
  </si>
  <si>
    <t xml:space="preserve">Centrales de monitoreo grandes</t>
  </si>
  <si>
    <t xml:space="preserve">Rack 2U</t>
  </si>
  <si>
    <t xml:space="preserve">483 × 450 × 90 mm</t>
  </si>
  <si>
    <t xml:space="preserve">8.5 kg</t>
  </si>
  <si>
    <t xml:space="preserve">Para centrales de monitoreo de alto volumen</t>
  </si>
  <si>
    <t xml:space="preserve">Módulo universal de comunicación LTE</t>
  </si>
  <si>
    <t xml:space="preserve">LTE/GPRS + entradas/salidas</t>
  </si>
  <si>
    <t xml:space="preserve">Convierte cualquier panel al monitoreo LTE, 8 entradas</t>
  </si>
  <si>
    <t xml:space="preserve">Paneles SACI con salida Contact ID</t>
  </si>
  <si>
    <t xml:space="preserve">Dentro de gabinete</t>
  </si>
  <si>
    <t xml:space="preserve">128 × 88 × 25 mm</t>
  </si>
  <si>
    <t xml:space="preserve">Solución universal de monitoreo celular</t>
  </si>
  <si>
    <t xml:space="preserve">Módulo GSM/GPRS para paneles Paradox</t>
  </si>
  <si>
    <t xml:space="preserve">GSM quad-band + eventos</t>
  </si>
  <si>
    <t xml:space="preserve">Reporte por GPRS/SMS, app móviles Paradox</t>
  </si>
  <si>
    <t xml:space="preserve">Paneles Paradox SP/EVO/Magellan</t>
  </si>
  <si>
    <t xml:space="preserve">Dentro del panel</t>
  </si>
  <si>
    <t xml:space="preserve">0.12 kg</t>
  </si>
  <si>
    <t xml:space="preserve">Comunicador celular para Paradox</t>
  </si>
  <si>
    <t xml:space="preserve">Bold Communications</t>
  </si>
  <si>
    <t xml:space="preserve">MANITOU-GEO</t>
  </si>
  <si>
    <t xml:space="preserve">Software de central de monitoreo Manitou</t>
  </si>
  <si>
    <t xml:space="preserve">Licencia base + 2 operadores</t>
  </si>
  <si>
    <t xml:space="preserve">Gestión de cuentas, despacho de eventos, reportes</t>
  </si>
  <si>
    <t xml:space="preserve">Receptores Sur-Gard/Ademco</t>
  </si>
  <si>
    <t xml:space="preserve">Servidor Windows</t>
  </si>
  <si>
    <t xml:space="preserve">Servidor/VM</t>
  </si>
  <si>
    <t xml:space="preserve">Software líder de central de monitoreo (licencia base)</t>
  </si>
  <si>
    <t xml:space="preserve">Zyxel</t>
  </si>
  <si>
    <t xml:space="preserve">USG FLEX 100</t>
  </si>
  <si>
    <t xml:space="preserve">Router/firewall para central de monitoreo</t>
  </si>
  <si>
    <t xml:space="preserve">Firewall + VPN · 4× GB LAN</t>
  </si>
  <si>
    <t xml:space="preserve">VPN segura hacia receptores, redundancia WAN</t>
  </si>
  <si>
    <t xml:space="preserve">Conexión segura central ↔ receptores IP</t>
  </si>
  <si>
    <t xml:space="preserve">Rack / escritorio</t>
  </si>
  <si>
    <t xml:space="preserve">210 × 140 × 40 mm</t>
  </si>
  <si>
    <t xml:space="preserve">Protege la conexión IP de la central</t>
  </si>
  <si>
    <t xml:space="preserve">APC</t>
  </si>
  <si>
    <t xml:space="preserve">SRT1000XLA</t>
  </si>
  <si>
    <t xml:space="preserve">UPS 1000 VA para central de monitoreo</t>
  </si>
  <si>
    <t xml:space="preserve">1000 VA / 800 W · online doble conversión</t>
  </si>
  <si>
    <t xml:space="preserve">Pure sine wave, red inteligente, batería interna</t>
  </si>
  <si>
    <t xml:space="preserve">Receptores y servidores de monitoreo</t>
  </si>
  <si>
    <t xml:space="preserve">120/230 VAC</t>
  </si>
  <si>
    <t xml:space="preserve">Rack 2U / torre</t>
  </si>
  <si>
    <t xml:space="preserve">483 × 85 × 460 mm</t>
  </si>
  <si>
    <t xml:space="preserve">Mantiene la central en línea ante cortes</t>
  </si>
  <si>
    <t xml:space="preserve">STI</t>
  </si>
  <si>
    <t xml:space="preserve">STI-1100</t>
  </si>
  <si>
    <t xml:space="preserve">Protector de estación manual rojo</t>
  </si>
  <si>
    <t xml:space="preserve">Para estaciones estándar</t>
  </si>
  <si>
    <t xml:space="preserve">Protege de golpes y activaciones falsas, alarma integrada opcional</t>
  </si>
  <si>
    <t xml:space="preserve">Estaciones manuales estándar EN/UL</t>
  </si>
  <si>
    <t xml:space="preserve">Sobre estación manual</t>
  </si>
  <si>
    <t xml:space="preserve">130 × 130 × 60 mm</t>
  </si>
  <si>
    <t xml:space="preserve">Evita activaciones falsas en áreas públicas</t>
  </si>
  <si>
    <t xml:space="preserve">Apollo</t>
  </si>
  <si>
    <t xml:space="preserve">Base 45681-205</t>
  </si>
  <si>
    <t xml:space="preserve">Base estándar para detectores XP95/Series 65</t>
  </si>
  <si>
    <t xml:space="preserve">Para XP95 y Discovery</t>
  </si>
  <si>
    <t xml:space="preserve">Compatible con toda la familia Apollo</t>
  </si>
  <si>
    <t xml:space="preserve">Detectores Apollo XP95/Discovery</t>
  </si>
  <si>
    <t xml:space="preserve">Techo</t>
  </si>
  <si>
    <t xml:space="preserve">0.1 kg</t>
  </si>
  <si>
    <t xml:space="preserve">La base más usada en SADI con protocolo XP95</t>
  </si>
  <si>
    <t xml:space="preserve">Base B210LP</t>
  </si>
  <si>
    <t xml:space="preserve">Base estándar para detectores UL</t>
  </si>
  <si>
    <t xml:space="preserve">Para FSP/FST/FAP-420</t>
  </si>
  <si>
    <t xml:space="preserve">Compatible detectores Honeywell/Bosch UL</t>
  </si>
  <si>
    <t xml:space="preserve">FSP-951, FST-951, FAP-420</t>
  </si>
  <si>
    <t xml:space="preserve">Ø 100 × 20 mm</t>
  </si>
  <si>
    <t xml:space="preserve">Base estándar de detectores UL</t>
  </si>
  <si>
    <t xml:space="preserve">STI-9710</t>
  </si>
  <si>
    <t xml:space="preserve">Jaula de protección para detectores</t>
  </si>
  <si>
    <t xml:space="preserve">Cage para detectores de techo</t>
  </si>
  <si>
    <t xml:space="preserve">Evita manipulación y vandalismo del detector</t>
  </si>
  <si>
    <t xml:space="preserve">Detectores de humo en áreas públicas</t>
  </si>
  <si>
    <t xml:space="preserve">Sobre detector/base</t>
  </si>
  <si>
    <t xml:space="preserve">Ø 150 × 80 mm</t>
  </si>
  <si>
    <t xml:space="preserve">Para hoteles, escuelas y áreas públicas</t>
  </si>
  <si>
    <t xml:space="preserve">IMAN-NEO-25</t>
  </si>
  <si>
    <t xml:space="preserve">Imanes de neodimio p/contactos (pack ×10)</t>
  </si>
  <si>
    <t xml:space="preserve">Ø 25 mm · tracción 12 kg</t>
  </si>
  <si>
    <t xml:space="preserve">Montaje de contactos en marcos metálicos sin tornillos</t>
  </si>
  <si>
    <t xml:space="preserve">Contactos magnéticos SACI</t>
  </si>
  <si>
    <t xml:space="preserve">Adhesivo/imán</t>
  </si>
  <si>
    <t xml:space="preserve">Ø 25 × 5 mm ×10</t>
  </si>
  <si>
    <t xml:space="preserve">0.2 kg</t>
  </si>
  <si>
    <t xml:space="preserve">Acelera instalación en marcos metálicos</t>
  </si>
  <si>
    <t xml:space="preserve">CAJA-OCTO-4</t>
  </si>
  <si>
    <t xml:space="preserve">Caja octogonal 4" para detectores</t>
  </si>
  <si>
    <t xml:space="preserve">Ø 102 mm · 38 mm profundidad</t>
  </si>
  <si>
    <t xml:space="preserve">Con entradas laterales y fondo, metálica</t>
  </si>
  <si>
    <t xml:space="preserve">Bases de detectores SADI</t>
  </si>
  <si>
    <t xml:space="preserve">Techo (empotrada)</t>
  </si>
  <si>
    <t xml:space="preserve">Ø 102 × 38 mm</t>
  </si>
  <si>
    <t xml:space="preserve">0.18 kg</t>
  </si>
  <si>
    <t xml:space="preserve">Soporte rígido para bases de detectores</t>
  </si>
  <si>
    <t xml:space="preserve">SELLO-PRENSA-20</t>
  </si>
  <si>
    <t xml:space="preserve">Prensas estopas IP68 (pack ×20)</t>
  </si>
  <si>
    <t xml:space="preserve">M12 · IP68 · nailon</t>
  </si>
  <si>
    <t xml:space="preserve">Sellado de pasacables en gabinetes exteriores</t>
  </si>
  <si>
    <t xml:space="preserve">Gabinetes exteriores y barreras IR</t>
  </si>
  <si>
    <t xml:space="preserve">Sobre gabinete</t>
  </si>
  <si>
    <t xml:space="preserve">Pack 20 unidades</t>
  </si>
  <si>
    <t xml:space="preserve">Mantiene IP66 en gabinetes exteriores</t>
  </si>
  <si>
    <t xml:space="preserve">Brady</t>
  </si>
  <si>
    <t xml:space="preserve">KIT-ETIQUETAS</t>
  </si>
  <si>
    <t xml:space="preserve">Kit de etiquetas para cableado SACI/SADI</t>
  </si>
  <si>
    <t xml:space="preserve">Etiquetas de zona/circuito ×500</t>
  </si>
  <si>
    <t xml:space="preserve">Resistentes, pre-imprimibles, con marcador</t>
  </si>
  <si>
    <t xml:space="preserve">Organización de cableado en centrales</t>
  </si>
  <si>
    <t xml:space="preserve">Sobre cable/caja</t>
  </si>
  <si>
    <t xml:space="preserve">Pack 500</t>
  </si>
  <si>
    <t xml:space="preserve">Documentación ordenada del sistema</t>
  </si>
  <si>
    <t xml:space="preserve">TORN-KIT-ALM</t>
  </si>
  <si>
    <t xml:space="preserve">Kit de tornillería para instalación</t>
  </si>
  <si>
    <t xml:space="preserve">Tornillos + anclas ×200</t>
  </si>
  <si>
    <t xml:space="preserve">Anclas plásticas y tornillos autoperforantes</t>
  </si>
  <si>
    <t xml:space="preserve">Instalación general de dispositivos</t>
  </si>
  <si>
    <t xml:space="preserve">Pack 200</t>
  </si>
  <si>
    <t xml:space="preserve">Insumo básico de todo proyecto</t>
  </si>
  <si>
    <t xml:space="preserve">STI-6400</t>
  </si>
  <si>
    <t xml:space="preserve">Protector Stopper para pulsadores manuales</t>
  </si>
  <si>
    <t xml:space="preserve">Cubierta policarbonato con sirena 95 dB integrada</t>
  </si>
  <si>
    <t xml:space="preserve">Rearmable, reduce falsas alarmas por vandalismo</t>
  </si>
  <si>
    <t xml:space="preserve">Estaciones manuales SADI y pulsadores SACI</t>
  </si>
  <si>
    <t xml:space="preserve">Batería 9 V (sirena)</t>
  </si>
  <si>
    <t xml:space="preserve">Superficie sobre estación manual</t>
  </si>
  <si>
    <t xml:space="preserve">145 × 120 × 75 mm</t>
  </si>
  <si>
    <t xml:space="preserve">Formato con tapa y sirena local</t>
  </si>
  <si>
    <t xml:space="preserve">3M</t>
  </si>
  <si>
    <t xml:space="preserve">Cinta VHB 19mm rollo</t>
  </si>
  <si>
    <t xml:space="preserve">Cinta adhesiva estructural para bases y contactos</t>
  </si>
  <si>
    <t xml:space="preserve">Rollo 19 mm × 22 m · VHB</t>
  </si>
  <si>
    <t xml:space="preserve">Fija bases de detectores y contactos sin perforar</t>
  </si>
  <si>
    <t xml:space="preserve">Instalaciones temporales y superficies lisas</t>
  </si>
  <si>
    <t xml:space="preserve">Rollo</t>
  </si>
  <si>
    <t xml:space="preserve">Rollo 19 mm × 22 m</t>
  </si>
  <si>
    <t xml:space="preserve">Acelera montaje de contactos magnéticos</t>
  </si>
  <si>
    <t xml:space="preserve">Ditek</t>
  </si>
  <si>
    <t xml:space="preserve">DTK-120HW</t>
  </si>
  <si>
    <t xml:space="preserve">Protector de descarga para líneas de alarma</t>
  </si>
  <si>
    <t xml:space="preserve">2 pares · 6 V clamping · montaje directo</t>
  </si>
  <si>
    <t xml:space="preserve">Protege entradas de zona de descargas atmosféricas</t>
  </si>
  <si>
    <t xml:space="preserve">Zonas SACI y lazos SADI exteriores</t>
  </si>
  <si>
    <t xml:space="preserve">Pasivo</t>
  </si>
  <si>
    <t xml:space="preserve">DIN / caja</t>
  </si>
  <si>
    <t xml:space="preserve">80 × 25 × 25 mm</t>
  </si>
  <si>
    <t xml:space="preserve">Instalar en zonas que salen al exterior</t>
  </si>
  <si>
    <t xml:space="preserve">DTK-MRJPOE</t>
  </si>
  <si>
    <t xml:space="preserve">Protector de descarga para líneas PoE/IP</t>
  </si>
  <si>
    <t xml:space="preserve">RJ45 · Gigabit · IP</t>
  </si>
  <si>
    <t xml:space="preserve">Protege comunicadores IP y cámaras de descargas</t>
  </si>
  <si>
    <t xml:space="preserve">Comunicadores IP y redes de central</t>
  </si>
  <si>
    <t xml:space="preserve">DIN</t>
  </si>
  <si>
    <t xml:space="preserve">100 × 25 × 25 mm</t>
  </si>
  <si>
    <t xml:space="preserve">Para comunicadores LTE/IP expuestos</t>
  </si>
  <si>
    <t xml:space="preserve">Littelfuse</t>
  </si>
  <si>
    <t xml:space="preserve">FUS-KIT-3AG</t>
  </si>
  <si>
    <t xml:space="preserve">Kit de fusibles 3AG para centrales</t>
  </si>
  <si>
    <t xml:space="preserve">2 A / 3 A / 5 A ×10 c/u</t>
  </si>
  <si>
    <t xml:space="preserve">Repuesto de fusibles de placas de sirenas y módulos</t>
  </si>
  <si>
    <t xml:space="preserve">Placas de sirenas y módulos de potencia</t>
  </si>
  <si>
    <t xml:space="preserve">Portafusibles</t>
  </si>
  <si>
    <t xml:space="preserve">Pack 30</t>
  </si>
  <si>
    <t xml:space="preserve">Tener siempre en el servicio técnico</t>
  </si>
  <si>
    <t xml:space="preserve">DTK-412HW</t>
  </si>
  <si>
    <t xml:space="preserve">Protector de descarga para NAC 24 V</t>
  </si>
  <si>
    <t xml:space="preserve">2 pares · 30 V clamping</t>
  </si>
  <si>
    <t xml:space="preserve">Protege circuitos de notificación exteriores</t>
  </si>
  <si>
    <t xml:space="preserve">Circuitos NAC que salen al exterior</t>
  </si>
  <si>
    <t xml:space="preserve">Para sirenas/estrobs exteriores</t>
  </si>
  <si>
    <t xml:space="preserve">SUP-SIRENA-12</t>
  </si>
  <si>
    <t xml:space="preserve">Supresor de transientes para sirenas 12 V</t>
  </si>
  <si>
    <t xml:space="preserve">Diodo TVS 12 V bidireccional</t>
  </si>
  <si>
    <t xml:space="preserve">Evita picos al activar sirenas grandes</t>
  </si>
  <si>
    <t xml:space="preserve">Sirenas exteriores 12 VDC</t>
  </si>
  <si>
    <t xml:space="preserve">Sobre sirena</t>
  </si>
  <si>
    <t xml:space="preserve">20 × 15 × 15 mm</t>
  </si>
  <si>
    <t xml:space="preserve">0.05 kg</t>
  </si>
  <si>
    <t xml:space="preserve">Protege la salida de sirena del panel</t>
  </si>
  <si>
    <t xml:space="preserve">SRT750XLI</t>
  </si>
  <si>
    <t xml:space="preserve">UPS 750 VA para central SACI con IP</t>
  </si>
  <si>
    <t xml:space="preserve">750 VA / 500 W · línea interactiva</t>
  </si>
  <si>
    <t xml:space="preserve">Regulación AVR, USB/serial, para paneles con monitoreo IP</t>
  </si>
  <si>
    <t xml:space="preserve">Paneles con comunicador IP y NVR pequeño</t>
  </si>
  <si>
    <t xml:space="preserve">230 VAC</t>
  </si>
  <si>
    <t xml:space="preserve">Torre / rack 2U</t>
  </si>
  <si>
    <t xml:space="preserve">432 × 85 × 440 mm</t>
  </si>
  <si>
    <t xml:space="preserve">10.5 kg</t>
  </si>
  <si>
    <t xml:space="preserve">Respaldo de paneles críticos con IP</t>
  </si>
  <si>
    <t xml:space="preserve">Comparativa por Tipo de Dispositivo — Modelos de Referencia (SACI y SADI)</t>
  </si>
  <si>
    <t xml:space="preserve">SACI 1. Panel híbrido</t>
  </si>
  <si>
    <t xml:space="preserve">Central que combina zonas alámbricas e inalámbricas; el estándar de instalaciones mixtas</t>
  </si>
  <si>
    <t xml:space="preserve">Especificación</t>
  </si>
  <si>
    <t xml:space="preserve">Honeywell Security
VISTA-128BPT</t>
  </si>
  <si>
    <t xml:space="preserve">DSC
HS3232</t>
  </si>
  <si>
    <t xml:space="preserve">Paradox
SP6000</t>
  </si>
  <si>
    <t xml:space="preserve">Tecnología de detección</t>
  </si>
  <si>
    <t xml:space="preserve">Anti-falsa alarma</t>
  </si>
  <si>
    <t xml:space="preserve">Comunicación de eventos</t>
  </si>
  <si>
    <t xml:space="preserve">SACI 2. Panel alámbrico</t>
  </si>
  <si>
    <t xml:space="preserve">Central de zonas cableadas; máxima estabilidad y menor costo por punto</t>
  </si>
  <si>
    <t xml:space="preserve">DSC
PC1864</t>
  </si>
  <si>
    <t xml:space="preserve">Bosch Security
D7412GV4</t>
  </si>
  <si>
    <t xml:space="preserve">SACI 3. Panel inalámbrico / Hub</t>
  </si>
  <si>
    <t xml:space="preserve">Central autocontenida con dispositivos inalámbricos; instalación sin cableado</t>
  </si>
  <si>
    <t xml:space="preserve">Ajax Systems
Hub 2 Plus</t>
  </si>
  <si>
    <t xml:space="preserve">Visonic
PowerMaster 33</t>
  </si>
  <si>
    <t xml:space="preserve">Chuango
G5W</t>
  </si>
  <si>
    <t xml:space="preserve">SACI 4. Teclado de control</t>
  </si>
  <si>
    <t xml:space="preserve">Interfaz de armado/desarmado, programación y eventos del sistema</t>
  </si>
  <si>
    <t xml:space="preserve">Honeywell Security
6160RF</t>
  </si>
  <si>
    <t xml:space="preserve">DSC
HS2LCDRF</t>
  </si>
  <si>
    <t xml:space="preserve">Ajax Systems
KeyPad Plus Tag</t>
  </si>
  <si>
    <t xml:space="preserve">SACI 5. Detector PIR interior</t>
  </si>
  <si>
    <t xml:space="preserve">Sensor infrarrojo pasivo para protección volumétrica interior</t>
  </si>
  <si>
    <t xml:space="preserve">Bosch Security
ISC-BL-12</t>
  </si>
  <si>
    <t xml:space="preserve">Satel
PIR-4</t>
  </si>
  <si>
    <t xml:space="preserve">Chuango
PIR-900</t>
  </si>
  <si>
    <t xml:space="preserve">SACI 6. PIR inalámbrico</t>
  </si>
  <si>
    <t xml:space="preserve">PIR sin cableado con batería y supervisión radio; incluye versión pet-inmune</t>
  </si>
  <si>
    <t xml:space="preserve">Ajax Systems
MotionCam</t>
  </si>
  <si>
    <t xml:space="preserve">Visonic
Next PG2 MCW</t>
  </si>
  <si>
    <t xml:space="preserve">Hikvision
DS-PDPC12-EG2-WE</t>
  </si>
  <si>
    <t xml:space="preserve">SACI 7. Doble tecnología / exterior</t>
  </si>
  <si>
    <t xml:space="preserve">Sensor IR + microondas o PIR exterior de alta inmunidad a falsas alarmas</t>
  </si>
  <si>
    <t xml:space="preserve">Bosch Security
DS938Z</t>
  </si>
  <si>
    <t xml:space="preserve">Paradox
DG467-MX</t>
  </si>
  <si>
    <t xml:space="preserve">Ajax Systems
MotionCam Outdoor</t>
  </si>
  <si>
    <t xml:space="preserve">SACI 8. Contacto magnético</t>
  </si>
  <si>
    <t xml:space="preserve">Contacto para puertas y ventanas; detección de apertura perimetral</t>
  </si>
  <si>
    <t xml:space="preserve">DSC
EV-DW4975</t>
  </si>
  <si>
    <t xml:space="preserve">Ajax Systems
DoorProtect Black</t>
  </si>
  <si>
    <t xml:space="preserve">Hikvision
DS-PDCL12-EG2-WE</t>
  </si>
  <si>
    <t xml:space="preserve">SACI 9. Ruptura de vidrio</t>
  </si>
  <si>
    <t xml:space="preserve">Detector acústico digital de rompimiento de vidrios</t>
  </si>
  <si>
    <t xml:space="preserve">Honeywell Security
FG-730</t>
  </si>
  <si>
    <t xml:space="preserve">Bosch Security
DS1104i</t>
  </si>
  <si>
    <t xml:space="preserve">Visonic
MCS-790</t>
  </si>
  <si>
    <t xml:space="preserve">SACI 10. Sirena exterior</t>
  </si>
  <si>
    <t xml:space="preserve">Sirena de alta potencia con estrobo y caja anti-sabotaje para fachadas</t>
  </si>
  <si>
    <t xml:space="preserve">Texecom
Odyssey 5E</t>
  </si>
  <si>
    <t xml:space="preserve">Ajax Systems
StreetSiren Black</t>
  </si>
  <si>
    <t xml:space="preserve">DSC
SB-1</t>
  </si>
  <si>
    <t xml:space="preserve">SACI 11. Sirena interior</t>
  </si>
  <si>
    <t xml:space="preserve">Sirena compacta de disuasión para interiores</t>
  </si>
  <si>
    <t xml:space="preserve">Ajax Systems
HomeSiren Pro</t>
  </si>
  <si>
    <t xml:space="preserve">Satel
SQX-100</t>
  </si>
  <si>
    <t xml:space="preserve">Jablotron
JA-152A</t>
  </si>
  <si>
    <t xml:space="preserve">SACI 12. Comunicador de eventos</t>
  </si>
  <si>
    <t xml:space="preserve">Transmisor IP/GPRS/LTE que reporta a la central de monitoreo</t>
  </si>
  <si>
    <t xml:space="preserve">Bosch Security
B450 Conettix</t>
  </si>
  <si>
    <t xml:space="preserve">Paradox
IP150+</t>
  </si>
  <si>
    <t xml:space="preserve">Honeywell Security
7847i-L</t>
  </si>
  <si>
    <t xml:space="preserve">SACI 13. Perimetral exterior</t>
  </si>
  <si>
    <t xml:space="preserve">Barreras infrarrojas y detectores perimetrales para protección de línea</t>
  </si>
  <si>
    <t xml:space="preserve">Optex
AX-650TF</t>
  </si>
  <si>
    <t xml:space="preserve">Risco
WatchIN-W</t>
  </si>
  <si>
    <t xml:space="preserve">Visonic
MCS-740-CT</t>
  </si>
  <si>
    <t xml:space="preserve">SACI 14. Expansor / receptor</t>
  </si>
  <si>
    <t xml:space="preserve">Módulos de expansión de zonas, salidas y receptores inalámbricos</t>
  </si>
  <si>
    <t xml:space="preserve">Honeywell Security
4219</t>
  </si>
  <si>
    <t xml:space="preserve">Satel
ARF-200</t>
  </si>
  <si>
    <t xml:space="preserve">Ajax Systems
ReX 2 Black</t>
  </si>
  <si>
    <t xml:space="preserve">SACI 15. Botón de pánico</t>
  </si>
  <si>
    <t xml:space="preserve">Botón o colgante para solicitar auxilio inmediato (pánico / hold-up)</t>
  </si>
  <si>
    <t xml:space="preserve">Honeywell Security
5802LXT2</t>
  </si>
  <si>
    <t xml:space="preserve">Ajax Systems
Button negro</t>
  </si>
  <si>
    <t xml:space="preserve">DSC
WS4938-433</t>
  </si>
  <si>
    <t xml:space="preserve">SACI 16. Mando inalámbrico</t>
  </si>
  <si>
    <t xml:space="preserve">Control remoto de bolsillo para armado, desarmado y pánico</t>
  </si>
  <si>
    <t xml:space="preserve">Visonic
MCT-237</t>
  </si>
  <si>
    <t xml:space="preserve">Paradox
REM25</t>
  </si>
  <si>
    <t xml:space="preserve">Ajax Systems
SpaceControl negro</t>
  </si>
  <si>
    <t xml:space="preserve">SADI 1. Panel direccionable</t>
  </si>
  <si>
    <t xml:space="preserve">Central de detección de incendios con lazos direccionables y punto por punto identificado</t>
  </si>
  <si>
    <t xml:space="preserve">Honeywell Fire
NFS2-640</t>
  </si>
  <si>
    <t xml:space="preserve">Simplex (JCI)
4100ES</t>
  </si>
  <si>
    <t xml:space="preserve">Fire-Lite (Honeywell)
ES-200X</t>
  </si>
  <si>
    <t xml:space="preserve">Clase / Modo de operación</t>
  </si>
  <si>
    <t xml:space="preserve">Protocolo del lazo</t>
  </si>
  <si>
    <t xml:space="preserve">SADI 2. Panel convencional</t>
  </si>
  <si>
    <t xml:space="preserve">Central por zonas convencionales para instalaciones pequeñas</t>
  </si>
  <si>
    <t xml:space="preserve">Bosch Fire
D1620</t>
  </si>
  <si>
    <t xml:space="preserve">Edwards (EST)
IO64</t>
  </si>
  <si>
    <t xml:space="preserve">Fire-Lite (Honeywell)
MS-10UD-7</t>
  </si>
  <si>
    <t xml:space="preserve">SADI 3. Humo convencional</t>
  </si>
  <si>
    <t xml:space="preserve">Detector óptico fotoeléctrico de zona para interiores</t>
  </si>
  <si>
    <t xml:space="preserve">Apollo Fire Detectors
Series 65 Térmico (55000-330)</t>
  </si>
  <si>
    <t xml:space="preserve">System Sensor
i3 4WTAB</t>
  </si>
  <si>
    <t xml:space="preserve">Hochiki
SLG-E</t>
  </si>
  <si>
    <t xml:space="preserve">SADI 4. Humo direccionable</t>
  </si>
  <si>
    <t xml:space="preserve">Detector óptico direccionable con protocolo de lazo y dirección única</t>
  </si>
  <si>
    <t xml:space="preserve">Apollo Fire Detectors
XP95 Óptico IS (55000-860)</t>
  </si>
  <si>
    <t xml:space="preserve">Hochiki
ALV-V</t>
  </si>
  <si>
    <t xml:space="preserve">Honeywell Fire
FSA-951</t>
  </si>
  <si>
    <t xml:space="preserve">SADI 5. Térmico direccionable</t>
  </si>
  <si>
    <t xml:space="preserve">Detector de temperatura (A1R/A2S/CS) direccionable para ambientes con vapores</t>
  </si>
  <si>
    <t xml:space="preserve">Honeywell Fire
FST-951R</t>
  </si>
  <si>
    <t xml:space="preserve">Edwards (EST)
SIGA-HRD</t>
  </si>
  <si>
    <t xml:space="preserve">Apollo Fire Detectors
Discovery Térmico (58000-400)</t>
  </si>
  <si>
    <t xml:space="preserve">SADI 6. Multicriterio</t>
  </si>
  <si>
    <t xml:space="preserve">Sensor multi-canal (humo + térmico + CO) con algoritmos anti-falsa alarma</t>
  </si>
  <si>
    <t xml:space="preserve">Apollo Fire Detectors
Discovery Multisensor (58000-600)</t>
  </si>
  <si>
    <t xml:space="preserve">Gent (Honeywell)
S-Quad Multisensor Aislado (SQ-MC-ISO)</t>
  </si>
  <si>
    <t xml:space="preserve">Simplex (JCI)
4098-9756</t>
  </si>
  <si>
    <t xml:space="preserve">SADI 7. Detector de llama</t>
  </si>
  <si>
    <t xml:space="preserve">Detector óptico de flama UV/IR/IR3 para riesgos de alta velocidad de fuego</t>
  </si>
  <si>
    <t xml:space="preserve">Det-Tronics
X5200</t>
  </si>
  <si>
    <t xml:space="preserve">Fire Sentry (Honeywell)
FS-10X</t>
  </si>
  <si>
    <t xml:space="preserve">Siemens
FDL271</t>
  </si>
  <si>
    <t xml:space="preserve">SADI 8. Aspiración (ASD)</t>
  </si>
  <si>
    <t xml:space="preserve">Detección por aspiración láser (VESDA/FAAST) para riesgos críticos y techos altos</t>
  </si>
  <si>
    <t xml:space="preserve">Xtralis (Honeywell)
VESDA VEP-A00-P</t>
  </si>
  <si>
    <t xml:space="preserve">Honeywell Fire
FAAST XL-50</t>
  </si>
  <si>
    <t xml:space="preserve">SADI 9. Lineal de haz</t>
  </si>
  <si>
    <t xml:space="preserve">Detector óptico de haz proyectado para naves y atrios de gran altura</t>
  </si>
  <si>
    <t xml:space="preserve">Bosch Fire
D295</t>
  </si>
  <si>
    <t xml:space="preserve">System Sensor
BEAM2000</t>
  </si>
  <si>
    <t xml:space="preserve">Apollo Fire Detectors
Beam 5-100 m (58000-650)</t>
  </si>
  <si>
    <t xml:space="preserve">SADI 10. Estación manual</t>
  </si>
  <si>
    <t xml:space="preserve">Pulsador de alarma de simple/doble acción con vidrio o rearmable</t>
  </si>
  <si>
    <t xml:space="preserve">Simplex (JCI)
4099-9020</t>
  </si>
  <si>
    <t xml:space="preserve">Fire-Lite (Honeywell)
BG-12LO</t>
  </si>
  <si>
    <t xml:space="preserve">Edwards (EST)
SIGA-278R</t>
  </si>
  <si>
    <t xml:space="preserve">SADI 11. Sirena con estrobo</t>
  </si>
  <si>
    <t xml:space="preserve">Dispositivo de notificación audible y visible (horn/strobe) 24 V</t>
  </si>
  <si>
    <t xml:space="preserve">System Sensor
P2RK</t>
  </si>
  <si>
    <t xml:space="preserve">Simplex (JCI)
4906-9152</t>
  </si>
  <si>
    <t xml:space="preserve">Edwards (EST)
G1-HDVM</t>
  </si>
  <si>
    <t xml:space="preserve">SADI 12. Módulo de monitoreo</t>
  </si>
  <si>
    <t xml:space="preserve">Módulo direccionable que monitorea circuitos convencionales y contactos</t>
  </si>
  <si>
    <t xml:space="preserve">Honeywell Fire
FJM-5</t>
  </si>
  <si>
    <t xml:space="preserve">Apollo Fire Detectors
XP95 I/O (55000-722)</t>
  </si>
  <si>
    <t xml:space="preserve">Fire-Lite (Honeywell)
FMM-101</t>
  </si>
  <si>
    <t xml:space="preserve">SADI 13. Módulo de control/relevador</t>
  </si>
  <si>
    <t xml:space="preserve">Módulo direccionable que activa relevadores y controla equipos</t>
  </si>
  <si>
    <t xml:space="preserve">Honeywell Fire
FRM-1 con aislador</t>
  </si>
  <si>
    <t xml:space="preserve">Simplex (JCI)
4090-9002 (SPDT)</t>
  </si>
  <si>
    <t xml:space="preserve">Edwards (EST)
SIGA-CR con aislador</t>
  </si>
  <si>
    <t xml:space="preserve">SADI 14. Terminal repetidora</t>
  </si>
  <si>
    <t xml:space="preserve">Anunciador/repetidor remoto con pantalla para manejar el sistema desde otros pisos</t>
  </si>
  <si>
    <t xml:space="preserve">Siemens
FT724</t>
  </si>
  <si>
    <t xml:space="preserve">Honeywell Fire
ANN-80-RLY</t>
  </si>
  <si>
    <t xml:space="preserve">Fire-Lite (Honeywell)
ANN-80-RLY (relevador)</t>
  </si>
  <si>
    <t xml:space="preserve">SADI 15. Detector de ducto</t>
  </si>
  <si>
    <t xml:space="preserve">Detector de humo en ductos de climatización (muestreo de flujo)</t>
  </si>
  <si>
    <t xml:space="preserve">System Sensor
D4S</t>
  </si>
  <si>
    <t xml:space="preserve">Xtralis (Honeywell)
VESDA VAD</t>
  </si>
  <si>
    <t xml:space="preserve">Hochiki
DCH-300</t>
  </si>
  <si>
    <t xml:space="preserve">SADI 16. Aislador/base lazo</t>
  </si>
  <si>
    <t xml:space="preserve">Bases y módulos aisladores de cortocircuito que protegen el lazo</t>
  </si>
  <si>
    <t xml:space="preserve">Apollo Fire Detectors
Discovery Aisladora (45681-295)</t>
  </si>
  <si>
    <t xml:space="preserve">Edwards (EST)
SIGA-IB-CT2</t>
  </si>
  <si>
    <t xml:space="preserve">Honeywell Fire
B224BI</t>
  </si>
  <si>
    <t xml:space="preserve">Lista de Precios / Cotización — SACI, SADI y Equipamiento Común</t>
  </si>
  <si>
    <t xml:space="preserve">Cliente:</t>
  </si>
  <si>
    <t xml:space="preserve">Proyecto:</t>
  </si>
  <si>
    <t xml:space="preserve">Fecha:</t>
  </si>
  <si>
    <t xml:space="preserve">Elaborado por:</t>
  </si>
  <si>
    <t xml:space="preserve">A. SACI — Sistemas de Alarma Contra Intrusos (1072 modelos: 18 marcas × 16 tipos × 5 variantes)</t>
  </si>
  <si>
    <t xml:space="preserve">Precio Unit. (USD)</t>
  </si>
  <si>
    <t xml:space="preserve">Cantidad</t>
  </si>
  <si>
    <t xml:space="preserve">Descuento</t>
  </si>
  <si>
    <t xml:space="preserve">Subtotal (USD)</t>
  </si>
  <si>
    <t xml:space="preserve">Notas</t>
  </si>
  <si>
    <t xml:space="preserve">Subtotal A — SACI (USD)</t>
  </si>
  <si>
    <t xml:space="preserve">B. SADI — Sistemas de Detección de Incendios (712 modelos: 16 marcas × 16 tipos × 5 variantes)</t>
  </si>
  <si>
    <t xml:space="preserve">Subtotal B — SADI (USD)</t>
  </si>
  <si>
    <t xml:space="preserve">C. Equipamiento común — Baterías, fuentes, gabinetes, cableado, monitoreo (68 modelos)</t>
  </si>
  <si>
    <t xml:space="preserve">Subtotal C — Equipamiento (USD)</t>
  </si>
  <si>
    <t xml:space="preserve">TOTAL GENERAL COTIZADO (USD)</t>
  </si>
  <si>
    <t xml:space="preserve">Ítems cotizados:</t>
  </si>
  <si>
    <t xml:space="preserve">Monto total con descuentos (USD):</t>
  </si>
  <si>
    <t xml:space="preserve">Instrucciones: complete los datos del encabezado; en las secciones A (SACI), B (SADI) y C (equipamiento) ingrese Cantidad y Descuento (0%–90%) por ítem; Subtotales y TOTAL GENERAL se calculan automáticamente. Los precios unitarios provienen de las hojas Base de Datos SACI/SADI y Equipamiento (columna Precio Ref.), donde puede editarlos. Precios referenciales en USD.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</si>
</sst>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%"/>
    <numFmt numFmtId="167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7C6B"/>
      <name val="Calibri"/>
      <family val="0"/>
      <charset val="1"/>
    </font>
    <font>
      <sz val="9"/>
      <color rgb="FF7A8C87"/>
      <name val="Calibri"/>
      <family val="0"/>
      <charset val="1"/>
    </font>
    <font>
      <b val="true"/>
      <sz val="22"/>
      <color rgb="FF0E7C6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u val="single"/>
      <sz val="11"/>
      <color rgb="FF0E7C6B"/>
      <name val="Calibri"/>
      <family val="0"/>
      <charset val="1"/>
    </font>
    <font>
      <sz val="11"/>
      <color rgb="FF2F3735"/>
      <name val="Calibri"/>
      <family val="0"/>
      <charset val="1"/>
    </font>
    <font>
      <b val="true"/>
      <sz val="11"/>
      <color rgb="FF0E7C6B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E7C6B"/>
        <bgColor rgb="FF008080"/>
      </patternFill>
    </fill>
    <fill>
      <patternFill patternType="solid">
        <fgColor rgb="FFFFFFFF"/>
        <bgColor rgb="FFF2F8F6"/>
      </patternFill>
    </fill>
    <fill>
      <patternFill patternType="solid">
        <fgColor rgb="FFF2F8F6"/>
        <bgColor rgb="FFFFFFFF"/>
      </patternFill>
    </fill>
    <fill>
      <patternFill patternType="solid">
        <fgColor rgb="FFD4F0EB"/>
        <bgColor rgb="FFDEE9E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EE9E6"/>
      </bottom>
      <diagonal/>
    </border>
    <border diagonalUp="false" diagonalDown="false">
      <left/>
      <right/>
      <top style="medium">
        <color rgb="FFDEE9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9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9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9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Calibri"/>
        <charset val="1"/>
        <family val="0"/>
        <color rgb="FF7A8C87"/>
        <sz val="11"/>
      </font>
    </dxf>
    <dxf>
      <font>
        <color rgb="FF2E9E5A"/>
      </font>
    </dxf>
    <dxf>
      <fill>
        <patternFill patternType="solid">
          <fgColor rgb="FF0E7C6B"/>
          <bgColor rgb="FF000000"/>
        </patternFill>
      </fill>
    </dxf>
    <dxf>
      <fill>
        <patternFill patternType="solid">
          <fgColor rgb="FFF2F8F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F3735"/>
          <bgColor rgb="FF000000"/>
        </patternFill>
      </fill>
    </dxf>
    <dxf>
      <fill>
        <patternFill patternType="solid">
          <fgColor rgb="FF7A8C87"/>
          <bgColor rgb="FF000000"/>
        </patternFill>
      </fill>
    </dxf>
    <dxf>
      <font>
        <name val="Calibri"/>
        <charset val="1"/>
        <family val="0"/>
        <i val="1"/>
        <color rgb="FF7A8C87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6B"/>
      <rgbColor rgb="FFC0C0C0"/>
      <rgbColor rgb="FF7A8C87"/>
      <rgbColor rgb="FF9999FF"/>
      <rgbColor rgb="FF993366"/>
      <rgbColor rgb="FFF2F8F6"/>
      <rgbColor rgb="FFD4F0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9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9E5A"/>
      <rgbColor rgb="FF003300"/>
      <rgbColor rgb="FF333300"/>
      <rgbColor rgb="FF993300"/>
      <rgbColor rgb="FF993366"/>
      <rgbColor rgb="FF333399"/>
      <rgbColor rgb="FF2F37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6B"/>
    <pageSetUpPr fitToPage="false"/>
  </sheetPr>
  <dimension ref="B2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34"/>
    <col collapsed="false" customWidth="true" hidden="false" outlineLevel="0" max="4" min="4" style="1" width="30"/>
    <col collapsed="false" customWidth="true" hidden="false" outlineLevel="0" max="5" min="5" style="1" width="22"/>
    <col collapsed="false" customWidth="true" hidden="false" outlineLevel="0" max="8" min="6" style="1" width="10"/>
  </cols>
  <sheetData>
    <row r="2" customFormat="false" ht="31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3.5" hidden="false" customHeight="true" outlineLevel="0" collapsed="false">
      <c r="B3" s="3" t="s">
        <v>1</v>
      </c>
    </row>
    <row r="5" customFormat="false" ht="30" hidden="false" customHeight="true" outlineLevel="0" collapsed="false">
      <c r="B5" s="4" t="n">
        <v>34</v>
      </c>
      <c r="C5" s="4" t="n">
        <v>32</v>
      </c>
      <c r="D5" s="4" t="n">
        <f aca="false">COUNTA('Base de Datos SACI'!$G$5:$G$1076)</f>
        <v>1072</v>
      </c>
      <c r="E5" s="4" t="n">
        <f aca="false">COUNTA('Base de Datos SADI'!$G$5:$G$716)</f>
        <v>712</v>
      </c>
      <c r="F5" s="4" t="n">
        <v>8</v>
      </c>
      <c r="G5" s="4" t="n">
        <f aca="false">COUNTA(Equipamiento!$F$5:$F$72)</f>
        <v>68</v>
      </c>
    </row>
    <row r="6" customFormat="false" ht="15" hidden="false" customHeight="false" outlineLevel="0" collapsed="false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</row>
    <row r="9" customFormat="false" ht="27.75" hidden="false" customHeight="true" outlineLevel="0" collapsed="false">
      <c r="B9" s="5" t="s">
        <v>8</v>
      </c>
      <c r="C9" s="5" t="s">
        <v>9</v>
      </c>
    </row>
    <row r="10" customFormat="false" ht="21.75" hidden="false" customHeight="true" outlineLevel="0" collapsed="false">
      <c r="B10" s="6" t="str">
        <f aca="false">HYPERLINK("#'Resumen'!B2","Resumen")</f>
        <v>Resumen</v>
      </c>
      <c r="C10" s="7" t="s">
        <v>10</v>
      </c>
    </row>
    <row r="11" customFormat="false" ht="21.75" hidden="false" customHeight="true" outlineLevel="0" collapsed="false">
      <c r="B11" s="8" t="str">
        <f aca="false">HYPERLINK("#'Base de Datos SACI'!B2","Base de Datos SACI")</f>
        <v>Base de Datos SACI</v>
      </c>
      <c r="C11" s="9" t="s">
        <v>11</v>
      </c>
    </row>
    <row r="12" customFormat="false" ht="21.75" hidden="false" customHeight="true" outlineLevel="0" collapsed="false">
      <c r="B12" s="6" t="str">
        <f aca="false">HYPERLINK("#'Base de Datos SADI'!B2","Base de Datos SADI")</f>
        <v>Base de Datos SADI</v>
      </c>
      <c r="C12" s="7" t="s">
        <v>12</v>
      </c>
    </row>
    <row r="13" customFormat="false" ht="21.75" hidden="false" customHeight="true" outlineLevel="0" collapsed="false">
      <c r="B13" s="8" t="str">
        <f aca="false">HYPERLINK("#'Equipamiento'!B2","Equipamiento")</f>
        <v>Equipamiento</v>
      </c>
      <c r="C13" s="9" t="s">
        <v>13</v>
      </c>
    </row>
    <row r="14" customFormat="false" ht="21.75" hidden="false" customHeight="true" outlineLevel="0" collapsed="false">
      <c r="B14" s="6" t="str">
        <f aca="false">HYPERLINK("#'Comparativa'!B2","Comparativa")</f>
        <v>Comparativa</v>
      </c>
      <c r="C14" s="7" t="s">
        <v>14</v>
      </c>
    </row>
    <row r="15" customFormat="false" ht="21.75" hidden="false" customHeight="true" outlineLevel="0" collapsed="false">
      <c r="B15" s="8" t="str">
        <f aca="false">HYPERLINK("#'Lista de Precios'!B2","Lista de Precios")</f>
        <v>Lista de Precios</v>
      </c>
      <c r="C15" s="9" t="s">
        <v>15</v>
      </c>
    </row>
    <row r="16" customFormat="false" ht="15" hidden="false" customHeight="false" outlineLevel="0" collapsed="false">
      <c r="B16" s="10" t="s">
        <v>16</v>
      </c>
    </row>
    <row r="17" customFormat="false" ht="27.75" hidden="false" customHeight="true" outlineLevel="0" collapsed="false">
      <c r="B17" s="5" t="s">
        <v>17</v>
      </c>
      <c r="C17" s="5" t="s">
        <v>18</v>
      </c>
      <c r="D17" s="5" t="s">
        <v>19</v>
      </c>
    </row>
    <row r="18" customFormat="false" ht="39.75" hidden="false" customHeight="true" outlineLevel="0" collapsed="false">
      <c r="B18" s="11" t="s">
        <v>20</v>
      </c>
      <c r="C18" s="11" t="s">
        <v>21</v>
      </c>
      <c r="D18" s="7" t="s">
        <v>22</v>
      </c>
    </row>
    <row r="19" customFormat="false" ht="39.75" hidden="false" customHeight="true" outlineLevel="0" collapsed="false">
      <c r="B19" s="12" t="s">
        <v>23</v>
      </c>
      <c r="C19" s="12" t="s">
        <v>24</v>
      </c>
      <c r="D19" s="9" t="s">
        <v>25</v>
      </c>
    </row>
    <row r="20" customFormat="false" ht="39.75" hidden="false" customHeight="true" outlineLevel="0" collapsed="false">
      <c r="B20" s="11" t="s">
        <v>26</v>
      </c>
      <c r="C20" s="11" t="s">
        <v>27</v>
      </c>
      <c r="D20" s="7" t="s">
        <v>28</v>
      </c>
    </row>
    <row r="23" customFormat="false" ht="15" hidden="false" customHeight="false" outlineLevel="0" collapsed="false">
      <c r="B23" s="10" t="s">
        <v>29</v>
      </c>
    </row>
    <row r="24" customFormat="false" ht="30" hidden="false" customHeight="true" outlineLevel="0" collapsed="false">
      <c r="B24" s="13" t="s">
        <v>30</v>
      </c>
      <c r="C24" s="13"/>
      <c r="D24" s="13"/>
      <c r="E24" s="13"/>
      <c r="F24" s="13"/>
      <c r="G24" s="13"/>
      <c r="H24" s="13"/>
    </row>
    <row r="25" customFormat="false" ht="30" hidden="false" customHeight="true" outlineLevel="0" collapsed="false">
      <c r="B25" s="13" t="s">
        <v>31</v>
      </c>
      <c r="C25" s="13"/>
      <c r="D25" s="13"/>
      <c r="E25" s="13"/>
      <c r="F25" s="13"/>
      <c r="G25" s="13"/>
      <c r="H25" s="13"/>
    </row>
    <row r="26" customFormat="false" ht="30" hidden="false" customHeight="true" outlineLevel="0" collapsed="false">
      <c r="B26" s="13" t="s">
        <v>32</v>
      </c>
      <c r="C26" s="13"/>
      <c r="D26" s="13"/>
      <c r="E26" s="13"/>
      <c r="F26" s="13"/>
      <c r="G26" s="13"/>
      <c r="H26" s="13"/>
    </row>
    <row r="27" customFormat="false" ht="30" hidden="false" customHeight="true" outlineLevel="0" collapsed="false">
      <c r="B27" s="13" t="s">
        <v>33</v>
      </c>
      <c r="C27" s="13"/>
      <c r="D27" s="13"/>
      <c r="E27" s="13"/>
      <c r="F27" s="13"/>
      <c r="G27" s="13"/>
      <c r="H27" s="13"/>
    </row>
    <row r="28" customFormat="false" ht="30" hidden="false" customHeight="true" outlineLevel="0" collapsed="false">
      <c r="B28" s="13" t="s">
        <v>34</v>
      </c>
      <c r="C28" s="13"/>
      <c r="D28" s="13"/>
      <c r="E28" s="13"/>
      <c r="F28" s="13"/>
      <c r="G28" s="13"/>
      <c r="H28" s="13"/>
    </row>
    <row r="29" customFormat="false" ht="30" hidden="false" customHeight="true" outlineLevel="0" collapsed="false">
      <c r="B29" s="13" t="s">
        <v>35</v>
      </c>
      <c r="C29" s="13"/>
      <c r="D29" s="13"/>
      <c r="E29" s="13"/>
      <c r="F29" s="13"/>
      <c r="G29" s="13"/>
      <c r="H29" s="13"/>
    </row>
    <row r="30" customFormat="false" ht="30" hidden="false" customHeight="true" outlineLevel="0" collapsed="false">
      <c r="B30" s="13" t="s">
        <v>36</v>
      </c>
      <c r="C30" s="13"/>
      <c r="D30" s="13"/>
      <c r="E30" s="13"/>
      <c r="F30" s="13"/>
      <c r="G30" s="13"/>
      <c r="H30" s="13"/>
    </row>
    <row r="31" customFormat="false" ht="30" hidden="false" customHeight="true" outlineLevel="0" collapsed="false">
      <c r="B31" s="13" t="s">
        <v>37</v>
      </c>
      <c r="C31" s="13"/>
      <c r="D31" s="13"/>
      <c r="E31" s="13"/>
      <c r="F31" s="13"/>
      <c r="G31" s="13"/>
      <c r="H31" s="13"/>
    </row>
    <row r="32" customFormat="false" ht="30" hidden="false" customHeight="true" outlineLevel="0" collapsed="false">
      <c r="B32" s="13" t="s">
        <v>38</v>
      </c>
      <c r="C32" s="13"/>
      <c r="D32" s="13"/>
      <c r="E32" s="13"/>
      <c r="F32" s="13"/>
      <c r="G32" s="13"/>
      <c r="H32" s="13"/>
    </row>
  </sheetData>
  <mergeCells count="10">
    <mergeCell ref="B2:H2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F0EB"/>
    <pageSetUpPr fitToPage="false"/>
  </sheetPr>
  <dimension ref="B2:U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5"/>
    <col collapsed="false" customWidth="true" hidden="false" outlineLevel="0" max="4" min="4" style="1" width="14"/>
    <col collapsed="false" customWidth="true" hidden="false" outlineLevel="0" max="19" min="5" style="1" width="13"/>
  </cols>
  <sheetData>
    <row r="2" customFormat="false" ht="31.5" hidden="false" customHeight="true" outlineLevel="0" collapsed="false">
      <c r="B2" s="2" t="s">
        <v>39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7.5" hidden="false" customHeight="true" outlineLevel="0" collapsed="false"/>
    <row r="5" customFormat="false" ht="27.75" hidden="false" customHeight="true" outlineLevel="0" collapsed="false"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50</v>
      </c>
      <c r="M5" s="5" t="s">
        <v>51</v>
      </c>
      <c r="N5" s="5" t="s">
        <v>52</v>
      </c>
      <c r="O5" s="5" t="s">
        <v>53</v>
      </c>
      <c r="P5" s="5" t="s">
        <v>54</v>
      </c>
      <c r="Q5" s="5" t="s">
        <v>55</v>
      </c>
      <c r="R5" s="5" t="s">
        <v>56</v>
      </c>
      <c r="S5" s="5" t="s">
        <v>57</v>
      </c>
      <c r="T5" s="5" t="s">
        <v>58</v>
      </c>
      <c r="U5" s="5" t="s">
        <v>59</v>
      </c>
    </row>
    <row r="6" customFormat="false" ht="21.75" hidden="false" customHeight="true" outlineLevel="0" collapsed="false">
      <c r="B6" s="7" t="s">
        <v>60</v>
      </c>
      <c r="C6" s="14" t="n">
        <f aca="false">COUNTIFS('Base de Datos SACI'!$C$5:$C$1076,C$5,'Base de Datos SACI'!$F$5:$F$1076,$B6,'Base de Datos SACI'!$G$5:$G$1076,"&lt;&gt;*No disponible*")</f>
        <v>5</v>
      </c>
      <c r="D6" s="14" t="n">
        <f aca="false">COUNTIFS('Base de Datos SACI'!$C$5:$C$1076,D$5,'Base de Datos SACI'!$F$5:$F$1076,$B6,'Base de Datos SACI'!$G$5:$G$1076,"&lt;&gt;*No disponible*")</f>
        <v>5</v>
      </c>
      <c r="E6" s="14" t="n">
        <f aca="false">COUNTIFS('Base de Datos SACI'!$C$5:$C$1076,E$5,'Base de Datos SACI'!$F$5:$F$1076,$B6,'Base de Datos SACI'!$G$5:$G$1076,"&lt;&gt;*No disponible*")</f>
        <v>5</v>
      </c>
      <c r="F6" s="14" t="n">
        <f aca="false">COUNTIFS('Base de Datos SACI'!$C$5:$C$1076,F$5,'Base de Datos SACI'!$F$5:$F$1076,$B6,'Base de Datos SACI'!$G$5:$G$1076,"&lt;&gt;*No disponible*")</f>
        <v>5</v>
      </c>
      <c r="G6" s="14" t="n">
        <f aca="false">COUNTIFS('Base de Datos SACI'!$C$5:$C$1076,G$5,'Base de Datos SACI'!$F$5:$F$1076,$B6,'Base de Datos SACI'!$G$5:$G$1076,"&lt;&gt;*No disponible*")</f>
        <v>0</v>
      </c>
      <c r="H6" s="14" t="n">
        <f aca="false">COUNTIFS('Base de Datos SACI'!$C$5:$C$1076,H$5,'Base de Datos SACI'!$F$5:$F$1076,$B6,'Base de Datos SACI'!$G$5:$G$1076,"&lt;&gt;*No disponible*")</f>
        <v>0</v>
      </c>
      <c r="I6" s="14" t="n">
        <f aca="false">COUNTIFS('Base de Datos SACI'!$C$5:$C$1076,I$5,'Base de Datos SACI'!$F$5:$F$1076,$B6,'Base de Datos SACI'!$G$5:$G$1076,"&lt;&gt;*No disponible*")</f>
        <v>5</v>
      </c>
      <c r="J6" s="14" t="n">
        <f aca="false">COUNTIFS('Base de Datos SACI'!$C$5:$C$1076,J$5,'Base de Datos SACI'!$F$5:$F$1076,$B6,'Base de Datos SACI'!$G$5:$G$1076,"&lt;&gt;*No disponible*")</f>
        <v>5</v>
      </c>
      <c r="K6" s="14" t="n">
        <f aca="false">COUNTIFS('Base de Datos SACI'!$C$5:$C$1076,K$5,'Base de Datos SACI'!$F$5:$F$1076,$B6,'Base de Datos SACI'!$G$5:$G$1076,"&lt;&gt;*No disponible*")</f>
        <v>5</v>
      </c>
      <c r="L6" s="14" t="n">
        <f aca="false">COUNTIFS('Base de Datos SACI'!$C$5:$C$1076,L$5,'Base de Datos SACI'!$F$5:$F$1076,$B6,'Base de Datos SACI'!$G$5:$G$1076,"&lt;&gt;*No disponible*")</f>
        <v>5</v>
      </c>
      <c r="M6" s="14" t="n">
        <f aca="false">COUNTIFS('Base de Datos SACI'!$C$5:$C$1076,M$5,'Base de Datos SACI'!$F$5:$F$1076,$B6,'Base de Datos SACI'!$G$5:$G$1076,"&lt;&gt;*No disponible*")</f>
        <v>5</v>
      </c>
      <c r="N6" s="14" t="n">
        <f aca="false">COUNTIFS('Base de Datos SACI'!$C$5:$C$1076,N$5,'Base de Datos SACI'!$F$5:$F$1076,$B6,'Base de Datos SACI'!$G$5:$G$1076,"&lt;&gt;*No disponible*")</f>
        <v>5</v>
      </c>
      <c r="O6" s="14" t="n">
        <f aca="false">COUNTIFS('Base de Datos SACI'!$C$5:$C$1076,O$5,'Base de Datos SACI'!$F$5:$F$1076,$B6,'Base de Datos SACI'!$G$5:$G$1076,"&lt;&gt;*No disponible*")</f>
        <v>0</v>
      </c>
      <c r="P6" s="14" t="n">
        <f aca="false">COUNTIFS('Base de Datos SACI'!$C$5:$C$1076,P$5,'Base de Datos SACI'!$F$5:$F$1076,$B6,'Base de Datos SACI'!$G$5:$G$1076,"&lt;&gt;*No disponible*")</f>
        <v>5</v>
      </c>
      <c r="Q6" s="14" t="n">
        <f aca="false">COUNTIFS('Base de Datos SACI'!$C$5:$C$1076,Q$5,'Base de Datos SACI'!$F$5:$F$1076,$B6,'Base de Datos SACI'!$G$5:$G$1076,"&lt;&gt;*No disponible*")</f>
        <v>5</v>
      </c>
      <c r="R6" s="14" t="n">
        <f aca="false">COUNTIFS('Base de Datos SACI'!$C$5:$C$1076,R$5,'Base de Datos SACI'!$F$5:$F$1076,$B6,'Base de Datos SACI'!$G$5:$G$1076,"&lt;&gt;*No disponible*")</f>
        <v>0</v>
      </c>
      <c r="S6" s="14" t="n">
        <f aca="false">COUNTIFS('Base de Datos SACI'!$C$5:$C$1076,S$5,'Base de Datos SACI'!$F$5:$F$1076,$B6,'Base de Datos SACI'!$G$5:$G$1076,"&lt;&gt;*No disponible*")</f>
        <v>0</v>
      </c>
      <c r="T6" s="14" t="n">
        <f aca="false">COUNTIFS('Base de Datos SACI'!$C$5:$C$1076,T$5,'Base de Datos SACI'!$F$5:$F$1076,$B6,'Base de Datos SACI'!$G$5:$G$1076,"&lt;&gt;*No disponible*")</f>
        <v>5</v>
      </c>
      <c r="U6" s="14" t="n">
        <f aca="false">SUM(C6:T6)</f>
        <v>65</v>
      </c>
    </row>
    <row r="7" customFormat="false" ht="21.75" hidden="false" customHeight="true" outlineLevel="0" collapsed="false">
      <c r="B7" s="9" t="s">
        <v>61</v>
      </c>
      <c r="C7" s="15" t="n">
        <f aca="false">COUNTIFS('Base de Datos SACI'!$C$5:$C$1076,C$5,'Base de Datos SACI'!$F$5:$F$1076,$B7,'Base de Datos SACI'!$G$5:$G$1076,"&lt;&gt;*No disponible*")</f>
        <v>5</v>
      </c>
      <c r="D7" s="15" t="n">
        <f aca="false">COUNTIFS('Base de Datos SACI'!$C$5:$C$1076,D$5,'Base de Datos SACI'!$F$5:$F$1076,$B7,'Base de Datos SACI'!$G$5:$G$1076,"&lt;&gt;*No disponible*")</f>
        <v>5</v>
      </c>
      <c r="E7" s="15" t="n">
        <f aca="false">COUNTIFS('Base de Datos SACI'!$C$5:$C$1076,E$5,'Base de Datos SACI'!$F$5:$F$1076,$B7,'Base de Datos SACI'!$G$5:$G$1076,"&lt;&gt;*No disponible*")</f>
        <v>5</v>
      </c>
      <c r="F7" s="15" t="n">
        <f aca="false">COUNTIFS('Base de Datos SACI'!$C$5:$C$1076,F$5,'Base de Datos SACI'!$F$5:$F$1076,$B7,'Base de Datos SACI'!$G$5:$G$1076,"&lt;&gt;*No disponible*")</f>
        <v>5</v>
      </c>
      <c r="G7" s="15" t="n">
        <f aca="false">COUNTIFS('Base de Datos SACI'!$C$5:$C$1076,G$5,'Base de Datos SACI'!$F$5:$F$1076,$B7,'Base de Datos SACI'!$G$5:$G$1076,"&lt;&gt;*No disponible*")</f>
        <v>0</v>
      </c>
      <c r="H7" s="15" t="n">
        <f aca="false">COUNTIFS('Base de Datos SACI'!$C$5:$C$1076,H$5,'Base de Datos SACI'!$F$5:$F$1076,$B7,'Base de Datos SACI'!$G$5:$G$1076,"&lt;&gt;*No disponible*")</f>
        <v>0</v>
      </c>
      <c r="I7" s="15" t="n">
        <f aca="false">COUNTIFS('Base de Datos SACI'!$C$5:$C$1076,I$5,'Base de Datos SACI'!$F$5:$F$1076,$B7,'Base de Datos SACI'!$G$5:$G$1076,"&lt;&gt;*No disponible*")</f>
        <v>5</v>
      </c>
      <c r="J7" s="15" t="n">
        <f aca="false">COUNTIFS('Base de Datos SACI'!$C$5:$C$1076,J$5,'Base de Datos SACI'!$F$5:$F$1076,$B7,'Base de Datos SACI'!$G$5:$G$1076,"&lt;&gt;*No disponible*")</f>
        <v>0</v>
      </c>
      <c r="K7" s="15" t="n">
        <f aca="false">COUNTIFS('Base de Datos SACI'!$C$5:$C$1076,K$5,'Base de Datos SACI'!$F$5:$F$1076,$B7,'Base de Datos SACI'!$G$5:$G$1076,"&lt;&gt;*No disponible*")</f>
        <v>5</v>
      </c>
      <c r="L7" s="15" t="n">
        <f aca="false">COUNTIFS('Base de Datos SACI'!$C$5:$C$1076,L$5,'Base de Datos SACI'!$F$5:$F$1076,$B7,'Base de Datos SACI'!$G$5:$G$1076,"&lt;&gt;*No disponible*")</f>
        <v>5</v>
      </c>
      <c r="M7" s="15" t="n">
        <f aca="false">COUNTIFS('Base de Datos SACI'!$C$5:$C$1076,M$5,'Base de Datos SACI'!$F$5:$F$1076,$B7,'Base de Datos SACI'!$G$5:$G$1076,"&lt;&gt;*No disponible*")</f>
        <v>5</v>
      </c>
      <c r="N7" s="15" t="n">
        <f aca="false">COUNTIFS('Base de Datos SACI'!$C$5:$C$1076,N$5,'Base de Datos SACI'!$F$5:$F$1076,$B7,'Base de Datos SACI'!$G$5:$G$1076,"&lt;&gt;*No disponible*")</f>
        <v>0</v>
      </c>
      <c r="O7" s="15" t="n">
        <f aca="false">COUNTIFS('Base de Datos SACI'!$C$5:$C$1076,O$5,'Base de Datos SACI'!$F$5:$F$1076,$B7,'Base de Datos SACI'!$G$5:$G$1076,"&lt;&gt;*No disponible*")</f>
        <v>0</v>
      </c>
      <c r="P7" s="15" t="n">
        <f aca="false">COUNTIFS('Base de Datos SACI'!$C$5:$C$1076,P$5,'Base de Datos SACI'!$F$5:$F$1076,$B7,'Base de Datos SACI'!$G$5:$G$1076,"&lt;&gt;*No disponible*")</f>
        <v>0</v>
      </c>
      <c r="Q7" s="15" t="n">
        <f aca="false">COUNTIFS('Base de Datos SACI'!$C$5:$C$1076,Q$5,'Base de Datos SACI'!$F$5:$F$1076,$B7,'Base de Datos SACI'!$G$5:$G$1076,"&lt;&gt;*No disponible*")</f>
        <v>5</v>
      </c>
      <c r="R7" s="15" t="n">
        <f aca="false">COUNTIFS('Base de Datos SACI'!$C$5:$C$1076,R$5,'Base de Datos SACI'!$F$5:$F$1076,$B7,'Base de Datos SACI'!$G$5:$G$1076,"&lt;&gt;*No disponible*")</f>
        <v>0</v>
      </c>
      <c r="S7" s="15" t="n">
        <f aca="false">COUNTIFS('Base de Datos SACI'!$C$5:$C$1076,S$5,'Base de Datos SACI'!$F$5:$F$1076,$B7,'Base de Datos SACI'!$G$5:$G$1076,"&lt;&gt;*No disponible*")</f>
        <v>0</v>
      </c>
      <c r="T7" s="15" t="n">
        <f aca="false">COUNTIFS('Base de Datos SACI'!$C$5:$C$1076,T$5,'Base de Datos SACI'!$F$5:$F$1076,$B7,'Base de Datos SACI'!$G$5:$G$1076,"&lt;&gt;*No disponible*")</f>
        <v>0</v>
      </c>
      <c r="U7" s="15" t="n">
        <f aca="false">SUM(C7:T7)</f>
        <v>45</v>
      </c>
    </row>
    <row r="8" customFormat="false" ht="21.75" hidden="false" customHeight="true" outlineLevel="0" collapsed="false">
      <c r="B8" s="7" t="s">
        <v>62</v>
      </c>
      <c r="C8" s="14" t="n">
        <f aca="false">COUNTIFS('Base de Datos SACI'!$C$5:$C$1076,C$5,'Base de Datos SACI'!$F$5:$F$1076,$B8,'Base de Datos SACI'!$G$5:$G$1076,"&lt;&gt;*No disponible*")</f>
        <v>5</v>
      </c>
      <c r="D8" s="14" t="n">
        <f aca="false">COUNTIFS('Base de Datos SACI'!$C$5:$C$1076,D$5,'Base de Datos SACI'!$F$5:$F$1076,$B8,'Base de Datos SACI'!$G$5:$G$1076,"&lt;&gt;*No disponible*")</f>
        <v>5</v>
      </c>
      <c r="E8" s="14" t="n">
        <f aca="false">COUNTIFS('Base de Datos SACI'!$C$5:$C$1076,E$5,'Base de Datos SACI'!$F$5:$F$1076,$B8,'Base de Datos SACI'!$G$5:$G$1076,"&lt;&gt;*No disponible*")</f>
        <v>5</v>
      </c>
      <c r="F8" s="14" t="n">
        <f aca="false">COUNTIFS('Base de Datos SACI'!$C$5:$C$1076,F$5,'Base de Datos SACI'!$F$5:$F$1076,$B8,'Base de Datos SACI'!$G$5:$G$1076,"&lt;&gt;*No disponible*")</f>
        <v>5</v>
      </c>
      <c r="G8" s="14" t="n">
        <f aca="false">COUNTIFS('Base de Datos SACI'!$C$5:$C$1076,G$5,'Base de Datos SACI'!$F$5:$F$1076,$B8,'Base de Datos SACI'!$G$5:$G$1076,"&lt;&gt;*No disponible*")</f>
        <v>5</v>
      </c>
      <c r="H8" s="14" t="n">
        <f aca="false">COUNTIFS('Base de Datos SACI'!$C$5:$C$1076,H$5,'Base de Datos SACI'!$F$5:$F$1076,$B8,'Base de Datos SACI'!$G$5:$G$1076,"&lt;&gt;*No disponible*")</f>
        <v>5</v>
      </c>
      <c r="I8" s="14" t="n">
        <f aca="false">COUNTIFS('Base de Datos SACI'!$C$5:$C$1076,I$5,'Base de Datos SACI'!$F$5:$F$1076,$B8,'Base de Datos SACI'!$G$5:$G$1076,"&lt;&gt;*No disponible*")</f>
        <v>0</v>
      </c>
      <c r="J8" s="14" t="n">
        <f aca="false">COUNTIFS('Base de Datos SACI'!$C$5:$C$1076,J$5,'Base de Datos SACI'!$F$5:$F$1076,$B8,'Base de Datos SACI'!$G$5:$G$1076,"&lt;&gt;*No disponible*")</f>
        <v>5</v>
      </c>
      <c r="K8" s="14" t="n">
        <f aca="false">COUNTIFS('Base de Datos SACI'!$C$5:$C$1076,K$5,'Base de Datos SACI'!$F$5:$F$1076,$B8,'Base de Datos SACI'!$G$5:$G$1076,"&lt;&gt;*No disponible*")</f>
        <v>5</v>
      </c>
      <c r="L8" s="14" t="n">
        <f aca="false">COUNTIFS('Base de Datos SACI'!$C$5:$C$1076,L$5,'Base de Datos SACI'!$F$5:$F$1076,$B8,'Base de Datos SACI'!$G$5:$G$1076,"&lt;&gt;*No disponible*")</f>
        <v>0</v>
      </c>
      <c r="M8" s="14" t="n">
        <f aca="false">COUNTIFS('Base de Datos SACI'!$C$5:$C$1076,M$5,'Base de Datos SACI'!$F$5:$F$1076,$B8,'Base de Datos SACI'!$G$5:$G$1076,"&lt;&gt;*No disponible*")</f>
        <v>5</v>
      </c>
      <c r="N8" s="14" t="n">
        <f aca="false">COUNTIFS('Base de Datos SACI'!$C$5:$C$1076,N$5,'Base de Datos SACI'!$F$5:$F$1076,$B8,'Base de Datos SACI'!$G$5:$G$1076,"&lt;&gt;*No disponible*")</f>
        <v>5</v>
      </c>
      <c r="O8" s="14" t="n">
        <f aca="false">COUNTIFS('Base de Datos SACI'!$C$5:$C$1076,O$5,'Base de Datos SACI'!$F$5:$F$1076,$B8,'Base de Datos SACI'!$G$5:$G$1076,"&lt;&gt;*No disponible*")</f>
        <v>5</v>
      </c>
      <c r="P8" s="14" t="n">
        <f aca="false">COUNTIFS('Base de Datos SACI'!$C$5:$C$1076,P$5,'Base de Datos SACI'!$F$5:$F$1076,$B8,'Base de Datos SACI'!$G$5:$G$1076,"&lt;&gt;*No disponible*")</f>
        <v>0</v>
      </c>
      <c r="Q8" s="14" t="n">
        <f aca="false">COUNTIFS('Base de Datos SACI'!$C$5:$C$1076,Q$5,'Base de Datos SACI'!$F$5:$F$1076,$B8,'Base de Datos SACI'!$G$5:$G$1076,"&lt;&gt;*No disponible*")</f>
        <v>0</v>
      </c>
      <c r="R8" s="14" t="n">
        <f aca="false">COUNTIFS('Base de Datos SACI'!$C$5:$C$1076,R$5,'Base de Datos SACI'!$F$5:$F$1076,$B8,'Base de Datos SACI'!$G$5:$G$1076,"&lt;&gt;*No disponible*")</f>
        <v>5</v>
      </c>
      <c r="S8" s="14" t="n">
        <f aca="false">COUNTIFS('Base de Datos SACI'!$C$5:$C$1076,S$5,'Base de Datos SACI'!$F$5:$F$1076,$B8,'Base de Datos SACI'!$G$5:$G$1076,"&lt;&gt;*No disponible*")</f>
        <v>0</v>
      </c>
      <c r="T8" s="14" t="n">
        <f aca="false">COUNTIFS('Base de Datos SACI'!$C$5:$C$1076,T$5,'Base de Datos SACI'!$F$5:$F$1076,$B8,'Base de Datos SACI'!$G$5:$G$1076,"&lt;&gt;*No disponible*")</f>
        <v>0</v>
      </c>
      <c r="U8" s="14" t="n">
        <f aca="false">SUM(C8:T8)</f>
        <v>60</v>
      </c>
    </row>
    <row r="9" customFormat="false" ht="21.75" hidden="false" customHeight="true" outlineLevel="0" collapsed="false">
      <c r="B9" s="9" t="s">
        <v>63</v>
      </c>
      <c r="C9" s="15" t="n">
        <f aca="false">COUNTIFS('Base de Datos SACI'!$C$5:$C$1076,C$5,'Base de Datos SACI'!$F$5:$F$1076,$B9,'Base de Datos SACI'!$G$5:$G$1076,"&lt;&gt;*No disponible*")</f>
        <v>5</v>
      </c>
      <c r="D9" s="15" t="n">
        <f aca="false">COUNTIFS('Base de Datos SACI'!$C$5:$C$1076,D$5,'Base de Datos SACI'!$F$5:$F$1076,$B9,'Base de Datos SACI'!$G$5:$G$1076,"&lt;&gt;*No disponible*")</f>
        <v>5</v>
      </c>
      <c r="E9" s="15" t="n">
        <f aca="false">COUNTIFS('Base de Datos SACI'!$C$5:$C$1076,E$5,'Base de Datos SACI'!$F$5:$F$1076,$B9,'Base de Datos SACI'!$G$5:$G$1076,"&lt;&gt;*No disponible*")</f>
        <v>5</v>
      </c>
      <c r="F9" s="15" t="n">
        <f aca="false">COUNTIFS('Base de Datos SACI'!$C$5:$C$1076,F$5,'Base de Datos SACI'!$F$5:$F$1076,$B9,'Base de Datos SACI'!$G$5:$G$1076,"&lt;&gt;*No disponible*")</f>
        <v>5</v>
      </c>
      <c r="G9" s="15" t="n">
        <f aca="false">COUNTIFS('Base de Datos SACI'!$C$5:$C$1076,G$5,'Base de Datos SACI'!$F$5:$F$1076,$B9,'Base de Datos SACI'!$G$5:$G$1076,"&lt;&gt;*No disponible*")</f>
        <v>5</v>
      </c>
      <c r="H9" s="15" t="n">
        <f aca="false">COUNTIFS('Base de Datos SACI'!$C$5:$C$1076,H$5,'Base de Datos SACI'!$F$5:$F$1076,$B9,'Base de Datos SACI'!$G$5:$G$1076,"&lt;&gt;*No disponible*")</f>
        <v>5</v>
      </c>
      <c r="I9" s="15" t="n">
        <f aca="false">COUNTIFS('Base de Datos SACI'!$C$5:$C$1076,I$5,'Base de Datos SACI'!$F$5:$F$1076,$B9,'Base de Datos SACI'!$G$5:$G$1076,"&lt;&gt;*No disponible*")</f>
        <v>5</v>
      </c>
      <c r="J9" s="15" t="n">
        <f aca="false">COUNTIFS('Base de Datos SACI'!$C$5:$C$1076,J$5,'Base de Datos SACI'!$F$5:$F$1076,$B9,'Base de Datos SACI'!$G$5:$G$1076,"&lt;&gt;*No disponible*")</f>
        <v>5</v>
      </c>
      <c r="K9" s="15" t="n">
        <f aca="false">COUNTIFS('Base de Datos SACI'!$C$5:$C$1076,K$5,'Base de Datos SACI'!$F$5:$F$1076,$B9,'Base de Datos SACI'!$G$5:$G$1076,"&lt;&gt;*No disponible*")</f>
        <v>5</v>
      </c>
      <c r="L9" s="15" t="n">
        <f aca="false">COUNTIFS('Base de Datos SACI'!$C$5:$C$1076,L$5,'Base de Datos SACI'!$F$5:$F$1076,$B9,'Base de Datos SACI'!$G$5:$G$1076,"&lt;&gt;*No disponible*")</f>
        <v>5</v>
      </c>
      <c r="M9" s="15" t="n">
        <f aca="false">COUNTIFS('Base de Datos SACI'!$C$5:$C$1076,M$5,'Base de Datos SACI'!$F$5:$F$1076,$B9,'Base de Datos SACI'!$G$5:$G$1076,"&lt;&gt;*No disponible*")</f>
        <v>5</v>
      </c>
      <c r="N9" s="15" t="n">
        <f aca="false">COUNTIFS('Base de Datos SACI'!$C$5:$C$1076,N$5,'Base de Datos SACI'!$F$5:$F$1076,$B9,'Base de Datos SACI'!$G$5:$G$1076,"&lt;&gt;*No disponible*")</f>
        <v>5</v>
      </c>
      <c r="O9" s="15" t="n">
        <f aca="false">COUNTIFS('Base de Datos SACI'!$C$5:$C$1076,O$5,'Base de Datos SACI'!$F$5:$F$1076,$B9,'Base de Datos SACI'!$G$5:$G$1076,"&lt;&gt;*No disponible*")</f>
        <v>5</v>
      </c>
      <c r="P9" s="15" t="n">
        <f aca="false">COUNTIFS('Base de Datos SACI'!$C$5:$C$1076,P$5,'Base de Datos SACI'!$F$5:$F$1076,$B9,'Base de Datos SACI'!$G$5:$G$1076,"&lt;&gt;*No disponible*")</f>
        <v>5</v>
      </c>
      <c r="Q9" s="15" t="n">
        <f aca="false">COUNTIFS('Base de Datos SACI'!$C$5:$C$1076,Q$5,'Base de Datos SACI'!$F$5:$F$1076,$B9,'Base de Datos SACI'!$G$5:$G$1076,"&lt;&gt;*No disponible*")</f>
        <v>5</v>
      </c>
      <c r="R9" s="15" t="n">
        <f aca="false">COUNTIFS('Base de Datos SACI'!$C$5:$C$1076,R$5,'Base de Datos SACI'!$F$5:$F$1076,$B9,'Base de Datos SACI'!$G$5:$G$1076,"&lt;&gt;*No disponible*")</f>
        <v>5</v>
      </c>
      <c r="S9" s="15" t="n">
        <f aca="false">COUNTIFS('Base de Datos SACI'!$C$5:$C$1076,S$5,'Base de Datos SACI'!$F$5:$F$1076,$B9,'Base de Datos SACI'!$G$5:$G$1076,"&lt;&gt;*No disponible*")</f>
        <v>0</v>
      </c>
      <c r="T9" s="15" t="n">
        <f aca="false">COUNTIFS('Base de Datos SACI'!$C$5:$C$1076,T$5,'Base de Datos SACI'!$F$5:$F$1076,$B9,'Base de Datos SACI'!$G$5:$G$1076,"&lt;&gt;*No disponible*")</f>
        <v>5</v>
      </c>
      <c r="U9" s="15" t="n">
        <f aca="false">SUM(C9:T9)</f>
        <v>85</v>
      </c>
    </row>
    <row r="10" customFormat="false" ht="21.75" hidden="false" customHeight="true" outlineLevel="0" collapsed="false">
      <c r="B10" s="7" t="s">
        <v>64</v>
      </c>
      <c r="C10" s="14" t="n">
        <f aca="false">COUNTIFS('Base de Datos SACI'!$C$5:$C$1076,C$5,'Base de Datos SACI'!$F$5:$F$1076,$B10,'Base de Datos SACI'!$G$5:$G$1076,"&lt;&gt;*No disponible*")</f>
        <v>5</v>
      </c>
      <c r="D10" s="14" t="n">
        <f aca="false">COUNTIFS('Base de Datos SACI'!$C$5:$C$1076,D$5,'Base de Datos SACI'!$F$5:$F$1076,$B10,'Base de Datos SACI'!$G$5:$G$1076,"&lt;&gt;*No disponible*")</f>
        <v>5</v>
      </c>
      <c r="E10" s="14" t="n">
        <f aca="false">COUNTIFS('Base de Datos SACI'!$C$5:$C$1076,E$5,'Base de Datos SACI'!$F$5:$F$1076,$B10,'Base de Datos SACI'!$G$5:$G$1076,"&lt;&gt;*No disponible*")</f>
        <v>5</v>
      </c>
      <c r="F10" s="14" t="n">
        <f aca="false">COUNTIFS('Base de Datos SACI'!$C$5:$C$1076,F$5,'Base de Datos SACI'!$F$5:$F$1076,$B10,'Base de Datos SACI'!$G$5:$G$1076,"&lt;&gt;*No disponible*")</f>
        <v>5</v>
      </c>
      <c r="G10" s="14" t="n">
        <f aca="false">COUNTIFS('Base de Datos SACI'!$C$5:$C$1076,G$5,'Base de Datos SACI'!$F$5:$F$1076,$B10,'Base de Datos SACI'!$G$5:$G$1076,"&lt;&gt;*No disponible*")</f>
        <v>5</v>
      </c>
      <c r="H10" s="14" t="n">
        <f aca="false">COUNTIFS('Base de Datos SACI'!$C$5:$C$1076,H$5,'Base de Datos SACI'!$F$5:$F$1076,$B10,'Base de Datos SACI'!$G$5:$G$1076,"&lt;&gt;*No disponible*")</f>
        <v>5</v>
      </c>
      <c r="I10" s="14" t="n">
        <f aca="false">COUNTIFS('Base de Datos SACI'!$C$5:$C$1076,I$5,'Base de Datos SACI'!$F$5:$F$1076,$B10,'Base de Datos SACI'!$G$5:$G$1076,"&lt;&gt;*No disponible*")</f>
        <v>5</v>
      </c>
      <c r="J10" s="14" t="n">
        <f aca="false">COUNTIFS('Base de Datos SACI'!$C$5:$C$1076,J$5,'Base de Datos SACI'!$F$5:$F$1076,$B10,'Base de Datos SACI'!$G$5:$G$1076,"&lt;&gt;*No disponible*")</f>
        <v>5</v>
      </c>
      <c r="K10" s="14" t="n">
        <f aca="false">COUNTIFS('Base de Datos SACI'!$C$5:$C$1076,K$5,'Base de Datos SACI'!$F$5:$F$1076,$B10,'Base de Datos SACI'!$G$5:$G$1076,"&lt;&gt;*No disponible*")</f>
        <v>5</v>
      </c>
      <c r="L10" s="14" t="n">
        <f aca="false">COUNTIFS('Base de Datos SACI'!$C$5:$C$1076,L$5,'Base de Datos SACI'!$F$5:$F$1076,$B10,'Base de Datos SACI'!$G$5:$G$1076,"&lt;&gt;*No disponible*")</f>
        <v>5</v>
      </c>
      <c r="M10" s="14" t="n">
        <f aca="false">COUNTIFS('Base de Datos SACI'!$C$5:$C$1076,M$5,'Base de Datos SACI'!$F$5:$F$1076,$B10,'Base de Datos SACI'!$G$5:$G$1076,"&lt;&gt;*No disponible*")</f>
        <v>5</v>
      </c>
      <c r="N10" s="14" t="n">
        <f aca="false">COUNTIFS('Base de Datos SACI'!$C$5:$C$1076,N$5,'Base de Datos SACI'!$F$5:$F$1076,$B10,'Base de Datos SACI'!$G$5:$G$1076,"&lt;&gt;*No disponible*")</f>
        <v>5</v>
      </c>
      <c r="O10" s="14" t="n">
        <f aca="false">COUNTIFS('Base de Datos SACI'!$C$5:$C$1076,O$5,'Base de Datos SACI'!$F$5:$F$1076,$B10,'Base de Datos SACI'!$G$5:$G$1076,"&lt;&gt;*No disponible*")</f>
        <v>5</v>
      </c>
      <c r="P10" s="14" t="n">
        <f aca="false">COUNTIFS('Base de Datos SACI'!$C$5:$C$1076,P$5,'Base de Datos SACI'!$F$5:$F$1076,$B10,'Base de Datos SACI'!$G$5:$G$1076,"&lt;&gt;*No disponible*")</f>
        <v>5</v>
      </c>
      <c r="Q10" s="14" t="n">
        <f aca="false">COUNTIFS('Base de Datos SACI'!$C$5:$C$1076,Q$5,'Base de Datos SACI'!$F$5:$F$1076,$B10,'Base de Datos SACI'!$G$5:$G$1076,"&lt;&gt;*No disponible*")</f>
        <v>5</v>
      </c>
      <c r="R10" s="14" t="n">
        <f aca="false">COUNTIFS('Base de Datos SACI'!$C$5:$C$1076,R$5,'Base de Datos SACI'!$F$5:$F$1076,$B10,'Base de Datos SACI'!$G$5:$G$1076,"&lt;&gt;*No disponible*")</f>
        <v>5</v>
      </c>
      <c r="S10" s="14" t="n">
        <f aca="false">COUNTIFS('Base de Datos SACI'!$C$5:$C$1076,S$5,'Base de Datos SACI'!$F$5:$F$1076,$B10,'Base de Datos SACI'!$G$5:$G$1076,"&lt;&gt;*No disponible*")</f>
        <v>5</v>
      </c>
      <c r="T10" s="14" t="n">
        <f aca="false">COUNTIFS('Base de Datos SACI'!$C$5:$C$1076,T$5,'Base de Datos SACI'!$F$5:$F$1076,$B10,'Base de Datos SACI'!$G$5:$G$1076,"&lt;&gt;*No disponible*")</f>
        <v>0</v>
      </c>
      <c r="U10" s="14" t="n">
        <f aca="false">SUM(C10:T10)</f>
        <v>85</v>
      </c>
    </row>
    <row r="11" customFormat="false" ht="21.75" hidden="false" customHeight="true" outlineLevel="0" collapsed="false">
      <c r="B11" s="9" t="s">
        <v>65</v>
      </c>
      <c r="C11" s="15" t="n">
        <f aca="false">COUNTIFS('Base de Datos SACI'!$C$5:$C$1076,C$5,'Base de Datos SACI'!$F$5:$F$1076,$B11,'Base de Datos SACI'!$G$5:$G$1076,"&lt;&gt;*No disponible*")</f>
        <v>5</v>
      </c>
      <c r="D11" s="15" t="n">
        <f aca="false">COUNTIFS('Base de Datos SACI'!$C$5:$C$1076,D$5,'Base de Datos SACI'!$F$5:$F$1076,$B11,'Base de Datos SACI'!$G$5:$G$1076,"&lt;&gt;*No disponible*")</f>
        <v>5</v>
      </c>
      <c r="E11" s="15" t="n">
        <f aca="false">COUNTIFS('Base de Datos SACI'!$C$5:$C$1076,E$5,'Base de Datos SACI'!$F$5:$F$1076,$B11,'Base de Datos SACI'!$G$5:$G$1076,"&lt;&gt;*No disponible*")</f>
        <v>5</v>
      </c>
      <c r="F11" s="15" t="n">
        <f aca="false">COUNTIFS('Base de Datos SACI'!$C$5:$C$1076,F$5,'Base de Datos SACI'!$F$5:$F$1076,$B11,'Base de Datos SACI'!$G$5:$G$1076,"&lt;&gt;*No disponible*")</f>
        <v>5</v>
      </c>
      <c r="G11" s="15" t="n">
        <f aca="false">COUNTIFS('Base de Datos SACI'!$C$5:$C$1076,G$5,'Base de Datos SACI'!$F$5:$F$1076,$B11,'Base de Datos SACI'!$G$5:$G$1076,"&lt;&gt;*No disponible*")</f>
        <v>5</v>
      </c>
      <c r="H11" s="15" t="n">
        <f aca="false">COUNTIFS('Base de Datos SACI'!$C$5:$C$1076,H$5,'Base de Datos SACI'!$F$5:$F$1076,$B11,'Base de Datos SACI'!$G$5:$G$1076,"&lt;&gt;*No disponible*")</f>
        <v>5</v>
      </c>
      <c r="I11" s="15" t="n">
        <f aca="false">COUNTIFS('Base de Datos SACI'!$C$5:$C$1076,I$5,'Base de Datos SACI'!$F$5:$F$1076,$B11,'Base de Datos SACI'!$G$5:$G$1076,"&lt;&gt;*No disponible*")</f>
        <v>5</v>
      </c>
      <c r="J11" s="15" t="n">
        <f aca="false">COUNTIFS('Base de Datos SACI'!$C$5:$C$1076,J$5,'Base de Datos SACI'!$F$5:$F$1076,$B11,'Base de Datos SACI'!$G$5:$G$1076,"&lt;&gt;*No disponible*")</f>
        <v>5</v>
      </c>
      <c r="K11" s="15" t="n">
        <f aca="false">COUNTIFS('Base de Datos SACI'!$C$5:$C$1076,K$5,'Base de Datos SACI'!$F$5:$F$1076,$B11,'Base de Datos SACI'!$G$5:$G$1076,"&lt;&gt;*No disponible*")</f>
        <v>5</v>
      </c>
      <c r="L11" s="15" t="n">
        <f aca="false">COUNTIFS('Base de Datos SACI'!$C$5:$C$1076,L$5,'Base de Datos SACI'!$F$5:$F$1076,$B11,'Base de Datos SACI'!$G$5:$G$1076,"&lt;&gt;*No disponible*")</f>
        <v>5</v>
      </c>
      <c r="M11" s="15" t="n">
        <f aca="false">COUNTIFS('Base de Datos SACI'!$C$5:$C$1076,M$5,'Base de Datos SACI'!$F$5:$F$1076,$B11,'Base de Datos SACI'!$G$5:$G$1076,"&lt;&gt;*No disponible*")</f>
        <v>5</v>
      </c>
      <c r="N11" s="15" t="n">
        <f aca="false">COUNTIFS('Base de Datos SACI'!$C$5:$C$1076,N$5,'Base de Datos SACI'!$F$5:$F$1076,$B11,'Base de Datos SACI'!$G$5:$G$1076,"&lt;&gt;*No disponible*")</f>
        <v>5</v>
      </c>
      <c r="O11" s="15" t="n">
        <f aca="false">COUNTIFS('Base de Datos SACI'!$C$5:$C$1076,O$5,'Base de Datos SACI'!$F$5:$F$1076,$B11,'Base de Datos SACI'!$G$5:$G$1076,"&lt;&gt;*No disponible*")</f>
        <v>5</v>
      </c>
      <c r="P11" s="15" t="n">
        <f aca="false">COUNTIFS('Base de Datos SACI'!$C$5:$C$1076,P$5,'Base de Datos SACI'!$F$5:$F$1076,$B11,'Base de Datos SACI'!$G$5:$G$1076,"&lt;&gt;*No disponible*")</f>
        <v>0</v>
      </c>
      <c r="Q11" s="15" t="n">
        <f aca="false">COUNTIFS('Base de Datos SACI'!$C$5:$C$1076,Q$5,'Base de Datos SACI'!$F$5:$F$1076,$B11,'Base de Datos SACI'!$G$5:$G$1076,"&lt;&gt;*No disponible*")</f>
        <v>5</v>
      </c>
      <c r="R11" s="15" t="n">
        <f aca="false">COUNTIFS('Base de Datos SACI'!$C$5:$C$1076,R$5,'Base de Datos SACI'!$F$5:$F$1076,$B11,'Base de Datos SACI'!$G$5:$G$1076,"&lt;&gt;*No disponible*")</f>
        <v>5</v>
      </c>
      <c r="S11" s="15" t="n">
        <f aca="false">COUNTIFS('Base de Datos SACI'!$C$5:$C$1076,S$5,'Base de Datos SACI'!$F$5:$F$1076,$B11,'Base de Datos SACI'!$G$5:$G$1076,"&lt;&gt;*No disponible*")</f>
        <v>0</v>
      </c>
      <c r="T11" s="15" t="n">
        <f aca="false">COUNTIFS('Base de Datos SACI'!$C$5:$C$1076,T$5,'Base de Datos SACI'!$F$5:$F$1076,$B11,'Base de Datos SACI'!$G$5:$G$1076,"&lt;&gt;*No disponible*")</f>
        <v>5</v>
      </c>
      <c r="U11" s="15" t="n">
        <f aca="false">SUM(C11:T11)</f>
        <v>80</v>
      </c>
    </row>
    <row r="12" customFormat="false" ht="21.75" hidden="false" customHeight="true" outlineLevel="0" collapsed="false">
      <c r="B12" s="7" t="s">
        <v>66</v>
      </c>
      <c r="C12" s="14" t="n">
        <f aca="false">COUNTIFS('Base de Datos SACI'!$C$5:$C$1076,C$5,'Base de Datos SACI'!$F$5:$F$1076,$B12,'Base de Datos SACI'!$G$5:$G$1076,"&lt;&gt;*No disponible*")</f>
        <v>5</v>
      </c>
      <c r="D12" s="14" t="n">
        <f aca="false">COUNTIFS('Base de Datos SACI'!$C$5:$C$1076,D$5,'Base de Datos SACI'!$F$5:$F$1076,$B12,'Base de Datos SACI'!$G$5:$G$1076,"&lt;&gt;*No disponible*")</f>
        <v>5</v>
      </c>
      <c r="E12" s="14" t="n">
        <f aca="false">COUNTIFS('Base de Datos SACI'!$C$5:$C$1076,E$5,'Base de Datos SACI'!$F$5:$F$1076,$B12,'Base de Datos SACI'!$G$5:$G$1076,"&lt;&gt;*No disponible*")</f>
        <v>5</v>
      </c>
      <c r="F12" s="14" t="n">
        <f aca="false">COUNTIFS('Base de Datos SACI'!$C$5:$C$1076,F$5,'Base de Datos SACI'!$F$5:$F$1076,$B12,'Base de Datos SACI'!$G$5:$G$1076,"&lt;&gt;*No disponible*")</f>
        <v>5</v>
      </c>
      <c r="G12" s="14" t="n">
        <f aca="false">COUNTIFS('Base de Datos SACI'!$C$5:$C$1076,G$5,'Base de Datos SACI'!$F$5:$F$1076,$B12,'Base de Datos SACI'!$G$5:$G$1076,"&lt;&gt;*No disponible*")</f>
        <v>5</v>
      </c>
      <c r="H12" s="14" t="n">
        <f aca="false">COUNTIFS('Base de Datos SACI'!$C$5:$C$1076,H$5,'Base de Datos SACI'!$F$5:$F$1076,$B12,'Base de Datos SACI'!$G$5:$G$1076,"&lt;&gt;*No disponible*")</f>
        <v>5</v>
      </c>
      <c r="I12" s="14" t="n">
        <f aca="false">COUNTIFS('Base de Datos SACI'!$C$5:$C$1076,I$5,'Base de Datos SACI'!$F$5:$F$1076,$B12,'Base de Datos SACI'!$G$5:$G$1076,"&lt;&gt;*No disponible*")</f>
        <v>5</v>
      </c>
      <c r="J12" s="14" t="n">
        <f aca="false">COUNTIFS('Base de Datos SACI'!$C$5:$C$1076,J$5,'Base de Datos SACI'!$F$5:$F$1076,$B12,'Base de Datos SACI'!$G$5:$G$1076,"&lt;&gt;*No disponible*")</f>
        <v>5</v>
      </c>
      <c r="K12" s="14" t="n">
        <f aca="false">COUNTIFS('Base de Datos SACI'!$C$5:$C$1076,K$5,'Base de Datos SACI'!$F$5:$F$1076,$B12,'Base de Datos SACI'!$G$5:$G$1076,"&lt;&gt;*No disponible*")</f>
        <v>5</v>
      </c>
      <c r="L12" s="14" t="n">
        <f aca="false">COUNTIFS('Base de Datos SACI'!$C$5:$C$1076,L$5,'Base de Datos SACI'!$F$5:$F$1076,$B12,'Base de Datos SACI'!$G$5:$G$1076,"&lt;&gt;*No disponible*")</f>
        <v>5</v>
      </c>
      <c r="M12" s="14" t="n">
        <f aca="false">COUNTIFS('Base de Datos SACI'!$C$5:$C$1076,M$5,'Base de Datos SACI'!$F$5:$F$1076,$B12,'Base de Datos SACI'!$G$5:$G$1076,"&lt;&gt;*No disponible*")</f>
        <v>5</v>
      </c>
      <c r="N12" s="14" t="n">
        <f aca="false">COUNTIFS('Base de Datos SACI'!$C$5:$C$1076,N$5,'Base de Datos SACI'!$F$5:$F$1076,$B12,'Base de Datos SACI'!$G$5:$G$1076,"&lt;&gt;*No disponible*")</f>
        <v>5</v>
      </c>
      <c r="O12" s="14" t="n">
        <f aca="false">COUNTIFS('Base de Datos SACI'!$C$5:$C$1076,O$5,'Base de Datos SACI'!$F$5:$F$1076,$B12,'Base de Datos SACI'!$G$5:$G$1076,"&lt;&gt;*No disponible*")</f>
        <v>5</v>
      </c>
      <c r="P12" s="14" t="n">
        <f aca="false">COUNTIFS('Base de Datos SACI'!$C$5:$C$1076,P$5,'Base de Datos SACI'!$F$5:$F$1076,$B12,'Base de Datos SACI'!$G$5:$G$1076,"&lt;&gt;*No disponible*")</f>
        <v>0</v>
      </c>
      <c r="Q12" s="14" t="n">
        <f aca="false">COUNTIFS('Base de Datos SACI'!$C$5:$C$1076,Q$5,'Base de Datos SACI'!$F$5:$F$1076,$B12,'Base de Datos SACI'!$G$5:$G$1076,"&lt;&gt;*No disponible*")</f>
        <v>0</v>
      </c>
      <c r="R12" s="14" t="n">
        <f aca="false">COUNTIFS('Base de Datos SACI'!$C$5:$C$1076,R$5,'Base de Datos SACI'!$F$5:$F$1076,$B12,'Base de Datos SACI'!$G$5:$G$1076,"&lt;&gt;*No disponible*")</f>
        <v>0</v>
      </c>
      <c r="S12" s="14" t="n">
        <f aca="false">COUNTIFS('Base de Datos SACI'!$C$5:$C$1076,S$5,'Base de Datos SACI'!$F$5:$F$1076,$B12,'Base de Datos SACI'!$G$5:$G$1076,"&lt;&gt;*No disponible*")</f>
        <v>5</v>
      </c>
      <c r="T12" s="14" t="n">
        <f aca="false">COUNTIFS('Base de Datos SACI'!$C$5:$C$1076,T$5,'Base de Datos SACI'!$F$5:$F$1076,$B12,'Base de Datos SACI'!$G$5:$G$1076,"&lt;&gt;*No disponible*")</f>
        <v>0</v>
      </c>
      <c r="U12" s="14" t="n">
        <f aca="false">SUM(C12:T12)</f>
        <v>70</v>
      </c>
    </row>
    <row r="13" customFormat="false" ht="21.75" hidden="false" customHeight="true" outlineLevel="0" collapsed="false">
      <c r="B13" s="9" t="s">
        <v>67</v>
      </c>
      <c r="C13" s="15" t="n">
        <f aca="false">COUNTIFS('Base de Datos SACI'!$C$5:$C$1076,C$5,'Base de Datos SACI'!$F$5:$F$1076,$B13,'Base de Datos SACI'!$G$5:$G$1076,"&lt;&gt;*No disponible*")</f>
        <v>5</v>
      </c>
      <c r="D13" s="15" t="n">
        <f aca="false">COUNTIFS('Base de Datos SACI'!$C$5:$C$1076,D$5,'Base de Datos SACI'!$F$5:$F$1076,$B13,'Base de Datos SACI'!$G$5:$G$1076,"&lt;&gt;*No disponible*")</f>
        <v>5</v>
      </c>
      <c r="E13" s="15" t="n">
        <f aca="false">COUNTIFS('Base de Datos SACI'!$C$5:$C$1076,E$5,'Base de Datos SACI'!$F$5:$F$1076,$B13,'Base de Datos SACI'!$G$5:$G$1076,"&lt;&gt;*No disponible*")</f>
        <v>5</v>
      </c>
      <c r="F13" s="15" t="n">
        <f aca="false">COUNTIFS('Base de Datos SACI'!$C$5:$C$1076,F$5,'Base de Datos SACI'!$F$5:$F$1076,$B13,'Base de Datos SACI'!$G$5:$G$1076,"&lt;&gt;*No disponible*")</f>
        <v>5</v>
      </c>
      <c r="G13" s="15" t="n">
        <f aca="false">COUNTIFS('Base de Datos SACI'!$C$5:$C$1076,G$5,'Base de Datos SACI'!$F$5:$F$1076,$B13,'Base de Datos SACI'!$G$5:$G$1076,"&lt;&gt;*No disponible*")</f>
        <v>5</v>
      </c>
      <c r="H13" s="15" t="n">
        <f aca="false">COUNTIFS('Base de Datos SACI'!$C$5:$C$1076,H$5,'Base de Datos SACI'!$F$5:$F$1076,$B13,'Base de Datos SACI'!$G$5:$G$1076,"&lt;&gt;*No disponible*")</f>
        <v>5</v>
      </c>
      <c r="I13" s="15" t="n">
        <f aca="false">COUNTIFS('Base de Datos SACI'!$C$5:$C$1076,I$5,'Base de Datos SACI'!$F$5:$F$1076,$B13,'Base de Datos SACI'!$G$5:$G$1076,"&lt;&gt;*No disponible*")</f>
        <v>5</v>
      </c>
      <c r="J13" s="15" t="n">
        <f aca="false">COUNTIFS('Base de Datos SACI'!$C$5:$C$1076,J$5,'Base de Datos SACI'!$F$5:$F$1076,$B13,'Base de Datos SACI'!$G$5:$G$1076,"&lt;&gt;*No disponible*")</f>
        <v>5</v>
      </c>
      <c r="K13" s="15" t="n">
        <f aca="false">COUNTIFS('Base de Datos SACI'!$C$5:$C$1076,K$5,'Base de Datos SACI'!$F$5:$F$1076,$B13,'Base de Datos SACI'!$G$5:$G$1076,"&lt;&gt;*No disponible*")</f>
        <v>5</v>
      </c>
      <c r="L13" s="15" t="n">
        <f aca="false">COUNTIFS('Base de Datos SACI'!$C$5:$C$1076,L$5,'Base de Datos SACI'!$F$5:$F$1076,$B13,'Base de Datos SACI'!$G$5:$G$1076,"&lt;&gt;*No disponible*")</f>
        <v>5</v>
      </c>
      <c r="M13" s="15" t="n">
        <f aca="false">COUNTIFS('Base de Datos SACI'!$C$5:$C$1076,M$5,'Base de Datos SACI'!$F$5:$F$1076,$B13,'Base de Datos SACI'!$G$5:$G$1076,"&lt;&gt;*No disponible*")</f>
        <v>5</v>
      </c>
      <c r="N13" s="15" t="n">
        <f aca="false">COUNTIFS('Base de Datos SACI'!$C$5:$C$1076,N$5,'Base de Datos SACI'!$F$5:$F$1076,$B13,'Base de Datos SACI'!$G$5:$G$1076,"&lt;&gt;*No disponible*")</f>
        <v>5</v>
      </c>
      <c r="O13" s="15" t="n">
        <f aca="false">COUNTIFS('Base de Datos SACI'!$C$5:$C$1076,O$5,'Base de Datos SACI'!$F$5:$F$1076,$B13,'Base de Datos SACI'!$G$5:$G$1076,"&lt;&gt;*No disponible*")</f>
        <v>5</v>
      </c>
      <c r="P13" s="15" t="n">
        <f aca="false">COUNTIFS('Base de Datos SACI'!$C$5:$C$1076,P$5,'Base de Datos SACI'!$F$5:$F$1076,$B13,'Base de Datos SACI'!$G$5:$G$1076,"&lt;&gt;*No disponible*")</f>
        <v>5</v>
      </c>
      <c r="Q13" s="15" t="n">
        <f aca="false">COUNTIFS('Base de Datos SACI'!$C$5:$C$1076,Q$5,'Base de Datos SACI'!$F$5:$F$1076,$B13,'Base de Datos SACI'!$G$5:$G$1076,"&lt;&gt;*No disponible*")</f>
        <v>5</v>
      </c>
      <c r="R13" s="15" t="n">
        <f aca="false">COUNTIFS('Base de Datos SACI'!$C$5:$C$1076,R$5,'Base de Datos SACI'!$F$5:$F$1076,$B13,'Base de Datos SACI'!$G$5:$G$1076,"&lt;&gt;*No disponible*")</f>
        <v>5</v>
      </c>
      <c r="S13" s="15" t="n">
        <f aca="false">COUNTIFS('Base de Datos SACI'!$C$5:$C$1076,S$5,'Base de Datos SACI'!$F$5:$F$1076,$B13,'Base de Datos SACI'!$G$5:$G$1076,"&lt;&gt;*No disponible*")</f>
        <v>0</v>
      </c>
      <c r="T13" s="15" t="n">
        <f aca="false">COUNTIFS('Base de Datos SACI'!$C$5:$C$1076,T$5,'Base de Datos SACI'!$F$5:$F$1076,$B13,'Base de Datos SACI'!$G$5:$G$1076,"&lt;&gt;*No disponible*")</f>
        <v>5</v>
      </c>
      <c r="U13" s="15" t="n">
        <f aca="false">SUM(C13:T13)</f>
        <v>85</v>
      </c>
    </row>
    <row r="14" customFormat="false" ht="21.75" hidden="false" customHeight="true" outlineLevel="0" collapsed="false">
      <c r="B14" s="7" t="s">
        <v>68</v>
      </c>
      <c r="C14" s="14" t="n">
        <f aca="false">COUNTIFS('Base de Datos SACI'!$C$5:$C$1076,C$5,'Base de Datos SACI'!$F$5:$F$1076,$B14,'Base de Datos SACI'!$G$5:$G$1076,"&lt;&gt;*No disponible*")</f>
        <v>5</v>
      </c>
      <c r="D14" s="14" t="n">
        <f aca="false">COUNTIFS('Base de Datos SACI'!$C$5:$C$1076,D$5,'Base de Datos SACI'!$F$5:$F$1076,$B14,'Base de Datos SACI'!$G$5:$G$1076,"&lt;&gt;*No disponible*")</f>
        <v>5</v>
      </c>
      <c r="E14" s="14" t="n">
        <f aca="false">COUNTIFS('Base de Datos SACI'!$C$5:$C$1076,E$5,'Base de Datos SACI'!$F$5:$F$1076,$B14,'Base de Datos SACI'!$G$5:$G$1076,"&lt;&gt;*No disponible*")</f>
        <v>5</v>
      </c>
      <c r="F14" s="14" t="n">
        <f aca="false">COUNTIFS('Base de Datos SACI'!$C$5:$C$1076,F$5,'Base de Datos SACI'!$F$5:$F$1076,$B14,'Base de Datos SACI'!$G$5:$G$1076,"&lt;&gt;*No disponible*")</f>
        <v>5</v>
      </c>
      <c r="G14" s="14" t="n">
        <f aca="false">COUNTIFS('Base de Datos SACI'!$C$5:$C$1076,G$5,'Base de Datos SACI'!$F$5:$F$1076,$B14,'Base de Datos SACI'!$G$5:$G$1076,"&lt;&gt;*No disponible*")</f>
        <v>5</v>
      </c>
      <c r="H14" s="14" t="n">
        <f aca="false">COUNTIFS('Base de Datos SACI'!$C$5:$C$1076,H$5,'Base de Datos SACI'!$F$5:$F$1076,$B14,'Base de Datos SACI'!$G$5:$G$1076,"&lt;&gt;*No disponible*")</f>
        <v>5</v>
      </c>
      <c r="I14" s="14" t="n">
        <f aca="false">COUNTIFS('Base de Datos SACI'!$C$5:$C$1076,I$5,'Base de Datos SACI'!$F$5:$F$1076,$B14,'Base de Datos SACI'!$G$5:$G$1076,"&lt;&gt;*No disponible*")</f>
        <v>0</v>
      </c>
      <c r="J14" s="14" t="n">
        <f aca="false">COUNTIFS('Base de Datos SACI'!$C$5:$C$1076,J$5,'Base de Datos SACI'!$F$5:$F$1076,$B14,'Base de Datos SACI'!$G$5:$G$1076,"&lt;&gt;*No disponible*")</f>
        <v>0</v>
      </c>
      <c r="K14" s="14" t="n">
        <f aca="false">COUNTIFS('Base de Datos SACI'!$C$5:$C$1076,K$5,'Base de Datos SACI'!$F$5:$F$1076,$B14,'Base de Datos SACI'!$G$5:$G$1076,"&lt;&gt;*No disponible*")</f>
        <v>0</v>
      </c>
      <c r="L14" s="14" t="n">
        <f aca="false">COUNTIFS('Base de Datos SACI'!$C$5:$C$1076,L$5,'Base de Datos SACI'!$F$5:$F$1076,$B14,'Base de Datos SACI'!$G$5:$G$1076,"&lt;&gt;*No disponible*")</f>
        <v>0</v>
      </c>
      <c r="M14" s="14" t="n">
        <f aca="false">COUNTIFS('Base de Datos SACI'!$C$5:$C$1076,M$5,'Base de Datos SACI'!$F$5:$F$1076,$B14,'Base de Datos SACI'!$G$5:$G$1076,"&lt;&gt;*No disponible*")</f>
        <v>0</v>
      </c>
      <c r="N14" s="14" t="n">
        <f aca="false">COUNTIFS('Base de Datos SACI'!$C$5:$C$1076,N$5,'Base de Datos SACI'!$F$5:$F$1076,$B14,'Base de Datos SACI'!$G$5:$G$1076,"&lt;&gt;*No disponible*")</f>
        <v>0</v>
      </c>
      <c r="O14" s="14" t="n">
        <f aca="false">COUNTIFS('Base de Datos SACI'!$C$5:$C$1076,O$5,'Base de Datos SACI'!$F$5:$F$1076,$B14,'Base de Datos SACI'!$G$5:$G$1076,"&lt;&gt;*No disponible*")</f>
        <v>0</v>
      </c>
      <c r="P14" s="14" t="n">
        <f aca="false">COUNTIFS('Base de Datos SACI'!$C$5:$C$1076,P$5,'Base de Datos SACI'!$F$5:$F$1076,$B14,'Base de Datos SACI'!$G$5:$G$1076,"&lt;&gt;*No disponible*")</f>
        <v>0</v>
      </c>
      <c r="Q14" s="14" t="n">
        <f aca="false">COUNTIFS('Base de Datos SACI'!$C$5:$C$1076,Q$5,'Base de Datos SACI'!$F$5:$F$1076,$B14,'Base de Datos SACI'!$G$5:$G$1076,"&lt;&gt;*No disponible*")</f>
        <v>0</v>
      </c>
      <c r="R14" s="14" t="n">
        <f aca="false">COUNTIFS('Base de Datos SACI'!$C$5:$C$1076,R$5,'Base de Datos SACI'!$F$5:$F$1076,$B14,'Base de Datos SACI'!$G$5:$G$1076,"&lt;&gt;*No disponible*")</f>
        <v>5</v>
      </c>
      <c r="S14" s="14" t="n">
        <f aca="false">COUNTIFS('Base de Datos SACI'!$C$5:$C$1076,S$5,'Base de Datos SACI'!$F$5:$F$1076,$B14,'Base de Datos SACI'!$G$5:$G$1076,"&lt;&gt;*No disponible*")</f>
        <v>0</v>
      </c>
      <c r="T14" s="14" t="n">
        <f aca="false">COUNTIFS('Base de Datos SACI'!$C$5:$C$1076,T$5,'Base de Datos SACI'!$F$5:$F$1076,$B14,'Base de Datos SACI'!$G$5:$G$1076,"&lt;&gt;*No disponible*")</f>
        <v>5</v>
      </c>
      <c r="U14" s="14" t="n">
        <f aca="false">SUM(C14:T14)</f>
        <v>40</v>
      </c>
    </row>
    <row r="15" customFormat="false" ht="21.75" hidden="false" customHeight="true" outlineLevel="0" collapsed="false">
      <c r="B15" s="9" t="s">
        <v>69</v>
      </c>
      <c r="C15" s="15" t="n">
        <f aca="false">COUNTIFS('Base de Datos SACI'!$C$5:$C$1076,C$5,'Base de Datos SACI'!$F$5:$F$1076,$B15,'Base de Datos SACI'!$G$5:$G$1076,"&lt;&gt;*No disponible*")</f>
        <v>5</v>
      </c>
      <c r="D15" s="15" t="n">
        <f aca="false">COUNTIFS('Base de Datos SACI'!$C$5:$C$1076,D$5,'Base de Datos SACI'!$F$5:$F$1076,$B15,'Base de Datos SACI'!$G$5:$G$1076,"&lt;&gt;*No disponible*")</f>
        <v>5</v>
      </c>
      <c r="E15" s="15" t="n">
        <f aca="false">COUNTIFS('Base de Datos SACI'!$C$5:$C$1076,E$5,'Base de Datos SACI'!$F$5:$F$1076,$B15,'Base de Datos SACI'!$G$5:$G$1076,"&lt;&gt;*No disponible*")</f>
        <v>5</v>
      </c>
      <c r="F15" s="15" t="n">
        <f aca="false">COUNTIFS('Base de Datos SACI'!$C$5:$C$1076,F$5,'Base de Datos SACI'!$F$5:$F$1076,$B15,'Base de Datos SACI'!$G$5:$G$1076,"&lt;&gt;*No disponible*")</f>
        <v>5</v>
      </c>
      <c r="G15" s="15" t="n">
        <f aca="false">COUNTIFS('Base de Datos SACI'!$C$5:$C$1076,G$5,'Base de Datos SACI'!$F$5:$F$1076,$B15,'Base de Datos SACI'!$G$5:$G$1076,"&lt;&gt;*No disponible*")</f>
        <v>5</v>
      </c>
      <c r="H15" s="15" t="n">
        <f aca="false">COUNTIFS('Base de Datos SACI'!$C$5:$C$1076,H$5,'Base de Datos SACI'!$F$5:$F$1076,$B15,'Base de Datos SACI'!$G$5:$G$1076,"&lt;&gt;*No disponible*")</f>
        <v>5</v>
      </c>
      <c r="I15" s="15" t="n">
        <f aca="false">COUNTIFS('Base de Datos SACI'!$C$5:$C$1076,I$5,'Base de Datos SACI'!$F$5:$F$1076,$B15,'Base de Datos SACI'!$G$5:$G$1076,"&lt;&gt;*No disponible*")</f>
        <v>5</v>
      </c>
      <c r="J15" s="15" t="n">
        <f aca="false">COUNTIFS('Base de Datos SACI'!$C$5:$C$1076,J$5,'Base de Datos SACI'!$F$5:$F$1076,$B15,'Base de Datos SACI'!$G$5:$G$1076,"&lt;&gt;*No disponible*")</f>
        <v>5</v>
      </c>
      <c r="K15" s="15" t="n">
        <f aca="false">COUNTIFS('Base de Datos SACI'!$C$5:$C$1076,K$5,'Base de Datos SACI'!$F$5:$F$1076,$B15,'Base de Datos SACI'!$G$5:$G$1076,"&lt;&gt;*No disponible*")</f>
        <v>5</v>
      </c>
      <c r="L15" s="15" t="n">
        <f aca="false">COUNTIFS('Base de Datos SACI'!$C$5:$C$1076,L$5,'Base de Datos SACI'!$F$5:$F$1076,$B15,'Base de Datos SACI'!$G$5:$G$1076,"&lt;&gt;*No disponible*")</f>
        <v>5</v>
      </c>
      <c r="M15" s="15" t="n">
        <f aca="false">COUNTIFS('Base de Datos SACI'!$C$5:$C$1076,M$5,'Base de Datos SACI'!$F$5:$F$1076,$B15,'Base de Datos SACI'!$G$5:$G$1076,"&lt;&gt;*No disponible*")</f>
        <v>5</v>
      </c>
      <c r="N15" s="15" t="n">
        <f aca="false">COUNTIFS('Base de Datos SACI'!$C$5:$C$1076,N$5,'Base de Datos SACI'!$F$5:$F$1076,$B15,'Base de Datos SACI'!$G$5:$G$1076,"&lt;&gt;*No disponible*")</f>
        <v>5</v>
      </c>
      <c r="O15" s="15" t="n">
        <f aca="false">COUNTIFS('Base de Datos SACI'!$C$5:$C$1076,O$5,'Base de Datos SACI'!$F$5:$F$1076,$B15,'Base de Datos SACI'!$G$5:$G$1076,"&lt;&gt;*No disponible*")</f>
        <v>5</v>
      </c>
      <c r="P15" s="15" t="n">
        <f aca="false">COUNTIFS('Base de Datos SACI'!$C$5:$C$1076,P$5,'Base de Datos SACI'!$F$5:$F$1076,$B15,'Base de Datos SACI'!$G$5:$G$1076,"&lt;&gt;*No disponible*")</f>
        <v>5</v>
      </c>
      <c r="Q15" s="15" t="n">
        <f aca="false">COUNTIFS('Base de Datos SACI'!$C$5:$C$1076,Q$5,'Base de Datos SACI'!$F$5:$F$1076,$B15,'Base de Datos SACI'!$G$5:$G$1076,"&lt;&gt;*No disponible*")</f>
        <v>5</v>
      </c>
      <c r="R15" s="15" t="n">
        <f aca="false">COUNTIFS('Base de Datos SACI'!$C$5:$C$1076,R$5,'Base de Datos SACI'!$F$5:$F$1076,$B15,'Base de Datos SACI'!$G$5:$G$1076,"&lt;&gt;*No disponible*")</f>
        <v>0</v>
      </c>
      <c r="S15" s="15" t="n">
        <f aca="false">COUNTIFS('Base de Datos SACI'!$C$5:$C$1076,S$5,'Base de Datos SACI'!$F$5:$F$1076,$B15,'Base de Datos SACI'!$G$5:$G$1076,"&lt;&gt;*No disponible*")</f>
        <v>0</v>
      </c>
      <c r="T15" s="15" t="n">
        <f aca="false">COUNTIFS('Base de Datos SACI'!$C$5:$C$1076,T$5,'Base de Datos SACI'!$F$5:$F$1076,$B15,'Base de Datos SACI'!$G$5:$G$1076,"&lt;&gt;*No disponible*")</f>
        <v>5</v>
      </c>
      <c r="U15" s="15" t="n">
        <f aca="false">SUM(C15:T15)</f>
        <v>80</v>
      </c>
    </row>
    <row r="16" customFormat="false" ht="21.75" hidden="false" customHeight="true" outlineLevel="0" collapsed="false">
      <c r="B16" s="7" t="s">
        <v>70</v>
      </c>
      <c r="C16" s="14" t="n">
        <f aca="false">COUNTIFS('Base de Datos SACI'!$C$5:$C$1076,C$5,'Base de Datos SACI'!$F$5:$F$1076,$B16,'Base de Datos SACI'!$G$5:$G$1076,"&lt;&gt;*No disponible*")</f>
        <v>5</v>
      </c>
      <c r="D16" s="14" t="n">
        <f aca="false">COUNTIFS('Base de Datos SACI'!$C$5:$C$1076,D$5,'Base de Datos SACI'!$F$5:$F$1076,$B16,'Base de Datos SACI'!$G$5:$G$1076,"&lt;&gt;*No disponible*")</f>
        <v>5</v>
      </c>
      <c r="E16" s="14" t="n">
        <f aca="false">COUNTIFS('Base de Datos SACI'!$C$5:$C$1076,E$5,'Base de Datos SACI'!$F$5:$F$1076,$B16,'Base de Datos SACI'!$G$5:$G$1076,"&lt;&gt;*No disponible*")</f>
        <v>5</v>
      </c>
      <c r="F16" s="14" t="n">
        <f aca="false">COUNTIFS('Base de Datos SACI'!$C$5:$C$1076,F$5,'Base de Datos SACI'!$F$5:$F$1076,$B16,'Base de Datos SACI'!$G$5:$G$1076,"&lt;&gt;*No disponible*")</f>
        <v>5</v>
      </c>
      <c r="G16" s="14" t="n">
        <f aca="false">COUNTIFS('Base de Datos SACI'!$C$5:$C$1076,G$5,'Base de Datos SACI'!$F$5:$F$1076,$B16,'Base de Datos SACI'!$G$5:$G$1076,"&lt;&gt;*No disponible*")</f>
        <v>5</v>
      </c>
      <c r="H16" s="14" t="n">
        <f aca="false">COUNTIFS('Base de Datos SACI'!$C$5:$C$1076,H$5,'Base de Datos SACI'!$F$5:$F$1076,$B16,'Base de Datos SACI'!$G$5:$G$1076,"&lt;&gt;*No disponible*")</f>
        <v>5</v>
      </c>
      <c r="I16" s="14" t="n">
        <f aca="false">COUNTIFS('Base de Datos SACI'!$C$5:$C$1076,I$5,'Base de Datos SACI'!$F$5:$F$1076,$B16,'Base de Datos SACI'!$G$5:$G$1076,"&lt;&gt;*No disponible*")</f>
        <v>5</v>
      </c>
      <c r="J16" s="14" t="n">
        <f aca="false">COUNTIFS('Base de Datos SACI'!$C$5:$C$1076,J$5,'Base de Datos SACI'!$F$5:$F$1076,$B16,'Base de Datos SACI'!$G$5:$G$1076,"&lt;&gt;*No disponible*")</f>
        <v>5</v>
      </c>
      <c r="K16" s="14" t="n">
        <f aca="false">COUNTIFS('Base de Datos SACI'!$C$5:$C$1076,K$5,'Base de Datos SACI'!$F$5:$F$1076,$B16,'Base de Datos SACI'!$G$5:$G$1076,"&lt;&gt;*No disponible*")</f>
        <v>5</v>
      </c>
      <c r="L16" s="14" t="n">
        <f aca="false">COUNTIFS('Base de Datos SACI'!$C$5:$C$1076,L$5,'Base de Datos SACI'!$F$5:$F$1076,$B16,'Base de Datos SACI'!$G$5:$G$1076,"&lt;&gt;*No disponible*")</f>
        <v>5</v>
      </c>
      <c r="M16" s="14" t="n">
        <f aca="false">COUNTIFS('Base de Datos SACI'!$C$5:$C$1076,M$5,'Base de Datos SACI'!$F$5:$F$1076,$B16,'Base de Datos SACI'!$G$5:$G$1076,"&lt;&gt;*No disponible*")</f>
        <v>5</v>
      </c>
      <c r="N16" s="14" t="n">
        <f aca="false">COUNTIFS('Base de Datos SACI'!$C$5:$C$1076,N$5,'Base de Datos SACI'!$F$5:$F$1076,$B16,'Base de Datos SACI'!$G$5:$G$1076,"&lt;&gt;*No disponible*")</f>
        <v>0</v>
      </c>
      <c r="O16" s="14" t="n">
        <f aca="false">COUNTIFS('Base de Datos SACI'!$C$5:$C$1076,O$5,'Base de Datos SACI'!$F$5:$F$1076,$B16,'Base de Datos SACI'!$G$5:$G$1076,"&lt;&gt;*No disponible*")</f>
        <v>0</v>
      </c>
      <c r="P16" s="14" t="n">
        <f aca="false">COUNTIFS('Base de Datos SACI'!$C$5:$C$1076,P$5,'Base de Datos SACI'!$F$5:$F$1076,$B16,'Base de Datos SACI'!$G$5:$G$1076,"&lt;&gt;*No disponible*")</f>
        <v>0</v>
      </c>
      <c r="Q16" s="14" t="n">
        <f aca="false">COUNTIFS('Base de Datos SACI'!$C$5:$C$1076,Q$5,'Base de Datos SACI'!$F$5:$F$1076,$B16,'Base de Datos SACI'!$G$5:$G$1076,"&lt;&gt;*No disponible*")</f>
        <v>0</v>
      </c>
      <c r="R16" s="14" t="n">
        <f aca="false">COUNTIFS('Base de Datos SACI'!$C$5:$C$1076,R$5,'Base de Datos SACI'!$F$5:$F$1076,$B16,'Base de Datos SACI'!$G$5:$G$1076,"&lt;&gt;*No disponible*")</f>
        <v>5</v>
      </c>
      <c r="S16" s="14" t="n">
        <f aca="false">COUNTIFS('Base de Datos SACI'!$C$5:$C$1076,S$5,'Base de Datos SACI'!$F$5:$F$1076,$B16,'Base de Datos SACI'!$G$5:$G$1076,"&lt;&gt;*No disponible*")</f>
        <v>0</v>
      </c>
      <c r="T16" s="14" t="n">
        <f aca="false">COUNTIFS('Base de Datos SACI'!$C$5:$C$1076,T$5,'Base de Datos SACI'!$F$5:$F$1076,$B16,'Base de Datos SACI'!$G$5:$G$1076,"&lt;&gt;*No disponible*")</f>
        <v>5</v>
      </c>
      <c r="U16" s="14" t="n">
        <f aca="false">SUM(C16:T16)</f>
        <v>65</v>
      </c>
    </row>
    <row r="17" customFormat="false" ht="21.75" hidden="false" customHeight="true" outlineLevel="0" collapsed="false">
      <c r="B17" s="9" t="s">
        <v>71</v>
      </c>
      <c r="C17" s="15" t="n">
        <f aca="false">COUNTIFS('Base de Datos SACI'!$C$5:$C$1076,C$5,'Base de Datos SACI'!$F$5:$F$1076,$B17,'Base de Datos SACI'!$G$5:$G$1076,"&lt;&gt;*No disponible*")</f>
        <v>5</v>
      </c>
      <c r="D17" s="15" t="n">
        <f aca="false">COUNTIFS('Base de Datos SACI'!$C$5:$C$1076,D$5,'Base de Datos SACI'!$F$5:$F$1076,$B17,'Base de Datos SACI'!$G$5:$G$1076,"&lt;&gt;*No disponible*")</f>
        <v>5</v>
      </c>
      <c r="E17" s="15" t="n">
        <f aca="false">COUNTIFS('Base de Datos SACI'!$C$5:$C$1076,E$5,'Base de Datos SACI'!$F$5:$F$1076,$B17,'Base de Datos SACI'!$G$5:$G$1076,"&lt;&gt;*No disponible*")</f>
        <v>5</v>
      </c>
      <c r="F17" s="15" t="n">
        <f aca="false">COUNTIFS('Base de Datos SACI'!$C$5:$C$1076,F$5,'Base de Datos SACI'!$F$5:$F$1076,$B17,'Base de Datos SACI'!$G$5:$G$1076,"&lt;&gt;*No disponible*")</f>
        <v>5</v>
      </c>
      <c r="G17" s="15" t="n">
        <f aca="false">COUNTIFS('Base de Datos SACI'!$C$5:$C$1076,G$5,'Base de Datos SACI'!$F$5:$F$1076,$B17,'Base de Datos SACI'!$G$5:$G$1076,"&lt;&gt;*No disponible*")</f>
        <v>5</v>
      </c>
      <c r="H17" s="15" t="n">
        <f aca="false">COUNTIFS('Base de Datos SACI'!$C$5:$C$1076,H$5,'Base de Datos SACI'!$F$5:$F$1076,$B17,'Base de Datos SACI'!$G$5:$G$1076,"&lt;&gt;*No disponible*")</f>
        <v>5</v>
      </c>
      <c r="I17" s="15" t="n">
        <f aca="false">COUNTIFS('Base de Datos SACI'!$C$5:$C$1076,I$5,'Base de Datos SACI'!$F$5:$F$1076,$B17,'Base de Datos SACI'!$G$5:$G$1076,"&lt;&gt;*No disponible*")</f>
        <v>5</v>
      </c>
      <c r="J17" s="15" t="n">
        <f aca="false">COUNTIFS('Base de Datos SACI'!$C$5:$C$1076,J$5,'Base de Datos SACI'!$F$5:$F$1076,$B17,'Base de Datos SACI'!$G$5:$G$1076,"&lt;&gt;*No disponible*")</f>
        <v>5</v>
      </c>
      <c r="K17" s="15" t="n">
        <f aca="false">COUNTIFS('Base de Datos SACI'!$C$5:$C$1076,K$5,'Base de Datos SACI'!$F$5:$F$1076,$B17,'Base de Datos SACI'!$G$5:$G$1076,"&lt;&gt;*No disponible*")</f>
        <v>5</v>
      </c>
      <c r="L17" s="15" t="n">
        <f aca="false">COUNTIFS('Base de Datos SACI'!$C$5:$C$1076,L$5,'Base de Datos SACI'!$F$5:$F$1076,$B17,'Base de Datos SACI'!$G$5:$G$1076,"&lt;&gt;*No disponible*")</f>
        <v>5</v>
      </c>
      <c r="M17" s="15" t="n">
        <f aca="false">COUNTIFS('Base de Datos SACI'!$C$5:$C$1076,M$5,'Base de Datos SACI'!$F$5:$F$1076,$B17,'Base de Datos SACI'!$G$5:$G$1076,"&lt;&gt;*No disponible*")</f>
        <v>5</v>
      </c>
      <c r="N17" s="15" t="n">
        <f aca="false">COUNTIFS('Base de Datos SACI'!$C$5:$C$1076,N$5,'Base de Datos SACI'!$F$5:$F$1076,$B17,'Base de Datos SACI'!$G$5:$G$1076,"&lt;&gt;*No disponible*")</f>
        <v>5</v>
      </c>
      <c r="O17" s="15" t="n">
        <f aca="false">COUNTIFS('Base de Datos SACI'!$C$5:$C$1076,O$5,'Base de Datos SACI'!$F$5:$F$1076,$B17,'Base de Datos SACI'!$G$5:$G$1076,"&lt;&gt;*No disponible*")</f>
        <v>0</v>
      </c>
      <c r="P17" s="15" t="n">
        <f aca="false">COUNTIFS('Base de Datos SACI'!$C$5:$C$1076,P$5,'Base de Datos SACI'!$F$5:$F$1076,$B17,'Base de Datos SACI'!$G$5:$G$1076,"&lt;&gt;*No disponible*")</f>
        <v>0</v>
      </c>
      <c r="Q17" s="15" t="n">
        <f aca="false">COUNTIFS('Base de Datos SACI'!$C$5:$C$1076,Q$5,'Base de Datos SACI'!$F$5:$F$1076,$B17,'Base de Datos SACI'!$G$5:$G$1076,"&lt;&gt;*No disponible*")</f>
        <v>0</v>
      </c>
      <c r="R17" s="15" t="n">
        <f aca="false">COUNTIFS('Base de Datos SACI'!$C$5:$C$1076,R$5,'Base de Datos SACI'!$F$5:$F$1076,$B17,'Base de Datos SACI'!$G$5:$G$1076,"&lt;&gt;*No disponible*")</f>
        <v>0</v>
      </c>
      <c r="S17" s="15" t="n">
        <f aca="false">COUNTIFS('Base de Datos SACI'!$C$5:$C$1076,S$5,'Base de Datos SACI'!$F$5:$F$1076,$B17,'Base de Datos SACI'!$G$5:$G$1076,"&lt;&gt;*No disponible*")</f>
        <v>0</v>
      </c>
      <c r="T17" s="15" t="n">
        <f aca="false">COUNTIFS('Base de Datos SACI'!$C$5:$C$1076,T$5,'Base de Datos SACI'!$F$5:$F$1076,$B17,'Base de Datos SACI'!$G$5:$G$1076,"&lt;&gt;*No disponible*")</f>
        <v>5</v>
      </c>
      <c r="U17" s="15" t="n">
        <f aca="false">SUM(C17:T17)</f>
        <v>65</v>
      </c>
    </row>
    <row r="18" customFormat="false" ht="21.75" hidden="false" customHeight="true" outlineLevel="0" collapsed="false">
      <c r="B18" s="7" t="s">
        <v>72</v>
      </c>
      <c r="C18" s="14" t="n">
        <f aca="false">COUNTIFS('Base de Datos SACI'!$C$5:$C$1076,C$5,'Base de Datos SACI'!$F$5:$F$1076,$B18,'Base de Datos SACI'!$G$5:$G$1076,"&lt;&gt;*No disponible*")</f>
        <v>0</v>
      </c>
      <c r="D18" s="14" t="n">
        <f aca="false">COUNTIFS('Base de Datos SACI'!$C$5:$C$1076,D$5,'Base de Datos SACI'!$F$5:$F$1076,$B18,'Base de Datos SACI'!$G$5:$G$1076,"&lt;&gt;*No disponible*")</f>
        <v>0</v>
      </c>
      <c r="E18" s="14" t="n">
        <f aca="false">COUNTIFS('Base de Datos SACI'!$C$5:$C$1076,E$5,'Base de Datos SACI'!$F$5:$F$1076,$B18,'Base de Datos SACI'!$G$5:$G$1076,"&lt;&gt;*No disponible*")</f>
        <v>0</v>
      </c>
      <c r="F18" s="14" t="n">
        <f aca="false">COUNTIFS('Base de Datos SACI'!$C$5:$C$1076,F$5,'Base de Datos SACI'!$F$5:$F$1076,$B18,'Base de Datos SACI'!$G$5:$G$1076,"&lt;&gt;*No disponible*")</f>
        <v>0</v>
      </c>
      <c r="G18" s="14" t="n">
        <f aca="false">COUNTIFS('Base de Datos SACI'!$C$5:$C$1076,G$5,'Base de Datos SACI'!$F$5:$F$1076,$B18,'Base de Datos SACI'!$G$5:$G$1076,"&lt;&gt;*No disponible*")</f>
        <v>0</v>
      </c>
      <c r="H18" s="14" t="n">
        <f aca="false">COUNTIFS('Base de Datos SACI'!$C$5:$C$1076,H$5,'Base de Datos SACI'!$F$5:$F$1076,$B18,'Base de Datos SACI'!$G$5:$G$1076,"&lt;&gt;*No disponible*")</f>
        <v>5</v>
      </c>
      <c r="I18" s="14" t="n">
        <f aca="false">COUNTIFS('Base de Datos SACI'!$C$5:$C$1076,I$5,'Base de Datos SACI'!$F$5:$F$1076,$B18,'Base de Datos SACI'!$G$5:$G$1076,"&lt;&gt;*No disponible*")</f>
        <v>0</v>
      </c>
      <c r="J18" s="14" t="n">
        <f aca="false">COUNTIFS('Base de Datos SACI'!$C$5:$C$1076,J$5,'Base de Datos SACI'!$F$5:$F$1076,$B18,'Base de Datos SACI'!$G$5:$G$1076,"&lt;&gt;*No disponible*")</f>
        <v>5</v>
      </c>
      <c r="K18" s="14" t="n">
        <f aca="false">COUNTIFS('Base de Datos SACI'!$C$5:$C$1076,K$5,'Base de Datos SACI'!$F$5:$F$1076,$B18,'Base de Datos SACI'!$G$5:$G$1076,"&lt;&gt;*No disponible*")</f>
        <v>0</v>
      </c>
      <c r="L18" s="14" t="n">
        <f aca="false">COUNTIFS('Base de Datos SACI'!$C$5:$C$1076,L$5,'Base de Datos SACI'!$F$5:$F$1076,$B18,'Base de Datos SACI'!$G$5:$G$1076,"&lt;&gt;*No disponible*")</f>
        <v>0</v>
      </c>
      <c r="M18" s="14" t="n">
        <f aca="false">COUNTIFS('Base de Datos SACI'!$C$5:$C$1076,M$5,'Base de Datos SACI'!$F$5:$F$1076,$B18,'Base de Datos SACI'!$G$5:$G$1076,"&lt;&gt;*No disponible*")</f>
        <v>0</v>
      </c>
      <c r="N18" s="14" t="n">
        <f aca="false">COUNTIFS('Base de Datos SACI'!$C$5:$C$1076,N$5,'Base de Datos SACI'!$F$5:$F$1076,$B18,'Base de Datos SACI'!$G$5:$G$1076,"&lt;&gt;*No disponible*")</f>
        <v>0</v>
      </c>
      <c r="O18" s="14" t="n">
        <f aca="false">COUNTIFS('Base de Datos SACI'!$C$5:$C$1076,O$5,'Base de Datos SACI'!$F$5:$F$1076,$B18,'Base de Datos SACI'!$G$5:$G$1076,"&lt;&gt;*No disponible*")</f>
        <v>0</v>
      </c>
      <c r="P18" s="14" t="n">
        <f aca="false">COUNTIFS('Base de Datos SACI'!$C$5:$C$1076,P$5,'Base de Datos SACI'!$F$5:$F$1076,$B18,'Base de Datos SACI'!$G$5:$G$1076,"&lt;&gt;*No disponible*")</f>
        <v>0</v>
      </c>
      <c r="Q18" s="14" t="n">
        <f aca="false">COUNTIFS('Base de Datos SACI'!$C$5:$C$1076,Q$5,'Base de Datos SACI'!$F$5:$F$1076,$B18,'Base de Datos SACI'!$G$5:$G$1076,"&lt;&gt;*No disponible*")</f>
        <v>0</v>
      </c>
      <c r="R18" s="14" t="n">
        <f aca="false">COUNTIFS('Base de Datos SACI'!$C$5:$C$1076,R$5,'Base de Datos SACI'!$F$5:$F$1076,$B18,'Base de Datos SACI'!$G$5:$G$1076,"&lt;&gt;*No disponible*")</f>
        <v>0</v>
      </c>
      <c r="S18" s="14" t="n">
        <f aca="false">COUNTIFS('Base de Datos SACI'!$C$5:$C$1076,S$5,'Base de Datos SACI'!$F$5:$F$1076,$B18,'Base de Datos SACI'!$G$5:$G$1076,"&lt;&gt;*No disponible*")</f>
        <v>5</v>
      </c>
      <c r="T18" s="14" t="n">
        <f aca="false">COUNTIFS('Base de Datos SACI'!$C$5:$C$1076,T$5,'Base de Datos SACI'!$F$5:$F$1076,$B18,'Base de Datos SACI'!$G$5:$G$1076,"&lt;&gt;*No disponible*")</f>
        <v>0</v>
      </c>
      <c r="U18" s="14" t="n">
        <f aca="false">SUM(C18:T18)</f>
        <v>15</v>
      </c>
    </row>
    <row r="19" customFormat="false" ht="21.75" hidden="false" customHeight="true" outlineLevel="0" collapsed="false">
      <c r="B19" s="9" t="s">
        <v>73</v>
      </c>
      <c r="C19" s="15" t="n">
        <f aca="false">COUNTIFS('Base de Datos SACI'!$C$5:$C$1076,C$5,'Base de Datos SACI'!$F$5:$F$1076,$B19,'Base de Datos SACI'!$G$5:$G$1076,"&lt;&gt;*No disponible*")</f>
        <v>5</v>
      </c>
      <c r="D19" s="15" t="n">
        <f aca="false">COUNTIFS('Base de Datos SACI'!$C$5:$C$1076,D$5,'Base de Datos SACI'!$F$5:$F$1076,$B19,'Base de Datos SACI'!$G$5:$G$1076,"&lt;&gt;*No disponible*")</f>
        <v>5</v>
      </c>
      <c r="E19" s="15" t="n">
        <f aca="false">COUNTIFS('Base de Datos SACI'!$C$5:$C$1076,E$5,'Base de Datos SACI'!$F$5:$F$1076,$B19,'Base de Datos SACI'!$G$5:$G$1076,"&lt;&gt;*No disponible*")</f>
        <v>5</v>
      </c>
      <c r="F19" s="15" t="n">
        <f aca="false">COUNTIFS('Base de Datos SACI'!$C$5:$C$1076,F$5,'Base de Datos SACI'!$F$5:$F$1076,$B19,'Base de Datos SACI'!$G$5:$G$1076,"&lt;&gt;*No disponible*")</f>
        <v>5</v>
      </c>
      <c r="G19" s="15" t="n">
        <f aca="false">COUNTIFS('Base de Datos SACI'!$C$5:$C$1076,G$5,'Base de Datos SACI'!$F$5:$F$1076,$B19,'Base de Datos SACI'!$G$5:$G$1076,"&lt;&gt;*No disponible*")</f>
        <v>5</v>
      </c>
      <c r="H19" s="15" t="n">
        <f aca="false">COUNTIFS('Base de Datos SACI'!$C$5:$C$1076,H$5,'Base de Datos SACI'!$F$5:$F$1076,$B19,'Base de Datos SACI'!$G$5:$G$1076,"&lt;&gt;*No disponible*")</f>
        <v>0</v>
      </c>
      <c r="I19" s="15" t="n">
        <f aca="false">COUNTIFS('Base de Datos SACI'!$C$5:$C$1076,I$5,'Base de Datos SACI'!$F$5:$F$1076,$B19,'Base de Datos SACI'!$G$5:$G$1076,"&lt;&gt;*No disponible*")</f>
        <v>5</v>
      </c>
      <c r="J19" s="15" t="n">
        <f aca="false">COUNTIFS('Base de Datos SACI'!$C$5:$C$1076,J$5,'Base de Datos SACI'!$F$5:$F$1076,$B19,'Base de Datos SACI'!$G$5:$G$1076,"&lt;&gt;*No disponible*")</f>
        <v>5</v>
      </c>
      <c r="K19" s="15" t="n">
        <f aca="false">COUNTIFS('Base de Datos SACI'!$C$5:$C$1076,K$5,'Base de Datos SACI'!$F$5:$F$1076,$B19,'Base de Datos SACI'!$G$5:$G$1076,"&lt;&gt;*No disponible*")</f>
        <v>5</v>
      </c>
      <c r="L19" s="15" t="n">
        <f aca="false">COUNTIFS('Base de Datos SACI'!$C$5:$C$1076,L$5,'Base de Datos SACI'!$F$5:$F$1076,$B19,'Base de Datos SACI'!$G$5:$G$1076,"&lt;&gt;*No disponible*")</f>
        <v>5</v>
      </c>
      <c r="M19" s="15" t="n">
        <f aca="false">COUNTIFS('Base de Datos SACI'!$C$5:$C$1076,M$5,'Base de Datos SACI'!$F$5:$F$1076,$B19,'Base de Datos SACI'!$G$5:$G$1076,"&lt;&gt;*No disponible*")</f>
        <v>5</v>
      </c>
      <c r="N19" s="15" t="n">
        <f aca="false">COUNTIFS('Base de Datos SACI'!$C$5:$C$1076,N$5,'Base de Datos SACI'!$F$5:$F$1076,$B19,'Base de Datos SACI'!$G$5:$G$1076,"&lt;&gt;*No disponible*")</f>
        <v>5</v>
      </c>
      <c r="O19" s="15" t="n">
        <f aca="false">COUNTIFS('Base de Datos SACI'!$C$5:$C$1076,O$5,'Base de Datos SACI'!$F$5:$F$1076,$B19,'Base de Datos SACI'!$G$5:$G$1076,"&lt;&gt;*No disponible*")</f>
        <v>5</v>
      </c>
      <c r="P19" s="15" t="n">
        <f aca="false">COUNTIFS('Base de Datos SACI'!$C$5:$C$1076,P$5,'Base de Datos SACI'!$F$5:$F$1076,$B19,'Base de Datos SACI'!$G$5:$G$1076,"&lt;&gt;*No disponible*")</f>
        <v>0</v>
      </c>
      <c r="Q19" s="15" t="n">
        <f aca="false">COUNTIFS('Base de Datos SACI'!$C$5:$C$1076,Q$5,'Base de Datos SACI'!$F$5:$F$1076,$B19,'Base de Datos SACI'!$G$5:$G$1076,"&lt;&gt;*No disponible*")</f>
        <v>0</v>
      </c>
      <c r="R19" s="15" t="n">
        <f aca="false">COUNTIFS('Base de Datos SACI'!$C$5:$C$1076,R$5,'Base de Datos SACI'!$F$5:$F$1076,$B19,'Base de Datos SACI'!$G$5:$G$1076,"&lt;&gt;*No disponible*")</f>
        <v>0</v>
      </c>
      <c r="S19" s="15" t="n">
        <f aca="false">COUNTIFS('Base de Datos SACI'!$C$5:$C$1076,S$5,'Base de Datos SACI'!$F$5:$F$1076,$B19,'Base de Datos SACI'!$G$5:$G$1076,"&lt;&gt;*No disponible*")</f>
        <v>0</v>
      </c>
      <c r="T19" s="15" t="n">
        <f aca="false">COUNTIFS('Base de Datos SACI'!$C$5:$C$1076,T$5,'Base de Datos SACI'!$F$5:$F$1076,$B19,'Base de Datos SACI'!$G$5:$G$1076,"&lt;&gt;*No disponible*")</f>
        <v>5</v>
      </c>
      <c r="U19" s="15" t="n">
        <f aca="false">SUM(C19:T19)</f>
        <v>65</v>
      </c>
    </row>
    <row r="20" customFormat="false" ht="21.75" hidden="false" customHeight="true" outlineLevel="0" collapsed="false">
      <c r="B20" s="7" t="s">
        <v>74</v>
      </c>
      <c r="C20" s="14" t="n">
        <f aca="false">COUNTIFS('Base de Datos SACI'!$C$5:$C$1076,C$5,'Base de Datos SACI'!$F$5:$F$1076,$B20,'Base de Datos SACI'!$G$5:$G$1076,"&lt;&gt;*No disponible*")</f>
        <v>5</v>
      </c>
      <c r="D20" s="14" t="n">
        <f aca="false">COUNTIFS('Base de Datos SACI'!$C$5:$C$1076,D$5,'Base de Datos SACI'!$F$5:$F$1076,$B20,'Base de Datos SACI'!$G$5:$G$1076,"&lt;&gt;*No disponible*")</f>
        <v>5</v>
      </c>
      <c r="E20" s="14" t="n">
        <f aca="false">COUNTIFS('Base de Datos SACI'!$C$5:$C$1076,E$5,'Base de Datos SACI'!$F$5:$F$1076,$B20,'Base de Datos SACI'!$G$5:$G$1076,"&lt;&gt;*No disponible*")</f>
        <v>0</v>
      </c>
      <c r="F20" s="14" t="n">
        <f aca="false">COUNTIFS('Base de Datos SACI'!$C$5:$C$1076,F$5,'Base de Datos SACI'!$F$5:$F$1076,$B20,'Base de Datos SACI'!$G$5:$G$1076,"&lt;&gt;*No disponible*")</f>
        <v>0</v>
      </c>
      <c r="G20" s="14" t="n">
        <f aca="false">COUNTIFS('Base de Datos SACI'!$C$5:$C$1076,G$5,'Base de Datos SACI'!$F$5:$F$1076,$B20,'Base de Datos SACI'!$G$5:$G$1076,"&lt;&gt;*No disponible*")</f>
        <v>5</v>
      </c>
      <c r="H20" s="14" t="n">
        <f aca="false">COUNTIFS('Base de Datos SACI'!$C$5:$C$1076,H$5,'Base de Datos SACI'!$F$5:$F$1076,$B20,'Base de Datos SACI'!$G$5:$G$1076,"&lt;&gt;*No disponible*")</f>
        <v>5</v>
      </c>
      <c r="I20" s="14" t="n">
        <f aca="false">COUNTIFS('Base de Datos SACI'!$C$5:$C$1076,I$5,'Base de Datos SACI'!$F$5:$F$1076,$B20,'Base de Datos SACI'!$G$5:$G$1076,"&lt;&gt;*No disponible*")</f>
        <v>0</v>
      </c>
      <c r="J20" s="14" t="n">
        <f aca="false">COUNTIFS('Base de Datos SACI'!$C$5:$C$1076,J$5,'Base de Datos SACI'!$F$5:$F$1076,$B20,'Base de Datos SACI'!$G$5:$G$1076,"&lt;&gt;*No disponible*")</f>
        <v>0</v>
      </c>
      <c r="K20" s="14" t="n">
        <f aca="false">COUNTIFS('Base de Datos SACI'!$C$5:$C$1076,K$5,'Base de Datos SACI'!$F$5:$F$1076,$B20,'Base de Datos SACI'!$G$5:$G$1076,"&lt;&gt;*No disponible*")</f>
        <v>0</v>
      </c>
      <c r="L20" s="14" t="n">
        <f aca="false">COUNTIFS('Base de Datos SACI'!$C$5:$C$1076,L$5,'Base de Datos SACI'!$F$5:$F$1076,$B20,'Base de Datos SACI'!$G$5:$G$1076,"&lt;&gt;*No disponible*")</f>
        <v>0</v>
      </c>
      <c r="M20" s="14" t="n">
        <f aca="false">COUNTIFS('Base de Datos SACI'!$C$5:$C$1076,M$5,'Base de Datos SACI'!$F$5:$F$1076,$B20,'Base de Datos SACI'!$G$5:$G$1076,"&lt;&gt;*No disponible*")</f>
        <v>0</v>
      </c>
      <c r="N20" s="14" t="n">
        <f aca="false">COUNTIFS('Base de Datos SACI'!$C$5:$C$1076,N$5,'Base de Datos SACI'!$F$5:$F$1076,$B20,'Base de Datos SACI'!$G$5:$G$1076,"&lt;&gt;*No disponible*")</f>
        <v>0</v>
      </c>
      <c r="O20" s="14" t="n">
        <f aca="false">COUNTIFS('Base de Datos SACI'!$C$5:$C$1076,O$5,'Base de Datos SACI'!$F$5:$F$1076,$B20,'Base de Datos SACI'!$G$5:$G$1076,"&lt;&gt;*No disponible*")</f>
        <v>0</v>
      </c>
      <c r="P20" s="14" t="n">
        <f aca="false">COUNTIFS('Base de Datos SACI'!$C$5:$C$1076,P$5,'Base de Datos SACI'!$F$5:$F$1076,$B20,'Base de Datos SACI'!$G$5:$G$1076,"&lt;&gt;*No disponible*")</f>
        <v>0</v>
      </c>
      <c r="Q20" s="14" t="n">
        <f aca="false">COUNTIFS('Base de Datos SACI'!$C$5:$C$1076,Q$5,'Base de Datos SACI'!$F$5:$F$1076,$B20,'Base de Datos SACI'!$G$5:$G$1076,"&lt;&gt;*No disponible*")</f>
        <v>0</v>
      </c>
      <c r="R20" s="14" t="n">
        <f aca="false">COUNTIFS('Base de Datos SACI'!$C$5:$C$1076,R$5,'Base de Datos SACI'!$F$5:$F$1076,$B20,'Base de Datos SACI'!$G$5:$G$1076,"&lt;&gt;*No disponible*")</f>
        <v>0</v>
      </c>
      <c r="S20" s="14" t="n">
        <f aca="false">COUNTIFS('Base de Datos SACI'!$C$5:$C$1076,S$5,'Base de Datos SACI'!$F$5:$F$1076,$B20,'Base de Datos SACI'!$G$5:$G$1076,"&lt;&gt;*No disponible*")</f>
        <v>0</v>
      </c>
      <c r="T20" s="14" t="n">
        <f aca="false">COUNTIFS('Base de Datos SACI'!$C$5:$C$1076,T$5,'Base de Datos SACI'!$F$5:$F$1076,$B20,'Base de Datos SACI'!$G$5:$G$1076,"&lt;&gt;*No disponible*")</f>
        <v>5</v>
      </c>
      <c r="U20" s="14" t="n">
        <f aca="false">SUM(C20:T20)</f>
        <v>25</v>
      </c>
    </row>
    <row r="21" customFormat="false" ht="21.75" hidden="false" customHeight="true" outlineLevel="0" collapsed="false">
      <c r="B21" s="9" t="s">
        <v>75</v>
      </c>
      <c r="C21" s="15" t="n">
        <f aca="false">COUNTIFS('Base de Datos SACI'!$C$5:$C$1076,C$5,'Base de Datos SACI'!$F$5:$F$1076,$B21,'Base de Datos SACI'!$G$5:$G$1076,"&lt;&gt;*No disponible*")</f>
        <v>5</v>
      </c>
      <c r="D21" s="15" t="n">
        <f aca="false">COUNTIFS('Base de Datos SACI'!$C$5:$C$1076,D$5,'Base de Datos SACI'!$F$5:$F$1076,$B21,'Base de Datos SACI'!$G$5:$G$1076,"&lt;&gt;*No disponible*")</f>
        <v>5</v>
      </c>
      <c r="E21" s="15" t="n">
        <f aca="false">COUNTIFS('Base de Datos SACI'!$C$5:$C$1076,E$5,'Base de Datos SACI'!$F$5:$F$1076,$B21,'Base de Datos SACI'!$G$5:$G$1076,"&lt;&gt;*No disponible*")</f>
        <v>5</v>
      </c>
      <c r="F21" s="15" t="n">
        <f aca="false">COUNTIFS('Base de Datos SACI'!$C$5:$C$1076,F$5,'Base de Datos SACI'!$F$5:$F$1076,$B21,'Base de Datos SACI'!$G$5:$G$1076,"&lt;&gt;*No disponible*")</f>
        <v>0</v>
      </c>
      <c r="G21" s="15" t="n">
        <f aca="false">COUNTIFS('Base de Datos SACI'!$C$5:$C$1076,G$5,'Base de Datos SACI'!$F$5:$F$1076,$B21,'Base de Datos SACI'!$G$5:$G$1076,"&lt;&gt;*No disponible*")</f>
        <v>5</v>
      </c>
      <c r="H21" s="15" t="n">
        <f aca="false">COUNTIFS('Base de Datos SACI'!$C$5:$C$1076,H$5,'Base de Datos SACI'!$F$5:$F$1076,$B21,'Base de Datos SACI'!$G$5:$G$1076,"&lt;&gt;*No disponible*")</f>
        <v>5</v>
      </c>
      <c r="I21" s="15" t="n">
        <f aca="false">COUNTIFS('Base de Datos SACI'!$C$5:$C$1076,I$5,'Base de Datos SACI'!$F$5:$F$1076,$B21,'Base de Datos SACI'!$G$5:$G$1076,"&lt;&gt;*No disponible*")</f>
        <v>5</v>
      </c>
      <c r="J21" s="15" t="n">
        <f aca="false">COUNTIFS('Base de Datos SACI'!$C$5:$C$1076,J$5,'Base de Datos SACI'!$F$5:$F$1076,$B21,'Base de Datos SACI'!$G$5:$G$1076,"&lt;&gt;*No disponible*")</f>
        <v>0</v>
      </c>
      <c r="K21" s="15" t="n">
        <f aca="false">COUNTIFS('Base de Datos SACI'!$C$5:$C$1076,K$5,'Base de Datos SACI'!$F$5:$F$1076,$B21,'Base de Datos SACI'!$G$5:$G$1076,"&lt;&gt;*No disponible*")</f>
        <v>0</v>
      </c>
      <c r="L21" s="15" t="n">
        <f aca="false">COUNTIFS('Base de Datos SACI'!$C$5:$C$1076,L$5,'Base de Datos SACI'!$F$5:$F$1076,$B21,'Base de Datos SACI'!$G$5:$G$1076,"&lt;&gt;*No disponible*")</f>
        <v>5</v>
      </c>
      <c r="M21" s="15" t="n">
        <f aca="false">COUNTIFS('Base de Datos SACI'!$C$5:$C$1076,M$5,'Base de Datos SACI'!$F$5:$F$1076,$B21,'Base de Datos SACI'!$G$5:$G$1076,"&lt;&gt;*No disponible*")</f>
        <v>5</v>
      </c>
      <c r="N21" s="15" t="n">
        <f aca="false">COUNTIFS('Base de Datos SACI'!$C$5:$C$1076,N$5,'Base de Datos SACI'!$F$5:$F$1076,$B21,'Base de Datos SACI'!$G$5:$G$1076,"&lt;&gt;*No disponible*")</f>
        <v>5</v>
      </c>
      <c r="O21" s="15" t="n">
        <f aca="false">COUNTIFS('Base de Datos SACI'!$C$5:$C$1076,O$5,'Base de Datos SACI'!$F$5:$F$1076,$B21,'Base de Datos SACI'!$G$5:$G$1076,"&lt;&gt;*No disponible*")</f>
        <v>0</v>
      </c>
      <c r="P21" s="15" t="n">
        <f aca="false">COUNTIFS('Base de Datos SACI'!$C$5:$C$1076,P$5,'Base de Datos SACI'!$F$5:$F$1076,$B21,'Base de Datos SACI'!$G$5:$G$1076,"&lt;&gt;*No disponible*")</f>
        <v>0</v>
      </c>
      <c r="Q21" s="15" t="n">
        <f aca="false">COUNTIFS('Base de Datos SACI'!$C$5:$C$1076,Q$5,'Base de Datos SACI'!$F$5:$F$1076,$B21,'Base de Datos SACI'!$G$5:$G$1076,"&lt;&gt;*No disponible*")</f>
        <v>0</v>
      </c>
      <c r="R21" s="15" t="n">
        <f aca="false">COUNTIFS('Base de Datos SACI'!$C$5:$C$1076,R$5,'Base de Datos SACI'!$F$5:$F$1076,$B21,'Base de Datos SACI'!$G$5:$G$1076,"&lt;&gt;*No disponible*")</f>
        <v>0</v>
      </c>
      <c r="S21" s="15" t="n">
        <f aca="false">COUNTIFS('Base de Datos SACI'!$C$5:$C$1076,S$5,'Base de Datos SACI'!$F$5:$F$1076,$B21,'Base de Datos SACI'!$G$5:$G$1076,"&lt;&gt;*No disponible*")</f>
        <v>0</v>
      </c>
      <c r="T21" s="15" t="n">
        <f aca="false">COUNTIFS('Base de Datos SACI'!$C$5:$C$1076,T$5,'Base de Datos SACI'!$F$5:$F$1076,$B21,'Base de Datos SACI'!$G$5:$G$1076,"&lt;&gt;*No disponible*")</f>
        <v>5</v>
      </c>
      <c r="U21" s="15" t="n">
        <f aca="false">SUM(C21:T21)</f>
        <v>50</v>
      </c>
    </row>
    <row r="22" customFormat="false" ht="25.5" hidden="false" customHeight="true" outlineLevel="0" collapsed="false">
      <c r="B22" s="16" t="s">
        <v>76</v>
      </c>
      <c r="C22" s="17" t="n">
        <f aca="false">SUM(C6:C21)</f>
        <v>75</v>
      </c>
      <c r="D22" s="17" t="n">
        <f aca="false">SUM(D6:D21)</f>
        <v>75</v>
      </c>
      <c r="E22" s="17" t="n">
        <f aca="false">SUM(E6:E21)</f>
        <v>70</v>
      </c>
      <c r="F22" s="17" t="n">
        <f aca="false">SUM(F6:F21)</f>
        <v>65</v>
      </c>
      <c r="G22" s="17" t="n">
        <f aca="false">SUM(G6:G21)</f>
        <v>65</v>
      </c>
      <c r="H22" s="17" t="n">
        <f aca="false">SUM(H6:H21)</f>
        <v>65</v>
      </c>
      <c r="I22" s="17" t="n">
        <f aca="false">SUM(I6:I21)</f>
        <v>60</v>
      </c>
      <c r="J22" s="17" t="n">
        <f aca="false">SUM(J6:J21)</f>
        <v>60</v>
      </c>
      <c r="K22" s="17" t="n">
        <f aca="false">SUM(K6:K21)</f>
        <v>60</v>
      </c>
      <c r="L22" s="17" t="n">
        <f aca="false">SUM(L6:L21)</f>
        <v>60</v>
      </c>
      <c r="M22" s="17" t="n">
        <f aca="false">SUM(M6:M21)</f>
        <v>65</v>
      </c>
      <c r="N22" s="17" t="n">
        <f aca="false">SUM(N6:N21)</f>
        <v>55</v>
      </c>
      <c r="O22" s="17" t="n">
        <f aca="false">SUM(O6:O21)</f>
        <v>40</v>
      </c>
      <c r="P22" s="17" t="n">
        <f aca="false">SUM(P6:P21)</f>
        <v>25</v>
      </c>
      <c r="Q22" s="17" t="n">
        <f aca="false">SUM(Q6:Q21)</f>
        <v>35</v>
      </c>
      <c r="R22" s="17" t="n">
        <f aca="false">SUM(R6:R21)</f>
        <v>35</v>
      </c>
      <c r="S22" s="17" t="n">
        <f aca="false">SUM(S6:S21)</f>
        <v>15</v>
      </c>
      <c r="T22" s="17" t="n">
        <f aca="false">SUM(T6:T21)</f>
        <v>55</v>
      </c>
      <c r="U22" s="17" t="n">
        <f aca="false">SUM(U6:U21)</f>
        <v>980</v>
      </c>
    </row>
    <row r="25" customFormat="false" ht="15" hidden="false" customHeight="false" outlineLevel="0" collapsed="false">
      <c r="B25" s="10" t="s">
        <v>77</v>
      </c>
    </row>
    <row r="26" customFormat="false" ht="27.75" hidden="false" customHeight="true" outlineLevel="0" collapsed="false">
      <c r="B26" s="5" t="s">
        <v>40</v>
      </c>
      <c r="C26" s="5" t="s">
        <v>78</v>
      </c>
      <c r="D26" s="5" t="s">
        <v>58</v>
      </c>
      <c r="E26" s="5" t="s">
        <v>79</v>
      </c>
      <c r="F26" s="5" t="s">
        <v>80</v>
      </c>
      <c r="G26" s="5" t="s">
        <v>81</v>
      </c>
      <c r="H26" s="5" t="s">
        <v>82</v>
      </c>
      <c r="I26" s="5" t="s">
        <v>83</v>
      </c>
      <c r="J26" s="5" t="s">
        <v>84</v>
      </c>
      <c r="K26" s="5" t="s">
        <v>85</v>
      </c>
      <c r="L26" s="5" t="s">
        <v>86</v>
      </c>
      <c r="M26" s="5" t="s">
        <v>87</v>
      </c>
      <c r="N26" s="5" t="s">
        <v>88</v>
      </c>
      <c r="O26" s="5" t="s">
        <v>89</v>
      </c>
      <c r="P26" s="5" t="s">
        <v>90</v>
      </c>
      <c r="Q26" s="5" t="s">
        <v>91</v>
      </c>
      <c r="R26" s="5" t="s">
        <v>92</v>
      </c>
      <c r="S26" s="5" t="s">
        <v>59</v>
      </c>
    </row>
    <row r="27" customFormat="false" ht="21.75" hidden="false" customHeight="true" outlineLevel="0" collapsed="false">
      <c r="B27" s="7" t="s">
        <v>93</v>
      </c>
      <c r="C27" s="14" t="n">
        <f aca="false">COUNTIFS('Base de Datos SADI'!$C$5:$C$716,C$26,'Base de Datos SADI'!$F$5:$F$716,$B27,'Base de Datos SADI'!$G$5:$G$716,"&lt;&gt;*No disponible*")</f>
        <v>5</v>
      </c>
      <c r="D27" s="14" t="n">
        <f aca="false">COUNTIFS('Base de Datos SADI'!$C$5:$C$716,D$26,'Base de Datos SADI'!$F$5:$F$716,$B27,'Base de Datos SADI'!$G$5:$G$716,"&lt;&gt;*No disponible*")</f>
        <v>5</v>
      </c>
      <c r="E27" s="14" t="n">
        <f aca="false">COUNTIFS('Base de Datos SADI'!$C$5:$C$716,E$26,'Base de Datos SADI'!$F$5:$F$716,$B27,'Base de Datos SADI'!$G$5:$G$716,"&lt;&gt;*No disponible*")</f>
        <v>5</v>
      </c>
      <c r="F27" s="14" t="n">
        <f aca="false">COUNTIFS('Base de Datos SADI'!$C$5:$C$716,F$26,'Base de Datos SADI'!$F$5:$F$716,$B27,'Base de Datos SADI'!$G$5:$G$716,"&lt;&gt;*No disponible*")</f>
        <v>5</v>
      </c>
      <c r="G27" s="14" t="n">
        <f aca="false">COUNTIFS('Base de Datos SADI'!$C$5:$C$716,G$26,'Base de Datos SADI'!$F$5:$F$716,$B27,'Base de Datos SADI'!$G$5:$G$716,"&lt;&gt;*No disponible*")</f>
        <v>5</v>
      </c>
      <c r="H27" s="14" t="n">
        <f aca="false">COUNTIFS('Base de Datos SADI'!$C$5:$C$716,H$26,'Base de Datos SADI'!$F$5:$F$716,$B27,'Base de Datos SADI'!$G$5:$G$716,"&lt;&gt;*No disponible*")</f>
        <v>5</v>
      </c>
      <c r="I27" s="14" t="n">
        <f aca="false">COUNTIFS('Base de Datos SADI'!$C$5:$C$716,I$26,'Base de Datos SADI'!$F$5:$F$716,$B27,'Base de Datos SADI'!$G$5:$G$716,"&lt;&gt;*No disponible*")</f>
        <v>0</v>
      </c>
      <c r="J27" s="14" t="n">
        <f aca="false">COUNTIFS('Base de Datos SADI'!$C$5:$C$716,J$26,'Base de Datos SADI'!$F$5:$F$716,$B27,'Base de Datos SADI'!$G$5:$G$716,"&lt;&gt;*No disponible*")</f>
        <v>0</v>
      </c>
      <c r="K27" s="14" t="n">
        <f aca="false">COUNTIFS('Base de Datos SADI'!$C$5:$C$716,K$26,'Base de Datos SADI'!$F$5:$F$716,$B27,'Base de Datos SADI'!$G$5:$G$716,"&lt;&gt;*No disponible*")</f>
        <v>0</v>
      </c>
      <c r="L27" s="14" t="n">
        <f aca="false">COUNTIFS('Base de Datos SADI'!$C$5:$C$716,L$26,'Base de Datos SADI'!$F$5:$F$716,$B27,'Base de Datos SADI'!$G$5:$G$716,"&lt;&gt;*No disponible*")</f>
        <v>5</v>
      </c>
      <c r="M27" s="14" t="n">
        <f aca="false">COUNTIFS('Base de Datos SADI'!$C$5:$C$716,M$26,'Base de Datos SADI'!$F$5:$F$716,$B27,'Base de Datos SADI'!$G$5:$G$716,"&lt;&gt;*No disponible*")</f>
        <v>5</v>
      </c>
      <c r="N27" s="14" t="n">
        <f aca="false">COUNTIFS('Base de Datos SADI'!$C$5:$C$716,N$26,'Base de Datos SADI'!$F$5:$F$716,$B27,'Base de Datos SADI'!$G$5:$G$716,"&lt;&gt;*No disponible*")</f>
        <v>5</v>
      </c>
      <c r="O27" s="14" t="n">
        <f aca="false">COUNTIFS('Base de Datos SADI'!$C$5:$C$716,O$26,'Base de Datos SADI'!$F$5:$F$716,$B27,'Base de Datos SADI'!$G$5:$G$716,"&lt;&gt;*No disponible*")</f>
        <v>5</v>
      </c>
      <c r="P27" s="14" t="n">
        <f aca="false">COUNTIFS('Base de Datos SADI'!$C$5:$C$716,P$26,'Base de Datos SADI'!$F$5:$F$716,$B27,'Base de Datos SADI'!$G$5:$G$716,"&lt;&gt;*No disponible*")</f>
        <v>0</v>
      </c>
      <c r="Q27" s="14" t="n">
        <f aca="false">COUNTIFS('Base de Datos SADI'!$C$5:$C$716,Q$26,'Base de Datos SADI'!$F$5:$F$716,$B27,'Base de Datos SADI'!$G$5:$G$716,"&lt;&gt;*No disponible*")</f>
        <v>0</v>
      </c>
      <c r="R27" s="14" t="n">
        <f aca="false">COUNTIFS('Base de Datos SADI'!$C$5:$C$716,R$26,'Base de Datos SADI'!$F$5:$F$716,$B27,'Base de Datos SADI'!$G$5:$G$716,"&lt;&gt;*No disponible*")</f>
        <v>0</v>
      </c>
      <c r="S27" s="14" t="n">
        <f aca="false">SUM(C27:R27)</f>
        <v>50</v>
      </c>
    </row>
    <row r="28" customFormat="false" ht="21.75" hidden="false" customHeight="true" outlineLevel="0" collapsed="false">
      <c r="B28" s="9" t="s">
        <v>94</v>
      </c>
      <c r="C28" s="15" t="n">
        <f aca="false">COUNTIFS('Base de Datos SADI'!$C$5:$C$716,C$26,'Base de Datos SADI'!$F$5:$F$716,$B28,'Base de Datos SADI'!$G$5:$G$716,"&lt;&gt;*No disponible*")</f>
        <v>0</v>
      </c>
      <c r="D28" s="15" t="n">
        <f aca="false">COUNTIFS('Base de Datos SADI'!$C$5:$C$716,D$26,'Base de Datos SADI'!$F$5:$F$716,$B28,'Base de Datos SADI'!$G$5:$G$716,"&lt;&gt;*No disponible*")</f>
        <v>0</v>
      </c>
      <c r="E28" s="15" t="n">
        <f aca="false">COUNTIFS('Base de Datos SADI'!$C$5:$C$716,E$26,'Base de Datos SADI'!$F$5:$F$716,$B28,'Base de Datos SADI'!$G$5:$G$716,"&lt;&gt;*No disponible*")</f>
        <v>5</v>
      </c>
      <c r="F28" s="15" t="n">
        <f aca="false">COUNTIFS('Base de Datos SADI'!$C$5:$C$716,F$26,'Base de Datos SADI'!$F$5:$F$716,$B28,'Base de Datos SADI'!$G$5:$G$716,"&lt;&gt;*No disponible*")</f>
        <v>5</v>
      </c>
      <c r="G28" s="15" t="n">
        <f aca="false">COUNTIFS('Base de Datos SADI'!$C$5:$C$716,G$26,'Base de Datos SADI'!$F$5:$F$716,$B28,'Base de Datos SADI'!$G$5:$G$716,"&lt;&gt;*No disponible*")</f>
        <v>5</v>
      </c>
      <c r="H28" s="15" t="n">
        <f aca="false">COUNTIFS('Base de Datos SADI'!$C$5:$C$716,H$26,'Base de Datos SADI'!$F$5:$F$716,$B28,'Base de Datos SADI'!$G$5:$G$716,"&lt;&gt;*No disponible*")</f>
        <v>5</v>
      </c>
      <c r="I28" s="15" t="n">
        <f aca="false">COUNTIFS('Base de Datos SADI'!$C$5:$C$716,I$26,'Base de Datos SADI'!$F$5:$F$716,$B28,'Base de Datos SADI'!$G$5:$G$716,"&lt;&gt;*No disponible*")</f>
        <v>0</v>
      </c>
      <c r="J28" s="15" t="n">
        <f aca="false">COUNTIFS('Base de Datos SADI'!$C$5:$C$716,J$26,'Base de Datos SADI'!$F$5:$F$716,$B28,'Base de Datos SADI'!$G$5:$G$716,"&lt;&gt;*No disponible*")</f>
        <v>0</v>
      </c>
      <c r="K28" s="15" t="n">
        <f aca="false">COUNTIFS('Base de Datos SADI'!$C$5:$C$716,K$26,'Base de Datos SADI'!$F$5:$F$716,$B28,'Base de Datos SADI'!$G$5:$G$716,"&lt;&gt;*No disponible*")</f>
        <v>0</v>
      </c>
      <c r="L28" s="15" t="n">
        <f aca="false">COUNTIFS('Base de Datos SADI'!$C$5:$C$716,L$26,'Base de Datos SADI'!$F$5:$F$716,$B28,'Base de Datos SADI'!$G$5:$G$716,"&lt;&gt;*No disponible*")</f>
        <v>5</v>
      </c>
      <c r="M28" s="15" t="n">
        <f aca="false">COUNTIFS('Base de Datos SADI'!$C$5:$C$716,M$26,'Base de Datos SADI'!$F$5:$F$716,$B28,'Base de Datos SADI'!$G$5:$G$716,"&lt;&gt;*No disponible*")</f>
        <v>5</v>
      </c>
      <c r="N28" s="15" t="n">
        <f aca="false">COUNTIFS('Base de Datos SADI'!$C$5:$C$716,N$26,'Base de Datos SADI'!$F$5:$F$716,$B28,'Base de Datos SADI'!$G$5:$G$716,"&lt;&gt;*No disponible*")</f>
        <v>5</v>
      </c>
      <c r="O28" s="15" t="n">
        <f aca="false">COUNTIFS('Base de Datos SADI'!$C$5:$C$716,O$26,'Base de Datos SADI'!$F$5:$F$716,$B28,'Base de Datos SADI'!$G$5:$G$716,"&lt;&gt;*No disponible*")</f>
        <v>5</v>
      </c>
      <c r="P28" s="15" t="n">
        <f aca="false">COUNTIFS('Base de Datos SADI'!$C$5:$C$716,P$26,'Base de Datos SADI'!$F$5:$F$716,$B28,'Base de Datos SADI'!$G$5:$G$716,"&lt;&gt;*No disponible*")</f>
        <v>0</v>
      </c>
      <c r="Q28" s="15" t="n">
        <f aca="false">COUNTIFS('Base de Datos SADI'!$C$5:$C$716,Q$26,'Base de Datos SADI'!$F$5:$F$716,$B28,'Base de Datos SADI'!$G$5:$G$716,"&lt;&gt;*No disponible*")</f>
        <v>0</v>
      </c>
      <c r="R28" s="15" t="n">
        <f aca="false">COUNTIFS('Base de Datos SADI'!$C$5:$C$716,R$26,'Base de Datos SADI'!$F$5:$F$716,$B28,'Base de Datos SADI'!$G$5:$G$716,"&lt;&gt;*No disponible*")</f>
        <v>0</v>
      </c>
      <c r="S28" s="15" t="n">
        <f aca="false">SUM(C28:R28)</f>
        <v>40</v>
      </c>
    </row>
    <row r="29" customFormat="false" ht="21.75" hidden="false" customHeight="true" outlineLevel="0" collapsed="false">
      <c r="B29" s="7" t="s">
        <v>95</v>
      </c>
      <c r="C29" s="14" t="n">
        <f aca="false">COUNTIFS('Base de Datos SADI'!$C$5:$C$716,C$26,'Base de Datos SADI'!$F$5:$F$716,$B29,'Base de Datos SADI'!$G$5:$G$716,"&lt;&gt;*No disponible*")</f>
        <v>0</v>
      </c>
      <c r="D29" s="14" t="n">
        <f aca="false">COUNTIFS('Base de Datos SADI'!$C$5:$C$716,D$26,'Base de Datos SADI'!$F$5:$F$716,$B29,'Base de Datos SADI'!$G$5:$G$716,"&lt;&gt;*No disponible*")</f>
        <v>5</v>
      </c>
      <c r="E29" s="14" t="n">
        <f aca="false">COUNTIFS('Base de Datos SADI'!$C$5:$C$716,E$26,'Base de Datos SADI'!$F$5:$F$716,$B29,'Base de Datos SADI'!$G$5:$G$716,"&lt;&gt;*No disponible*")</f>
        <v>5</v>
      </c>
      <c r="F29" s="14" t="n">
        <f aca="false">COUNTIFS('Base de Datos SADI'!$C$5:$C$716,F$26,'Base de Datos SADI'!$F$5:$F$716,$B29,'Base de Datos SADI'!$G$5:$G$716,"&lt;&gt;*No disponible*")</f>
        <v>0</v>
      </c>
      <c r="G29" s="14" t="n">
        <f aca="false">COUNTIFS('Base de Datos SADI'!$C$5:$C$716,G$26,'Base de Datos SADI'!$F$5:$F$716,$B29,'Base de Datos SADI'!$G$5:$G$716,"&lt;&gt;*No disponible*")</f>
        <v>0</v>
      </c>
      <c r="H29" s="14" t="n">
        <f aca="false">COUNTIFS('Base de Datos SADI'!$C$5:$C$716,H$26,'Base de Datos SADI'!$F$5:$F$716,$B29,'Base de Datos SADI'!$G$5:$G$716,"&lt;&gt;*No disponible*")</f>
        <v>5</v>
      </c>
      <c r="I29" s="14" t="n">
        <f aca="false">COUNTIFS('Base de Datos SADI'!$C$5:$C$716,I$26,'Base de Datos SADI'!$F$5:$F$716,$B29,'Base de Datos SADI'!$G$5:$G$716,"&lt;&gt;*No disponible*")</f>
        <v>5</v>
      </c>
      <c r="J29" s="14" t="n">
        <f aca="false">COUNTIFS('Base de Datos SADI'!$C$5:$C$716,J$26,'Base de Datos SADI'!$F$5:$F$716,$B29,'Base de Datos SADI'!$G$5:$G$716,"&lt;&gt;*No disponible*")</f>
        <v>5</v>
      </c>
      <c r="K29" s="14" t="n">
        <f aca="false">COUNTIFS('Base de Datos SADI'!$C$5:$C$716,K$26,'Base de Datos SADI'!$F$5:$F$716,$B29,'Base de Datos SADI'!$G$5:$G$716,"&lt;&gt;*No disponible*")</f>
        <v>5</v>
      </c>
      <c r="L29" s="14" t="n">
        <f aca="false">COUNTIFS('Base de Datos SADI'!$C$5:$C$716,L$26,'Base de Datos SADI'!$F$5:$F$716,$B29,'Base de Datos SADI'!$G$5:$G$716,"&lt;&gt;*No disponible*")</f>
        <v>5</v>
      </c>
      <c r="M29" s="14" t="n">
        <f aca="false">COUNTIFS('Base de Datos SADI'!$C$5:$C$716,M$26,'Base de Datos SADI'!$F$5:$F$716,$B29,'Base de Datos SADI'!$G$5:$G$716,"&lt;&gt;*No disponible*")</f>
        <v>0</v>
      </c>
      <c r="N29" s="14" t="n">
        <f aca="false">COUNTIFS('Base de Datos SADI'!$C$5:$C$716,N$26,'Base de Datos SADI'!$F$5:$F$716,$B29,'Base de Datos SADI'!$G$5:$G$716,"&lt;&gt;*No disponible*")</f>
        <v>5</v>
      </c>
      <c r="O29" s="14" t="n">
        <f aca="false">COUNTIFS('Base de Datos SADI'!$C$5:$C$716,O$26,'Base de Datos SADI'!$F$5:$F$716,$B29,'Base de Datos SADI'!$G$5:$G$716,"&lt;&gt;*No disponible*")</f>
        <v>0</v>
      </c>
      <c r="P29" s="14" t="n">
        <f aca="false">COUNTIFS('Base de Datos SADI'!$C$5:$C$716,P$26,'Base de Datos SADI'!$F$5:$F$716,$B29,'Base de Datos SADI'!$G$5:$G$716,"&lt;&gt;*No disponible*")</f>
        <v>0</v>
      </c>
      <c r="Q29" s="14" t="n">
        <f aca="false">COUNTIFS('Base de Datos SADI'!$C$5:$C$716,Q$26,'Base de Datos SADI'!$F$5:$F$716,$B29,'Base de Datos SADI'!$G$5:$G$716,"&lt;&gt;*No disponible*")</f>
        <v>0</v>
      </c>
      <c r="R29" s="14" t="n">
        <f aca="false">COUNTIFS('Base de Datos SADI'!$C$5:$C$716,R$26,'Base de Datos SADI'!$F$5:$F$716,$B29,'Base de Datos SADI'!$G$5:$G$716,"&lt;&gt;*No disponible*")</f>
        <v>0</v>
      </c>
      <c r="S29" s="14" t="n">
        <f aca="false">SUM(C29:R29)</f>
        <v>40</v>
      </c>
    </row>
    <row r="30" customFormat="false" ht="21.75" hidden="false" customHeight="true" outlineLevel="0" collapsed="false">
      <c r="B30" s="9" t="s">
        <v>96</v>
      </c>
      <c r="C30" s="15" t="n">
        <f aca="false">COUNTIFS('Base de Datos SADI'!$C$5:$C$716,C$26,'Base de Datos SADI'!$F$5:$F$716,$B30,'Base de Datos SADI'!$G$5:$G$716,"&lt;&gt;*No disponible*")</f>
        <v>5</v>
      </c>
      <c r="D30" s="15" t="n">
        <f aca="false">COUNTIFS('Base de Datos SADI'!$C$5:$C$716,D$26,'Base de Datos SADI'!$F$5:$F$716,$B30,'Base de Datos SADI'!$G$5:$G$716,"&lt;&gt;*No disponible*")</f>
        <v>5</v>
      </c>
      <c r="E30" s="15" t="n">
        <f aca="false">COUNTIFS('Base de Datos SADI'!$C$5:$C$716,E$26,'Base de Datos SADI'!$F$5:$F$716,$B30,'Base de Datos SADI'!$G$5:$G$716,"&lt;&gt;*No disponible*")</f>
        <v>5</v>
      </c>
      <c r="F30" s="15" t="n">
        <f aca="false">COUNTIFS('Base de Datos SADI'!$C$5:$C$716,F$26,'Base de Datos SADI'!$F$5:$F$716,$B30,'Base de Datos SADI'!$G$5:$G$716,"&lt;&gt;*No disponible*")</f>
        <v>5</v>
      </c>
      <c r="G30" s="15" t="n">
        <f aca="false">COUNTIFS('Base de Datos SADI'!$C$5:$C$716,G$26,'Base de Datos SADI'!$F$5:$F$716,$B30,'Base de Datos SADI'!$G$5:$G$716,"&lt;&gt;*No disponible*")</f>
        <v>5</v>
      </c>
      <c r="H30" s="15" t="n">
        <f aca="false">COUNTIFS('Base de Datos SADI'!$C$5:$C$716,H$26,'Base de Datos SADI'!$F$5:$F$716,$B30,'Base de Datos SADI'!$G$5:$G$716,"&lt;&gt;*No disponible*")</f>
        <v>5</v>
      </c>
      <c r="I30" s="15" t="n">
        <f aca="false">COUNTIFS('Base de Datos SADI'!$C$5:$C$716,I$26,'Base de Datos SADI'!$F$5:$F$716,$B30,'Base de Datos SADI'!$G$5:$G$716,"&lt;&gt;*No disponible*")</f>
        <v>5</v>
      </c>
      <c r="J30" s="15" t="n">
        <f aca="false">COUNTIFS('Base de Datos SADI'!$C$5:$C$716,J$26,'Base de Datos SADI'!$F$5:$F$716,$B30,'Base de Datos SADI'!$G$5:$G$716,"&lt;&gt;*No disponible*")</f>
        <v>5</v>
      </c>
      <c r="K30" s="15" t="n">
        <f aca="false">COUNTIFS('Base de Datos SADI'!$C$5:$C$716,K$26,'Base de Datos SADI'!$F$5:$F$716,$B30,'Base de Datos SADI'!$G$5:$G$716,"&lt;&gt;*No disponible*")</f>
        <v>0</v>
      </c>
      <c r="L30" s="15" t="n">
        <f aca="false">COUNTIFS('Base de Datos SADI'!$C$5:$C$716,L$26,'Base de Datos SADI'!$F$5:$F$716,$B30,'Base de Datos SADI'!$G$5:$G$716,"&lt;&gt;*No disponible*")</f>
        <v>5</v>
      </c>
      <c r="M30" s="15" t="n">
        <f aca="false">COUNTIFS('Base de Datos SADI'!$C$5:$C$716,M$26,'Base de Datos SADI'!$F$5:$F$716,$B30,'Base de Datos SADI'!$G$5:$G$716,"&lt;&gt;*No disponible*")</f>
        <v>5</v>
      </c>
      <c r="N30" s="15" t="n">
        <f aca="false">COUNTIFS('Base de Datos SADI'!$C$5:$C$716,N$26,'Base de Datos SADI'!$F$5:$F$716,$B30,'Base de Datos SADI'!$G$5:$G$716,"&lt;&gt;*No disponible*")</f>
        <v>0</v>
      </c>
      <c r="O30" s="15" t="n">
        <f aca="false">COUNTIFS('Base de Datos SADI'!$C$5:$C$716,O$26,'Base de Datos SADI'!$F$5:$F$716,$B30,'Base de Datos SADI'!$G$5:$G$716,"&lt;&gt;*No disponible*")</f>
        <v>5</v>
      </c>
      <c r="P30" s="15" t="n">
        <f aca="false">COUNTIFS('Base de Datos SADI'!$C$5:$C$716,P$26,'Base de Datos SADI'!$F$5:$F$716,$B30,'Base de Datos SADI'!$G$5:$G$716,"&lt;&gt;*No disponible*")</f>
        <v>0</v>
      </c>
      <c r="Q30" s="15" t="n">
        <f aca="false">COUNTIFS('Base de Datos SADI'!$C$5:$C$716,Q$26,'Base de Datos SADI'!$F$5:$F$716,$B30,'Base de Datos SADI'!$G$5:$G$716,"&lt;&gt;*No disponible*")</f>
        <v>0</v>
      </c>
      <c r="R30" s="15" t="n">
        <f aca="false">COUNTIFS('Base de Datos SADI'!$C$5:$C$716,R$26,'Base de Datos SADI'!$F$5:$F$716,$B30,'Base de Datos SADI'!$G$5:$G$716,"&lt;&gt;*No disponible*")</f>
        <v>0</v>
      </c>
      <c r="S30" s="15" t="n">
        <f aca="false">SUM(C30:R30)</f>
        <v>55</v>
      </c>
    </row>
    <row r="31" customFormat="false" ht="21.75" hidden="false" customHeight="true" outlineLevel="0" collapsed="false">
      <c r="B31" s="7" t="s">
        <v>97</v>
      </c>
      <c r="C31" s="14" t="n">
        <f aca="false">COUNTIFS('Base de Datos SADI'!$C$5:$C$716,C$26,'Base de Datos SADI'!$F$5:$F$716,$B31,'Base de Datos SADI'!$G$5:$G$716,"&lt;&gt;*No disponible*")</f>
        <v>5</v>
      </c>
      <c r="D31" s="14" t="n">
        <f aca="false">COUNTIFS('Base de Datos SADI'!$C$5:$C$716,D$26,'Base de Datos SADI'!$F$5:$F$716,$B31,'Base de Datos SADI'!$G$5:$G$716,"&lt;&gt;*No disponible*")</f>
        <v>5</v>
      </c>
      <c r="E31" s="14" t="n">
        <f aca="false">COUNTIFS('Base de Datos SADI'!$C$5:$C$716,E$26,'Base de Datos SADI'!$F$5:$F$716,$B31,'Base de Datos SADI'!$G$5:$G$716,"&lt;&gt;*No disponible*")</f>
        <v>5</v>
      </c>
      <c r="F31" s="14" t="n">
        <f aca="false">COUNTIFS('Base de Datos SADI'!$C$5:$C$716,F$26,'Base de Datos SADI'!$F$5:$F$716,$B31,'Base de Datos SADI'!$G$5:$G$716,"&lt;&gt;*No disponible*")</f>
        <v>5</v>
      </c>
      <c r="G31" s="14" t="n">
        <f aca="false">COUNTIFS('Base de Datos SADI'!$C$5:$C$716,G$26,'Base de Datos SADI'!$F$5:$F$716,$B31,'Base de Datos SADI'!$G$5:$G$716,"&lt;&gt;*No disponible*")</f>
        <v>5</v>
      </c>
      <c r="H31" s="14" t="n">
        <f aca="false">COUNTIFS('Base de Datos SADI'!$C$5:$C$716,H$26,'Base de Datos SADI'!$F$5:$F$716,$B31,'Base de Datos SADI'!$G$5:$G$716,"&lt;&gt;*No disponible*")</f>
        <v>5</v>
      </c>
      <c r="I31" s="14" t="n">
        <f aca="false">COUNTIFS('Base de Datos SADI'!$C$5:$C$716,I$26,'Base de Datos SADI'!$F$5:$F$716,$B31,'Base de Datos SADI'!$G$5:$G$716,"&lt;&gt;*No disponible*")</f>
        <v>5</v>
      </c>
      <c r="J31" s="14" t="n">
        <f aca="false">COUNTIFS('Base de Datos SADI'!$C$5:$C$716,J$26,'Base de Datos SADI'!$F$5:$F$716,$B31,'Base de Datos SADI'!$G$5:$G$716,"&lt;&gt;*No disponible*")</f>
        <v>5</v>
      </c>
      <c r="K31" s="14" t="n">
        <f aca="false">COUNTIFS('Base de Datos SADI'!$C$5:$C$716,K$26,'Base de Datos SADI'!$F$5:$F$716,$B31,'Base de Datos SADI'!$G$5:$G$716,"&lt;&gt;*No disponible*")</f>
        <v>0</v>
      </c>
      <c r="L31" s="14" t="n">
        <f aca="false">COUNTIFS('Base de Datos SADI'!$C$5:$C$716,L$26,'Base de Datos SADI'!$F$5:$F$716,$B31,'Base de Datos SADI'!$G$5:$G$716,"&lt;&gt;*No disponible*")</f>
        <v>5</v>
      </c>
      <c r="M31" s="14" t="n">
        <f aca="false">COUNTIFS('Base de Datos SADI'!$C$5:$C$716,M$26,'Base de Datos SADI'!$F$5:$F$716,$B31,'Base de Datos SADI'!$G$5:$G$716,"&lt;&gt;*No disponible*")</f>
        <v>5</v>
      </c>
      <c r="N31" s="14" t="n">
        <f aca="false">COUNTIFS('Base de Datos SADI'!$C$5:$C$716,N$26,'Base de Datos SADI'!$F$5:$F$716,$B31,'Base de Datos SADI'!$G$5:$G$716,"&lt;&gt;*No disponible*")</f>
        <v>0</v>
      </c>
      <c r="O31" s="14" t="n">
        <f aca="false">COUNTIFS('Base de Datos SADI'!$C$5:$C$716,O$26,'Base de Datos SADI'!$F$5:$F$716,$B31,'Base de Datos SADI'!$G$5:$G$716,"&lt;&gt;*No disponible*")</f>
        <v>0</v>
      </c>
      <c r="P31" s="14" t="n">
        <f aca="false">COUNTIFS('Base de Datos SADI'!$C$5:$C$716,P$26,'Base de Datos SADI'!$F$5:$F$716,$B31,'Base de Datos SADI'!$G$5:$G$716,"&lt;&gt;*No disponible*")</f>
        <v>0</v>
      </c>
      <c r="Q31" s="14" t="n">
        <f aca="false">COUNTIFS('Base de Datos SADI'!$C$5:$C$716,Q$26,'Base de Datos SADI'!$F$5:$F$716,$B31,'Base de Datos SADI'!$G$5:$G$716,"&lt;&gt;*No disponible*")</f>
        <v>0</v>
      </c>
      <c r="R31" s="14" t="n">
        <f aca="false">COUNTIFS('Base de Datos SADI'!$C$5:$C$716,R$26,'Base de Datos SADI'!$F$5:$F$716,$B31,'Base de Datos SADI'!$G$5:$G$716,"&lt;&gt;*No disponible*")</f>
        <v>0</v>
      </c>
      <c r="S31" s="14" t="n">
        <f aca="false">SUM(C31:R31)</f>
        <v>50</v>
      </c>
    </row>
    <row r="32" customFormat="false" ht="21.75" hidden="false" customHeight="true" outlineLevel="0" collapsed="false">
      <c r="B32" s="9" t="s">
        <v>98</v>
      </c>
      <c r="C32" s="15" t="n">
        <f aca="false">COUNTIFS('Base de Datos SADI'!$C$5:$C$716,C$26,'Base de Datos SADI'!$F$5:$F$716,$B32,'Base de Datos SADI'!$G$5:$G$716,"&lt;&gt;*No disponible*")</f>
        <v>5</v>
      </c>
      <c r="D32" s="15" t="n">
        <f aca="false">COUNTIFS('Base de Datos SADI'!$C$5:$C$716,D$26,'Base de Datos SADI'!$F$5:$F$716,$B32,'Base de Datos SADI'!$G$5:$G$716,"&lt;&gt;*No disponible*")</f>
        <v>0</v>
      </c>
      <c r="E32" s="15" t="n">
        <f aca="false">COUNTIFS('Base de Datos SADI'!$C$5:$C$716,E$26,'Base de Datos SADI'!$F$5:$F$716,$B32,'Base de Datos SADI'!$G$5:$G$716,"&lt;&gt;*No disponible*")</f>
        <v>5</v>
      </c>
      <c r="F32" s="15" t="n">
        <f aca="false">COUNTIFS('Base de Datos SADI'!$C$5:$C$716,F$26,'Base de Datos SADI'!$F$5:$F$716,$B32,'Base de Datos SADI'!$G$5:$G$716,"&lt;&gt;*No disponible*")</f>
        <v>5</v>
      </c>
      <c r="G32" s="15" t="n">
        <f aca="false">COUNTIFS('Base de Datos SADI'!$C$5:$C$716,G$26,'Base de Datos SADI'!$F$5:$F$716,$B32,'Base de Datos SADI'!$G$5:$G$716,"&lt;&gt;*No disponible*")</f>
        <v>5</v>
      </c>
      <c r="H32" s="15" t="n">
        <f aca="false">COUNTIFS('Base de Datos SADI'!$C$5:$C$716,H$26,'Base de Datos SADI'!$F$5:$F$716,$B32,'Base de Datos SADI'!$G$5:$G$716,"&lt;&gt;*No disponible*")</f>
        <v>0</v>
      </c>
      <c r="I32" s="15" t="n">
        <f aca="false">COUNTIFS('Base de Datos SADI'!$C$5:$C$716,I$26,'Base de Datos SADI'!$F$5:$F$716,$B32,'Base de Datos SADI'!$G$5:$G$716,"&lt;&gt;*No disponible*")</f>
        <v>5</v>
      </c>
      <c r="J32" s="15" t="n">
        <f aca="false">COUNTIFS('Base de Datos SADI'!$C$5:$C$716,J$26,'Base de Datos SADI'!$F$5:$F$716,$B32,'Base de Datos SADI'!$G$5:$G$716,"&lt;&gt;*No disponible*")</f>
        <v>5</v>
      </c>
      <c r="K32" s="15" t="n">
        <f aca="false">COUNTIFS('Base de Datos SADI'!$C$5:$C$716,K$26,'Base de Datos SADI'!$F$5:$F$716,$B32,'Base de Datos SADI'!$G$5:$G$716,"&lt;&gt;*No disponible*")</f>
        <v>0</v>
      </c>
      <c r="L32" s="15" t="n">
        <f aca="false">COUNTIFS('Base de Datos SADI'!$C$5:$C$716,L$26,'Base de Datos SADI'!$F$5:$F$716,$B32,'Base de Datos SADI'!$G$5:$G$716,"&lt;&gt;*No disponible*")</f>
        <v>0</v>
      </c>
      <c r="M32" s="15" t="n">
        <f aca="false">COUNTIFS('Base de Datos SADI'!$C$5:$C$716,M$26,'Base de Datos SADI'!$F$5:$F$716,$B32,'Base de Datos SADI'!$G$5:$G$716,"&lt;&gt;*No disponible*")</f>
        <v>0</v>
      </c>
      <c r="N32" s="15" t="n">
        <f aca="false">COUNTIFS('Base de Datos SADI'!$C$5:$C$716,N$26,'Base de Datos SADI'!$F$5:$F$716,$B32,'Base de Datos SADI'!$G$5:$G$716,"&lt;&gt;*No disponible*")</f>
        <v>0</v>
      </c>
      <c r="O32" s="15" t="n">
        <f aca="false">COUNTIFS('Base de Datos SADI'!$C$5:$C$716,O$26,'Base de Datos SADI'!$F$5:$F$716,$B32,'Base de Datos SADI'!$G$5:$G$716,"&lt;&gt;*No disponible*")</f>
        <v>5</v>
      </c>
      <c r="P32" s="15" t="n">
        <f aca="false">COUNTIFS('Base de Datos SADI'!$C$5:$C$716,P$26,'Base de Datos SADI'!$F$5:$F$716,$B32,'Base de Datos SADI'!$G$5:$G$716,"&lt;&gt;*No disponible*")</f>
        <v>0</v>
      </c>
      <c r="Q32" s="15" t="n">
        <f aca="false">COUNTIFS('Base de Datos SADI'!$C$5:$C$716,Q$26,'Base de Datos SADI'!$F$5:$F$716,$B32,'Base de Datos SADI'!$G$5:$G$716,"&lt;&gt;*No disponible*")</f>
        <v>0</v>
      </c>
      <c r="R32" s="15" t="n">
        <f aca="false">COUNTIFS('Base de Datos SADI'!$C$5:$C$716,R$26,'Base de Datos SADI'!$F$5:$F$716,$B32,'Base de Datos SADI'!$G$5:$G$716,"&lt;&gt;*No disponible*")</f>
        <v>0</v>
      </c>
      <c r="S32" s="15" t="n">
        <f aca="false">SUM(C32:R32)</f>
        <v>35</v>
      </c>
    </row>
    <row r="33" customFormat="false" ht="21.75" hidden="false" customHeight="true" outlineLevel="0" collapsed="false">
      <c r="B33" s="7" t="s">
        <v>99</v>
      </c>
      <c r="C33" s="14" t="n">
        <f aca="false">COUNTIFS('Base de Datos SADI'!$C$5:$C$716,C$26,'Base de Datos SADI'!$F$5:$F$716,$B33,'Base de Datos SADI'!$G$5:$G$716,"&lt;&gt;*No disponible*")</f>
        <v>0</v>
      </c>
      <c r="D33" s="14" t="n">
        <f aca="false">COUNTIFS('Base de Datos SADI'!$C$5:$C$716,D$26,'Base de Datos SADI'!$F$5:$F$716,$B33,'Base de Datos SADI'!$G$5:$G$716,"&lt;&gt;*No disponible*")</f>
        <v>5</v>
      </c>
      <c r="E33" s="14" t="n">
        <f aca="false">COUNTIFS('Base de Datos SADI'!$C$5:$C$716,E$26,'Base de Datos SADI'!$F$5:$F$716,$B33,'Base de Datos SADI'!$G$5:$G$716,"&lt;&gt;*No disponible*")</f>
        <v>0</v>
      </c>
      <c r="F33" s="14" t="n">
        <f aca="false">COUNTIFS('Base de Datos SADI'!$C$5:$C$716,F$26,'Base de Datos SADI'!$F$5:$F$716,$B33,'Base de Datos SADI'!$G$5:$G$716,"&lt;&gt;*No disponible*")</f>
        <v>0</v>
      </c>
      <c r="G33" s="14" t="n">
        <f aca="false">COUNTIFS('Base de Datos SADI'!$C$5:$C$716,G$26,'Base de Datos SADI'!$F$5:$F$716,$B33,'Base de Datos SADI'!$G$5:$G$716,"&lt;&gt;*No disponible*")</f>
        <v>0</v>
      </c>
      <c r="H33" s="14" t="n">
        <f aca="false">COUNTIFS('Base de Datos SADI'!$C$5:$C$716,H$26,'Base de Datos SADI'!$F$5:$F$716,$B33,'Base de Datos SADI'!$G$5:$G$716,"&lt;&gt;*No disponible*")</f>
        <v>0</v>
      </c>
      <c r="I33" s="14" t="n">
        <f aca="false">COUNTIFS('Base de Datos SADI'!$C$5:$C$716,I$26,'Base de Datos SADI'!$F$5:$F$716,$B33,'Base de Datos SADI'!$G$5:$G$716,"&lt;&gt;*No disponible*")</f>
        <v>0</v>
      </c>
      <c r="J33" s="14" t="n">
        <f aca="false">COUNTIFS('Base de Datos SADI'!$C$5:$C$716,J$26,'Base de Datos SADI'!$F$5:$F$716,$B33,'Base de Datos SADI'!$G$5:$G$716,"&lt;&gt;*No disponible*")</f>
        <v>0</v>
      </c>
      <c r="K33" s="14" t="n">
        <f aca="false">COUNTIFS('Base de Datos SADI'!$C$5:$C$716,K$26,'Base de Datos SADI'!$F$5:$F$716,$B33,'Base de Datos SADI'!$G$5:$G$716,"&lt;&gt;*No disponible*")</f>
        <v>0</v>
      </c>
      <c r="L33" s="14" t="n">
        <f aca="false">COUNTIFS('Base de Datos SADI'!$C$5:$C$716,L$26,'Base de Datos SADI'!$F$5:$F$716,$B33,'Base de Datos SADI'!$G$5:$G$716,"&lt;&gt;*No disponible*")</f>
        <v>0</v>
      </c>
      <c r="M33" s="14" t="n">
        <f aca="false">COUNTIFS('Base de Datos SADI'!$C$5:$C$716,M$26,'Base de Datos SADI'!$F$5:$F$716,$B33,'Base de Datos SADI'!$G$5:$G$716,"&lt;&gt;*No disponible*")</f>
        <v>0</v>
      </c>
      <c r="N33" s="14" t="n">
        <f aca="false">COUNTIFS('Base de Datos SADI'!$C$5:$C$716,N$26,'Base de Datos SADI'!$F$5:$F$716,$B33,'Base de Datos SADI'!$G$5:$G$716,"&lt;&gt;*No disponible*")</f>
        <v>0</v>
      </c>
      <c r="O33" s="14" t="n">
        <f aca="false">COUNTIFS('Base de Datos SADI'!$C$5:$C$716,O$26,'Base de Datos SADI'!$F$5:$F$716,$B33,'Base de Datos SADI'!$G$5:$G$716,"&lt;&gt;*No disponible*")</f>
        <v>0</v>
      </c>
      <c r="P33" s="14" t="n">
        <f aca="false">COUNTIFS('Base de Datos SADI'!$C$5:$C$716,P$26,'Base de Datos SADI'!$F$5:$F$716,$B33,'Base de Datos SADI'!$G$5:$G$716,"&lt;&gt;*No disponible*")</f>
        <v>0</v>
      </c>
      <c r="Q33" s="14" t="n">
        <f aca="false">COUNTIFS('Base de Datos SADI'!$C$5:$C$716,Q$26,'Base de Datos SADI'!$F$5:$F$716,$B33,'Base de Datos SADI'!$G$5:$G$716,"&lt;&gt;*No disponible*")</f>
        <v>5</v>
      </c>
      <c r="R33" s="14" t="n">
        <f aca="false">COUNTIFS('Base de Datos SADI'!$C$5:$C$716,R$26,'Base de Datos SADI'!$F$5:$F$716,$B33,'Base de Datos SADI'!$G$5:$G$716,"&lt;&gt;*No disponible*")</f>
        <v>5</v>
      </c>
      <c r="S33" s="14" t="n">
        <f aca="false">SUM(C33:R33)</f>
        <v>15</v>
      </c>
    </row>
    <row r="34" customFormat="false" ht="21.75" hidden="false" customHeight="true" outlineLevel="0" collapsed="false">
      <c r="B34" s="9" t="s">
        <v>100</v>
      </c>
      <c r="C34" s="15" t="n">
        <f aca="false">COUNTIFS('Base de Datos SADI'!$C$5:$C$716,C$26,'Base de Datos SADI'!$F$5:$F$716,$B34,'Base de Datos SADI'!$G$5:$G$716,"&lt;&gt;*No disponible*")</f>
        <v>5</v>
      </c>
      <c r="D34" s="15" t="n">
        <f aca="false">COUNTIFS('Base de Datos SADI'!$C$5:$C$716,D$26,'Base de Datos SADI'!$F$5:$F$716,$B34,'Base de Datos SADI'!$G$5:$G$716,"&lt;&gt;*No disponible*")</f>
        <v>0</v>
      </c>
      <c r="E34" s="15" t="n">
        <f aca="false">COUNTIFS('Base de Datos SADI'!$C$5:$C$716,E$26,'Base de Datos SADI'!$F$5:$F$716,$B34,'Base de Datos SADI'!$G$5:$G$716,"&lt;&gt;*No disponible*")</f>
        <v>0</v>
      </c>
      <c r="F34" s="15" t="n">
        <f aca="false">COUNTIFS('Base de Datos SADI'!$C$5:$C$716,F$26,'Base de Datos SADI'!$F$5:$F$716,$B34,'Base de Datos SADI'!$G$5:$G$716,"&lt;&gt;*No disponible*")</f>
        <v>0</v>
      </c>
      <c r="G34" s="15" t="n">
        <f aca="false">COUNTIFS('Base de Datos SADI'!$C$5:$C$716,G$26,'Base de Datos SADI'!$F$5:$F$716,$B34,'Base de Datos SADI'!$G$5:$G$716,"&lt;&gt;*No disponible*")</f>
        <v>0</v>
      </c>
      <c r="H34" s="15" t="n">
        <f aca="false">COUNTIFS('Base de Datos SADI'!$C$5:$C$716,H$26,'Base de Datos SADI'!$F$5:$F$716,$B34,'Base de Datos SADI'!$G$5:$G$716,"&lt;&gt;*No disponible*")</f>
        <v>0</v>
      </c>
      <c r="I34" s="15" t="n">
        <f aca="false">COUNTIFS('Base de Datos SADI'!$C$5:$C$716,I$26,'Base de Datos SADI'!$F$5:$F$716,$B34,'Base de Datos SADI'!$G$5:$G$716,"&lt;&gt;*No disponible*")</f>
        <v>0</v>
      </c>
      <c r="J34" s="15" t="n">
        <f aca="false">COUNTIFS('Base de Datos SADI'!$C$5:$C$716,J$26,'Base de Datos SADI'!$F$5:$F$716,$B34,'Base de Datos SADI'!$G$5:$G$716,"&lt;&gt;*No disponible*")</f>
        <v>0</v>
      </c>
      <c r="K34" s="15" t="n">
        <f aca="false">COUNTIFS('Base de Datos SADI'!$C$5:$C$716,K$26,'Base de Datos SADI'!$F$5:$F$716,$B34,'Base de Datos SADI'!$G$5:$G$716,"&lt;&gt;*No disponible*")</f>
        <v>0</v>
      </c>
      <c r="L34" s="15" t="n">
        <f aca="false">COUNTIFS('Base de Datos SADI'!$C$5:$C$716,L$26,'Base de Datos SADI'!$F$5:$F$716,$B34,'Base de Datos SADI'!$G$5:$G$716,"&lt;&gt;*No disponible*")</f>
        <v>0</v>
      </c>
      <c r="M34" s="15" t="n">
        <f aca="false">COUNTIFS('Base de Datos SADI'!$C$5:$C$716,M$26,'Base de Datos SADI'!$F$5:$F$716,$B34,'Base de Datos SADI'!$G$5:$G$716,"&lt;&gt;*No disponible*")</f>
        <v>0</v>
      </c>
      <c r="N34" s="15" t="n">
        <f aca="false">COUNTIFS('Base de Datos SADI'!$C$5:$C$716,N$26,'Base de Datos SADI'!$F$5:$F$716,$B34,'Base de Datos SADI'!$G$5:$G$716,"&lt;&gt;*No disponible*")</f>
        <v>0</v>
      </c>
      <c r="O34" s="15" t="n">
        <f aca="false">COUNTIFS('Base de Datos SADI'!$C$5:$C$716,O$26,'Base de Datos SADI'!$F$5:$F$716,$B34,'Base de Datos SADI'!$G$5:$G$716,"&lt;&gt;*No disponible*")</f>
        <v>0</v>
      </c>
      <c r="P34" s="15" t="n">
        <f aca="false">COUNTIFS('Base de Datos SADI'!$C$5:$C$716,P$26,'Base de Datos SADI'!$F$5:$F$716,$B34,'Base de Datos SADI'!$G$5:$G$716,"&lt;&gt;*No disponible*")</f>
        <v>5</v>
      </c>
      <c r="Q34" s="15" t="n">
        <f aca="false">COUNTIFS('Base de Datos SADI'!$C$5:$C$716,Q$26,'Base de Datos SADI'!$F$5:$F$716,$B34,'Base de Datos SADI'!$G$5:$G$716,"&lt;&gt;*No disponible*")</f>
        <v>0</v>
      </c>
      <c r="R34" s="15" t="n">
        <f aca="false">COUNTIFS('Base de Datos SADI'!$C$5:$C$716,R$26,'Base de Datos SADI'!$F$5:$F$716,$B34,'Base de Datos SADI'!$G$5:$G$716,"&lt;&gt;*No disponible*")</f>
        <v>0</v>
      </c>
      <c r="S34" s="15" t="n">
        <f aca="false">SUM(C34:R34)</f>
        <v>10</v>
      </c>
    </row>
    <row r="35" customFormat="false" ht="21.75" hidden="false" customHeight="true" outlineLevel="0" collapsed="false">
      <c r="B35" s="7" t="s">
        <v>101</v>
      </c>
      <c r="C35" s="14" t="n">
        <f aca="false">COUNTIFS('Base de Datos SADI'!$C$5:$C$716,C$26,'Base de Datos SADI'!$F$5:$F$716,$B35,'Base de Datos SADI'!$G$5:$G$716,"&lt;&gt;*No disponible*")</f>
        <v>5</v>
      </c>
      <c r="D35" s="14" t="n">
        <f aca="false">COUNTIFS('Base de Datos SADI'!$C$5:$C$716,D$26,'Base de Datos SADI'!$F$5:$F$716,$B35,'Base de Datos SADI'!$G$5:$G$716,"&lt;&gt;*No disponible*")</f>
        <v>0</v>
      </c>
      <c r="E35" s="14" t="n">
        <f aca="false">COUNTIFS('Base de Datos SADI'!$C$5:$C$716,E$26,'Base de Datos SADI'!$F$5:$F$716,$B35,'Base de Datos SADI'!$G$5:$G$716,"&lt;&gt;*No disponible*")</f>
        <v>5</v>
      </c>
      <c r="F35" s="14" t="n">
        <f aca="false">COUNTIFS('Base de Datos SADI'!$C$5:$C$716,F$26,'Base de Datos SADI'!$F$5:$F$716,$B35,'Base de Datos SADI'!$G$5:$G$716,"&lt;&gt;*No disponible*")</f>
        <v>0</v>
      </c>
      <c r="G35" s="14" t="n">
        <f aca="false">COUNTIFS('Base de Datos SADI'!$C$5:$C$716,G$26,'Base de Datos SADI'!$F$5:$F$716,$B35,'Base de Datos SADI'!$G$5:$G$716,"&lt;&gt;*No disponible*")</f>
        <v>0</v>
      </c>
      <c r="H35" s="14" t="n">
        <f aca="false">COUNTIFS('Base de Datos SADI'!$C$5:$C$716,H$26,'Base de Datos SADI'!$F$5:$F$716,$B35,'Base de Datos SADI'!$G$5:$G$716,"&lt;&gt;*No disponible*")</f>
        <v>0</v>
      </c>
      <c r="I35" s="14" t="n">
        <f aca="false">COUNTIFS('Base de Datos SADI'!$C$5:$C$716,I$26,'Base de Datos SADI'!$F$5:$F$716,$B35,'Base de Datos SADI'!$G$5:$G$716,"&lt;&gt;*No disponible*")</f>
        <v>5</v>
      </c>
      <c r="J35" s="14" t="n">
        <f aca="false">COUNTIFS('Base de Datos SADI'!$C$5:$C$716,J$26,'Base de Datos SADI'!$F$5:$F$716,$B35,'Base de Datos SADI'!$G$5:$G$716,"&lt;&gt;*No disponible*")</f>
        <v>0</v>
      </c>
      <c r="K35" s="14" t="n">
        <f aca="false">COUNTIFS('Base de Datos SADI'!$C$5:$C$716,K$26,'Base de Datos SADI'!$F$5:$F$716,$B35,'Base de Datos SADI'!$G$5:$G$716,"&lt;&gt;*No disponible*")</f>
        <v>5</v>
      </c>
      <c r="L35" s="14" t="n">
        <f aca="false">COUNTIFS('Base de Datos SADI'!$C$5:$C$716,L$26,'Base de Datos SADI'!$F$5:$F$716,$B35,'Base de Datos SADI'!$G$5:$G$716,"&lt;&gt;*No disponible*")</f>
        <v>0</v>
      </c>
      <c r="M35" s="14" t="n">
        <f aca="false">COUNTIFS('Base de Datos SADI'!$C$5:$C$716,M$26,'Base de Datos SADI'!$F$5:$F$716,$B35,'Base de Datos SADI'!$G$5:$G$716,"&lt;&gt;*No disponible*")</f>
        <v>0</v>
      </c>
      <c r="N35" s="14" t="n">
        <f aca="false">COUNTIFS('Base de Datos SADI'!$C$5:$C$716,N$26,'Base de Datos SADI'!$F$5:$F$716,$B35,'Base de Datos SADI'!$G$5:$G$716,"&lt;&gt;*No disponible*")</f>
        <v>0</v>
      </c>
      <c r="O35" s="14" t="n">
        <f aca="false">COUNTIFS('Base de Datos SADI'!$C$5:$C$716,O$26,'Base de Datos SADI'!$F$5:$F$716,$B35,'Base de Datos SADI'!$G$5:$G$716,"&lt;&gt;*No disponible*")</f>
        <v>0</v>
      </c>
      <c r="P35" s="14" t="n">
        <f aca="false">COUNTIFS('Base de Datos SADI'!$C$5:$C$716,P$26,'Base de Datos SADI'!$F$5:$F$716,$B35,'Base de Datos SADI'!$G$5:$G$716,"&lt;&gt;*No disponible*")</f>
        <v>0</v>
      </c>
      <c r="Q35" s="14" t="n">
        <f aca="false">COUNTIFS('Base de Datos SADI'!$C$5:$C$716,Q$26,'Base de Datos SADI'!$F$5:$F$716,$B35,'Base de Datos SADI'!$G$5:$G$716,"&lt;&gt;*No disponible*")</f>
        <v>0</v>
      </c>
      <c r="R35" s="14" t="n">
        <f aca="false">COUNTIFS('Base de Datos SADI'!$C$5:$C$716,R$26,'Base de Datos SADI'!$F$5:$F$716,$B35,'Base de Datos SADI'!$G$5:$G$716,"&lt;&gt;*No disponible*")</f>
        <v>0</v>
      </c>
      <c r="S35" s="14" t="n">
        <f aca="false">SUM(C35:R35)</f>
        <v>20</v>
      </c>
    </row>
    <row r="36" customFormat="false" ht="21.75" hidden="false" customHeight="true" outlineLevel="0" collapsed="false">
      <c r="B36" s="9" t="s">
        <v>102</v>
      </c>
      <c r="C36" s="15" t="n">
        <f aca="false">COUNTIFS('Base de Datos SADI'!$C$5:$C$716,C$26,'Base de Datos SADI'!$F$5:$F$716,$B36,'Base de Datos SADI'!$G$5:$G$716,"&lt;&gt;*No disponible*")</f>
        <v>5</v>
      </c>
      <c r="D36" s="15" t="n">
        <f aca="false">COUNTIFS('Base de Datos SADI'!$C$5:$C$716,D$26,'Base de Datos SADI'!$F$5:$F$716,$B36,'Base de Datos SADI'!$G$5:$G$716,"&lt;&gt;*No disponible*")</f>
        <v>5</v>
      </c>
      <c r="E36" s="15" t="n">
        <f aca="false">COUNTIFS('Base de Datos SADI'!$C$5:$C$716,E$26,'Base de Datos SADI'!$F$5:$F$716,$B36,'Base de Datos SADI'!$G$5:$G$716,"&lt;&gt;*No disponible*")</f>
        <v>5</v>
      </c>
      <c r="F36" s="15" t="n">
        <f aca="false">COUNTIFS('Base de Datos SADI'!$C$5:$C$716,F$26,'Base de Datos SADI'!$F$5:$F$716,$B36,'Base de Datos SADI'!$G$5:$G$716,"&lt;&gt;*No disponible*")</f>
        <v>5</v>
      </c>
      <c r="G36" s="15" t="n">
        <f aca="false">COUNTIFS('Base de Datos SADI'!$C$5:$C$716,G$26,'Base de Datos SADI'!$F$5:$F$716,$B36,'Base de Datos SADI'!$G$5:$G$716,"&lt;&gt;*No disponible*")</f>
        <v>5</v>
      </c>
      <c r="H36" s="15" t="n">
        <f aca="false">COUNTIFS('Base de Datos SADI'!$C$5:$C$716,H$26,'Base de Datos SADI'!$F$5:$F$716,$B36,'Base de Datos SADI'!$G$5:$G$716,"&lt;&gt;*No disponible*")</f>
        <v>5</v>
      </c>
      <c r="I36" s="15" t="n">
        <f aca="false">COUNTIFS('Base de Datos SADI'!$C$5:$C$716,I$26,'Base de Datos SADI'!$F$5:$F$716,$B36,'Base de Datos SADI'!$G$5:$G$716,"&lt;&gt;*No disponible*")</f>
        <v>0</v>
      </c>
      <c r="J36" s="15" t="n">
        <f aca="false">COUNTIFS('Base de Datos SADI'!$C$5:$C$716,J$26,'Base de Datos SADI'!$F$5:$F$716,$B36,'Base de Datos SADI'!$G$5:$G$716,"&lt;&gt;*No disponible*")</f>
        <v>5</v>
      </c>
      <c r="K36" s="15" t="n">
        <f aca="false">COUNTIFS('Base de Datos SADI'!$C$5:$C$716,K$26,'Base de Datos SADI'!$F$5:$F$716,$B36,'Base de Datos SADI'!$G$5:$G$716,"&lt;&gt;*No disponible*")</f>
        <v>0</v>
      </c>
      <c r="L36" s="15" t="n">
        <f aca="false">COUNTIFS('Base de Datos SADI'!$C$5:$C$716,L$26,'Base de Datos SADI'!$F$5:$F$716,$B36,'Base de Datos SADI'!$G$5:$G$716,"&lt;&gt;*No disponible*")</f>
        <v>5</v>
      </c>
      <c r="M36" s="15" t="n">
        <f aca="false">COUNTIFS('Base de Datos SADI'!$C$5:$C$716,M$26,'Base de Datos SADI'!$F$5:$F$716,$B36,'Base de Datos SADI'!$G$5:$G$716,"&lt;&gt;*No disponible*")</f>
        <v>5</v>
      </c>
      <c r="N36" s="15" t="n">
        <f aca="false">COUNTIFS('Base de Datos SADI'!$C$5:$C$716,N$26,'Base de Datos SADI'!$F$5:$F$716,$B36,'Base de Datos SADI'!$G$5:$G$716,"&lt;&gt;*No disponible*")</f>
        <v>5</v>
      </c>
      <c r="O36" s="15" t="n">
        <f aca="false">COUNTIFS('Base de Datos SADI'!$C$5:$C$716,O$26,'Base de Datos SADI'!$F$5:$F$716,$B36,'Base de Datos SADI'!$G$5:$G$716,"&lt;&gt;*No disponible*")</f>
        <v>5</v>
      </c>
      <c r="P36" s="15" t="n">
        <f aca="false">COUNTIFS('Base de Datos SADI'!$C$5:$C$716,P$26,'Base de Datos SADI'!$F$5:$F$716,$B36,'Base de Datos SADI'!$G$5:$G$716,"&lt;&gt;*No disponible*")</f>
        <v>0</v>
      </c>
      <c r="Q36" s="15" t="n">
        <f aca="false">COUNTIFS('Base de Datos SADI'!$C$5:$C$716,Q$26,'Base de Datos SADI'!$F$5:$F$716,$B36,'Base de Datos SADI'!$G$5:$G$716,"&lt;&gt;*No disponible*")</f>
        <v>0</v>
      </c>
      <c r="R36" s="15" t="n">
        <f aca="false">COUNTIFS('Base de Datos SADI'!$C$5:$C$716,R$26,'Base de Datos SADI'!$F$5:$F$716,$B36,'Base de Datos SADI'!$G$5:$G$716,"&lt;&gt;*No disponible*")</f>
        <v>0</v>
      </c>
      <c r="S36" s="15" t="n">
        <f aca="false">SUM(C36:R36)</f>
        <v>55</v>
      </c>
    </row>
    <row r="37" customFormat="false" ht="21.75" hidden="false" customHeight="true" outlineLevel="0" collapsed="false">
      <c r="B37" s="7" t="s">
        <v>103</v>
      </c>
      <c r="C37" s="14" t="n">
        <f aca="false">COUNTIFS('Base de Datos SADI'!$C$5:$C$716,C$26,'Base de Datos SADI'!$F$5:$F$716,$B37,'Base de Datos SADI'!$G$5:$G$716,"&lt;&gt;*No disponible*")</f>
        <v>0</v>
      </c>
      <c r="D37" s="14" t="n">
        <f aca="false">COUNTIFS('Base de Datos SADI'!$C$5:$C$716,D$26,'Base de Datos SADI'!$F$5:$F$716,$B37,'Base de Datos SADI'!$G$5:$G$716,"&lt;&gt;*No disponible*")</f>
        <v>0</v>
      </c>
      <c r="E37" s="14" t="n">
        <f aca="false">COUNTIFS('Base de Datos SADI'!$C$5:$C$716,E$26,'Base de Datos SADI'!$F$5:$F$716,$B37,'Base de Datos SADI'!$G$5:$G$716,"&lt;&gt;*No disponible*")</f>
        <v>0</v>
      </c>
      <c r="F37" s="14" t="n">
        <f aca="false">COUNTIFS('Base de Datos SADI'!$C$5:$C$716,F$26,'Base de Datos SADI'!$F$5:$F$716,$B37,'Base de Datos SADI'!$G$5:$G$716,"&lt;&gt;*No disponible*")</f>
        <v>5</v>
      </c>
      <c r="G37" s="14" t="n">
        <f aca="false">COUNTIFS('Base de Datos SADI'!$C$5:$C$716,G$26,'Base de Datos SADI'!$F$5:$F$716,$B37,'Base de Datos SADI'!$G$5:$G$716,"&lt;&gt;*No disponible*")</f>
        <v>5</v>
      </c>
      <c r="H37" s="14" t="n">
        <f aca="false">COUNTIFS('Base de Datos SADI'!$C$5:$C$716,H$26,'Base de Datos SADI'!$F$5:$F$716,$B37,'Base de Datos SADI'!$G$5:$G$716,"&lt;&gt;*No disponible*")</f>
        <v>0</v>
      </c>
      <c r="I37" s="14" t="n">
        <f aca="false">COUNTIFS('Base de Datos SADI'!$C$5:$C$716,I$26,'Base de Datos SADI'!$F$5:$F$716,$B37,'Base de Datos SADI'!$G$5:$G$716,"&lt;&gt;*No disponible*")</f>
        <v>0</v>
      </c>
      <c r="J37" s="14" t="n">
        <f aca="false">COUNTIFS('Base de Datos SADI'!$C$5:$C$716,J$26,'Base de Datos SADI'!$F$5:$F$716,$B37,'Base de Datos SADI'!$G$5:$G$716,"&lt;&gt;*No disponible*")</f>
        <v>5</v>
      </c>
      <c r="K37" s="14" t="n">
        <f aca="false">COUNTIFS('Base de Datos SADI'!$C$5:$C$716,K$26,'Base de Datos SADI'!$F$5:$F$716,$B37,'Base de Datos SADI'!$G$5:$G$716,"&lt;&gt;*No disponible*")</f>
        <v>5</v>
      </c>
      <c r="L37" s="14" t="n">
        <f aca="false">COUNTIFS('Base de Datos SADI'!$C$5:$C$716,L$26,'Base de Datos SADI'!$F$5:$F$716,$B37,'Base de Datos SADI'!$G$5:$G$716,"&lt;&gt;*No disponible*")</f>
        <v>5</v>
      </c>
      <c r="M37" s="14" t="n">
        <f aca="false">COUNTIFS('Base de Datos SADI'!$C$5:$C$716,M$26,'Base de Datos SADI'!$F$5:$F$716,$B37,'Base de Datos SADI'!$G$5:$G$716,"&lt;&gt;*No disponible*")</f>
        <v>0</v>
      </c>
      <c r="N37" s="14" t="n">
        <f aca="false">COUNTIFS('Base de Datos SADI'!$C$5:$C$716,N$26,'Base de Datos SADI'!$F$5:$F$716,$B37,'Base de Datos SADI'!$G$5:$G$716,"&lt;&gt;*No disponible*")</f>
        <v>5</v>
      </c>
      <c r="O37" s="14" t="n">
        <f aca="false">COUNTIFS('Base de Datos SADI'!$C$5:$C$716,O$26,'Base de Datos SADI'!$F$5:$F$716,$B37,'Base de Datos SADI'!$G$5:$G$716,"&lt;&gt;*No disponible*")</f>
        <v>5</v>
      </c>
      <c r="P37" s="14" t="n">
        <f aca="false">COUNTIFS('Base de Datos SADI'!$C$5:$C$716,P$26,'Base de Datos SADI'!$F$5:$F$716,$B37,'Base de Datos SADI'!$G$5:$G$716,"&lt;&gt;*No disponible*")</f>
        <v>0</v>
      </c>
      <c r="Q37" s="14" t="n">
        <f aca="false">COUNTIFS('Base de Datos SADI'!$C$5:$C$716,Q$26,'Base de Datos SADI'!$F$5:$F$716,$B37,'Base de Datos SADI'!$G$5:$G$716,"&lt;&gt;*No disponible*")</f>
        <v>0</v>
      </c>
      <c r="R37" s="14" t="n">
        <f aca="false">COUNTIFS('Base de Datos SADI'!$C$5:$C$716,R$26,'Base de Datos SADI'!$F$5:$F$716,$B37,'Base de Datos SADI'!$G$5:$G$716,"&lt;&gt;*No disponible*")</f>
        <v>0</v>
      </c>
      <c r="S37" s="14" t="n">
        <f aca="false">SUM(C37:R37)</f>
        <v>35</v>
      </c>
    </row>
    <row r="38" customFormat="false" ht="21.75" hidden="false" customHeight="true" outlineLevel="0" collapsed="false">
      <c r="B38" s="9" t="s">
        <v>104</v>
      </c>
      <c r="C38" s="15" t="n">
        <f aca="false">COUNTIFS('Base de Datos SADI'!$C$5:$C$716,C$26,'Base de Datos SADI'!$F$5:$F$716,$B38,'Base de Datos SADI'!$G$5:$G$716,"&lt;&gt;*No disponible*")</f>
        <v>5</v>
      </c>
      <c r="D38" s="15" t="n">
        <f aca="false">COUNTIFS('Base de Datos SADI'!$C$5:$C$716,D$26,'Base de Datos SADI'!$F$5:$F$716,$B38,'Base de Datos SADI'!$G$5:$G$716,"&lt;&gt;*No disponible*")</f>
        <v>5</v>
      </c>
      <c r="E38" s="15" t="n">
        <f aca="false">COUNTIFS('Base de Datos SADI'!$C$5:$C$716,E$26,'Base de Datos SADI'!$F$5:$F$716,$B38,'Base de Datos SADI'!$G$5:$G$716,"&lt;&gt;*No disponible*")</f>
        <v>5</v>
      </c>
      <c r="F38" s="15" t="n">
        <f aca="false">COUNTIFS('Base de Datos SADI'!$C$5:$C$716,F$26,'Base de Datos SADI'!$F$5:$F$716,$B38,'Base de Datos SADI'!$G$5:$G$716,"&lt;&gt;*No disponible*")</f>
        <v>5</v>
      </c>
      <c r="G38" s="15" t="n">
        <f aca="false">COUNTIFS('Base de Datos SADI'!$C$5:$C$716,G$26,'Base de Datos SADI'!$F$5:$F$716,$B38,'Base de Datos SADI'!$G$5:$G$716,"&lt;&gt;*No disponible*")</f>
        <v>5</v>
      </c>
      <c r="H38" s="15" t="n">
        <f aca="false">COUNTIFS('Base de Datos SADI'!$C$5:$C$716,H$26,'Base de Datos SADI'!$F$5:$F$716,$B38,'Base de Datos SADI'!$G$5:$G$716,"&lt;&gt;*No disponible*")</f>
        <v>5</v>
      </c>
      <c r="I38" s="15" t="n">
        <f aca="false">COUNTIFS('Base de Datos SADI'!$C$5:$C$716,I$26,'Base de Datos SADI'!$F$5:$F$716,$B38,'Base de Datos SADI'!$G$5:$G$716,"&lt;&gt;*No disponible*")</f>
        <v>5</v>
      </c>
      <c r="J38" s="15" t="n">
        <f aca="false">COUNTIFS('Base de Datos SADI'!$C$5:$C$716,J$26,'Base de Datos SADI'!$F$5:$F$716,$B38,'Base de Datos SADI'!$G$5:$G$716,"&lt;&gt;*No disponible*")</f>
        <v>5</v>
      </c>
      <c r="K38" s="15" t="n">
        <f aca="false">COUNTIFS('Base de Datos SADI'!$C$5:$C$716,K$26,'Base de Datos SADI'!$F$5:$F$716,$B38,'Base de Datos SADI'!$G$5:$G$716,"&lt;&gt;*No disponible*")</f>
        <v>0</v>
      </c>
      <c r="L38" s="15" t="n">
        <f aca="false">COUNTIFS('Base de Datos SADI'!$C$5:$C$716,L$26,'Base de Datos SADI'!$F$5:$F$716,$B38,'Base de Datos SADI'!$G$5:$G$716,"&lt;&gt;*No disponible*")</f>
        <v>5</v>
      </c>
      <c r="M38" s="15" t="n">
        <f aca="false">COUNTIFS('Base de Datos SADI'!$C$5:$C$716,M$26,'Base de Datos SADI'!$F$5:$F$716,$B38,'Base de Datos SADI'!$G$5:$G$716,"&lt;&gt;*No disponible*")</f>
        <v>5</v>
      </c>
      <c r="N38" s="15" t="n">
        <f aca="false">COUNTIFS('Base de Datos SADI'!$C$5:$C$716,N$26,'Base de Datos SADI'!$F$5:$F$716,$B38,'Base de Datos SADI'!$G$5:$G$716,"&lt;&gt;*No disponible*")</f>
        <v>0</v>
      </c>
      <c r="O38" s="15" t="n">
        <f aca="false">COUNTIFS('Base de Datos SADI'!$C$5:$C$716,O$26,'Base de Datos SADI'!$F$5:$F$716,$B38,'Base de Datos SADI'!$G$5:$G$716,"&lt;&gt;*No disponible*")</f>
        <v>0</v>
      </c>
      <c r="P38" s="15" t="n">
        <f aca="false">COUNTIFS('Base de Datos SADI'!$C$5:$C$716,P$26,'Base de Datos SADI'!$F$5:$F$716,$B38,'Base de Datos SADI'!$G$5:$G$716,"&lt;&gt;*No disponible*")</f>
        <v>0</v>
      </c>
      <c r="Q38" s="15" t="n">
        <f aca="false">COUNTIFS('Base de Datos SADI'!$C$5:$C$716,Q$26,'Base de Datos SADI'!$F$5:$F$716,$B38,'Base de Datos SADI'!$G$5:$G$716,"&lt;&gt;*No disponible*")</f>
        <v>0</v>
      </c>
      <c r="R38" s="15" t="n">
        <f aca="false">COUNTIFS('Base de Datos SADI'!$C$5:$C$716,R$26,'Base de Datos SADI'!$F$5:$F$716,$B38,'Base de Datos SADI'!$G$5:$G$716,"&lt;&gt;*No disponible*")</f>
        <v>0</v>
      </c>
      <c r="S38" s="15" t="n">
        <f aca="false">SUM(C38:R38)</f>
        <v>50</v>
      </c>
    </row>
    <row r="39" customFormat="false" ht="21.75" hidden="false" customHeight="true" outlineLevel="0" collapsed="false">
      <c r="B39" s="7" t="s">
        <v>105</v>
      </c>
      <c r="C39" s="14" t="n">
        <f aca="false">COUNTIFS('Base de Datos SADI'!$C$5:$C$716,C$26,'Base de Datos SADI'!$F$5:$F$716,$B39,'Base de Datos SADI'!$G$5:$G$716,"&lt;&gt;*No disponible*")</f>
        <v>5</v>
      </c>
      <c r="D39" s="14" t="n">
        <f aca="false">COUNTIFS('Base de Datos SADI'!$C$5:$C$716,D$26,'Base de Datos SADI'!$F$5:$F$716,$B39,'Base de Datos SADI'!$G$5:$G$716,"&lt;&gt;*No disponible*")</f>
        <v>5</v>
      </c>
      <c r="E39" s="14" t="n">
        <f aca="false">COUNTIFS('Base de Datos SADI'!$C$5:$C$716,E$26,'Base de Datos SADI'!$F$5:$F$716,$B39,'Base de Datos SADI'!$G$5:$G$716,"&lt;&gt;*No disponible*")</f>
        <v>5</v>
      </c>
      <c r="F39" s="14" t="n">
        <f aca="false">COUNTIFS('Base de Datos SADI'!$C$5:$C$716,F$26,'Base de Datos SADI'!$F$5:$F$716,$B39,'Base de Datos SADI'!$G$5:$G$716,"&lt;&gt;*No disponible*")</f>
        <v>5</v>
      </c>
      <c r="G39" s="14" t="n">
        <f aca="false">COUNTIFS('Base de Datos SADI'!$C$5:$C$716,G$26,'Base de Datos SADI'!$F$5:$F$716,$B39,'Base de Datos SADI'!$G$5:$G$716,"&lt;&gt;*No disponible*")</f>
        <v>5</v>
      </c>
      <c r="H39" s="14" t="n">
        <f aca="false">COUNTIFS('Base de Datos SADI'!$C$5:$C$716,H$26,'Base de Datos SADI'!$F$5:$F$716,$B39,'Base de Datos SADI'!$G$5:$G$716,"&lt;&gt;*No disponible*")</f>
        <v>5</v>
      </c>
      <c r="I39" s="14" t="n">
        <f aca="false">COUNTIFS('Base de Datos SADI'!$C$5:$C$716,I$26,'Base de Datos SADI'!$F$5:$F$716,$B39,'Base de Datos SADI'!$G$5:$G$716,"&lt;&gt;*No disponible*")</f>
        <v>5</v>
      </c>
      <c r="J39" s="14" t="n">
        <f aca="false">COUNTIFS('Base de Datos SADI'!$C$5:$C$716,J$26,'Base de Datos SADI'!$F$5:$F$716,$B39,'Base de Datos SADI'!$G$5:$G$716,"&lt;&gt;*No disponible*")</f>
        <v>5</v>
      </c>
      <c r="K39" s="14" t="n">
        <f aca="false">COUNTIFS('Base de Datos SADI'!$C$5:$C$716,K$26,'Base de Datos SADI'!$F$5:$F$716,$B39,'Base de Datos SADI'!$G$5:$G$716,"&lt;&gt;*No disponible*")</f>
        <v>0</v>
      </c>
      <c r="L39" s="14" t="n">
        <f aca="false">COUNTIFS('Base de Datos SADI'!$C$5:$C$716,L$26,'Base de Datos SADI'!$F$5:$F$716,$B39,'Base de Datos SADI'!$G$5:$G$716,"&lt;&gt;*No disponible*")</f>
        <v>5</v>
      </c>
      <c r="M39" s="14" t="n">
        <f aca="false">COUNTIFS('Base de Datos SADI'!$C$5:$C$716,M$26,'Base de Datos SADI'!$F$5:$F$716,$B39,'Base de Datos SADI'!$G$5:$G$716,"&lt;&gt;*No disponible*")</f>
        <v>5</v>
      </c>
      <c r="N39" s="14" t="n">
        <f aca="false">COUNTIFS('Base de Datos SADI'!$C$5:$C$716,N$26,'Base de Datos SADI'!$F$5:$F$716,$B39,'Base de Datos SADI'!$G$5:$G$716,"&lt;&gt;*No disponible*")</f>
        <v>0</v>
      </c>
      <c r="O39" s="14" t="n">
        <f aca="false">COUNTIFS('Base de Datos SADI'!$C$5:$C$716,O$26,'Base de Datos SADI'!$F$5:$F$716,$B39,'Base de Datos SADI'!$G$5:$G$716,"&lt;&gt;*No disponible*")</f>
        <v>0</v>
      </c>
      <c r="P39" s="14" t="n">
        <f aca="false">COUNTIFS('Base de Datos SADI'!$C$5:$C$716,P$26,'Base de Datos SADI'!$F$5:$F$716,$B39,'Base de Datos SADI'!$G$5:$G$716,"&lt;&gt;*No disponible*")</f>
        <v>0</v>
      </c>
      <c r="Q39" s="14" t="n">
        <f aca="false">COUNTIFS('Base de Datos SADI'!$C$5:$C$716,Q$26,'Base de Datos SADI'!$F$5:$F$716,$B39,'Base de Datos SADI'!$G$5:$G$716,"&lt;&gt;*No disponible*")</f>
        <v>0</v>
      </c>
      <c r="R39" s="14" t="n">
        <f aca="false">COUNTIFS('Base de Datos SADI'!$C$5:$C$716,R$26,'Base de Datos SADI'!$F$5:$F$716,$B39,'Base de Datos SADI'!$G$5:$G$716,"&lt;&gt;*No disponible*")</f>
        <v>0</v>
      </c>
      <c r="S39" s="14" t="n">
        <f aca="false">SUM(C39:R39)</f>
        <v>50</v>
      </c>
    </row>
    <row r="40" customFormat="false" ht="21.75" hidden="false" customHeight="true" outlineLevel="0" collapsed="false">
      <c r="B40" s="9" t="s">
        <v>106</v>
      </c>
      <c r="C40" s="15" t="n">
        <f aca="false">COUNTIFS('Base de Datos SADI'!$C$5:$C$716,C$26,'Base de Datos SADI'!$F$5:$F$716,$B40,'Base de Datos SADI'!$G$5:$G$716,"&lt;&gt;*No disponible*")</f>
        <v>5</v>
      </c>
      <c r="D40" s="15" t="n">
        <f aca="false">COUNTIFS('Base de Datos SADI'!$C$5:$C$716,D$26,'Base de Datos SADI'!$F$5:$F$716,$B40,'Base de Datos SADI'!$G$5:$G$716,"&lt;&gt;*No disponible*")</f>
        <v>5</v>
      </c>
      <c r="E40" s="15" t="n">
        <f aca="false">COUNTIFS('Base de Datos SADI'!$C$5:$C$716,E$26,'Base de Datos SADI'!$F$5:$F$716,$B40,'Base de Datos SADI'!$G$5:$G$716,"&lt;&gt;*No disponible*")</f>
        <v>0</v>
      </c>
      <c r="F40" s="15" t="n">
        <f aca="false">COUNTIFS('Base de Datos SADI'!$C$5:$C$716,F$26,'Base de Datos SADI'!$F$5:$F$716,$B40,'Base de Datos SADI'!$G$5:$G$716,"&lt;&gt;*No disponible*")</f>
        <v>0</v>
      </c>
      <c r="G40" s="15" t="n">
        <f aca="false">COUNTIFS('Base de Datos SADI'!$C$5:$C$716,G$26,'Base de Datos SADI'!$F$5:$F$716,$B40,'Base de Datos SADI'!$G$5:$G$716,"&lt;&gt;*No disponible*")</f>
        <v>0</v>
      </c>
      <c r="H40" s="15" t="n">
        <f aca="false">COUNTIFS('Base de Datos SADI'!$C$5:$C$716,H$26,'Base de Datos SADI'!$F$5:$F$716,$B40,'Base de Datos SADI'!$G$5:$G$716,"&lt;&gt;*No disponible*")</f>
        <v>0</v>
      </c>
      <c r="I40" s="15" t="n">
        <f aca="false">COUNTIFS('Base de Datos SADI'!$C$5:$C$716,I$26,'Base de Datos SADI'!$F$5:$F$716,$B40,'Base de Datos SADI'!$G$5:$G$716,"&lt;&gt;*No disponible*")</f>
        <v>0</v>
      </c>
      <c r="J40" s="15" t="n">
        <f aca="false">COUNTIFS('Base de Datos SADI'!$C$5:$C$716,J$26,'Base de Datos SADI'!$F$5:$F$716,$B40,'Base de Datos SADI'!$G$5:$G$716,"&lt;&gt;*No disponible*")</f>
        <v>0</v>
      </c>
      <c r="K40" s="15" t="n">
        <f aca="false">COUNTIFS('Base de Datos SADI'!$C$5:$C$716,K$26,'Base de Datos SADI'!$F$5:$F$716,$B40,'Base de Datos SADI'!$G$5:$G$716,"&lt;&gt;*No disponible*")</f>
        <v>0</v>
      </c>
      <c r="L40" s="15" t="n">
        <f aca="false">COUNTIFS('Base de Datos SADI'!$C$5:$C$716,L$26,'Base de Datos SADI'!$F$5:$F$716,$B40,'Base de Datos SADI'!$G$5:$G$716,"&lt;&gt;*No disponible*")</f>
        <v>0</v>
      </c>
      <c r="M40" s="15" t="n">
        <f aca="false">COUNTIFS('Base de Datos SADI'!$C$5:$C$716,M$26,'Base de Datos SADI'!$F$5:$F$716,$B40,'Base de Datos SADI'!$G$5:$G$716,"&lt;&gt;*No disponible*")</f>
        <v>5</v>
      </c>
      <c r="N40" s="15" t="n">
        <f aca="false">COUNTIFS('Base de Datos SADI'!$C$5:$C$716,N$26,'Base de Datos SADI'!$F$5:$F$716,$B40,'Base de Datos SADI'!$G$5:$G$716,"&lt;&gt;*No disponible*")</f>
        <v>0</v>
      </c>
      <c r="O40" s="15" t="n">
        <f aca="false">COUNTIFS('Base de Datos SADI'!$C$5:$C$716,O$26,'Base de Datos SADI'!$F$5:$F$716,$B40,'Base de Datos SADI'!$G$5:$G$716,"&lt;&gt;*No disponible*")</f>
        <v>0</v>
      </c>
      <c r="P40" s="15" t="n">
        <f aca="false">COUNTIFS('Base de Datos SADI'!$C$5:$C$716,P$26,'Base de Datos SADI'!$F$5:$F$716,$B40,'Base de Datos SADI'!$G$5:$G$716,"&lt;&gt;*No disponible*")</f>
        <v>0</v>
      </c>
      <c r="Q40" s="15" t="n">
        <f aca="false">COUNTIFS('Base de Datos SADI'!$C$5:$C$716,Q$26,'Base de Datos SADI'!$F$5:$F$716,$B40,'Base de Datos SADI'!$G$5:$G$716,"&lt;&gt;*No disponible*")</f>
        <v>0</v>
      </c>
      <c r="R40" s="15" t="n">
        <f aca="false">COUNTIFS('Base de Datos SADI'!$C$5:$C$716,R$26,'Base de Datos SADI'!$F$5:$F$716,$B40,'Base de Datos SADI'!$G$5:$G$716,"&lt;&gt;*No disponible*")</f>
        <v>0</v>
      </c>
      <c r="S40" s="15" t="n">
        <f aca="false">SUM(C40:R40)</f>
        <v>15</v>
      </c>
    </row>
    <row r="41" customFormat="false" ht="21.75" hidden="false" customHeight="true" outlineLevel="0" collapsed="false">
      <c r="B41" s="7" t="s">
        <v>107</v>
      </c>
      <c r="C41" s="14" t="n">
        <f aca="false">COUNTIFS('Base de Datos SADI'!$C$5:$C$716,C$26,'Base de Datos SADI'!$F$5:$F$716,$B41,'Base de Datos SADI'!$G$5:$G$716,"&lt;&gt;*No disponible*")</f>
        <v>0</v>
      </c>
      <c r="D41" s="14" t="n">
        <f aca="false">COUNTIFS('Base de Datos SADI'!$C$5:$C$716,D$26,'Base de Datos SADI'!$F$5:$F$716,$B41,'Base de Datos SADI'!$G$5:$G$716,"&lt;&gt;*No disponible*")</f>
        <v>5</v>
      </c>
      <c r="E41" s="14" t="n">
        <f aca="false">COUNTIFS('Base de Datos SADI'!$C$5:$C$716,E$26,'Base de Datos SADI'!$F$5:$F$716,$B41,'Base de Datos SADI'!$G$5:$G$716,"&lt;&gt;*No disponible*")</f>
        <v>0</v>
      </c>
      <c r="F41" s="14" t="n">
        <f aca="false">COUNTIFS('Base de Datos SADI'!$C$5:$C$716,F$26,'Base de Datos SADI'!$F$5:$F$716,$B41,'Base de Datos SADI'!$G$5:$G$716,"&lt;&gt;*No disponible*")</f>
        <v>0</v>
      </c>
      <c r="G41" s="14" t="n">
        <f aca="false">COUNTIFS('Base de Datos SADI'!$C$5:$C$716,G$26,'Base de Datos SADI'!$F$5:$F$716,$B41,'Base de Datos SADI'!$G$5:$G$716,"&lt;&gt;*No disponible*")</f>
        <v>0</v>
      </c>
      <c r="H41" s="14" t="n">
        <f aca="false">COUNTIFS('Base de Datos SADI'!$C$5:$C$716,H$26,'Base de Datos SADI'!$F$5:$F$716,$B41,'Base de Datos SADI'!$G$5:$G$716,"&lt;&gt;*No disponible*")</f>
        <v>0</v>
      </c>
      <c r="I41" s="14" t="n">
        <f aca="false">COUNTIFS('Base de Datos SADI'!$C$5:$C$716,I$26,'Base de Datos SADI'!$F$5:$F$716,$B41,'Base de Datos SADI'!$G$5:$G$716,"&lt;&gt;*No disponible*")</f>
        <v>0</v>
      </c>
      <c r="J41" s="14" t="n">
        <f aca="false">COUNTIFS('Base de Datos SADI'!$C$5:$C$716,J$26,'Base de Datos SADI'!$F$5:$F$716,$B41,'Base de Datos SADI'!$G$5:$G$716,"&lt;&gt;*No disponible*")</f>
        <v>5</v>
      </c>
      <c r="K41" s="14" t="n">
        <f aca="false">COUNTIFS('Base de Datos SADI'!$C$5:$C$716,K$26,'Base de Datos SADI'!$F$5:$F$716,$B41,'Base de Datos SADI'!$G$5:$G$716,"&lt;&gt;*No disponible*")</f>
        <v>5</v>
      </c>
      <c r="L41" s="14" t="n">
        <f aca="false">COUNTIFS('Base de Datos SADI'!$C$5:$C$716,L$26,'Base de Datos SADI'!$F$5:$F$716,$B41,'Base de Datos SADI'!$G$5:$G$716,"&lt;&gt;*No disponible*")</f>
        <v>0</v>
      </c>
      <c r="M41" s="14" t="n">
        <f aca="false">COUNTIFS('Base de Datos SADI'!$C$5:$C$716,M$26,'Base de Datos SADI'!$F$5:$F$716,$B41,'Base de Datos SADI'!$G$5:$G$716,"&lt;&gt;*No disponible*")</f>
        <v>0</v>
      </c>
      <c r="N41" s="14" t="n">
        <f aca="false">COUNTIFS('Base de Datos SADI'!$C$5:$C$716,N$26,'Base de Datos SADI'!$F$5:$F$716,$B41,'Base de Datos SADI'!$G$5:$G$716,"&lt;&gt;*No disponible*")</f>
        <v>0</v>
      </c>
      <c r="O41" s="14" t="n">
        <f aca="false">COUNTIFS('Base de Datos SADI'!$C$5:$C$716,O$26,'Base de Datos SADI'!$F$5:$F$716,$B41,'Base de Datos SADI'!$G$5:$G$716,"&lt;&gt;*No disponible*")</f>
        <v>0</v>
      </c>
      <c r="P41" s="14" t="n">
        <f aca="false">COUNTIFS('Base de Datos SADI'!$C$5:$C$716,P$26,'Base de Datos SADI'!$F$5:$F$716,$B41,'Base de Datos SADI'!$G$5:$G$716,"&lt;&gt;*No disponible*")</f>
        <v>5</v>
      </c>
      <c r="Q41" s="14" t="n">
        <f aca="false">COUNTIFS('Base de Datos SADI'!$C$5:$C$716,Q$26,'Base de Datos SADI'!$F$5:$F$716,$B41,'Base de Datos SADI'!$G$5:$G$716,"&lt;&gt;*No disponible*")</f>
        <v>0</v>
      </c>
      <c r="R41" s="14" t="n">
        <f aca="false">COUNTIFS('Base de Datos SADI'!$C$5:$C$716,R$26,'Base de Datos SADI'!$F$5:$F$716,$B41,'Base de Datos SADI'!$G$5:$G$716,"&lt;&gt;*No disponible*")</f>
        <v>0</v>
      </c>
      <c r="S41" s="14" t="n">
        <f aca="false">SUM(C41:R41)</f>
        <v>20</v>
      </c>
    </row>
    <row r="42" customFormat="false" ht="21.75" hidden="false" customHeight="true" outlineLevel="0" collapsed="false">
      <c r="B42" s="9" t="s">
        <v>108</v>
      </c>
      <c r="C42" s="15" t="n">
        <f aca="false">COUNTIFS('Base de Datos SADI'!$C$5:$C$716,C$26,'Base de Datos SADI'!$F$5:$F$716,$B42,'Base de Datos SADI'!$G$5:$G$716,"&lt;&gt;*No disponible*")</f>
        <v>5</v>
      </c>
      <c r="D42" s="15" t="n">
        <f aca="false">COUNTIFS('Base de Datos SADI'!$C$5:$C$716,D$26,'Base de Datos SADI'!$F$5:$F$716,$B42,'Base de Datos SADI'!$G$5:$G$716,"&lt;&gt;*No disponible*")</f>
        <v>5</v>
      </c>
      <c r="E42" s="15" t="n">
        <f aca="false">COUNTIFS('Base de Datos SADI'!$C$5:$C$716,E$26,'Base de Datos SADI'!$F$5:$F$716,$B42,'Base de Datos SADI'!$G$5:$G$716,"&lt;&gt;*No disponible*")</f>
        <v>0</v>
      </c>
      <c r="F42" s="15" t="n">
        <f aca="false">COUNTIFS('Base de Datos SADI'!$C$5:$C$716,F$26,'Base de Datos SADI'!$F$5:$F$716,$B42,'Base de Datos SADI'!$G$5:$G$716,"&lt;&gt;*No disponible*")</f>
        <v>5</v>
      </c>
      <c r="G42" s="15" t="n">
        <f aca="false">COUNTIFS('Base de Datos SADI'!$C$5:$C$716,G$26,'Base de Datos SADI'!$F$5:$F$716,$B42,'Base de Datos SADI'!$G$5:$G$716,"&lt;&gt;*No disponible*")</f>
        <v>0</v>
      </c>
      <c r="H42" s="15" t="n">
        <f aca="false">COUNTIFS('Base de Datos SADI'!$C$5:$C$716,H$26,'Base de Datos SADI'!$F$5:$F$716,$B42,'Base de Datos SADI'!$G$5:$G$716,"&lt;&gt;*No disponible*")</f>
        <v>0</v>
      </c>
      <c r="I42" s="15" t="n">
        <f aca="false">COUNTIFS('Base de Datos SADI'!$C$5:$C$716,I$26,'Base de Datos SADI'!$F$5:$F$716,$B42,'Base de Datos SADI'!$G$5:$G$716,"&lt;&gt;*No disponible*")</f>
        <v>5</v>
      </c>
      <c r="J42" s="15" t="n">
        <f aca="false">COUNTIFS('Base de Datos SADI'!$C$5:$C$716,J$26,'Base de Datos SADI'!$F$5:$F$716,$B42,'Base de Datos SADI'!$G$5:$G$716,"&lt;&gt;*No disponible*")</f>
        <v>5</v>
      </c>
      <c r="K42" s="15" t="n">
        <f aca="false">COUNTIFS('Base de Datos SADI'!$C$5:$C$716,K$26,'Base de Datos SADI'!$F$5:$F$716,$B42,'Base de Datos SADI'!$G$5:$G$716,"&lt;&gt;*No disponible*")</f>
        <v>0</v>
      </c>
      <c r="L42" s="15" t="n">
        <f aca="false">COUNTIFS('Base de Datos SADI'!$C$5:$C$716,L$26,'Base de Datos SADI'!$F$5:$F$716,$B42,'Base de Datos SADI'!$G$5:$G$716,"&lt;&gt;*No disponible*")</f>
        <v>0</v>
      </c>
      <c r="M42" s="15" t="n">
        <f aca="false">COUNTIFS('Base de Datos SADI'!$C$5:$C$716,M$26,'Base de Datos SADI'!$F$5:$F$716,$B42,'Base de Datos SADI'!$G$5:$G$716,"&lt;&gt;*No disponible*")</f>
        <v>5</v>
      </c>
      <c r="N42" s="15" t="n">
        <f aca="false">COUNTIFS('Base de Datos SADI'!$C$5:$C$716,N$26,'Base de Datos SADI'!$F$5:$F$716,$B42,'Base de Datos SADI'!$G$5:$G$716,"&lt;&gt;*No disponible*")</f>
        <v>0</v>
      </c>
      <c r="O42" s="15" t="n">
        <f aca="false">COUNTIFS('Base de Datos SADI'!$C$5:$C$716,O$26,'Base de Datos SADI'!$F$5:$F$716,$B42,'Base de Datos SADI'!$G$5:$G$716,"&lt;&gt;*No disponible*")</f>
        <v>0</v>
      </c>
      <c r="P42" s="15" t="n">
        <f aca="false">COUNTIFS('Base de Datos SADI'!$C$5:$C$716,P$26,'Base de Datos SADI'!$F$5:$F$716,$B42,'Base de Datos SADI'!$G$5:$G$716,"&lt;&gt;*No disponible*")</f>
        <v>0</v>
      </c>
      <c r="Q42" s="15" t="n">
        <f aca="false">COUNTIFS('Base de Datos SADI'!$C$5:$C$716,Q$26,'Base de Datos SADI'!$F$5:$F$716,$B42,'Base de Datos SADI'!$G$5:$G$716,"&lt;&gt;*No disponible*")</f>
        <v>0</v>
      </c>
      <c r="R42" s="15" t="n">
        <f aca="false">COUNTIFS('Base de Datos SADI'!$C$5:$C$716,R$26,'Base de Datos SADI'!$F$5:$F$716,$B42,'Base de Datos SADI'!$G$5:$G$716,"&lt;&gt;*No disponible*")</f>
        <v>0</v>
      </c>
      <c r="S42" s="15" t="n">
        <f aca="false">SUM(C42:R42)</f>
        <v>30</v>
      </c>
    </row>
    <row r="43" customFormat="false" ht="25.5" hidden="false" customHeight="true" outlineLevel="0" collapsed="false">
      <c r="B43" s="16" t="s">
        <v>76</v>
      </c>
      <c r="C43" s="17" t="n">
        <f aca="false">SUM(C27:C42)</f>
        <v>55</v>
      </c>
      <c r="D43" s="17" t="n">
        <f aca="false">SUM(D27:D42)</f>
        <v>55</v>
      </c>
      <c r="E43" s="17" t="n">
        <f aca="false">SUM(E27:E42)</f>
        <v>50</v>
      </c>
      <c r="F43" s="17" t="n">
        <f aca="false">SUM(F27:F42)</f>
        <v>50</v>
      </c>
      <c r="G43" s="17" t="n">
        <f aca="false">SUM(G27:G42)</f>
        <v>45</v>
      </c>
      <c r="H43" s="17" t="n">
        <f aca="false">SUM(H27:H42)</f>
        <v>40</v>
      </c>
      <c r="I43" s="17" t="n">
        <f aca="false">SUM(I27:I42)</f>
        <v>40</v>
      </c>
      <c r="J43" s="17" t="n">
        <f aca="false">SUM(J27:J42)</f>
        <v>50</v>
      </c>
      <c r="K43" s="17" t="n">
        <f aca="false">SUM(K27:K42)</f>
        <v>20</v>
      </c>
      <c r="L43" s="17" t="n">
        <f aca="false">SUM(L27:L42)</f>
        <v>45</v>
      </c>
      <c r="M43" s="17" t="n">
        <f aca="false">SUM(M27:M42)</f>
        <v>45</v>
      </c>
      <c r="N43" s="17" t="n">
        <f aca="false">SUM(N27:N42)</f>
        <v>25</v>
      </c>
      <c r="O43" s="17" t="n">
        <f aca="false">SUM(O27:O42)</f>
        <v>30</v>
      </c>
      <c r="P43" s="17" t="n">
        <f aca="false">SUM(P27:P42)</f>
        <v>10</v>
      </c>
      <c r="Q43" s="17" t="n">
        <f aca="false">SUM(Q27:Q42)</f>
        <v>5</v>
      </c>
      <c r="R43" s="17" t="n">
        <f aca="false">SUM(R27:R42)</f>
        <v>5</v>
      </c>
      <c r="S43" s="17" t="n">
        <f aca="false">SUM(S27:S42)</f>
        <v>570</v>
      </c>
    </row>
    <row r="46" customFormat="false" ht="15" hidden="false" customHeight="false" outlineLevel="0" collapsed="false">
      <c r="B46" s="10" t="s">
        <v>109</v>
      </c>
    </row>
    <row r="47" customFormat="false" ht="27.75" hidden="false" customHeight="true" outlineLevel="0" collapsed="false">
      <c r="B47" s="5" t="s">
        <v>110</v>
      </c>
      <c r="C47" s="5" t="s">
        <v>17</v>
      </c>
      <c r="D47" s="5" t="s">
        <v>111</v>
      </c>
      <c r="E47" s="5" t="s">
        <v>112</v>
      </c>
      <c r="F47" s="5" t="s">
        <v>113</v>
      </c>
      <c r="G47" s="5" t="s">
        <v>114</v>
      </c>
      <c r="H47" s="5" t="s">
        <v>115</v>
      </c>
    </row>
    <row r="48" customFormat="false" ht="21.75" hidden="false" customHeight="true" outlineLevel="0" collapsed="false">
      <c r="B48" s="7" t="s">
        <v>41</v>
      </c>
      <c r="C48" s="7" t="s">
        <v>20</v>
      </c>
      <c r="D48" s="7" t="s">
        <v>116</v>
      </c>
      <c r="E48" s="14" t="n">
        <f aca="false">COUNTIFS('Base de Datos SACI'!$C$5:$C$1076,$B48,'Base de Datos SACI'!$G$5:$G$1076,"&lt;&gt;*No disponible*")</f>
        <v>75</v>
      </c>
      <c r="F48" s="18" t="n">
        <f aca="false">MIN('Base de Datos SACI'!$U$5:$U$80)</f>
        <v>8</v>
      </c>
      <c r="G48" s="18" t="n">
        <f aca="false">MAX('Base de Datos SACI'!$U$5:$U$80)</f>
        <v>645</v>
      </c>
      <c r="H48" s="18" t="n">
        <f aca="false">IFERROR(ROUND(AVERAGE('Base de Datos SACI'!$U$5:$U$80),0),"—")</f>
        <v>112</v>
      </c>
    </row>
    <row r="49" customFormat="false" ht="21.75" hidden="false" customHeight="true" outlineLevel="0" collapsed="false">
      <c r="B49" s="9" t="s">
        <v>42</v>
      </c>
      <c r="C49" s="9" t="s">
        <v>20</v>
      </c>
      <c r="D49" s="9" t="s">
        <v>117</v>
      </c>
      <c r="E49" s="15" t="n">
        <f aca="false">COUNTIFS('Base de Datos SACI'!$C$5:$C$1076,$B49,'Base de Datos SACI'!$G$5:$G$1076,"&lt;&gt;*No disponible*")</f>
        <v>75</v>
      </c>
      <c r="F49" s="19" t="n">
        <f aca="false">MIN('Base de Datos SACI'!$U$81:$U$156)</f>
        <v>12</v>
      </c>
      <c r="G49" s="19" t="n">
        <f aca="false">MAX('Base de Datos SACI'!$U$81:$U$156)</f>
        <v>680</v>
      </c>
      <c r="H49" s="19" t="n">
        <f aca="false">IFERROR(ROUND(AVERAGE('Base de Datos SACI'!$U$81:$U$156),0),"—")</f>
        <v>109</v>
      </c>
    </row>
    <row r="50" customFormat="false" ht="21.75" hidden="false" customHeight="true" outlineLevel="0" collapsed="false">
      <c r="B50" s="7" t="s">
        <v>43</v>
      </c>
      <c r="C50" s="7" t="s">
        <v>20</v>
      </c>
      <c r="D50" s="7" t="s">
        <v>117</v>
      </c>
      <c r="E50" s="14" t="n">
        <f aca="false">COUNTIFS('Base de Datos SACI'!$C$5:$C$1076,$B50,'Base de Datos SACI'!$G$5:$G$1076,"&lt;&gt;*No disponible*")</f>
        <v>70</v>
      </c>
      <c r="F50" s="18" t="n">
        <f aca="false">MIN('Base de Datos SACI'!$U$157:$U$228)</f>
        <v>12</v>
      </c>
      <c r="G50" s="18" t="n">
        <f aca="false">MAX('Base de Datos SACI'!$U$157:$U$228)</f>
        <v>625</v>
      </c>
      <c r="H50" s="18" t="n">
        <f aca="false">IFERROR(ROUND(AVERAGE('Base de Datos SACI'!$U$157:$U$228),0),"—")</f>
        <v>94</v>
      </c>
    </row>
    <row r="51" customFormat="false" ht="21.75" hidden="false" customHeight="true" outlineLevel="0" collapsed="false">
      <c r="B51" s="9" t="s">
        <v>44</v>
      </c>
      <c r="C51" s="9" t="s">
        <v>20</v>
      </c>
      <c r="D51" s="9" t="s">
        <v>118</v>
      </c>
      <c r="E51" s="15" t="n">
        <f aca="false">COUNTIFS('Base de Datos SACI'!$C$5:$C$1076,$B51,'Base de Datos SACI'!$G$5:$G$1076,"&lt;&gt;*No disponible*")</f>
        <v>65</v>
      </c>
      <c r="F51" s="19" t="n">
        <f aca="false">MIN('Base de Datos SACI'!$U$229:$U$296)</f>
        <v>16</v>
      </c>
      <c r="G51" s="19" t="n">
        <f aca="false">MAX('Base de Datos SACI'!$U$229:$U$296)</f>
        <v>580</v>
      </c>
      <c r="H51" s="19" t="n">
        <f aca="false">IFERROR(ROUND(AVERAGE('Base de Datos SACI'!$U$229:$U$296),0),"—")</f>
        <v>122</v>
      </c>
    </row>
    <row r="52" customFormat="false" ht="21.75" hidden="false" customHeight="true" outlineLevel="0" collapsed="false">
      <c r="B52" s="7" t="s">
        <v>45</v>
      </c>
      <c r="C52" s="7" t="s">
        <v>20</v>
      </c>
      <c r="D52" s="7" t="s">
        <v>119</v>
      </c>
      <c r="E52" s="14" t="n">
        <f aca="false">COUNTIFS('Base de Datos SACI'!$C$5:$C$1076,$B52,'Base de Datos SACI'!$G$5:$G$1076,"&lt;&gt;*No disponible*")</f>
        <v>65</v>
      </c>
      <c r="F52" s="18" t="n">
        <f aca="false">MIN('Base de Datos SACI'!$U$297:$U$364)</f>
        <v>12</v>
      </c>
      <c r="G52" s="18" t="n">
        <f aca="false">MAX('Base de Datos SACI'!$U$297:$U$364)</f>
        <v>680</v>
      </c>
      <c r="H52" s="18" t="n">
        <f aca="false">IFERROR(ROUND(AVERAGE('Base de Datos SACI'!$U$297:$U$364),0),"—")</f>
        <v>88</v>
      </c>
    </row>
    <row r="53" customFormat="false" ht="21.75" hidden="false" customHeight="true" outlineLevel="0" collapsed="false">
      <c r="B53" s="9" t="s">
        <v>46</v>
      </c>
      <c r="C53" s="9" t="s">
        <v>20</v>
      </c>
      <c r="D53" s="9" t="s">
        <v>120</v>
      </c>
      <c r="E53" s="15" t="n">
        <f aca="false">COUNTIFS('Base de Datos SACI'!$C$5:$C$1076,$B53,'Base de Datos SACI'!$G$5:$G$1076,"&lt;&gt;*No disponible*")</f>
        <v>65</v>
      </c>
      <c r="F53" s="19" t="n">
        <f aca="false">MIN('Base de Datos SACI'!$U$365:$U$432)</f>
        <v>8</v>
      </c>
      <c r="G53" s="19" t="n">
        <f aca="false">MAX('Base de Datos SACI'!$U$365:$U$432)</f>
        <v>645</v>
      </c>
      <c r="H53" s="19" t="n">
        <f aca="false">IFERROR(ROUND(AVERAGE('Base de Datos SACI'!$U$365:$U$432),0),"—")</f>
        <v>88</v>
      </c>
    </row>
    <row r="54" customFormat="false" ht="21.75" hidden="false" customHeight="true" outlineLevel="0" collapsed="false">
      <c r="B54" s="7" t="s">
        <v>47</v>
      </c>
      <c r="C54" s="7" t="s">
        <v>20</v>
      </c>
      <c r="D54" s="7" t="s">
        <v>121</v>
      </c>
      <c r="E54" s="14" t="n">
        <f aca="false">COUNTIFS('Base de Datos SACI'!$C$5:$C$1076,$B54,'Base de Datos SACI'!$G$5:$G$1076,"&lt;&gt;*No disponible*")</f>
        <v>60</v>
      </c>
      <c r="F54" s="18" t="n">
        <f aca="false">MIN('Base de Datos SACI'!$U$433:$U$496)</f>
        <v>17</v>
      </c>
      <c r="G54" s="18" t="n">
        <f aca="false">MAX('Base de Datos SACI'!$U$433:$U$496)</f>
        <v>580</v>
      </c>
      <c r="H54" s="18" t="n">
        <f aca="false">IFERROR(ROUND(AVERAGE('Base de Datos SACI'!$U$433:$U$496),0),"—")</f>
        <v>99</v>
      </c>
    </row>
    <row r="55" customFormat="false" ht="21.75" hidden="false" customHeight="true" outlineLevel="0" collapsed="false">
      <c r="B55" s="9" t="s">
        <v>48</v>
      </c>
      <c r="C55" s="9" t="s">
        <v>20</v>
      </c>
      <c r="D55" s="9" t="s">
        <v>120</v>
      </c>
      <c r="E55" s="15" t="n">
        <f aca="false">COUNTIFS('Base de Datos SACI'!$C$5:$C$1076,$B55,'Base de Datos SACI'!$G$5:$G$1076,"&lt;&gt;*No disponible*")</f>
        <v>60</v>
      </c>
      <c r="F55" s="19" t="n">
        <f aca="false">MIN('Base de Datos SACI'!$U$497:$U$560)</f>
        <v>15</v>
      </c>
      <c r="G55" s="19" t="n">
        <f aca="false">MAX('Base de Datos SACI'!$U$497:$U$560)</f>
        <v>690</v>
      </c>
      <c r="H55" s="19" t="n">
        <f aca="false">IFERROR(ROUND(AVERAGE('Base de Datos SACI'!$U$497:$U$560),0),"—")</f>
        <v>123</v>
      </c>
    </row>
    <row r="56" customFormat="false" ht="21.75" hidden="false" customHeight="true" outlineLevel="0" collapsed="false">
      <c r="B56" s="7" t="s">
        <v>49</v>
      </c>
      <c r="C56" s="7" t="s">
        <v>23</v>
      </c>
      <c r="D56" s="7" t="s">
        <v>120</v>
      </c>
      <c r="E56" s="14" t="n">
        <f aca="false">COUNTIFS('Base de Datos SACI'!$C$5:$C$1076,$B56,'Base de Datos SACI'!$G$5:$G$1076,"&lt;&gt;*No disponible*")</f>
        <v>60</v>
      </c>
      <c r="F56" s="18" t="n">
        <f aca="false">MIN('Base de Datos SACI'!$U$561:$U$624)</f>
        <v>8</v>
      </c>
      <c r="G56" s="18" t="n">
        <f aca="false">MAX('Base de Datos SACI'!$U$561:$U$624)</f>
        <v>345</v>
      </c>
      <c r="H56" s="18" t="n">
        <f aca="false">IFERROR(ROUND(AVERAGE('Base de Datos SACI'!$U$561:$U$624),0),"—")</f>
        <v>73</v>
      </c>
    </row>
    <row r="57" customFormat="false" ht="21.75" hidden="false" customHeight="true" outlineLevel="0" collapsed="false">
      <c r="B57" s="9" t="s">
        <v>50</v>
      </c>
      <c r="C57" s="9" t="s">
        <v>23</v>
      </c>
      <c r="D57" s="9" t="s">
        <v>122</v>
      </c>
      <c r="E57" s="15" t="n">
        <f aca="false">COUNTIFS('Base de Datos SACI'!$C$5:$C$1076,$B57,'Base de Datos SACI'!$G$5:$G$1076,"&lt;&gt;*No disponible*")</f>
        <v>60</v>
      </c>
      <c r="F57" s="19" t="n">
        <f aca="false">MIN('Base de Datos SACI'!$U$625:$U$688)</f>
        <v>13</v>
      </c>
      <c r="G57" s="19" t="n">
        <f aca="false">MAX('Base de Datos SACI'!$U$625:$U$688)</f>
        <v>470</v>
      </c>
      <c r="H57" s="19" t="n">
        <f aca="false">IFERROR(ROUND(AVERAGE('Base de Datos SACI'!$U$625:$U$688),0),"—")</f>
        <v>92</v>
      </c>
    </row>
    <row r="58" customFormat="false" ht="21.75" hidden="false" customHeight="true" outlineLevel="0" collapsed="false">
      <c r="B58" s="7" t="s">
        <v>51</v>
      </c>
      <c r="C58" s="7" t="s">
        <v>23</v>
      </c>
      <c r="D58" s="7" t="s">
        <v>123</v>
      </c>
      <c r="E58" s="14" t="n">
        <f aca="false">COUNTIFS('Base de Datos SACI'!$C$5:$C$1076,$B58,'Base de Datos SACI'!$G$5:$G$1076,"&lt;&gt;*No disponible*")</f>
        <v>65</v>
      </c>
      <c r="F58" s="18" t="n">
        <f aca="false">MIN('Base de Datos SACI'!$U$689:$U$756)</f>
        <v>12</v>
      </c>
      <c r="G58" s="18" t="n">
        <f aca="false">MAX('Base de Datos SACI'!$U$689:$U$756)</f>
        <v>715</v>
      </c>
      <c r="H58" s="18" t="n">
        <f aca="false">IFERROR(ROUND(AVERAGE('Base de Datos SACI'!$U$689:$U$756),0),"—")</f>
        <v>112</v>
      </c>
    </row>
    <row r="59" customFormat="false" ht="21.75" hidden="false" customHeight="true" outlineLevel="0" collapsed="false">
      <c r="B59" s="9" t="s">
        <v>52</v>
      </c>
      <c r="C59" s="9" t="s">
        <v>23</v>
      </c>
      <c r="D59" s="9" t="s">
        <v>121</v>
      </c>
      <c r="E59" s="15" t="n">
        <f aca="false">COUNTIFS('Base de Datos SACI'!$C$5:$C$1076,$B59,'Base de Datos SACI'!$G$5:$G$1076,"&lt;&gt;*No disponible*")</f>
        <v>55</v>
      </c>
      <c r="F59" s="19" t="n">
        <f aca="false">MIN('Base de Datos SACI'!$U$757:$U$816)</f>
        <v>14</v>
      </c>
      <c r="G59" s="19" t="n">
        <f aca="false">MAX('Base de Datos SACI'!$U$757:$U$816)</f>
        <v>425</v>
      </c>
      <c r="H59" s="19" t="n">
        <f aca="false">IFERROR(ROUND(AVERAGE('Base de Datos SACI'!$U$757:$U$816),0),"—")</f>
        <v>88</v>
      </c>
    </row>
    <row r="60" customFormat="false" ht="21.75" hidden="false" customHeight="true" outlineLevel="0" collapsed="false">
      <c r="B60" s="7" t="s">
        <v>53</v>
      </c>
      <c r="C60" s="7" t="s">
        <v>23</v>
      </c>
      <c r="D60" s="7" t="s">
        <v>124</v>
      </c>
      <c r="E60" s="14" t="n">
        <f aca="false">COUNTIFS('Base de Datos SACI'!$C$5:$C$1076,$B60,'Base de Datos SACI'!$G$5:$G$1076,"&lt;&gt;*No disponible*")</f>
        <v>40</v>
      </c>
      <c r="F60" s="18" t="n">
        <f aca="false">MIN('Base de Datos SACI'!$U$817:$U$864)</f>
        <v>12</v>
      </c>
      <c r="G60" s="18" t="n">
        <f aca="false">MAX('Base de Datos SACI'!$U$817:$U$864)</f>
        <v>495</v>
      </c>
      <c r="H60" s="18" t="n">
        <f aca="false">IFERROR(ROUND(AVERAGE('Base de Datos SACI'!$U$817:$U$864),0),"—")</f>
        <v>78</v>
      </c>
    </row>
    <row r="61" customFormat="false" ht="21.75" hidden="false" customHeight="true" outlineLevel="0" collapsed="false">
      <c r="B61" s="9" t="s">
        <v>54</v>
      </c>
      <c r="C61" s="9" t="s">
        <v>23</v>
      </c>
      <c r="D61" s="9" t="s">
        <v>116</v>
      </c>
      <c r="E61" s="15" t="n">
        <f aca="false">COUNTIFS('Base de Datos SACI'!$C$5:$C$1076,$B61,'Base de Datos SACI'!$G$5:$G$1076,"&lt;&gt;*No disponible*")</f>
        <v>25</v>
      </c>
      <c r="F61" s="19" t="n">
        <f aca="false">MIN('Base de Datos SACI'!$U$865:$U$900)</f>
        <v>19</v>
      </c>
      <c r="G61" s="19" t="n">
        <f aca="false">MAX('Base de Datos SACI'!$U$865:$U$900)</f>
        <v>680</v>
      </c>
      <c r="H61" s="19" t="n">
        <f aca="false">IFERROR(ROUND(AVERAGE('Base de Datos SACI'!$U$865:$U$900),0),"—")</f>
        <v>138</v>
      </c>
    </row>
    <row r="62" customFormat="false" ht="21.75" hidden="false" customHeight="true" outlineLevel="0" collapsed="false">
      <c r="B62" s="7" t="s">
        <v>55</v>
      </c>
      <c r="C62" s="7" t="s">
        <v>26</v>
      </c>
      <c r="D62" s="7" t="s">
        <v>125</v>
      </c>
      <c r="E62" s="14" t="n">
        <f aca="false">COUNTIFS('Base de Datos SACI'!$C$5:$C$1076,$B62,'Base de Datos SACI'!$G$5:$G$1076,"&lt;&gt;*No disponible*")</f>
        <v>35</v>
      </c>
      <c r="F62" s="18" t="n">
        <f aca="false">MIN('Base de Datos SACI'!$U$901:$U$944)</f>
        <v>8</v>
      </c>
      <c r="G62" s="18" t="n">
        <f aca="false">MAX('Base de Datos SACI'!$U$901:$U$944)</f>
        <v>535</v>
      </c>
      <c r="H62" s="18" t="n">
        <f aca="false">IFERROR(ROUND(AVERAGE('Base de Datos SACI'!$U$901:$U$944),0),"—")</f>
        <v>95</v>
      </c>
    </row>
    <row r="63" customFormat="false" ht="21.75" hidden="false" customHeight="true" outlineLevel="0" collapsed="false">
      <c r="B63" s="9" t="s">
        <v>56</v>
      </c>
      <c r="C63" s="9" t="s">
        <v>26</v>
      </c>
      <c r="D63" s="9" t="s">
        <v>124</v>
      </c>
      <c r="E63" s="15" t="n">
        <f aca="false">COUNTIFS('Base de Datos SACI'!$C$5:$C$1076,$B63,'Base de Datos SACI'!$G$5:$G$1076,"&lt;&gt;*No disponible*")</f>
        <v>35</v>
      </c>
      <c r="F63" s="19" t="n">
        <f aca="false">MIN('Base de Datos SACI'!$U$945:$U$988)</f>
        <v>8</v>
      </c>
      <c r="G63" s="19" t="n">
        <f aca="false">MAX('Base de Datos SACI'!$U$945:$U$988)</f>
        <v>240</v>
      </c>
      <c r="H63" s="19" t="n">
        <f aca="false">IFERROR(ROUND(AVERAGE('Base de Datos SACI'!$U$945:$U$988),0),"—")</f>
        <v>35</v>
      </c>
    </row>
    <row r="64" customFormat="false" ht="21.75" hidden="false" customHeight="true" outlineLevel="0" collapsed="false">
      <c r="B64" s="7" t="s">
        <v>57</v>
      </c>
      <c r="C64" s="7" t="s">
        <v>20</v>
      </c>
      <c r="D64" s="7" t="s">
        <v>126</v>
      </c>
      <c r="E64" s="14" t="n">
        <f aca="false">COUNTIFS('Base de Datos SACI'!$C$5:$C$1076,$B64,'Base de Datos SACI'!$G$5:$G$1076,"&lt;&gt;*No disponible*")</f>
        <v>15</v>
      </c>
      <c r="F64" s="18" t="n">
        <f aca="false">MIN('Base de Datos SACI'!$U$989:$U$1016)</f>
        <v>19</v>
      </c>
      <c r="G64" s="18" t="n">
        <f aca="false">MAX('Base de Datos SACI'!$U$989:$U$1016)</f>
        <v>680</v>
      </c>
      <c r="H64" s="18" t="n">
        <f aca="false">IFERROR(ROUND(AVERAGE('Base de Datos SACI'!$U$989:$U$1016),0),"—")</f>
        <v>182</v>
      </c>
    </row>
    <row r="65" customFormat="false" ht="21.75" hidden="false" customHeight="true" outlineLevel="0" collapsed="false">
      <c r="B65" s="9" t="s">
        <v>58</v>
      </c>
      <c r="C65" s="9" t="s">
        <v>20</v>
      </c>
      <c r="D65" s="9" t="s">
        <v>118</v>
      </c>
      <c r="E65" s="15" t="n">
        <f aca="false">COUNTIFS('Base de Datos SACI'!$C$5:$C$1076,$B65,'Base de Datos SACI'!$G$5:$G$1076,"&lt;&gt;*No disponible*")</f>
        <v>55</v>
      </c>
      <c r="F65" s="19" t="n">
        <f aca="false">MIN('Base de Datos SACI'!$U$1017:$U$1076)</f>
        <v>12</v>
      </c>
      <c r="G65" s="19" t="n">
        <f aca="false">MAX('Base de Datos SACI'!$U$1017:$U$1076)</f>
        <v>1250</v>
      </c>
      <c r="H65" s="19" t="n">
        <f aca="false">IFERROR(ROUND(AVERAGE('Base de Datos SACI'!$U$1017:$U$1076),0),"—")</f>
        <v>144</v>
      </c>
    </row>
    <row r="66" customFormat="false" ht="25.5" hidden="false" customHeight="true" outlineLevel="0" collapsed="false">
      <c r="B66" s="16" t="s">
        <v>127</v>
      </c>
      <c r="C66" s="16"/>
      <c r="D66" s="16"/>
      <c r="E66" s="17" t="n">
        <f aca="false">SUM(E48:E65)</f>
        <v>980</v>
      </c>
      <c r="F66" s="20" t="n">
        <f aca="false">MIN(F48:F65)</f>
        <v>8</v>
      </c>
      <c r="G66" s="20" t="n">
        <f aca="false">MAX(G48:G65)</f>
        <v>1250</v>
      </c>
      <c r="H66" s="20" t="n">
        <f aca="false">IFERROR(ROUND(AVERAGE('Base de Datos SACI'!$U$5:$U$1076),0),"—")</f>
        <v>102</v>
      </c>
    </row>
    <row r="69" customFormat="false" ht="15" hidden="false" customHeight="false" outlineLevel="0" collapsed="false">
      <c r="B69" s="10" t="s">
        <v>128</v>
      </c>
    </row>
    <row r="70" customFormat="false" ht="27.75" hidden="false" customHeight="true" outlineLevel="0" collapsed="false">
      <c r="B70" s="5" t="s">
        <v>110</v>
      </c>
      <c r="C70" s="5" t="s">
        <v>17</v>
      </c>
      <c r="D70" s="5" t="s">
        <v>111</v>
      </c>
      <c r="E70" s="5" t="s">
        <v>112</v>
      </c>
      <c r="F70" s="5" t="s">
        <v>113</v>
      </c>
      <c r="G70" s="5" t="s">
        <v>114</v>
      </c>
      <c r="H70" s="5" t="s">
        <v>115</v>
      </c>
    </row>
    <row r="71" customFormat="false" ht="21.75" hidden="false" customHeight="true" outlineLevel="0" collapsed="false">
      <c r="B71" s="7" t="s">
        <v>78</v>
      </c>
      <c r="C71" s="7" t="s">
        <v>20</v>
      </c>
      <c r="D71" s="7" t="s">
        <v>116</v>
      </c>
      <c r="E71" s="14" t="n">
        <f aca="false">COUNTIFS('Base de Datos SADI'!$C$5:$C$716,$B71,'Base de Datos SADI'!$G$5:$G$716,"&lt;&gt;*No disponible*")</f>
        <v>55</v>
      </c>
      <c r="F71" s="18" t="n">
        <f aca="false">MIN('Base de Datos SADI'!$U$5:$U$64)</f>
        <v>19</v>
      </c>
      <c r="G71" s="18" t="n">
        <f aca="false">MAX('Base de Datos SADI'!$U$5:$U$64)</f>
        <v>8470</v>
      </c>
      <c r="H71" s="18" t="n">
        <f aca="false">IFERROR(ROUND(AVERAGE('Base de Datos SADI'!$U$5:$U$64),0),"—")</f>
        <v>751</v>
      </c>
    </row>
    <row r="72" customFormat="false" ht="21.75" hidden="false" customHeight="true" outlineLevel="0" collapsed="false">
      <c r="B72" s="9" t="s">
        <v>58</v>
      </c>
      <c r="C72" s="9" t="s">
        <v>20</v>
      </c>
      <c r="D72" s="9" t="s">
        <v>118</v>
      </c>
      <c r="E72" s="15" t="n">
        <f aca="false">COUNTIFS('Base de Datos SADI'!$C$5:$C$716,$B72,'Base de Datos SADI'!$G$5:$G$716,"&lt;&gt;*No disponible*")</f>
        <v>55</v>
      </c>
      <c r="F72" s="19" t="n">
        <f aca="false">MIN('Base de Datos SADI'!$U$65:$U$124)</f>
        <v>9</v>
      </c>
      <c r="G72" s="19" t="n">
        <f aca="false">MAX('Base de Datos SADI'!$U$65:$U$124)</f>
        <v>3190</v>
      </c>
      <c r="H72" s="19" t="n">
        <f aca="false">IFERROR(ROUND(AVERAGE('Base de Datos SADI'!$U$65:$U$124),0),"—")</f>
        <v>404</v>
      </c>
    </row>
    <row r="73" customFormat="false" ht="21.75" hidden="false" customHeight="true" outlineLevel="0" collapsed="false">
      <c r="B73" s="7" t="s">
        <v>79</v>
      </c>
      <c r="C73" s="7" t="s">
        <v>20</v>
      </c>
      <c r="D73" s="7" t="s">
        <v>118</v>
      </c>
      <c r="E73" s="14" t="n">
        <f aca="false">COUNTIFS('Base de Datos SADI'!$C$5:$C$716,$B73,'Base de Datos SADI'!$G$5:$G$716,"&lt;&gt;*No disponible*")</f>
        <v>50</v>
      </c>
      <c r="F73" s="18" t="n">
        <f aca="false">MIN('Base de Datos SADI'!$U$125:$U$180)</f>
        <v>16</v>
      </c>
      <c r="G73" s="18" t="n">
        <f aca="false">MAX('Base de Datos SADI'!$U$125:$U$180)</f>
        <v>3190</v>
      </c>
      <c r="H73" s="18" t="n">
        <f aca="false">IFERROR(ROUND(AVERAGE('Base de Datos SADI'!$U$125:$U$180),0),"—")</f>
        <v>355</v>
      </c>
    </row>
    <row r="74" customFormat="false" ht="21.75" hidden="false" customHeight="true" outlineLevel="0" collapsed="false">
      <c r="B74" s="9" t="s">
        <v>80</v>
      </c>
      <c r="C74" s="9" t="s">
        <v>20</v>
      </c>
      <c r="D74" s="9" t="s">
        <v>116</v>
      </c>
      <c r="E74" s="15" t="n">
        <f aca="false">COUNTIFS('Base de Datos SADI'!$C$5:$C$716,$B74,'Base de Datos SADI'!$G$5:$G$716,"&lt;&gt;*No disponible*")</f>
        <v>50</v>
      </c>
      <c r="F74" s="19" t="n">
        <f aca="false">MIN('Base de Datos SADI'!$U$181:$U$236)</f>
        <v>20</v>
      </c>
      <c r="G74" s="19" t="n">
        <f aca="false">MAX('Base de Datos SADI'!$U$181:$U$236)</f>
        <v>6270</v>
      </c>
      <c r="H74" s="19" t="n">
        <f aca="false">IFERROR(ROUND(AVERAGE('Base de Datos SADI'!$U$181:$U$236),0),"—")</f>
        <v>482</v>
      </c>
    </row>
    <row r="75" customFormat="false" ht="21.75" hidden="false" customHeight="true" outlineLevel="0" collapsed="false">
      <c r="B75" s="7" t="s">
        <v>81</v>
      </c>
      <c r="C75" s="7" t="s">
        <v>20</v>
      </c>
      <c r="D75" s="7" t="s">
        <v>116</v>
      </c>
      <c r="E75" s="14" t="n">
        <f aca="false">COUNTIFS('Base de Datos SADI'!$C$5:$C$716,$B75,'Base de Datos SADI'!$G$5:$G$716,"&lt;&gt;*No disponible*")</f>
        <v>45</v>
      </c>
      <c r="F75" s="18" t="n">
        <f aca="false">MIN('Base de Datos SADI'!$U$237:$U$288)</f>
        <v>35</v>
      </c>
      <c r="G75" s="18" t="n">
        <f aca="false">MAX('Base de Datos SADI'!$U$237:$U$288)</f>
        <v>7040</v>
      </c>
      <c r="H75" s="18" t="n">
        <f aca="false">IFERROR(ROUND(AVERAGE('Base de Datos SADI'!$U$237:$U$288),0),"—")</f>
        <v>606</v>
      </c>
    </row>
    <row r="76" customFormat="false" ht="21.75" hidden="false" customHeight="true" outlineLevel="0" collapsed="false">
      <c r="B76" s="9" t="s">
        <v>82</v>
      </c>
      <c r="C76" s="9" t="s">
        <v>23</v>
      </c>
      <c r="D76" s="9" t="s">
        <v>121</v>
      </c>
      <c r="E76" s="15" t="n">
        <f aca="false">COUNTIFS('Base de Datos SADI'!$C$5:$C$716,$B76,'Base de Datos SADI'!$G$5:$G$716,"&lt;&gt;*No disponible*")</f>
        <v>40</v>
      </c>
      <c r="F76" s="19" t="n">
        <f aca="false">MIN('Base de Datos SADI'!$U$289:$U$336)</f>
        <v>17</v>
      </c>
      <c r="G76" s="19" t="n">
        <f aca="false">MAX('Base de Datos SADI'!$U$289:$U$336)</f>
        <v>2310</v>
      </c>
      <c r="H76" s="19" t="n">
        <f aca="false">IFERROR(ROUND(AVERAGE('Base de Datos SADI'!$U$289:$U$336),0),"—")</f>
        <v>233</v>
      </c>
    </row>
    <row r="77" customFormat="false" ht="21.75" hidden="false" customHeight="true" outlineLevel="0" collapsed="false">
      <c r="B77" s="7" t="s">
        <v>83</v>
      </c>
      <c r="C77" s="7" t="s">
        <v>20</v>
      </c>
      <c r="D77" s="7" t="s">
        <v>121</v>
      </c>
      <c r="E77" s="14" t="n">
        <f aca="false">COUNTIFS('Base de Datos SADI'!$C$5:$C$716,$B77,'Base de Datos SADI'!$G$5:$G$716,"&lt;&gt;*No disponible*")</f>
        <v>40</v>
      </c>
      <c r="F77" s="18" t="n">
        <f aca="false">MIN('Base de Datos SADI'!$U$337:$U$384)</f>
        <v>9</v>
      </c>
      <c r="G77" s="18" t="n">
        <f aca="false">MAX('Base de Datos SADI'!$U$337:$U$384)</f>
        <v>1405</v>
      </c>
      <c r="H77" s="18" t="n">
        <f aca="false">IFERROR(ROUND(AVERAGE('Base de Datos SADI'!$U$337:$U$384),0),"—")</f>
        <v>142</v>
      </c>
    </row>
    <row r="78" customFormat="false" ht="21.75" hidden="false" customHeight="true" outlineLevel="0" collapsed="false">
      <c r="B78" s="9" t="s">
        <v>84</v>
      </c>
      <c r="C78" s="9" t="s">
        <v>20</v>
      </c>
      <c r="D78" s="9" t="s">
        <v>126</v>
      </c>
      <c r="E78" s="15" t="n">
        <f aca="false">COUNTIFS('Base de Datos SADI'!$C$5:$C$716,$B78,'Base de Datos SADI'!$G$5:$G$716,"&lt;&gt;*No disponible*")</f>
        <v>50</v>
      </c>
      <c r="F78" s="19" t="n">
        <f aca="false">MIN('Base de Datos SADI'!$U$385:$U$440)</f>
        <v>11</v>
      </c>
      <c r="G78" s="19" t="n">
        <f aca="false">MAX('Base de Datos SADI'!$U$385:$U$440)</f>
        <v>360</v>
      </c>
      <c r="H78" s="19" t="n">
        <f aca="false">IFERROR(ROUND(AVERAGE('Base de Datos SADI'!$U$385:$U$440),0),"—")</f>
        <v>68</v>
      </c>
    </row>
    <row r="79" customFormat="false" ht="21.75" hidden="false" customHeight="true" outlineLevel="0" collapsed="false">
      <c r="B79" s="7" t="s">
        <v>85</v>
      </c>
      <c r="C79" s="7" t="s">
        <v>23</v>
      </c>
      <c r="D79" s="7" t="s">
        <v>116</v>
      </c>
      <c r="E79" s="14" t="n">
        <f aca="false">COUNTIFS('Base de Datos SADI'!$C$5:$C$716,$B79,'Base de Datos SADI'!$G$5:$G$716,"&lt;&gt;*No disponible*")</f>
        <v>20</v>
      </c>
      <c r="F79" s="18" t="n">
        <f aca="false">MIN('Base de Datos SADI'!$U$441:$U$472)</f>
        <v>13</v>
      </c>
      <c r="G79" s="18" t="n">
        <f aca="false">MAX('Base de Datos SADI'!$U$441:$U$472)</f>
        <v>1360</v>
      </c>
      <c r="H79" s="18" t="n">
        <f aca="false">IFERROR(ROUND(AVERAGE('Base de Datos SADI'!$U$441:$U$472),0),"—")</f>
        <v>265</v>
      </c>
    </row>
    <row r="80" customFormat="false" ht="21.75" hidden="false" customHeight="true" outlineLevel="0" collapsed="false">
      <c r="B80" s="9" t="s">
        <v>86</v>
      </c>
      <c r="C80" s="9" t="s">
        <v>23</v>
      </c>
      <c r="D80" s="9" t="s">
        <v>124</v>
      </c>
      <c r="E80" s="15" t="n">
        <f aca="false">COUNTIFS('Base de Datos SADI'!$C$5:$C$716,$B80,'Base de Datos SADI'!$G$5:$G$716,"&lt;&gt;*No disponible*")</f>
        <v>45</v>
      </c>
      <c r="F80" s="19" t="n">
        <f aca="false">MIN('Base de Datos SADI'!$U$473:$U$524)</f>
        <v>8</v>
      </c>
      <c r="G80" s="19" t="n">
        <f aca="false">MAX('Base de Datos SADI'!$U$473:$U$524)</f>
        <v>2155</v>
      </c>
      <c r="H80" s="19" t="n">
        <f aca="false">IFERROR(ROUND(AVERAGE('Base de Datos SADI'!$U$473:$U$524),0),"—")</f>
        <v>192</v>
      </c>
    </row>
    <row r="81" customFormat="false" ht="21.75" hidden="false" customHeight="true" outlineLevel="0" collapsed="false">
      <c r="B81" s="7" t="s">
        <v>87</v>
      </c>
      <c r="C81" s="7" t="s">
        <v>23</v>
      </c>
      <c r="D81" s="7" t="s">
        <v>116</v>
      </c>
      <c r="E81" s="14" t="n">
        <f aca="false">COUNTIFS('Base de Datos SADI'!$C$5:$C$716,$B81,'Base de Datos SADI'!$G$5:$G$716,"&lt;&gt;*No disponible*")</f>
        <v>45</v>
      </c>
      <c r="F81" s="18" t="n">
        <f aca="false">MIN('Base de Datos SADI'!$U$525:$U$576)</f>
        <v>11</v>
      </c>
      <c r="G81" s="18" t="n">
        <f aca="false">MAX('Base de Datos SADI'!$U$525:$U$576)</f>
        <v>2530</v>
      </c>
      <c r="H81" s="18" t="n">
        <f aca="false">IFERROR(ROUND(AVERAGE('Base de Datos SADI'!$U$525:$U$576),0),"—")</f>
        <v>303</v>
      </c>
    </row>
    <row r="82" customFormat="false" ht="21.75" hidden="false" customHeight="true" outlineLevel="0" collapsed="false">
      <c r="B82" s="9" t="s">
        <v>88</v>
      </c>
      <c r="C82" s="9" t="s">
        <v>26</v>
      </c>
      <c r="D82" s="9" t="s">
        <v>121</v>
      </c>
      <c r="E82" s="15" t="n">
        <f aca="false">COUNTIFS('Base de Datos SADI'!$C$5:$C$716,$B82,'Base de Datos SADI'!$G$5:$G$716,"&lt;&gt;*No disponible*")</f>
        <v>25</v>
      </c>
      <c r="F82" s="19" t="n">
        <f aca="false">MIN('Base de Datos SADI'!$U$577:$U$612)</f>
        <v>8</v>
      </c>
      <c r="G82" s="19" t="n">
        <f aca="false">MAX('Base de Datos SADI'!$U$577:$U$612)</f>
        <v>680</v>
      </c>
      <c r="H82" s="19" t="n">
        <f aca="false">IFERROR(ROUND(AVERAGE('Base de Datos SADI'!$U$577:$U$612),0),"—")</f>
        <v>128</v>
      </c>
    </row>
    <row r="83" customFormat="false" ht="21.75" hidden="false" customHeight="true" outlineLevel="0" collapsed="false">
      <c r="B83" s="7" t="s">
        <v>89</v>
      </c>
      <c r="C83" s="7" t="s">
        <v>20</v>
      </c>
      <c r="D83" s="7" t="s">
        <v>121</v>
      </c>
      <c r="E83" s="14" t="n">
        <f aca="false">COUNTIFS('Base de Datos SADI'!$C$5:$C$716,$B83,'Base de Datos SADI'!$G$5:$G$716,"&lt;&gt;*No disponible*")</f>
        <v>30</v>
      </c>
      <c r="F83" s="18" t="n">
        <f aca="false">MIN('Base de Datos SADI'!$U$613:$U$652)</f>
        <v>25</v>
      </c>
      <c r="G83" s="18" t="n">
        <f aca="false">MAX('Base de Datos SADI'!$U$613:$U$652)</f>
        <v>2900</v>
      </c>
      <c r="H83" s="18" t="n">
        <f aca="false">IFERROR(ROUND(AVERAGE('Base de Datos SADI'!$U$613:$U$652),0),"—")</f>
        <v>433</v>
      </c>
    </row>
    <row r="84" customFormat="false" ht="21.75" hidden="false" customHeight="true" outlineLevel="0" collapsed="false">
      <c r="B84" s="9" t="s">
        <v>90</v>
      </c>
      <c r="C84" s="9" t="s">
        <v>20</v>
      </c>
      <c r="D84" s="9" t="s">
        <v>129</v>
      </c>
      <c r="E84" s="15" t="n">
        <f aca="false">COUNTIFS('Base de Datos SADI'!$C$5:$C$716,$B84,'Base de Datos SADI'!$G$5:$G$716,"&lt;&gt;*No disponible*")</f>
        <v>10</v>
      </c>
      <c r="F84" s="19" t="n">
        <f aca="false">MIN('Base de Datos SADI'!$U$653:$U$676)</f>
        <v>1200</v>
      </c>
      <c r="G84" s="19" t="n">
        <f aca="false">MAX('Base de Datos SADI'!$U$653:$U$676)</f>
        <v>9680</v>
      </c>
      <c r="H84" s="19" t="n">
        <f aca="false">IFERROR(ROUND(AVERAGE('Base de Datos SADI'!$U$653:$U$676),0),"—")</f>
        <v>4046</v>
      </c>
    </row>
    <row r="85" customFormat="false" ht="21.75" hidden="false" customHeight="true" outlineLevel="0" collapsed="false">
      <c r="B85" s="7" t="s">
        <v>91</v>
      </c>
      <c r="C85" s="7" t="s">
        <v>20</v>
      </c>
      <c r="D85" s="7" t="s">
        <v>116</v>
      </c>
      <c r="E85" s="14" t="n">
        <f aca="false">COUNTIFS('Base de Datos SADI'!$C$5:$C$716,$B85,'Base de Datos SADI'!$G$5:$G$716,"&lt;&gt;*No disponible*")</f>
        <v>5</v>
      </c>
      <c r="F85" s="18" t="n">
        <f aca="false">MIN('Base de Datos SADI'!$U$677:$U$696)</f>
        <v>725</v>
      </c>
      <c r="G85" s="18" t="n">
        <f aca="false">MAX('Base de Datos SADI'!$U$677:$U$696)</f>
        <v>3190</v>
      </c>
      <c r="H85" s="18" t="n">
        <f aca="false">IFERROR(ROUND(AVERAGE('Base de Datos SADI'!$U$677:$U$696),0),"—")</f>
        <v>1725</v>
      </c>
    </row>
    <row r="86" customFormat="false" ht="21.75" hidden="false" customHeight="true" outlineLevel="0" collapsed="false">
      <c r="B86" s="9" t="s">
        <v>92</v>
      </c>
      <c r="C86" s="9" t="s">
        <v>20</v>
      </c>
      <c r="D86" s="9" t="s">
        <v>116</v>
      </c>
      <c r="E86" s="15" t="n">
        <f aca="false">COUNTIFS('Base de Datos SADI'!$C$5:$C$716,$B86,'Base de Datos SADI'!$G$5:$G$716,"&lt;&gt;*No disponible*")</f>
        <v>5</v>
      </c>
      <c r="F86" s="19" t="n">
        <f aca="false">MIN('Base de Datos SADI'!$U$697:$U$716)</f>
        <v>640</v>
      </c>
      <c r="G86" s="19" t="n">
        <f aca="false">MAX('Base de Datos SADI'!$U$697:$U$716)</f>
        <v>2815</v>
      </c>
      <c r="H86" s="19" t="n">
        <f aca="false">IFERROR(ROUND(AVERAGE('Base de Datos SADI'!$U$697:$U$716),0),"—")</f>
        <v>1523</v>
      </c>
    </row>
    <row r="87" customFormat="false" ht="25.5" hidden="false" customHeight="true" outlineLevel="0" collapsed="false">
      <c r="B87" s="16" t="s">
        <v>127</v>
      </c>
      <c r="C87" s="16"/>
      <c r="D87" s="16"/>
      <c r="E87" s="17" t="n">
        <f aca="false">SUM(E71:E86)</f>
        <v>570</v>
      </c>
      <c r="F87" s="20" t="n">
        <f aca="false">MIN(F71:F86)</f>
        <v>8</v>
      </c>
      <c r="G87" s="20" t="n">
        <f aca="false">MAX(G71:G86)</f>
        <v>9680</v>
      </c>
      <c r="H87" s="20" t="n">
        <f aca="false">IFERROR(ROUND(AVERAGE('Base de Datos SADI'!$U$5:$U$716),0),"—")</f>
        <v>441</v>
      </c>
    </row>
    <row r="90" customFormat="false" ht="15" hidden="false" customHeight="false" outlineLevel="0" collapsed="false">
      <c r="B90" s="10" t="s">
        <v>130</v>
      </c>
    </row>
    <row r="91" customFormat="false" ht="27.75" hidden="false" customHeight="true" outlineLevel="0" collapsed="false">
      <c r="B91" s="5" t="s">
        <v>131</v>
      </c>
      <c r="C91" s="5" t="s">
        <v>132</v>
      </c>
      <c r="D91" s="5" t="s">
        <v>113</v>
      </c>
      <c r="E91" s="5" t="s">
        <v>114</v>
      </c>
      <c r="F91" s="5" t="s">
        <v>115</v>
      </c>
    </row>
    <row r="92" customFormat="false" ht="21.75" hidden="false" customHeight="true" outlineLevel="0" collapsed="false">
      <c r="B92" s="7" t="s">
        <v>133</v>
      </c>
      <c r="C92" s="14" t="n">
        <f aca="false">COUNTIF(Equipamiento!$C$5:$C$72,$B92)</f>
        <v>10</v>
      </c>
      <c r="D92" s="18" t="n">
        <f aca="false">MIN(Equipamiento!$O$5:$O$14)</f>
        <v>14</v>
      </c>
      <c r="E92" s="18" t="n">
        <f aca="false">MAX(Equipamiento!$O$5:$O$14)</f>
        <v>118</v>
      </c>
      <c r="F92" s="18" t="n">
        <f aca="false">IFERROR(ROUND(AVERAGE(Equipamiento!$O$5:$O$14),0),"—")</f>
        <v>52</v>
      </c>
    </row>
    <row r="93" customFormat="false" ht="21.75" hidden="false" customHeight="true" outlineLevel="0" collapsed="false">
      <c r="B93" s="9" t="s">
        <v>134</v>
      </c>
      <c r="C93" s="15" t="n">
        <f aca="false">COUNTIF(Equipamiento!$C$5:$C$72,$B93)</f>
        <v>9</v>
      </c>
      <c r="D93" s="19" t="n">
        <f aca="false">MIN(Equipamiento!$O$15:$O$23)</f>
        <v>18</v>
      </c>
      <c r="E93" s="19" t="n">
        <f aca="false">MAX(Equipamiento!$O$15:$O$23)</f>
        <v>265</v>
      </c>
      <c r="F93" s="19" t="n">
        <f aca="false">IFERROR(ROUND(AVERAGE(Equipamiento!$O$15:$O$23),0),"—")</f>
        <v>110</v>
      </c>
    </row>
    <row r="94" customFormat="false" ht="21.75" hidden="false" customHeight="true" outlineLevel="0" collapsed="false">
      <c r="B94" s="7" t="s">
        <v>135</v>
      </c>
      <c r="C94" s="14" t="n">
        <f aca="false">COUNTIF(Equipamiento!$C$5:$C$72,$B94)</f>
        <v>7</v>
      </c>
      <c r="D94" s="18" t="n">
        <f aca="false">MIN(Equipamiento!$O$24:$O$30)</f>
        <v>15</v>
      </c>
      <c r="E94" s="18" t="n">
        <f aca="false">MAX(Equipamiento!$O$24:$O$30)</f>
        <v>130</v>
      </c>
      <c r="F94" s="18" t="n">
        <f aca="false">IFERROR(ROUND(AVERAGE(Equipamiento!$O$24:$O$30),0),"—")</f>
        <v>66</v>
      </c>
    </row>
    <row r="95" customFormat="false" ht="21.75" hidden="false" customHeight="true" outlineLevel="0" collapsed="false">
      <c r="B95" s="9" t="s">
        <v>136</v>
      </c>
      <c r="C95" s="15" t="n">
        <f aca="false">COUNTIF(Equipamiento!$C$5:$C$72,$B95)</f>
        <v>10</v>
      </c>
      <c r="D95" s="19" t="n">
        <f aca="false">MIN(Equipamiento!$O$31:$O$40)</f>
        <v>8</v>
      </c>
      <c r="E95" s="19" t="n">
        <f aca="false">MAX(Equipamiento!$O$31:$O$40)</f>
        <v>82</v>
      </c>
      <c r="F95" s="19" t="n">
        <f aca="false">IFERROR(ROUND(AVERAGE(Equipamiento!$O$31:$O$40),0),"—")</f>
        <v>45</v>
      </c>
    </row>
    <row r="96" customFormat="false" ht="21.75" hidden="false" customHeight="true" outlineLevel="0" collapsed="false">
      <c r="B96" s="7" t="s">
        <v>137</v>
      </c>
      <c r="C96" s="14" t="n">
        <f aca="false">COUNTIF(Equipamiento!$C$5:$C$72,$B96)</f>
        <v>8</v>
      </c>
      <c r="D96" s="18" t="n">
        <f aca="false">MIN(Equipamiento!$O$41:$O$48)</f>
        <v>14</v>
      </c>
      <c r="E96" s="18" t="n">
        <f aca="false">MAX(Equipamiento!$O$41:$O$48)</f>
        <v>320</v>
      </c>
      <c r="F96" s="18" t="n">
        <f aca="false">IFERROR(ROUND(AVERAGE(Equipamiento!$O$41:$O$48),0),"—")</f>
        <v>117</v>
      </c>
    </row>
    <row r="97" customFormat="false" ht="21.75" hidden="false" customHeight="true" outlineLevel="0" collapsed="false">
      <c r="B97" s="9" t="s">
        <v>138</v>
      </c>
      <c r="C97" s="15" t="n">
        <f aca="false">COUNTIF(Equipamiento!$C$5:$C$72,$B97)</f>
        <v>7</v>
      </c>
      <c r="D97" s="19" t="n">
        <f aca="false">MIN(Equipamiento!$O$49:$O$55)</f>
        <v>88</v>
      </c>
      <c r="E97" s="19" t="n">
        <f aca="false">MAX(Equipamiento!$O$49:$O$55)</f>
        <v>2400</v>
      </c>
      <c r="F97" s="19" t="n">
        <f aca="false">IFERROR(ROUND(AVERAGE(Equipamiento!$O$49:$O$55),0),"—")</f>
        <v>989</v>
      </c>
    </row>
    <row r="98" customFormat="false" ht="21.75" hidden="false" customHeight="true" outlineLevel="0" collapsed="false">
      <c r="B98" s="7" t="s">
        <v>139</v>
      </c>
      <c r="C98" s="14" t="n">
        <f aca="false">COUNTIF(Equipamiento!$C$5:$C$72,$B98)</f>
        <v>11</v>
      </c>
      <c r="D98" s="18" t="n">
        <f aca="false">MIN(Equipamiento!$O$56:$O$66)</f>
        <v>6</v>
      </c>
      <c r="E98" s="18" t="n">
        <f aca="false">MAX(Equipamiento!$O$56:$O$66)</f>
        <v>38</v>
      </c>
      <c r="F98" s="18" t="n">
        <f aca="false">IFERROR(ROUND(AVERAGE(Equipamiento!$O$56:$O$66),0),"—")</f>
        <v>15</v>
      </c>
    </row>
    <row r="99" customFormat="false" ht="21.75" hidden="false" customHeight="true" outlineLevel="0" collapsed="false">
      <c r="B99" s="9" t="s">
        <v>140</v>
      </c>
      <c r="C99" s="15" t="n">
        <f aca="false">COUNTIF(Equipamiento!$C$5:$C$72,$B99)</f>
        <v>6</v>
      </c>
      <c r="D99" s="19" t="n">
        <f aca="false">MIN(Equipamiento!$O$67:$O$72)</f>
        <v>6</v>
      </c>
      <c r="E99" s="19" t="n">
        <f aca="false">MAX(Equipamiento!$O$67:$O$72)</f>
        <v>385</v>
      </c>
      <c r="F99" s="19" t="n">
        <f aca="false">IFERROR(ROUND(AVERAGE(Equipamiento!$O$67:$O$72),0),"—")</f>
        <v>80</v>
      </c>
    </row>
    <row r="100" customFormat="false" ht="25.5" hidden="false" customHeight="true" outlineLevel="0" collapsed="false">
      <c r="B100" s="16" t="s">
        <v>127</v>
      </c>
      <c r="C100" s="17" t="n">
        <f aca="false">SUM(C92:C99)</f>
        <v>68</v>
      </c>
      <c r="D100" s="20" t="n">
        <f aca="false">MIN(D92:D99)</f>
        <v>6</v>
      </c>
      <c r="E100" s="20" t="n">
        <f aca="false">MAX(E92:E99)</f>
        <v>2400</v>
      </c>
      <c r="F100" s="20" t="n">
        <f aca="false">IFERROR(ROUND(AVERAGE(Equipamiento!$O$5:$O$72),0),"—")</f>
        <v>161</v>
      </c>
    </row>
    <row r="102" customFormat="false" ht="15" hidden="false" customHeight="false" outlineLevel="0" collapsed="false">
      <c r="B102" s="21" t="s">
        <v>141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</row>
  </sheetData>
  <mergeCells count="2">
    <mergeCell ref="B2:U2"/>
    <mergeCell ref="B102:O102"/>
  </mergeCells>
  <conditionalFormatting sqref="C6:T21">
    <cfRule type="cellIs" priority="2" operator="equal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1</formula>
    </cfRule>
  </conditionalFormatting>
  <conditionalFormatting sqref="C27:R42">
    <cfRule type="cellIs" priority="4" operator="equal" aboveAverage="0" equalAverage="0" bottom="0" percent="0" rank="0" text="" dxfId="0">
      <formula>0</formula>
    </cfRule>
    <cfRule type="cellIs" priority="5" operator="greaterThanOrEqual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6B"/>
    <pageSetUpPr fitToPage="false"/>
  </sheetPr>
  <dimension ref="B2:AP10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24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24"/>
    <col collapsed="false" customWidth="true" hidden="false" outlineLevel="0" max="7" min="7" style="1" width="36"/>
    <col collapsed="false" customWidth="true" hidden="false" outlineLevel="0" max="8" min="8" style="1" width="22"/>
    <col collapsed="false" customWidth="true" hidden="false" outlineLevel="0" max="9" min="9" style="1" width="34"/>
    <col collapsed="false" customWidth="true" hidden="false" outlineLevel="0" max="10" min="10" style="1" width="36"/>
    <col collapsed="false" customWidth="true" hidden="false" outlineLevel="0" max="11" min="11" style="1" width="28"/>
    <col collapsed="false" customWidth="true" hidden="false" outlineLevel="0" max="12" min="12" style="1" width="26"/>
    <col collapsed="false" customWidth="true" hidden="false" outlineLevel="0" max="13" min="13" style="1" width="24"/>
    <col collapsed="false" customWidth="true" hidden="false" outlineLevel="0" max="14" min="14" style="1" width="15"/>
    <col collapsed="false" customWidth="true" hidden="false" outlineLevel="0" max="15" min="15" style="1" width="12"/>
    <col collapsed="false" customWidth="true" hidden="false" outlineLevel="0" max="16" min="16" style="1" width="18"/>
    <col collapsed="false" customWidth="true" hidden="false" outlineLevel="0" max="17" min="17" style="1" width="24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0" min="20" style="1" width="26"/>
    <col collapsed="false" customWidth="true" hidden="false" outlineLevel="0" max="21" min="21" style="1" width="13"/>
    <col collapsed="false" customWidth="true" hidden="false" outlineLevel="0" max="22" min="22" style="1" width="16"/>
    <col collapsed="false" customWidth="true" hidden="false" outlineLevel="0" max="23" min="23" style="1" width="12"/>
    <col collapsed="false" customWidth="true" hidden="false" outlineLevel="0" max="24" min="24" style="1" width="46"/>
    <col collapsed="false" customWidth="true" hidden="false" outlineLevel="0" max="27" min="25" style="1" width="13"/>
    <col collapsed="false" customWidth="true" hidden="false" outlineLevel="0" max="29" min="28" style="1" width="30"/>
    <col collapsed="false" customWidth="true" hidden="false" outlineLevel="0" max="38" min="30" style="1" width="13"/>
    <col collapsed="false" customWidth="true" hidden="false" outlineLevel="0" max="39" min="39" style="1" width="30"/>
    <col collapsed="false" customWidth="true" hidden="false" outlineLevel="0" max="42" min="40" style="1" width="13"/>
  </cols>
  <sheetData>
    <row r="2" customFormat="false" ht="31.5" hidden="false" customHeight="true" outlineLevel="0" collapsed="false">
      <c r="B2" s="2" t="s">
        <v>142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customFormat="false" ht="7.5" hidden="false" customHeight="true" outlineLevel="0" collapsed="false"/>
    <row r="4" customFormat="false" ht="27.75" hidden="false" customHeight="true" outlineLevel="0" collapsed="false">
      <c r="B4" s="5" t="s">
        <v>143</v>
      </c>
      <c r="C4" s="5" t="s">
        <v>110</v>
      </c>
      <c r="D4" s="5" t="s">
        <v>17</v>
      </c>
      <c r="E4" s="5" t="s">
        <v>111</v>
      </c>
      <c r="F4" s="5" t="s">
        <v>144</v>
      </c>
      <c r="G4" s="5" t="s">
        <v>145</v>
      </c>
      <c r="H4" s="5" t="s">
        <v>146</v>
      </c>
      <c r="I4" s="5" t="s">
        <v>147</v>
      </c>
      <c r="J4" s="5" t="s">
        <v>148</v>
      </c>
      <c r="K4" s="5" t="s">
        <v>149</v>
      </c>
      <c r="L4" s="5" t="s">
        <v>150</v>
      </c>
      <c r="M4" s="5" t="s">
        <v>151</v>
      </c>
      <c r="N4" s="5" t="s">
        <v>152</v>
      </c>
      <c r="O4" s="5" t="s">
        <v>153</v>
      </c>
      <c r="P4" s="5" t="s">
        <v>154</v>
      </c>
      <c r="Q4" s="5" t="s">
        <v>155</v>
      </c>
      <c r="R4" s="5" t="s">
        <v>156</v>
      </c>
      <c r="S4" s="5" t="s">
        <v>157</v>
      </c>
      <c r="T4" s="5" t="s">
        <v>158</v>
      </c>
      <c r="U4" s="5" t="s">
        <v>159</v>
      </c>
      <c r="V4" s="5" t="s">
        <v>160</v>
      </c>
      <c r="W4" s="5" t="s">
        <v>161</v>
      </c>
      <c r="X4" s="5" t="s">
        <v>162</v>
      </c>
      <c r="Y4" s="5" t="s">
        <v>163</v>
      </c>
      <c r="Z4" s="5" t="s">
        <v>164</v>
      </c>
      <c r="AA4" s="5" t="s">
        <v>165</v>
      </c>
      <c r="AB4" s="5" t="s">
        <v>166</v>
      </c>
      <c r="AC4" s="5" t="s">
        <v>167</v>
      </c>
      <c r="AD4" s="5" t="s">
        <v>168</v>
      </c>
      <c r="AE4" s="5" t="s">
        <v>169</v>
      </c>
      <c r="AF4" s="5" t="s">
        <v>170</v>
      </c>
      <c r="AG4" s="5" t="s">
        <v>171</v>
      </c>
      <c r="AH4" s="5" t="s">
        <v>172</v>
      </c>
      <c r="AI4" s="5" t="s">
        <v>173</v>
      </c>
      <c r="AJ4" s="5" t="s">
        <v>174</v>
      </c>
      <c r="AK4" s="5" t="s">
        <v>175</v>
      </c>
      <c r="AL4" s="5" t="s">
        <v>176</v>
      </c>
      <c r="AM4" s="5" t="s">
        <v>177</v>
      </c>
      <c r="AN4" s="5" t="s">
        <v>178</v>
      </c>
      <c r="AO4" s="5" t="s">
        <v>179</v>
      </c>
      <c r="AP4" s="5" t="s">
        <v>180</v>
      </c>
    </row>
    <row r="5" customFormat="false" ht="21.75" hidden="false" customHeight="true" outlineLevel="0" collapsed="false">
      <c r="B5" s="14" t="n">
        <v>1</v>
      </c>
      <c r="C5" s="7" t="s">
        <v>41</v>
      </c>
      <c r="D5" s="7" t="s">
        <v>20</v>
      </c>
      <c r="E5" s="7" t="s">
        <v>116</v>
      </c>
      <c r="F5" s="7" t="s">
        <v>60</v>
      </c>
      <c r="G5" s="7" t="s">
        <v>181</v>
      </c>
      <c r="H5" s="7" t="s">
        <v>182</v>
      </c>
      <c r="I5" s="7" t="s">
        <v>183</v>
      </c>
      <c r="J5" s="7" t="s">
        <v>184</v>
      </c>
      <c r="K5" s="7" t="s">
        <v>185</v>
      </c>
      <c r="L5" s="7" t="s">
        <v>186</v>
      </c>
      <c r="M5" s="7" t="s">
        <v>187</v>
      </c>
      <c r="N5" s="7" t="s">
        <v>188</v>
      </c>
      <c r="O5" s="7" t="s">
        <v>189</v>
      </c>
      <c r="P5" s="7" t="s">
        <v>190</v>
      </c>
      <c r="Q5" s="7" t="s">
        <v>191</v>
      </c>
      <c r="R5" s="7" t="s">
        <v>192</v>
      </c>
      <c r="S5" s="7" t="s">
        <v>193</v>
      </c>
      <c r="T5" s="7" t="s">
        <v>194</v>
      </c>
      <c r="U5" s="18" t="n">
        <v>145</v>
      </c>
      <c r="V5" s="7"/>
      <c r="W5" s="7"/>
      <c r="X5" s="7" t="s">
        <v>195</v>
      </c>
      <c r="Y5" s="22" t="n">
        <v>0.08</v>
      </c>
      <c r="Z5" s="22" t="n">
        <v>0.7</v>
      </c>
      <c r="AA5" s="22" t="n">
        <v>12</v>
      </c>
      <c r="AB5" s="7" t="s">
        <v>186</v>
      </c>
      <c r="AC5" s="7" t="s">
        <v>196</v>
      </c>
      <c r="AD5" s="22" t="n">
        <v>0.08</v>
      </c>
      <c r="AE5" s="22" t="n">
        <v>0.7</v>
      </c>
      <c r="AF5" s="22" t="n">
        <v>1.7</v>
      </c>
      <c r="AG5" s="22" t="n">
        <v>8</v>
      </c>
      <c r="AH5" s="22" t="n">
        <v>2</v>
      </c>
      <c r="AI5" s="22" t="s">
        <v>197</v>
      </c>
      <c r="AJ5" s="22" t="s">
        <v>197</v>
      </c>
      <c r="AK5" s="22" t="s">
        <v>197</v>
      </c>
      <c r="AL5" s="22" t="s">
        <v>197</v>
      </c>
      <c r="AM5" s="7" t="s">
        <v>197</v>
      </c>
      <c r="AN5" s="22" t="s">
        <v>197</v>
      </c>
      <c r="AO5" s="22" t="s">
        <v>197</v>
      </c>
      <c r="AP5" s="22" t="s">
        <v>197</v>
      </c>
    </row>
    <row r="6" customFormat="false" ht="21.75" hidden="false" customHeight="true" outlineLevel="0" collapsed="false">
      <c r="B6" s="15" t="n">
        <v>2</v>
      </c>
      <c r="C6" s="9" t="s">
        <v>41</v>
      </c>
      <c r="D6" s="9" t="s">
        <v>20</v>
      </c>
      <c r="E6" s="9" t="s">
        <v>116</v>
      </c>
      <c r="F6" s="9" t="s">
        <v>60</v>
      </c>
      <c r="G6" s="9" t="s">
        <v>198</v>
      </c>
      <c r="H6" s="9" t="s">
        <v>182</v>
      </c>
      <c r="I6" s="9" t="s">
        <v>183</v>
      </c>
      <c r="J6" s="9" t="s">
        <v>184</v>
      </c>
      <c r="K6" s="9" t="s">
        <v>185</v>
      </c>
      <c r="L6" s="9" t="s">
        <v>186</v>
      </c>
      <c r="M6" s="9" t="s">
        <v>187</v>
      </c>
      <c r="N6" s="9" t="s">
        <v>188</v>
      </c>
      <c r="O6" s="9" t="s">
        <v>189</v>
      </c>
      <c r="P6" s="9" t="s">
        <v>190</v>
      </c>
      <c r="Q6" s="9" t="s">
        <v>191</v>
      </c>
      <c r="R6" s="9" t="s">
        <v>192</v>
      </c>
      <c r="S6" s="9" t="s">
        <v>193</v>
      </c>
      <c r="T6" s="9" t="s">
        <v>194</v>
      </c>
      <c r="U6" s="19" t="n">
        <v>220</v>
      </c>
      <c r="V6" s="9"/>
      <c r="W6" s="9"/>
      <c r="X6" s="9" t="s">
        <v>199</v>
      </c>
      <c r="Y6" s="23" t="n">
        <v>0.079</v>
      </c>
      <c r="Z6" s="23" t="n">
        <v>0.7</v>
      </c>
      <c r="AA6" s="23" t="n">
        <v>12</v>
      </c>
      <c r="AB6" s="9" t="s">
        <v>186</v>
      </c>
      <c r="AC6" s="9" t="s">
        <v>196</v>
      </c>
      <c r="AD6" s="23" t="n">
        <v>0.079</v>
      </c>
      <c r="AE6" s="23" t="n">
        <v>0.7</v>
      </c>
      <c r="AF6" s="23" t="n">
        <v>3</v>
      </c>
      <c r="AG6" s="23" t="n">
        <v>48</v>
      </c>
      <c r="AH6" s="23" t="n">
        <v>4</v>
      </c>
      <c r="AI6" s="23" t="s">
        <v>197</v>
      </c>
      <c r="AJ6" s="23" t="s">
        <v>197</v>
      </c>
      <c r="AK6" s="23" t="s">
        <v>197</v>
      </c>
      <c r="AL6" s="23" t="s">
        <v>197</v>
      </c>
      <c r="AM6" s="9" t="s">
        <v>197</v>
      </c>
      <c r="AN6" s="23" t="s">
        <v>197</v>
      </c>
      <c r="AO6" s="23" t="s">
        <v>197</v>
      </c>
      <c r="AP6" s="23" t="s">
        <v>197</v>
      </c>
    </row>
    <row r="7" customFormat="false" ht="21.75" hidden="false" customHeight="true" outlineLevel="0" collapsed="false">
      <c r="B7" s="14" t="n">
        <v>3</v>
      </c>
      <c r="C7" s="7" t="s">
        <v>41</v>
      </c>
      <c r="D7" s="7" t="s">
        <v>20</v>
      </c>
      <c r="E7" s="7" t="s">
        <v>116</v>
      </c>
      <c r="F7" s="7" t="s">
        <v>60</v>
      </c>
      <c r="G7" s="7" t="s">
        <v>200</v>
      </c>
      <c r="H7" s="7" t="s">
        <v>182</v>
      </c>
      <c r="I7" s="7" t="s">
        <v>183</v>
      </c>
      <c r="J7" s="7" t="s">
        <v>184</v>
      </c>
      <c r="K7" s="7" t="s">
        <v>185</v>
      </c>
      <c r="L7" s="7" t="s">
        <v>186</v>
      </c>
      <c r="M7" s="7" t="s">
        <v>187</v>
      </c>
      <c r="N7" s="7" t="s">
        <v>188</v>
      </c>
      <c r="O7" s="7" t="s">
        <v>189</v>
      </c>
      <c r="P7" s="7" t="s">
        <v>190</v>
      </c>
      <c r="Q7" s="7" t="s">
        <v>191</v>
      </c>
      <c r="R7" s="7" t="s">
        <v>192</v>
      </c>
      <c r="S7" s="7" t="s">
        <v>193</v>
      </c>
      <c r="T7" s="7" t="s">
        <v>194</v>
      </c>
      <c r="U7" s="18" t="n">
        <v>295</v>
      </c>
      <c r="V7" s="7"/>
      <c r="W7" s="7"/>
      <c r="X7" s="7" t="s">
        <v>201</v>
      </c>
      <c r="Y7" s="22" t="n">
        <v>0.101</v>
      </c>
      <c r="Z7" s="22" t="n">
        <v>0.7</v>
      </c>
      <c r="AA7" s="22" t="n">
        <v>12</v>
      </c>
      <c r="AB7" s="7" t="s">
        <v>186</v>
      </c>
      <c r="AC7" s="7" t="s">
        <v>196</v>
      </c>
      <c r="AD7" s="22" t="n">
        <v>0.101</v>
      </c>
      <c r="AE7" s="22" t="n">
        <v>0.7</v>
      </c>
      <c r="AF7" s="22" t="n">
        <v>3.5</v>
      </c>
      <c r="AG7" s="22" t="n">
        <v>128</v>
      </c>
      <c r="AH7" s="22" t="n">
        <v>8</v>
      </c>
      <c r="AI7" s="22" t="s">
        <v>197</v>
      </c>
      <c r="AJ7" s="22" t="s">
        <v>197</v>
      </c>
      <c r="AK7" s="22" t="s">
        <v>197</v>
      </c>
      <c r="AL7" s="22" t="s">
        <v>197</v>
      </c>
      <c r="AM7" s="7" t="s">
        <v>197</v>
      </c>
      <c r="AN7" s="22" t="s">
        <v>197</v>
      </c>
      <c r="AO7" s="22" t="s">
        <v>197</v>
      </c>
      <c r="AP7" s="22" t="s">
        <v>197</v>
      </c>
    </row>
    <row r="8" customFormat="false" ht="21.75" hidden="false" customHeight="true" outlineLevel="0" collapsed="false">
      <c r="B8" s="15" t="n">
        <v>4</v>
      </c>
      <c r="C8" s="9" t="s">
        <v>41</v>
      </c>
      <c r="D8" s="9" t="s">
        <v>20</v>
      </c>
      <c r="E8" s="9" t="s">
        <v>116</v>
      </c>
      <c r="F8" s="9" t="s">
        <v>60</v>
      </c>
      <c r="G8" s="9" t="s">
        <v>202</v>
      </c>
      <c r="H8" s="9" t="s">
        <v>182</v>
      </c>
      <c r="I8" s="9" t="s">
        <v>183</v>
      </c>
      <c r="J8" s="9" t="s">
        <v>184</v>
      </c>
      <c r="K8" s="9" t="s">
        <v>185</v>
      </c>
      <c r="L8" s="9" t="s">
        <v>186</v>
      </c>
      <c r="M8" s="9" t="s">
        <v>187</v>
      </c>
      <c r="N8" s="9" t="s">
        <v>188</v>
      </c>
      <c r="O8" s="9" t="s">
        <v>189</v>
      </c>
      <c r="P8" s="9" t="s">
        <v>190</v>
      </c>
      <c r="Q8" s="9" t="s">
        <v>191</v>
      </c>
      <c r="R8" s="9" t="s">
        <v>192</v>
      </c>
      <c r="S8" s="9" t="s">
        <v>193</v>
      </c>
      <c r="T8" s="9" t="s">
        <v>194</v>
      </c>
      <c r="U8" s="19" t="n">
        <v>440</v>
      </c>
      <c r="V8" s="9"/>
      <c r="W8" s="9"/>
      <c r="X8" s="9" t="s">
        <v>203</v>
      </c>
      <c r="Y8" s="23" t="n">
        <v>0.054</v>
      </c>
      <c r="Z8" s="23" t="n">
        <v>0.7</v>
      </c>
      <c r="AA8" s="23" t="n">
        <v>12</v>
      </c>
      <c r="AB8" s="9" t="s">
        <v>186</v>
      </c>
      <c r="AC8" s="9" t="s">
        <v>196</v>
      </c>
      <c r="AD8" s="23" t="n">
        <v>0.054</v>
      </c>
      <c r="AE8" s="23" t="n">
        <v>0.7</v>
      </c>
      <c r="AF8" s="23" t="n">
        <v>3.5</v>
      </c>
      <c r="AG8" s="23" t="n">
        <v>128</v>
      </c>
      <c r="AH8" s="23" t="n">
        <v>8</v>
      </c>
      <c r="AI8" s="23" t="s">
        <v>197</v>
      </c>
      <c r="AJ8" s="23" t="s">
        <v>197</v>
      </c>
      <c r="AK8" s="23" t="s">
        <v>197</v>
      </c>
      <c r="AL8" s="23" t="s">
        <v>197</v>
      </c>
      <c r="AM8" s="9" t="s">
        <v>197</v>
      </c>
      <c r="AN8" s="23" t="s">
        <v>197</v>
      </c>
      <c r="AO8" s="23" t="s">
        <v>197</v>
      </c>
      <c r="AP8" s="23" t="s">
        <v>197</v>
      </c>
    </row>
    <row r="9" customFormat="false" ht="21.75" hidden="false" customHeight="true" outlineLevel="0" collapsed="false">
      <c r="B9" s="14" t="n">
        <v>5</v>
      </c>
      <c r="C9" s="7" t="s">
        <v>41</v>
      </c>
      <c r="D9" s="7" t="s">
        <v>20</v>
      </c>
      <c r="E9" s="7" t="s">
        <v>116</v>
      </c>
      <c r="F9" s="7" t="s">
        <v>60</v>
      </c>
      <c r="G9" s="7" t="s">
        <v>204</v>
      </c>
      <c r="H9" s="7" t="s">
        <v>182</v>
      </c>
      <c r="I9" s="7" t="s">
        <v>183</v>
      </c>
      <c r="J9" s="7" t="s">
        <v>184</v>
      </c>
      <c r="K9" s="7" t="s">
        <v>185</v>
      </c>
      <c r="L9" s="7" t="s">
        <v>186</v>
      </c>
      <c r="M9" s="7" t="s">
        <v>187</v>
      </c>
      <c r="N9" s="7" t="s">
        <v>188</v>
      </c>
      <c r="O9" s="7" t="s">
        <v>189</v>
      </c>
      <c r="P9" s="7" t="s">
        <v>190</v>
      </c>
      <c r="Q9" s="7" t="s">
        <v>191</v>
      </c>
      <c r="R9" s="7" t="s">
        <v>192</v>
      </c>
      <c r="S9" s="7" t="s">
        <v>193</v>
      </c>
      <c r="T9" s="7" t="s">
        <v>194</v>
      </c>
      <c r="U9" s="18" t="n">
        <v>645</v>
      </c>
      <c r="V9" s="7"/>
      <c r="W9" s="7"/>
      <c r="X9" s="7" t="s">
        <v>205</v>
      </c>
      <c r="Y9" s="22" t="n">
        <v>0.079</v>
      </c>
      <c r="Z9" s="22" t="n">
        <v>0.7</v>
      </c>
      <c r="AA9" s="22" t="n">
        <v>12</v>
      </c>
      <c r="AB9" s="7" t="s">
        <v>186</v>
      </c>
      <c r="AC9" s="7" t="s">
        <v>196</v>
      </c>
      <c r="AD9" s="22" t="n">
        <v>0.079</v>
      </c>
      <c r="AE9" s="22" t="n">
        <v>0.7</v>
      </c>
      <c r="AF9" s="22" t="n">
        <v>3.5</v>
      </c>
      <c r="AG9" s="22" t="n">
        <v>100</v>
      </c>
      <c r="AH9" s="22" t="n">
        <v>4</v>
      </c>
      <c r="AI9" s="22" t="s">
        <v>197</v>
      </c>
      <c r="AJ9" s="22" t="s">
        <v>197</v>
      </c>
      <c r="AK9" s="22" t="s">
        <v>197</v>
      </c>
      <c r="AL9" s="22" t="s">
        <v>197</v>
      </c>
      <c r="AM9" s="7" t="s">
        <v>197</v>
      </c>
      <c r="AN9" s="22" t="s">
        <v>197</v>
      </c>
      <c r="AO9" s="22" t="s">
        <v>197</v>
      </c>
      <c r="AP9" s="22" t="s">
        <v>197</v>
      </c>
    </row>
    <row r="10" customFormat="false" ht="21.75" hidden="false" customHeight="true" outlineLevel="0" collapsed="false">
      <c r="B10" s="15" t="n">
        <v>6</v>
      </c>
      <c r="C10" s="9" t="s">
        <v>41</v>
      </c>
      <c r="D10" s="9" t="s">
        <v>20</v>
      </c>
      <c r="E10" s="9" t="s">
        <v>116</v>
      </c>
      <c r="F10" s="9" t="s">
        <v>61</v>
      </c>
      <c r="G10" s="9" t="s">
        <v>181</v>
      </c>
      <c r="H10" s="9" t="s">
        <v>206</v>
      </c>
      <c r="I10" s="9" t="s">
        <v>207</v>
      </c>
      <c r="J10" s="9" t="s">
        <v>208</v>
      </c>
      <c r="K10" s="9" t="s">
        <v>209</v>
      </c>
      <c r="L10" s="9" t="s">
        <v>186</v>
      </c>
      <c r="M10" s="9" t="s">
        <v>187</v>
      </c>
      <c r="N10" s="9" t="s">
        <v>210</v>
      </c>
      <c r="O10" s="9" t="s">
        <v>189</v>
      </c>
      <c r="P10" s="9" t="s">
        <v>190</v>
      </c>
      <c r="Q10" s="9" t="s">
        <v>211</v>
      </c>
      <c r="R10" s="9" t="s">
        <v>212</v>
      </c>
      <c r="S10" s="9" t="s">
        <v>193</v>
      </c>
      <c r="T10" s="9" t="s">
        <v>213</v>
      </c>
      <c r="U10" s="19" t="n">
        <v>85</v>
      </c>
      <c r="V10" s="9"/>
      <c r="W10" s="9"/>
      <c r="X10" s="9" t="s">
        <v>195</v>
      </c>
      <c r="Y10" s="23" t="n">
        <v>0.08</v>
      </c>
      <c r="Z10" s="23" t="n">
        <v>0.6</v>
      </c>
      <c r="AA10" s="23" t="n">
        <v>12</v>
      </c>
      <c r="AB10" s="9" t="s">
        <v>186</v>
      </c>
      <c r="AC10" s="9" t="s">
        <v>196</v>
      </c>
      <c r="AD10" s="23" t="n">
        <v>0.08</v>
      </c>
      <c r="AE10" s="23" t="n">
        <v>0.6</v>
      </c>
      <c r="AF10" s="23" t="n">
        <v>1.7</v>
      </c>
      <c r="AG10" s="23" t="n">
        <v>8</v>
      </c>
      <c r="AH10" s="23" t="n">
        <v>2</v>
      </c>
      <c r="AI10" s="23" t="s">
        <v>197</v>
      </c>
      <c r="AJ10" s="23" t="s">
        <v>197</v>
      </c>
      <c r="AK10" s="23" t="s">
        <v>197</v>
      </c>
      <c r="AL10" s="23" t="s">
        <v>197</v>
      </c>
      <c r="AM10" s="9" t="s">
        <v>197</v>
      </c>
      <c r="AN10" s="23" t="s">
        <v>197</v>
      </c>
      <c r="AO10" s="23" t="s">
        <v>197</v>
      </c>
      <c r="AP10" s="23" t="s">
        <v>197</v>
      </c>
    </row>
    <row r="11" customFormat="false" ht="21.75" hidden="false" customHeight="true" outlineLevel="0" collapsed="false">
      <c r="B11" s="14" t="n">
        <v>7</v>
      </c>
      <c r="C11" s="7" t="s">
        <v>41</v>
      </c>
      <c r="D11" s="7" t="s">
        <v>20</v>
      </c>
      <c r="E11" s="7" t="s">
        <v>116</v>
      </c>
      <c r="F11" s="7" t="s">
        <v>61</v>
      </c>
      <c r="G11" s="7" t="s">
        <v>198</v>
      </c>
      <c r="H11" s="7" t="s">
        <v>206</v>
      </c>
      <c r="I11" s="7" t="s">
        <v>207</v>
      </c>
      <c r="J11" s="7" t="s">
        <v>208</v>
      </c>
      <c r="K11" s="7" t="s">
        <v>209</v>
      </c>
      <c r="L11" s="7" t="s">
        <v>186</v>
      </c>
      <c r="M11" s="7" t="s">
        <v>187</v>
      </c>
      <c r="N11" s="7" t="s">
        <v>210</v>
      </c>
      <c r="O11" s="7" t="s">
        <v>189</v>
      </c>
      <c r="P11" s="7" t="s">
        <v>190</v>
      </c>
      <c r="Q11" s="7" t="s">
        <v>211</v>
      </c>
      <c r="R11" s="7" t="s">
        <v>212</v>
      </c>
      <c r="S11" s="7" t="s">
        <v>193</v>
      </c>
      <c r="T11" s="7" t="s">
        <v>213</v>
      </c>
      <c r="U11" s="18" t="n">
        <v>130</v>
      </c>
      <c r="V11" s="7"/>
      <c r="W11" s="7"/>
      <c r="X11" s="7" t="s">
        <v>199</v>
      </c>
      <c r="Y11" s="22" t="n">
        <v>0.079</v>
      </c>
      <c r="Z11" s="22" t="n">
        <v>0.6</v>
      </c>
      <c r="AA11" s="22" t="n">
        <v>12</v>
      </c>
      <c r="AB11" s="7" t="s">
        <v>186</v>
      </c>
      <c r="AC11" s="7" t="s">
        <v>196</v>
      </c>
      <c r="AD11" s="22" t="n">
        <v>0.079</v>
      </c>
      <c r="AE11" s="22" t="n">
        <v>0.6</v>
      </c>
      <c r="AF11" s="22" t="n">
        <v>3</v>
      </c>
      <c r="AG11" s="22" t="n">
        <v>48</v>
      </c>
      <c r="AH11" s="22" t="n">
        <v>4</v>
      </c>
      <c r="AI11" s="22" t="s">
        <v>197</v>
      </c>
      <c r="AJ11" s="22" t="s">
        <v>197</v>
      </c>
      <c r="AK11" s="22" t="s">
        <v>197</v>
      </c>
      <c r="AL11" s="22" t="s">
        <v>197</v>
      </c>
      <c r="AM11" s="7" t="s">
        <v>197</v>
      </c>
      <c r="AN11" s="22" t="s">
        <v>197</v>
      </c>
      <c r="AO11" s="22" t="s">
        <v>197</v>
      </c>
      <c r="AP11" s="22" t="s">
        <v>197</v>
      </c>
    </row>
    <row r="12" customFormat="false" ht="21.75" hidden="false" customHeight="true" outlineLevel="0" collapsed="false">
      <c r="B12" s="15" t="n">
        <v>8</v>
      </c>
      <c r="C12" s="9" t="s">
        <v>41</v>
      </c>
      <c r="D12" s="9" t="s">
        <v>20</v>
      </c>
      <c r="E12" s="9" t="s">
        <v>116</v>
      </c>
      <c r="F12" s="9" t="s">
        <v>61</v>
      </c>
      <c r="G12" s="9" t="s">
        <v>200</v>
      </c>
      <c r="H12" s="9" t="s">
        <v>206</v>
      </c>
      <c r="I12" s="9" t="s">
        <v>207</v>
      </c>
      <c r="J12" s="9" t="s">
        <v>208</v>
      </c>
      <c r="K12" s="9" t="s">
        <v>209</v>
      </c>
      <c r="L12" s="9" t="s">
        <v>186</v>
      </c>
      <c r="M12" s="9" t="s">
        <v>187</v>
      </c>
      <c r="N12" s="9" t="s">
        <v>210</v>
      </c>
      <c r="O12" s="9" t="s">
        <v>189</v>
      </c>
      <c r="P12" s="9" t="s">
        <v>190</v>
      </c>
      <c r="Q12" s="9" t="s">
        <v>211</v>
      </c>
      <c r="R12" s="9" t="s">
        <v>212</v>
      </c>
      <c r="S12" s="9" t="s">
        <v>193</v>
      </c>
      <c r="T12" s="9" t="s">
        <v>213</v>
      </c>
      <c r="U12" s="19" t="n">
        <v>175</v>
      </c>
      <c r="V12" s="9"/>
      <c r="W12" s="9"/>
      <c r="X12" s="9" t="s">
        <v>214</v>
      </c>
      <c r="Y12" s="23" t="n">
        <v>0.101</v>
      </c>
      <c r="Z12" s="23" t="n">
        <v>0.6</v>
      </c>
      <c r="AA12" s="23" t="n">
        <v>12</v>
      </c>
      <c r="AB12" s="9" t="s">
        <v>186</v>
      </c>
      <c r="AC12" s="9" t="s">
        <v>196</v>
      </c>
      <c r="AD12" s="23" t="n">
        <v>0.101</v>
      </c>
      <c r="AE12" s="23" t="n">
        <v>0.6</v>
      </c>
      <c r="AF12" s="23" t="n">
        <v>3.5</v>
      </c>
      <c r="AG12" s="23" t="n">
        <v>128</v>
      </c>
      <c r="AH12" s="23" t="n">
        <v>8</v>
      </c>
      <c r="AI12" s="23" t="s">
        <v>197</v>
      </c>
      <c r="AJ12" s="23" t="s">
        <v>197</v>
      </c>
      <c r="AK12" s="23" t="s">
        <v>197</v>
      </c>
      <c r="AL12" s="23" t="s">
        <v>197</v>
      </c>
      <c r="AM12" s="9" t="s">
        <v>197</v>
      </c>
      <c r="AN12" s="23" t="s">
        <v>197</v>
      </c>
      <c r="AO12" s="23" t="s">
        <v>197</v>
      </c>
      <c r="AP12" s="23" t="s">
        <v>197</v>
      </c>
    </row>
    <row r="13" customFormat="false" ht="21.75" hidden="false" customHeight="true" outlineLevel="0" collapsed="false">
      <c r="B13" s="14" t="n">
        <v>9</v>
      </c>
      <c r="C13" s="7" t="s">
        <v>41</v>
      </c>
      <c r="D13" s="7" t="s">
        <v>20</v>
      </c>
      <c r="E13" s="7" t="s">
        <v>116</v>
      </c>
      <c r="F13" s="7" t="s">
        <v>61</v>
      </c>
      <c r="G13" s="7" t="s">
        <v>215</v>
      </c>
      <c r="H13" s="7" t="s">
        <v>206</v>
      </c>
      <c r="I13" s="7" t="s">
        <v>207</v>
      </c>
      <c r="J13" s="7" t="s">
        <v>208</v>
      </c>
      <c r="K13" s="7" t="s">
        <v>209</v>
      </c>
      <c r="L13" s="7" t="s">
        <v>186</v>
      </c>
      <c r="M13" s="7" t="s">
        <v>187</v>
      </c>
      <c r="N13" s="7" t="s">
        <v>210</v>
      </c>
      <c r="O13" s="7" t="s">
        <v>189</v>
      </c>
      <c r="P13" s="7" t="s">
        <v>190</v>
      </c>
      <c r="Q13" s="7" t="s">
        <v>211</v>
      </c>
      <c r="R13" s="7" t="s">
        <v>212</v>
      </c>
      <c r="S13" s="7" t="s">
        <v>193</v>
      </c>
      <c r="T13" s="7" t="s">
        <v>213</v>
      </c>
      <c r="U13" s="18" t="n">
        <v>260</v>
      </c>
      <c r="V13" s="7"/>
      <c r="W13" s="7"/>
      <c r="X13" s="7" t="s">
        <v>203</v>
      </c>
      <c r="Y13" s="22" t="n">
        <v>0.102</v>
      </c>
      <c r="Z13" s="22" t="n">
        <v>0.6</v>
      </c>
      <c r="AA13" s="22" t="n">
        <v>12</v>
      </c>
      <c r="AB13" s="7" t="s">
        <v>186</v>
      </c>
      <c r="AC13" s="7" t="s">
        <v>196</v>
      </c>
      <c r="AD13" s="22" t="n">
        <v>0.102</v>
      </c>
      <c r="AE13" s="22" t="n">
        <v>0.6</v>
      </c>
      <c r="AF13" s="22" t="n">
        <v>3.5</v>
      </c>
      <c r="AG13" s="22" t="n">
        <v>250</v>
      </c>
      <c r="AH13" s="22" t="n">
        <v>8</v>
      </c>
      <c r="AI13" s="22" t="s">
        <v>197</v>
      </c>
      <c r="AJ13" s="22" t="s">
        <v>197</v>
      </c>
      <c r="AK13" s="22" t="s">
        <v>197</v>
      </c>
      <c r="AL13" s="22" t="s">
        <v>197</v>
      </c>
      <c r="AM13" s="7" t="s">
        <v>197</v>
      </c>
      <c r="AN13" s="22" t="s">
        <v>197</v>
      </c>
      <c r="AO13" s="22" t="s">
        <v>197</v>
      </c>
      <c r="AP13" s="22" t="s">
        <v>197</v>
      </c>
    </row>
    <row r="14" customFormat="false" ht="21.75" hidden="false" customHeight="true" outlineLevel="0" collapsed="false">
      <c r="B14" s="15" t="n">
        <v>10</v>
      </c>
      <c r="C14" s="9" t="s">
        <v>41</v>
      </c>
      <c r="D14" s="9" t="s">
        <v>20</v>
      </c>
      <c r="E14" s="9" t="s">
        <v>116</v>
      </c>
      <c r="F14" s="9" t="s">
        <v>61</v>
      </c>
      <c r="G14" s="9" t="s">
        <v>204</v>
      </c>
      <c r="H14" s="9" t="s">
        <v>206</v>
      </c>
      <c r="I14" s="9" t="s">
        <v>207</v>
      </c>
      <c r="J14" s="9" t="s">
        <v>208</v>
      </c>
      <c r="K14" s="9" t="s">
        <v>209</v>
      </c>
      <c r="L14" s="9" t="s">
        <v>186</v>
      </c>
      <c r="M14" s="9" t="s">
        <v>187</v>
      </c>
      <c r="N14" s="9" t="s">
        <v>210</v>
      </c>
      <c r="O14" s="9" t="s">
        <v>189</v>
      </c>
      <c r="P14" s="9" t="s">
        <v>190</v>
      </c>
      <c r="Q14" s="9" t="s">
        <v>211</v>
      </c>
      <c r="R14" s="9" t="s">
        <v>212</v>
      </c>
      <c r="S14" s="9" t="s">
        <v>193</v>
      </c>
      <c r="T14" s="9" t="s">
        <v>213</v>
      </c>
      <c r="U14" s="19" t="n">
        <v>385</v>
      </c>
      <c r="V14" s="9"/>
      <c r="W14" s="9"/>
      <c r="X14" s="9" t="s">
        <v>205</v>
      </c>
      <c r="Y14" s="23" t="n">
        <v>0.079</v>
      </c>
      <c r="Z14" s="23" t="n">
        <v>0.6</v>
      </c>
      <c r="AA14" s="23" t="n">
        <v>12</v>
      </c>
      <c r="AB14" s="9" t="s">
        <v>186</v>
      </c>
      <c r="AC14" s="9" t="s">
        <v>196</v>
      </c>
      <c r="AD14" s="23" t="n">
        <v>0.079</v>
      </c>
      <c r="AE14" s="23" t="n">
        <v>0.6</v>
      </c>
      <c r="AF14" s="23" t="n">
        <v>3.5</v>
      </c>
      <c r="AG14" s="23" t="n">
        <v>100</v>
      </c>
      <c r="AH14" s="23" t="n">
        <v>4</v>
      </c>
      <c r="AI14" s="23" t="s">
        <v>197</v>
      </c>
      <c r="AJ14" s="23" t="s">
        <v>197</v>
      </c>
      <c r="AK14" s="23" t="s">
        <v>197</v>
      </c>
      <c r="AL14" s="23" t="s">
        <v>197</v>
      </c>
      <c r="AM14" s="9" t="s">
        <v>197</v>
      </c>
      <c r="AN14" s="23" t="s">
        <v>197</v>
      </c>
      <c r="AO14" s="23" t="s">
        <v>197</v>
      </c>
      <c r="AP14" s="23" t="s">
        <v>197</v>
      </c>
    </row>
    <row r="15" customFormat="false" ht="21.75" hidden="false" customHeight="true" outlineLevel="0" collapsed="false">
      <c r="B15" s="14" t="n">
        <v>11</v>
      </c>
      <c r="C15" s="7" t="s">
        <v>41</v>
      </c>
      <c r="D15" s="7" t="s">
        <v>20</v>
      </c>
      <c r="E15" s="7" t="s">
        <v>116</v>
      </c>
      <c r="F15" s="7" t="s">
        <v>62</v>
      </c>
      <c r="G15" s="7" t="s">
        <v>216</v>
      </c>
      <c r="H15" s="7" t="s">
        <v>217</v>
      </c>
      <c r="I15" s="7" t="s">
        <v>218</v>
      </c>
      <c r="J15" s="7" t="s">
        <v>219</v>
      </c>
      <c r="K15" s="7" t="s">
        <v>220</v>
      </c>
      <c r="L15" s="7" t="s">
        <v>186</v>
      </c>
      <c r="M15" s="7" t="s">
        <v>221</v>
      </c>
      <c r="N15" s="7" t="s">
        <v>222</v>
      </c>
      <c r="O15" s="7" t="s">
        <v>189</v>
      </c>
      <c r="P15" s="7" t="s">
        <v>190</v>
      </c>
      <c r="Q15" s="7" t="s">
        <v>223</v>
      </c>
      <c r="R15" s="7" t="s">
        <v>224</v>
      </c>
      <c r="S15" s="7" t="s">
        <v>193</v>
      </c>
      <c r="T15" s="7" t="s">
        <v>225</v>
      </c>
      <c r="U15" s="18" t="n">
        <v>130</v>
      </c>
      <c r="V15" s="7"/>
      <c r="W15" s="7"/>
      <c r="X15" s="7" t="s">
        <v>195</v>
      </c>
      <c r="Y15" s="22" t="n">
        <v>0.075</v>
      </c>
      <c r="Z15" s="22" t="n">
        <v>0.45</v>
      </c>
      <c r="AA15" s="22" t="n">
        <v>12</v>
      </c>
      <c r="AB15" s="7" t="s">
        <v>186</v>
      </c>
      <c r="AC15" s="7" t="s">
        <v>196</v>
      </c>
      <c r="AD15" s="22" t="n">
        <v>0.075</v>
      </c>
      <c r="AE15" s="22" t="n">
        <v>0.45</v>
      </c>
      <c r="AF15" s="22" t="n">
        <v>2</v>
      </c>
      <c r="AG15" s="22" t="n">
        <v>100</v>
      </c>
      <c r="AH15" s="22" t="n">
        <v>4</v>
      </c>
      <c r="AI15" s="22" t="s">
        <v>197</v>
      </c>
      <c r="AJ15" s="22" t="s">
        <v>197</v>
      </c>
      <c r="AK15" s="22" t="s">
        <v>197</v>
      </c>
      <c r="AL15" s="22" t="s">
        <v>197</v>
      </c>
      <c r="AM15" s="7" t="s">
        <v>197</v>
      </c>
      <c r="AN15" s="22" t="s">
        <v>197</v>
      </c>
      <c r="AO15" s="22" t="s">
        <v>197</v>
      </c>
      <c r="AP15" s="22" t="s">
        <v>197</v>
      </c>
    </row>
    <row r="16" customFormat="false" ht="21.75" hidden="false" customHeight="true" outlineLevel="0" collapsed="false">
      <c r="B16" s="15" t="n">
        <v>12</v>
      </c>
      <c r="C16" s="9" t="s">
        <v>41</v>
      </c>
      <c r="D16" s="9" t="s">
        <v>20</v>
      </c>
      <c r="E16" s="9" t="s">
        <v>116</v>
      </c>
      <c r="F16" s="9" t="s">
        <v>62</v>
      </c>
      <c r="G16" s="9" t="s">
        <v>204</v>
      </c>
      <c r="H16" s="9" t="s">
        <v>217</v>
      </c>
      <c r="I16" s="9" t="s">
        <v>218</v>
      </c>
      <c r="J16" s="9" t="s">
        <v>219</v>
      </c>
      <c r="K16" s="9" t="s">
        <v>220</v>
      </c>
      <c r="L16" s="9" t="s">
        <v>186</v>
      </c>
      <c r="M16" s="9" t="s">
        <v>221</v>
      </c>
      <c r="N16" s="9" t="s">
        <v>222</v>
      </c>
      <c r="O16" s="9" t="s">
        <v>189</v>
      </c>
      <c r="P16" s="9" t="s">
        <v>190</v>
      </c>
      <c r="Q16" s="9" t="s">
        <v>223</v>
      </c>
      <c r="R16" s="9" t="s">
        <v>224</v>
      </c>
      <c r="S16" s="9" t="s">
        <v>193</v>
      </c>
      <c r="T16" s="9" t="s">
        <v>225</v>
      </c>
      <c r="U16" s="19" t="n">
        <v>195</v>
      </c>
      <c r="V16" s="9"/>
      <c r="W16" s="9"/>
      <c r="X16" s="9" t="s">
        <v>199</v>
      </c>
      <c r="Y16" s="23" t="n">
        <v>0.079</v>
      </c>
      <c r="Z16" s="23" t="n">
        <v>0.45</v>
      </c>
      <c r="AA16" s="23" t="n">
        <v>12</v>
      </c>
      <c r="AB16" s="9" t="s">
        <v>186</v>
      </c>
      <c r="AC16" s="9" t="s">
        <v>196</v>
      </c>
      <c r="AD16" s="23" t="n">
        <v>0.079</v>
      </c>
      <c r="AE16" s="23" t="n">
        <v>0.45</v>
      </c>
      <c r="AF16" s="23" t="n">
        <v>2</v>
      </c>
      <c r="AG16" s="23" t="n">
        <v>100</v>
      </c>
      <c r="AH16" s="23" t="n">
        <v>4</v>
      </c>
      <c r="AI16" s="23" t="s">
        <v>197</v>
      </c>
      <c r="AJ16" s="23" t="s">
        <v>197</v>
      </c>
      <c r="AK16" s="23" t="s">
        <v>197</v>
      </c>
      <c r="AL16" s="23" t="s">
        <v>197</v>
      </c>
      <c r="AM16" s="9" t="s">
        <v>197</v>
      </c>
      <c r="AN16" s="23" t="s">
        <v>197</v>
      </c>
      <c r="AO16" s="23" t="s">
        <v>197</v>
      </c>
      <c r="AP16" s="23" t="s">
        <v>197</v>
      </c>
    </row>
    <row r="17" customFormat="false" ht="21.75" hidden="false" customHeight="true" outlineLevel="0" collapsed="false">
      <c r="B17" s="14" t="n">
        <v>13</v>
      </c>
      <c r="C17" s="7" t="s">
        <v>41</v>
      </c>
      <c r="D17" s="7" t="s">
        <v>20</v>
      </c>
      <c r="E17" s="7" t="s">
        <v>116</v>
      </c>
      <c r="F17" s="7" t="s">
        <v>62</v>
      </c>
      <c r="G17" s="7" t="s">
        <v>226</v>
      </c>
      <c r="H17" s="7" t="s">
        <v>217</v>
      </c>
      <c r="I17" s="7" t="s">
        <v>218</v>
      </c>
      <c r="J17" s="7" t="s">
        <v>219</v>
      </c>
      <c r="K17" s="7" t="s">
        <v>220</v>
      </c>
      <c r="L17" s="7" t="s">
        <v>186</v>
      </c>
      <c r="M17" s="7" t="s">
        <v>221</v>
      </c>
      <c r="N17" s="7" t="s">
        <v>222</v>
      </c>
      <c r="O17" s="7" t="s">
        <v>189</v>
      </c>
      <c r="P17" s="7" t="s">
        <v>190</v>
      </c>
      <c r="Q17" s="7" t="s">
        <v>223</v>
      </c>
      <c r="R17" s="7" t="s">
        <v>224</v>
      </c>
      <c r="S17" s="7" t="s">
        <v>193</v>
      </c>
      <c r="T17" s="7" t="s">
        <v>225</v>
      </c>
      <c r="U17" s="18" t="n">
        <v>265</v>
      </c>
      <c r="V17" s="7"/>
      <c r="W17" s="7"/>
      <c r="X17" s="7" t="s">
        <v>227</v>
      </c>
      <c r="Y17" s="22" t="n">
        <v>0.051</v>
      </c>
      <c r="Z17" s="22" t="n">
        <v>0.45</v>
      </c>
      <c r="AA17" s="22" t="n">
        <v>12</v>
      </c>
      <c r="AB17" s="7" t="s">
        <v>186</v>
      </c>
      <c r="AC17" s="7" t="s">
        <v>196</v>
      </c>
      <c r="AD17" s="22" t="n">
        <v>0.051</v>
      </c>
      <c r="AE17" s="22" t="n">
        <v>0.45</v>
      </c>
      <c r="AF17" s="22" t="n">
        <v>2</v>
      </c>
      <c r="AG17" s="22" t="n">
        <v>100</v>
      </c>
      <c r="AH17" s="22" t="n">
        <v>4</v>
      </c>
      <c r="AI17" s="22" t="s">
        <v>197</v>
      </c>
      <c r="AJ17" s="22" t="s">
        <v>197</v>
      </c>
      <c r="AK17" s="22" t="s">
        <v>197</v>
      </c>
      <c r="AL17" s="22" t="s">
        <v>197</v>
      </c>
      <c r="AM17" s="7" t="s">
        <v>197</v>
      </c>
      <c r="AN17" s="22" t="s">
        <v>197</v>
      </c>
      <c r="AO17" s="22" t="s">
        <v>197</v>
      </c>
      <c r="AP17" s="22" t="s">
        <v>197</v>
      </c>
    </row>
    <row r="18" customFormat="false" ht="21.75" hidden="false" customHeight="true" outlineLevel="0" collapsed="false">
      <c r="B18" s="15" t="n">
        <v>14</v>
      </c>
      <c r="C18" s="9" t="s">
        <v>41</v>
      </c>
      <c r="D18" s="9" t="s">
        <v>20</v>
      </c>
      <c r="E18" s="9" t="s">
        <v>116</v>
      </c>
      <c r="F18" s="9" t="s">
        <v>62</v>
      </c>
      <c r="G18" s="9" t="s">
        <v>228</v>
      </c>
      <c r="H18" s="9" t="s">
        <v>217</v>
      </c>
      <c r="I18" s="9" t="s">
        <v>218</v>
      </c>
      <c r="J18" s="9" t="s">
        <v>219</v>
      </c>
      <c r="K18" s="9" t="s">
        <v>220</v>
      </c>
      <c r="L18" s="9" t="s">
        <v>186</v>
      </c>
      <c r="M18" s="9" t="s">
        <v>221</v>
      </c>
      <c r="N18" s="9" t="s">
        <v>222</v>
      </c>
      <c r="O18" s="9" t="s">
        <v>189</v>
      </c>
      <c r="P18" s="9" t="s">
        <v>190</v>
      </c>
      <c r="Q18" s="9" t="s">
        <v>223</v>
      </c>
      <c r="R18" s="9" t="s">
        <v>224</v>
      </c>
      <c r="S18" s="9" t="s">
        <v>193</v>
      </c>
      <c r="T18" s="9" t="s">
        <v>225</v>
      </c>
      <c r="U18" s="19" t="n">
        <v>395</v>
      </c>
      <c r="V18" s="9"/>
      <c r="W18" s="9"/>
      <c r="X18" s="9" t="s">
        <v>203</v>
      </c>
      <c r="Y18" s="23" t="n">
        <v>0.072</v>
      </c>
      <c r="Z18" s="23" t="n">
        <v>0.45</v>
      </c>
      <c r="AA18" s="23" t="n">
        <v>12</v>
      </c>
      <c r="AB18" s="9" t="s">
        <v>186</v>
      </c>
      <c r="AC18" s="9" t="s">
        <v>196</v>
      </c>
      <c r="AD18" s="23" t="n">
        <v>0.072</v>
      </c>
      <c r="AE18" s="23" t="n">
        <v>0.45</v>
      </c>
      <c r="AF18" s="23" t="n">
        <v>2</v>
      </c>
      <c r="AG18" s="23" t="n">
        <v>100</v>
      </c>
      <c r="AH18" s="23" t="n">
        <v>4</v>
      </c>
      <c r="AI18" s="23" t="s">
        <v>197</v>
      </c>
      <c r="AJ18" s="23" t="s">
        <v>197</v>
      </c>
      <c r="AK18" s="23" t="s">
        <v>197</v>
      </c>
      <c r="AL18" s="23" t="s">
        <v>197</v>
      </c>
      <c r="AM18" s="9" t="s">
        <v>197</v>
      </c>
      <c r="AN18" s="23" t="s">
        <v>197</v>
      </c>
      <c r="AO18" s="23" t="s">
        <v>197</v>
      </c>
      <c r="AP18" s="23" t="s">
        <v>197</v>
      </c>
    </row>
    <row r="19" customFormat="false" ht="21.75" hidden="false" customHeight="true" outlineLevel="0" collapsed="false">
      <c r="B19" s="14" t="n">
        <v>15</v>
      </c>
      <c r="C19" s="7" t="s">
        <v>41</v>
      </c>
      <c r="D19" s="7" t="s">
        <v>20</v>
      </c>
      <c r="E19" s="7" t="s">
        <v>116</v>
      </c>
      <c r="F19" s="7" t="s">
        <v>62</v>
      </c>
      <c r="G19" s="7" t="s">
        <v>229</v>
      </c>
      <c r="H19" s="7" t="s">
        <v>217</v>
      </c>
      <c r="I19" s="7" t="s">
        <v>218</v>
      </c>
      <c r="J19" s="7" t="s">
        <v>219</v>
      </c>
      <c r="K19" s="7" t="s">
        <v>220</v>
      </c>
      <c r="L19" s="7" t="s">
        <v>186</v>
      </c>
      <c r="M19" s="7" t="s">
        <v>221</v>
      </c>
      <c r="N19" s="7" t="s">
        <v>222</v>
      </c>
      <c r="O19" s="7" t="s">
        <v>189</v>
      </c>
      <c r="P19" s="7" t="s">
        <v>190</v>
      </c>
      <c r="Q19" s="7" t="s">
        <v>223</v>
      </c>
      <c r="R19" s="7" t="s">
        <v>224</v>
      </c>
      <c r="S19" s="7" t="s">
        <v>193</v>
      </c>
      <c r="T19" s="7" t="s">
        <v>225</v>
      </c>
      <c r="U19" s="18" t="n">
        <v>580</v>
      </c>
      <c r="V19" s="7"/>
      <c r="W19" s="7"/>
      <c r="X19" s="7" t="s">
        <v>205</v>
      </c>
      <c r="Y19" s="22" t="n">
        <v>0.055</v>
      </c>
      <c r="Z19" s="22" t="n">
        <v>0.45</v>
      </c>
      <c r="AA19" s="22" t="n">
        <v>12</v>
      </c>
      <c r="AB19" s="7" t="s">
        <v>186</v>
      </c>
      <c r="AC19" s="7" t="s">
        <v>196</v>
      </c>
      <c r="AD19" s="22" t="n">
        <v>0.055</v>
      </c>
      <c r="AE19" s="22" t="n">
        <v>0.45</v>
      </c>
      <c r="AF19" s="22" t="n">
        <v>2</v>
      </c>
      <c r="AG19" s="22" t="n">
        <v>100</v>
      </c>
      <c r="AH19" s="22" t="n">
        <v>4</v>
      </c>
      <c r="AI19" s="22" t="s">
        <v>197</v>
      </c>
      <c r="AJ19" s="22" t="s">
        <v>197</v>
      </c>
      <c r="AK19" s="22" t="s">
        <v>197</v>
      </c>
      <c r="AL19" s="22" t="s">
        <v>197</v>
      </c>
      <c r="AM19" s="7" t="s">
        <v>197</v>
      </c>
      <c r="AN19" s="22" t="s">
        <v>197</v>
      </c>
      <c r="AO19" s="22" t="s">
        <v>197</v>
      </c>
      <c r="AP19" s="22" t="s">
        <v>197</v>
      </c>
    </row>
    <row r="20" customFormat="false" ht="21.75" hidden="false" customHeight="true" outlineLevel="0" collapsed="false">
      <c r="B20" s="15" t="n">
        <v>16</v>
      </c>
      <c r="C20" s="9" t="s">
        <v>41</v>
      </c>
      <c r="D20" s="9" t="s">
        <v>20</v>
      </c>
      <c r="E20" s="9" t="s">
        <v>116</v>
      </c>
      <c r="F20" s="9" t="s">
        <v>63</v>
      </c>
      <c r="G20" s="9" t="s">
        <v>230</v>
      </c>
      <c r="H20" s="9" t="s">
        <v>231</v>
      </c>
      <c r="I20" s="9" t="s">
        <v>232</v>
      </c>
      <c r="J20" s="9" t="s">
        <v>233</v>
      </c>
      <c r="K20" s="9" t="s">
        <v>234</v>
      </c>
      <c r="L20" s="9" t="s">
        <v>186</v>
      </c>
      <c r="M20" s="9" t="s">
        <v>235</v>
      </c>
      <c r="N20" s="9" t="s">
        <v>236</v>
      </c>
      <c r="O20" s="9" t="s">
        <v>189</v>
      </c>
      <c r="P20" s="9" t="s">
        <v>190</v>
      </c>
      <c r="Q20" s="9" t="s">
        <v>237</v>
      </c>
      <c r="R20" s="9" t="s">
        <v>238</v>
      </c>
      <c r="S20" s="9" t="s">
        <v>193</v>
      </c>
      <c r="T20" s="9" t="s">
        <v>239</v>
      </c>
      <c r="U20" s="19" t="n">
        <v>45</v>
      </c>
      <c r="V20" s="9"/>
      <c r="W20" s="9"/>
      <c r="X20" s="9" t="s">
        <v>195</v>
      </c>
      <c r="Y20" s="23" t="n">
        <v>0.039</v>
      </c>
      <c r="Z20" s="23" t="n">
        <v>0.075</v>
      </c>
      <c r="AA20" s="23" t="n">
        <v>12</v>
      </c>
      <c r="AB20" s="9" t="s">
        <v>186</v>
      </c>
      <c r="AC20" s="9" t="s">
        <v>240</v>
      </c>
      <c r="AD20" s="23" t="s">
        <v>197</v>
      </c>
      <c r="AE20" s="23" t="s">
        <v>197</v>
      </c>
      <c r="AF20" s="23" t="s">
        <v>197</v>
      </c>
      <c r="AG20" s="23" t="s">
        <v>197</v>
      </c>
      <c r="AH20" s="23" t="s">
        <v>197</v>
      </c>
      <c r="AI20" s="23" t="s">
        <v>197</v>
      </c>
      <c r="AJ20" s="23" t="s">
        <v>197</v>
      </c>
      <c r="AK20" s="23" t="s">
        <v>197</v>
      </c>
      <c r="AL20" s="23" t="s">
        <v>197</v>
      </c>
      <c r="AM20" s="9" t="s">
        <v>197</v>
      </c>
      <c r="AN20" s="23" t="s">
        <v>197</v>
      </c>
      <c r="AO20" s="23" t="n">
        <v>1.2</v>
      </c>
      <c r="AP20" s="23" t="n">
        <v>1.6</v>
      </c>
    </row>
    <row r="21" customFormat="false" ht="21.75" hidden="false" customHeight="true" outlineLevel="0" collapsed="false">
      <c r="B21" s="14" t="n">
        <v>17</v>
      </c>
      <c r="C21" s="7" t="s">
        <v>41</v>
      </c>
      <c r="D21" s="7" t="s">
        <v>20</v>
      </c>
      <c r="E21" s="7" t="s">
        <v>116</v>
      </c>
      <c r="F21" s="7" t="s">
        <v>63</v>
      </c>
      <c r="G21" s="7" t="s">
        <v>241</v>
      </c>
      <c r="H21" s="7" t="s">
        <v>231</v>
      </c>
      <c r="I21" s="7" t="s">
        <v>232</v>
      </c>
      <c r="J21" s="7" t="s">
        <v>233</v>
      </c>
      <c r="K21" s="7" t="s">
        <v>234</v>
      </c>
      <c r="L21" s="7" t="s">
        <v>186</v>
      </c>
      <c r="M21" s="7" t="s">
        <v>235</v>
      </c>
      <c r="N21" s="7" t="s">
        <v>236</v>
      </c>
      <c r="O21" s="7" t="s">
        <v>189</v>
      </c>
      <c r="P21" s="7" t="s">
        <v>190</v>
      </c>
      <c r="Q21" s="7" t="s">
        <v>237</v>
      </c>
      <c r="R21" s="7" t="s">
        <v>238</v>
      </c>
      <c r="S21" s="7" t="s">
        <v>193</v>
      </c>
      <c r="T21" s="7" t="s">
        <v>239</v>
      </c>
      <c r="U21" s="18" t="n">
        <v>70</v>
      </c>
      <c r="V21" s="7"/>
      <c r="W21" s="7"/>
      <c r="X21" s="7" t="s">
        <v>199</v>
      </c>
      <c r="Y21" s="22" t="n">
        <v>0.048</v>
      </c>
      <c r="Z21" s="22" t="n">
        <v>0.09</v>
      </c>
      <c r="AA21" s="22" t="n">
        <v>12</v>
      </c>
      <c r="AB21" s="7" t="s">
        <v>186</v>
      </c>
      <c r="AC21" s="7" t="s">
        <v>240</v>
      </c>
      <c r="AD21" s="22" t="s">
        <v>197</v>
      </c>
      <c r="AE21" s="22" t="s">
        <v>197</v>
      </c>
      <c r="AF21" s="22" t="s">
        <v>197</v>
      </c>
      <c r="AG21" s="22" t="s">
        <v>197</v>
      </c>
      <c r="AH21" s="22" t="s">
        <v>197</v>
      </c>
      <c r="AI21" s="22" t="s">
        <v>197</v>
      </c>
      <c r="AJ21" s="22" t="s">
        <v>197</v>
      </c>
      <c r="AK21" s="22" t="s">
        <v>197</v>
      </c>
      <c r="AL21" s="22" t="s">
        <v>197</v>
      </c>
      <c r="AM21" s="7" t="s">
        <v>197</v>
      </c>
      <c r="AN21" s="22" t="s">
        <v>197</v>
      </c>
      <c r="AO21" s="22" t="n">
        <v>1.2</v>
      </c>
      <c r="AP21" s="22" t="n">
        <v>1.6</v>
      </c>
    </row>
    <row r="22" customFormat="false" ht="21.75" hidden="false" customHeight="true" outlineLevel="0" collapsed="false">
      <c r="B22" s="15" t="n">
        <v>18</v>
      </c>
      <c r="C22" s="9" t="s">
        <v>41</v>
      </c>
      <c r="D22" s="9" t="s">
        <v>20</v>
      </c>
      <c r="E22" s="9" t="s">
        <v>116</v>
      </c>
      <c r="F22" s="9" t="s">
        <v>63</v>
      </c>
      <c r="G22" s="9" t="s">
        <v>242</v>
      </c>
      <c r="H22" s="9" t="s">
        <v>231</v>
      </c>
      <c r="I22" s="9" t="s">
        <v>232</v>
      </c>
      <c r="J22" s="9" t="s">
        <v>233</v>
      </c>
      <c r="K22" s="9" t="s">
        <v>234</v>
      </c>
      <c r="L22" s="9" t="s">
        <v>186</v>
      </c>
      <c r="M22" s="9" t="s">
        <v>235</v>
      </c>
      <c r="N22" s="9" t="s">
        <v>236</v>
      </c>
      <c r="O22" s="9" t="s">
        <v>189</v>
      </c>
      <c r="P22" s="9" t="s">
        <v>190</v>
      </c>
      <c r="Q22" s="9" t="s">
        <v>237</v>
      </c>
      <c r="R22" s="9" t="s">
        <v>238</v>
      </c>
      <c r="S22" s="9" t="s">
        <v>193</v>
      </c>
      <c r="T22" s="9" t="s">
        <v>239</v>
      </c>
      <c r="U22" s="19" t="n">
        <v>95</v>
      </c>
      <c r="V22" s="9"/>
      <c r="W22" s="9"/>
      <c r="X22" s="9" t="s">
        <v>243</v>
      </c>
      <c r="Y22" s="23" t="n">
        <v>0.046</v>
      </c>
      <c r="Z22" s="23" t="n">
        <v>0.087</v>
      </c>
      <c r="AA22" s="23" t="n">
        <v>12</v>
      </c>
      <c r="AB22" s="9" t="s">
        <v>186</v>
      </c>
      <c r="AC22" s="9" t="s">
        <v>240</v>
      </c>
      <c r="AD22" s="23" t="s">
        <v>197</v>
      </c>
      <c r="AE22" s="23" t="s">
        <v>197</v>
      </c>
      <c r="AF22" s="23" t="s">
        <v>197</v>
      </c>
      <c r="AG22" s="23" t="s">
        <v>197</v>
      </c>
      <c r="AH22" s="23" t="s">
        <v>197</v>
      </c>
      <c r="AI22" s="23" t="s">
        <v>197</v>
      </c>
      <c r="AJ22" s="23" t="s">
        <v>197</v>
      </c>
      <c r="AK22" s="23" t="s">
        <v>197</v>
      </c>
      <c r="AL22" s="23" t="s">
        <v>197</v>
      </c>
      <c r="AM22" s="9" t="s">
        <v>197</v>
      </c>
      <c r="AN22" s="23" t="s">
        <v>197</v>
      </c>
      <c r="AO22" s="23" t="n">
        <v>1.2</v>
      </c>
      <c r="AP22" s="23" t="n">
        <v>1.6</v>
      </c>
    </row>
    <row r="23" customFormat="false" ht="21.75" hidden="false" customHeight="true" outlineLevel="0" collapsed="false">
      <c r="B23" s="14" t="n">
        <v>19</v>
      </c>
      <c r="C23" s="7" t="s">
        <v>41</v>
      </c>
      <c r="D23" s="7" t="s">
        <v>20</v>
      </c>
      <c r="E23" s="7" t="s">
        <v>116</v>
      </c>
      <c r="F23" s="7" t="s">
        <v>63</v>
      </c>
      <c r="G23" s="7" t="s">
        <v>244</v>
      </c>
      <c r="H23" s="7" t="s">
        <v>231</v>
      </c>
      <c r="I23" s="7" t="s">
        <v>232</v>
      </c>
      <c r="J23" s="7" t="s">
        <v>233</v>
      </c>
      <c r="K23" s="7" t="s">
        <v>234</v>
      </c>
      <c r="L23" s="7" t="s">
        <v>186</v>
      </c>
      <c r="M23" s="7" t="s">
        <v>235</v>
      </c>
      <c r="N23" s="7" t="s">
        <v>236</v>
      </c>
      <c r="O23" s="7" t="s">
        <v>189</v>
      </c>
      <c r="P23" s="7" t="s">
        <v>190</v>
      </c>
      <c r="Q23" s="7" t="s">
        <v>237</v>
      </c>
      <c r="R23" s="7" t="s">
        <v>238</v>
      </c>
      <c r="S23" s="7" t="s">
        <v>193</v>
      </c>
      <c r="T23" s="7" t="s">
        <v>239</v>
      </c>
      <c r="U23" s="18" t="n">
        <v>140</v>
      </c>
      <c r="V23" s="7"/>
      <c r="W23" s="7"/>
      <c r="X23" s="7" t="s">
        <v>203</v>
      </c>
      <c r="Y23" s="22" t="n">
        <v>0.031</v>
      </c>
      <c r="Z23" s="22" t="n">
        <v>0.062</v>
      </c>
      <c r="AA23" s="22" t="n">
        <v>12</v>
      </c>
      <c r="AB23" s="7" t="s">
        <v>186</v>
      </c>
      <c r="AC23" s="7" t="s">
        <v>240</v>
      </c>
      <c r="AD23" s="22" t="s">
        <v>197</v>
      </c>
      <c r="AE23" s="22" t="s">
        <v>197</v>
      </c>
      <c r="AF23" s="22" t="s">
        <v>197</v>
      </c>
      <c r="AG23" s="22" t="s">
        <v>197</v>
      </c>
      <c r="AH23" s="22" t="s">
        <v>197</v>
      </c>
      <c r="AI23" s="22" t="s">
        <v>197</v>
      </c>
      <c r="AJ23" s="22" t="s">
        <v>197</v>
      </c>
      <c r="AK23" s="22" t="s">
        <v>197</v>
      </c>
      <c r="AL23" s="22" t="s">
        <v>197</v>
      </c>
      <c r="AM23" s="7" t="s">
        <v>197</v>
      </c>
      <c r="AN23" s="22" t="s">
        <v>197</v>
      </c>
      <c r="AO23" s="22" t="n">
        <v>1.2</v>
      </c>
      <c r="AP23" s="22" t="n">
        <v>1.6</v>
      </c>
    </row>
    <row r="24" customFormat="false" ht="21.75" hidden="false" customHeight="true" outlineLevel="0" collapsed="false">
      <c r="B24" s="15" t="n">
        <v>20</v>
      </c>
      <c r="C24" s="9" t="s">
        <v>41</v>
      </c>
      <c r="D24" s="9" t="s">
        <v>20</v>
      </c>
      <c r="E24" s="9" t="s">
        <v>116</v>
      </c>
      <c r="F24" s="9" t="s">
        <v>63</v>
      </c>
      <c r="G24" s="9" t="s">
        <v>245</v>
      </c>
      <c r="H24" s="9" t="s">
        <v>231</v>
      </c>
      <c r="I24" s="9" t="s">
        <v>232</v>
      </c>
      <c r="J24" s="9" t="s">
        <v>233</v>
      </c>
      <c r="K24" s="9" t="s">
        <v>234</v>
      </c>
      <c r="L24" s="9" t="s">
        <v>186</v>
      </c>
      <c r="M24" s="9" t="s">
        <v>235</v>
      </c>
      <c r="N24" s="9" t="s">
        <v>236</v>
      </c>
      <c r="O24" s="9" t="s">
        <v>189</v>
      </c>
      <c r="P24" s="9" t="s">
        <v>190</v>
      </c>
      <c r="Q24" s="9" t="s">
        <v>237</v>
      </c>
      <c r="R24" s="9" t="s">
        <v>238</v>
      </c>
      <c r="S24" s="9" t="s">
        <v>193</v>
      </c>
      <c r="T24" s="9" t="s">
        <v>239</v>
      </c>
      <c r="U24" s="19" t="n">
        <v>205</v>
      </c>
      <c r="V24" s="9"/>
      <c r="W24" s="9"/>
      <c r="X24" s="9" t="s">
        <v>205</v>
      </c>
      <c r="Y24" s="23" t="n">
        <v>0.041</v>
      </c>
      <c r="Z24" s="23" t="n">
        <v>0.078</v>
      </c>
      <c r="AA24" s="23" t="n">
        <v>12</v>
      </c>
      <c r="AB24" s="9" t="s">
        <v>186</v>
      </c>
      <c r="AC24" s="9" t="s">
        <v>240</v>
      </c>
      <c r="AD24" s="23" t="s">
        <v>197</v>
      </c>
      <c r="AE24" s="23" t="s">
        <v>197</v>
      </c>
      <c r="AF24" s="23" t="s">
        <v>197</v>
      </c>
      <c r="AG24" s="23" t="s">
        <v>197</v>
      </c>
      <c r="AH24" s="23" t="s">
        <v>197</v>
      </c>
      <c r="AI24" s="23" t="s">
        <v>197</v>
      </c>
      <c r="AJ24" s="23" t="s">
        <v>197</v>
      </c>
      <c r="AK24" s="23" t="s">
        <v>197</v>
      </c>
      <c r="AL24" s="23" t="s">
        <v>197</v>
      </c>
      <c r="AM24" s="9" t="s">
        <v>197</v>
      </c>
      <c r="AN24" s="23" t="s">
        <v>197</v>
      </c>
      <c r="AO24" s="23" t="n">
        <v>1.2</v>
      </c>
      <c r="AP24" s="23" t="n">
        <v>1.6</v>
      </c>
    </row>
    <row r="25" customFormat="false" ht="21.75" hidden="false" customHeight="true" outlineLevel="0" collapsed="false">
      <c r="B25" s="14" t="n">
        <v>21</v>
      </c>
      <c r="C25" s="7" t="s">
        <v>41</v>
      </c>
      <c r="D25" s="7" t="s">
        <v>20</v>
      </c>
      <c r="E25" s="7" t="s">
        <v>116</v>
      </c>
      <c r="F25" s="7" t="s">
        <v>64</v>
      </c>
      <c r="G25" s="7" t="s">
        <v>246</v>
      </c>
      <c r="H25" s="7" t="s">
        <v>247</v>
      </c>
      <c r="I25" s="7" t="s">
        <v>248</v>
      </c>
      <c r="J25" s="7" t="s">
        <v>249</v>
      </c>
      <c r="K25" s="7" t="s">
        <v>250</v>
      </c>
      <c r="L25" s="7" t="s">
        <v>186</v>
      </c>
      <c r="M25" s="7" t="s">
        <v>251</v>
      </c>
      <c r="N25" s="7" t="s">
        <v>252</v>
      </c>
      <c r="O25" s="7" t="s">
        <v>189</v>
      </c>
      <c r="P25" s="7" t="s">
        <v>190</v>
      </c>
      <c r="Q25" s="7" t="s">
        <v>253</v>
      </c>
      <c r="R25" s="7" t="s">
        <v>254</v>
      </c>
      <c r="S25" s="7" t="s">
        <v>193</v>
      </c>
      <c r="T25" s="7" t="s">
        <v>255</v>
      </c>
      <c r="U25" s="18" t="n">
        <v>14</v>
      </c>
      <c r="V25" s="7"/>
      <c r="W25" s="7"/>
      <c r="X25" s="7" t="s">
        <v>195</v>
      </c>
      <c r="Y25" s="22" t="n">
        <v>0.009</v>
      </c>
      <c r="Z25" s="22" t="n">
        <v>0.013</v>
      </c>
      <c r="AA25" s="22" t="n">
        <v>12</v>
      </c>
      <c r="AB25" s="7" t="s">
        <v>186</v>
      </c>
      <c r="AC25" s="7" t="s">
        <v>256</v>
      </c>
      <c r="AD25" s="22" t="s">
        <v>197</v>
      </c>
      <c r="AE25" s="22" t="s">
        <v>197</v>
      </c>
      <c r="AF25" s="22" t="s">
        <v>197</v>
      </c>
      <c r="AG25" s="22" t="s">
        <v>197</v>
      </c>
      <c r="AH25" s="22" t="s">
        <v>197</v>
      </c>
      <c r="AI25" s="22" t="s">
        <v>197</v>
      </c>
      <c r="AJ25" s="22" t="n">
        <v>8</v>
      </c>
      <c r="AK25" s="22" t="s">
        <v>197</v>
      </c>
      <c r="AL25" s="22" t="n">
        <v>90</v>
      </c>
      <c r="AM25" s="7" t="s">
        <v>257</v>
      </c>
      <c r="AN25" s="22" t="s">
        <v>197</v>
      </c>
      <c r="AO25" s="22" t="n">
        <v>2</v>
      </c>
      <c r="AP25" s="22" t="n">
        <v>2.7</v>
      </c>
    </row>
    <row r="26" customFormat="false" ht="21.75" hidden="false" customHeight="true" outlineLevel="0" collapsed="false">
      <c r="B26" s="15" t="n">
        <v>22</v>
      </c>
      <c r="C26" s="9" t="s">
        <v>41</v>
      </c>
      <c r="D26" s="9" t="s">
        <v>20</v>
      </c>
      <c r="E26" s="9" t="s">
        <v>116</v>
      </c>
      <c r="F26" s="9" t="s">
        <v>64</v>
      </c>
      <c r="G26" s="9" t="s">
        <v>258</v>
      </c>
      <c r="H26" s="9" t="s">
        <v>259</v>
      </c>
      <c r="I26" s="9" t="s">
        <v>248</v>
      </c>
      <c r="J26" s="9" t="s">
        <v>249</v>
      </c>
      <c r="K26" s="9" t="s">
        <v>250</v>
      </c>
      <c r="L26" s="9" t="s">
        <v>186</v>
      </c>
      <c r="M26" s="9" t="s">
        <v>251</v>
      </c>
      <c r="N26" s="9" t="s">
        <v>252</v>
      </c>
      <c r="O26" s="9" t="s">
        <v>189</v>
      </c>
      <c r="P26" s="9" t="s">
        <v>190</v>
      </c>
      <c r="Q26" s="9" t="s">
        <v>253</v>
      </c>
      <c r="R26" s="9" t="s">
        <v>254</v>
      </c>
      <c r="S26" s="9" t="s">
        <v>193</v>
      </c>
      <c r="T26" s="9" t="s">
        <v>255</v>
      </c>
      <c r="U26" s="19" t="n">
        <v>20</v>
      </c>
      <c r="V26" s="9"/>
      <c r="W26" s="9"/>
      <c r="X26" s="9" t="s">
        <v>199</v>
      </c>
      <c r="Y26" s="23" t="n">
        <v>0.011</v>
      </c>
      <c r="Z26" s="23" t="n">
        <v>0.016</v>
      </c>
      <c r="AA26" s="23" t="n">
        <v>12</v>
      </c>
      <c r="AB26" s="9" t="s">
        <v>186</v>
      </c>
      <c r="AC26" s="9" t="s">
        <v>256</v>
      </c>
      <c r="AD26" s="23" t="s">
        <v>197</v>
      </c>
      <c r="AE26" s="23" t="s">
        <v>197</v>
      </c>
      <c r="AF26" s="23" t="s">
        <v>197</v>
      </c>
      <c r="AG26" s="23" t="s">
        <v>197</v>
      </c>
      <c r="AH26" s="23" t="s">
        <v>197</v>
      </c>
      <c r="AI26" s="23" t="s">
        <v>197</v>
      </c>
      <c r="AJ26" s="23" t="n">
        <v>10</v>
      </c>
      <c r="AK26" s="23" t="s">
        <v>197</v>
      </c>
      <c r="AL26" s="23" t="n">
        <v>90</v>
      </c>
      <c r="AM26" s="9" t="s">
        <v>257</v>
      </c>
      <c r="AN26" s="23" t="s">
        <v>197</v>
      </c>
      <c r="AO26" s="23" t="n">
        <v>2</v>
      </c>
      <c r="AP26" s="23" t="n">
        <v>2.7</v>
      </c>
    </row>
    <row r="27" customFormat="false" ht="21.75" hidden="false" customHeight="true" outlineLevel="0" collapsed="false">
      <c r="B27" s="14" t="n">
        <v>23</v>
      </c>
      <c r="C27" s="7" t="s">
        <v>41</v>
      </c>
      <c r="D27" s="7" t="s">
        <v>20</v>
      </c>
      <c r="E27" s="7" t="s">
        <v>116</v>
      </c>
      <c r="F27" s="7" t="s">
        <v>64</v>
      </c>
      <c r="G27" s="7" t="s">
        <v>260</v>
      </c>
      <c r="H27" s="7" t="s">
        <v>261</v>
      </c>
      <c r="I27" s="7" t="s">
        <v>248</v>
      </c>
      <c r="J27" s="7" t="s">
        <v>249</v>
      </c>
      <c r="K27" s="7" t="s">
        <v>250</v>
      </c>
      <c r="L27" s="7" t="s">
        <v>186</v>
      </c>
      <c r="M27" s="7" t="s">
        <v>251</v>
      </c>
      <c r="N27" s="7" t="s">
        <v>252</v>
      </c>
      <c r="O27" s="7" t="s">
        <v>189</v>
      </c>
      <c r="P27" s="7" t="s">
        <v>190</v>
      </c>
      <c r="Q27" s="7" t="s">
        <v>253</v>
      </c>
      <c r="R27" s="7" t="s">
        <v>254</v>
      </c>
      <c r="S27" s="7" t="s">
        <v>193</v>
      </c>
      <c r="T27" s="7" t="s">
        <v>255</v>
      </c>
      <c r="U27" s="18" t="n">
        <v>25</v>
      </c>
      <c r="V27" s="7"/>
      <c r="W27" s="7"/>
      <c r="X27" s="7" t="s">
        <v>262</v>
      </c>
      <c r="Y27" s="22" t="n">
        <v>0.011</v>
      </c>
      <c r="Z27" s="22" t="n">
        <v>0.015</v>
      </c>
      <c r="AA27" s="22" t="n">
        <v>12</v>
      </c>
      <c r="AB27" s="7" t="s">
        <v>186</v>
      </c>
      <c r="AC27" s="7" t="s">
        <v>256</v>
      </c>
      <c r="AD27" s="22" t="s">
        <v>197</v>
      </c>
      <c r="AE27" s="22" t="s">
        <v>197</v>
      </c>
      <c r="AF27" s="22" t="s">
        <v>197</v>
      </c>
      <c r="AG27" s="22" t="s">
        <v>197</v>
      </c>
      <c r="AH27" s="22" t="s">
        <v>197</v>
      </c>
      <c r="AI27" s="22" t="s">
        <v>197</v>
      </c>
      <c r="AJ27" s="22" t="n">
        <v>12</v>
      </c>
      <c r="AK27" s="22" t="s">
        <v>197</v>
      </c>
      <c r="AL27" s="22" t="n">
        <v>90</v>
      </c>
      <c r="AM27" s="7" t="s">
        <v>257</v>
      </c>
      <c r="AN27" s="22" t="s">
        <v>197</v>
      </c>
      <c r="AO27" s="22" t="n">
        <v>2</v>
      </c>
      <c r="AP27" s="22" t="n">
        <v>2.7</v>
      </c>
    </row>
    <row r="28" customFormat="false" ht="21.75" hidden="false" customHeight="true" outlineLevel="0" collapsed="false">
      <c r="B28" s="15" t="n">
        <v>24</v>
      </c>
      <c r="C28" s="9" t="s">
        <v>41</v>
      </c>
      <c r="D28" s="9" t="s">
        <v>20</v>
      </c>
      <c r="E28" s="9" t="s">
        <v>116</v>
      </c>
      <c r="F28" s="9" t="s">
        <v>64</v>
      </c>
      <c r="G28" s="9" t="s">
        <v>263</v>
      </c>
      <c r="H28" s="9" t="s">
        <v>264</v>
      </c>
      <c r="I28" s="9" t="s">
        <v>248</v>
      </c>
      <c r="J28" s="9" t="s">
        <v>249</v>
      </c>
      <c r="K28" s="9" t="s">
        <v>250</v>
      </c>
      <c r="L28" s="9" t="s">
        <v>186</v>
      </c>
      <c r="M28" s="9" t="s">
        <v>251</v>
      </c>
      <c r="N28" s="9" t="s">
        <v>252</v>
      </c>
      <c r="O28" s="9" t="s">
        <v>189</v>
      </c>
      <c r="P28" s="9" t="s">
        <v>190</v>
      </c>
      <c r="Q28" s="9" t="s">
        <v>253</v>
      </c>
      <c r="R28" s="9" t="s">
        <v>254</v>
      </c>
      <c r="S28" s="9" t="s">
        <v>193</v>
      </c>
      <c r="T28" s="9" t="s">
        <v>255</v>
      </c>
      <c r="U28" s="19" t="n">
        <v>40</v>
      </c>
      <c r="V28" s="9"/>
      <c r="W28" s="9"/>
      <c r="X28" s="9" t="s">
        <v>203</v>
      </c>
      <c r="Y28" s="23" t="n">
        <v>0.008</v>
      </c>
      <c r="Z28" s="23" t="n">
        <v>0.013</v>
      </c>
      <c r="AA28" s="23" t="n">
        <v>12</v>
      </c>
      <c r="AB28" s="9" t="s">
        <v>186</v>
      </c>
      <c r="AC28" s="9" t="s">
        <v>256</v>
      </c>
      <c r="AD28" s="23" t="s">
        <v>197</v>
      </c>
      <c r="AE28" s="23" t="s">
        <v>197</v>
      </c>
      <c r="AF28" s="23" t="s">
        <v>197</v>
      </c>
      <c r="AG28" s="23" t="s">
        <v>197</v>
      </c>
      <c r="AH28" s="23" t="s">
        <v>197</v>
      </c>
      <c r="AI28" s="23" t="s">
        <v>197</v>
      </c>
      <c r="AJ28" s="23" t="n">
        <v>12</v>
      </c>
      <c r="AK28" s="23" t="s">
        <v>197</v>
      </c>
      <c r="AL28" s="23" t="n">
        <v>110</v>
      </c>
      <c r="AM28" s="9" t="s">
        <v>257</v>
      </c>
      <c r="AN28" s="23" t="s">
        <v>197</v>
      </c>
      <c r="AO28" s="23" t="n">
        <v>2</v>
      </c>
      <c r="AP28" s="23" t="n">
        <v>2.7</v>
      </c>
    </row>
    <row r="29" customFormat="false" ht="21.75" hidden="false" customHeight="true" outlineLevel="0" collapsed="false">
      <c r="B29" s="14" t="n">
        <v>25</v>
      </c>
      <c r="C29" s="7" t="s">
        <v>41</v>
      </c>
      <c r="D29" s="7" t="s">
        <v>20</v>
      </c>
      <c r="E29" s="7" t="s">
        <v>116</v>
      </c>
      <c r="F29" s="7" t="s">
        <v>64</v>
      </c>
      <c r="G29" s="7" t="s">
        <v>265</v>
      </c>
      <c r="H29" s="7" t="s">
        <v>266</v>
      </c>
      <c r="I29" s="7" t="s">
        <v>248</v>
      </c>
      <c r="J29" s="7" t="s">
        <v>249</v>
      </c>
      <c r="K29" s="7" t="s">
        <v>250</v>
      </c>
      <c r="L29" s="7" t="s">
        <v>186</v>
      </c>
      <c r="M29" s="7" t="s">
        <v>251</v>
      </c>
      <c r="N29" s="7" t="s">
        <v>252</v>
      </c>
      <c r="O29" s="7" t="s">
        <v>189</v>
      </c>
      <c r="P29" s="7" t="s">
        <v>190</v>
      </c>
      <c r="Q29" s="7" t="s">
        <v>253</v>
      </c>
      <c r="R29" s="7" t="s">
        <v>254</v>
      </c>
      <c r="S29" s="7" t="s">
        <v>193</v>
      </c>
      <c r="T29" s="7" t="s">
        <v>255</v>
      </c>
      <c r="U29" s="18" t="n">
        <v>60</v>
      </c>
      <c r="V29" s="7"/>
      <c r="W29" s="7"/>
      <c r="X29" s="7" t="s">
        <v>205</v>
      </c>
      <c r="Y29" s="22" t="n">
        <v>0.013</v>
      </c>
      <c r="Z29" s="22" t="n">
        <v>0.018</v>
      </c>
      <c r="AA29" s="22" t="n">
        <v>12</v>
      </c>
      <c r="AB29" s="7" t="s">
        <v>186</v>
      </c>
      <c r="AC29" s="7" t="s">
        <v>256</v>
      </c>
      <c r="AD29" s="22" t="s">
        <v>197</v>
      </c>
      <c r="AE29" s="22" t="s">
        <v>197</v>
      </c>
      <c r="AF29" s="22" t="s">
        <v>197</v>
      </c>
      <c r="AG29" s="22" t="s">
        <v>197</v>
      </c>
      <c r="AH29" s="22" t="s">
        <v>197</v>
      </c>
      <c r="AI29" s="22" t="s">
        <v>197</v>
      </c>
      <c r="AJ29" s="22" t="n">
        <v>15</v>
      </c>
      <c r="AK29" s="22" t="s">
        <v>197</v>
      </c>
      <c r="AL29" s="22" t="n">
        <v>110</v>
      </c>
      <c r="AM29" s="7" t="s">
        <v>257</v>
      </c>
      <c r="AN29" s="22" t="s">
        <v>197</v>
      </c>
      <c r="AO29" s="22" t="n">
        <v>2</v>
      </c>
      <c r="AP29" s="22" t="n">
        <v>2.7</v>
      </c>
    </row>
    <row r="30" customFormat="false" ht="21.75" hidden="false" customHeight="true" outlineLevel="0" collapsed="false">
      <c r="B30" s="15" t="n">
        <v>26</v>
      </c>
      <c r="C30" s="9" t="s">
        <v>41</v>
      </c>
      <c r="D30" s="9" t="s">
        <v>20</v>
      </c>
      <c r="E30" s="9" t="s">
        <v>116</v>
      </c>
      <c r="F30" s="9" t="s">
        <v>65</v>
      </c>
      <c r="G30" s="9" t="s">
        <v>267</v>
      </c>
      <c r="H30" s="9" t="s">
        <v>247</v>
      </c>
      <c r="I30" s="9" t="s">
        <v>268</v>
      </c>
      <c r="J30" s="9" t="s">
        <v>269</v>
      </c>
      <c r="K30" s="9" t="s">
        <v>270</v>
      </c>
      <c r="L30" s="9" t="s">
        <v>186</v>
      </c>
      <c r="M30" s="9" t="s">
        <v>271</v>
      </c>
      <c r="N30" s="9" t="s">
        <v>272</v>
      </c>
      <c r="O30" s="9" t="s">
        <v>189</v>
      </c>
      <c r="P30" s="9" t="s">
        <v>190</v>
      </c>
      <c r="Q30" s="9" t="s">
        <v>273</v>
      </c>
      <c r="R30" s="9" t="s">
        <v>274</v>
      </c>
      <c r="S30" s="9" t="s">
        <v>193</v>
      </c>
      <c r="T30" s="9" t="s">
        <v>275</v>
      </c>
      <c r="U30" s="19" t="n">
        <v>20</v>
      </c>
      <c r="V30" s="9"/>
      <c r="W30" s="9"/>
      <c r="X30" s="9" t="s">
        <v>195</v>
      </c>
      <c r="Y30" s="23" t="n">
        <v>1.889E-005</v>
      </c>
      <c r="Z30" s="23" t="n">
        <v>4.445E-005</v>
      </c>
      <c r="AA30" s="23" t="n">
        <v>3</v>
      </c>
      <c r="AB30" s="9" t="s">
        <v>186</v>
      </c>
      <c r="AC30" s="9" t="s">
        <v>276</v>
      </c>
      <c r="AD30" s="23" t="s">
        <v>197</v>
      </c>
      <c r="AE30" s="23" t="s">
        <v>197</v>
      </c>
      <c r="AF30" s="23" t="s">
        <v>197</v>
      </c>
      <c r="AG30" s="23" t="s">
        <v>197</v>
      </c>
      <c r="AH30" s="23" t="s">
        <v>197</v>
      </c>
      <c r="AI30" s="23" t="s">
        <v>197</v>
      </c>
      <c r="AJ30" s="23" t="n">
        <v>8</v>
      </c>
      <c r="AK30" s="23" t="s">
        <v>197</v>
      </c>
      <c r="AL30" s="23" t="n">
        <v>90</v>
      </c>
      <c r="AM30" s="9" t="s">
        <v>257</v>
      </c>
      <c r="AN30" s="23" t="s">
        <v>197</v>
      </c>
      <c r="AO30" s="23" t="n">
        <v>2</v>
      </c>
      <c r="AP30" s="23" t="n">
        <v>2.7</v>
      </c>
    </row>
    <row r="31" customFormat="false" ht="21.75" hidden="false" customHeight="true" outlineLevel="0" collapsed="false">
      <c r="B31" s="14" t="n">
        <v>27</v>
      </c>
      <c r="C31" s="7" t="s">
        <v>41</v>
      </c>
      <c r="D31" s="7" t="s">
        <v>20</v>
      </c>
      <c r="E31" s="7" t="s">
        <v>116</v>
      </c>
      <c r="F31" s="7" t="s">
        <v>65</v>
      </c>
      <c r="G31" s="7" t="s">
        <v>277</v>
      </c>
      <c r="H31" s="7" t="s">
        <v>259</v>
      </c>
      <c r="I31" s="7" t="s">
        <v>268</v>
      </c>
      <c r="J31" s="7" t="s">
        <v>269</v>
      </c>
      <c r="K31" s="7" t="s">
        <v>270</v>
      </c>
      <c r="L31" s="7" t="s">
        <v>186</v>
      </c>
      <c r="M31" s="7" t="s">
        <v>271</v>
      </c>
      <c r="N31" s="7" t="s">
        <v>272</v>
      </c>
      <c r="O31" s="7" t="s">
        <v>189</v>
      </c>
      <c r="P31" s="7" t="s">
        <v>190</v>
      </c>
      <c r="Q31" s="7" t="s">
        <v>273</v>
      </c>
      <c r="R31" s="7" t="s">
        <v>274</v>
      </c>
      <c r="S31" s="7" t="s">
        <v>193</v>
      </c>
      <c r="T31" s="7" t="s">
        <v>275</v>
      </c>
      <c r="U31" s="18" t="n">
        <v>25</v>
      </c>
      <c r="V31" s="7"/>
      <c r="W31" s="7"/>
      <c r="X31" s="7" t="s">
        <v>199</v>
      </c>
      <c r="Y31" s="22" t="n">
        <v>1.929E-005</v>
      </c>
      <c r="Z31" s="22" t="n">
        <v>4.516E-005</v>
      </c>
      <c r="AA31" s="22" t="n">
        <v>3</v>
      </c>
      <c r="AB31" s="7" t="s">
        <v>186</v>
      </c>
      <c r="AC31" s="7" t="s">
        <v>276</v>
      </c>
      <c r="AD31" s="22" t="s">
        <v>197</v>
      </c>
      <c r="AE31" s="22" t="s">
        <v>197</v>
      </c>
      <c r="AF31" s="22" t="s">
        <v>197</v>
      </c>
      <c r="AG31" s="22" t="s">
        <v>197</v>
      </c>
      <c r="AH31" s="22" t="s">
        <v>197</v>
      </c>
      <c r="AI31" s="22" t="s">
        <v>197</v>
      </c>
      <c r="AJ31" s="22" t="n">
        <v>10</v>
      </c>
      <c r="AK31" s="22" t="s">
        <v>197</v>
      </c>
      <c r="AL31" s="22" t="n">
        <v>90</v>
      </c>
      <c r="AM31" s="7" t="s">
        <v>257</v>
      </c>
      <c r="AN31" s="22" t="s">
        <v>197</v>
      </c>
      <c r="AO31" s="22" t="n">
        <v>2</v>
      </c>
      <c r="AP31" s="22" t="n">
        <v>2.7</v>
      </c>
    </row>
    <row r="32" customFormat="false" ht="21.75" hidden="false" customHeight="true" outlineLevel="0" collapsed="false">
      <c r="B32" s="15" t="n">
        <v>28</v>
      </c>
      <c r="C32" s="9" t="s">
        <v>41</v>
      </c>
      <c r="D32" s="9" t="s">
        <v>20</v>
      </c>
      <c r="E32" s="9" t="s">
        <v>116</v>
      </c>
      <c r="F32" s="9" t="s">
        <v>65</v>
      </c>
      <c r="G32" s="9" t="s">
        <v>278</v>
      </c>
      <c r="H32" s="9" t="s">
        <v>261</v>
      </c>
      <c r="I32" s="9" t="s">
        <v>268</v>
      </c>
      <c r="J32" s="9" t="s">
        <v>269</v>
      </c>
      <c r="K32" s="9" t="s">
        <v>270</v>
      </c>
      <c r="L32" s="9" t="s">
        <v>186</v>
      </c>
      <c r="M32" s="9" t="s">
        <v>271</v>
      </c>
      <c r="N32" s="9" t="s">
        <v>272</v>
      </c>
      <c r="O32" s="9" t="s">
        <v>189</v>
      </c>
      <c r="P32" s="9" t="s">
        <v>190</v>
      </c>
      <c r="Q32" s="9" t="s">
        <v>273</v>
      </c>
      <c r="R32" s="9" t="s">
        <v>274</v>
      </c>
      <c r="S32" s="9" t="s">
        <v>193</v>
      </c>
      <c r="T32" s="9" t="s">
        <v>275</v>
      </c>
      <c r="U32" s="19" t="n">
        <v>35</v>
      </c>
      <c r="V32" s="9"/>
      <c r="W32" s="9"/>
      <c r="X32" s="9" t="s">
        <v>279</v>
      </c>
      <c r="Y32" s="23" t="n">
        <v>1.851E-005</v>
      </c>
      <c r="Z32" s="23" t="n">
        <v>4.377E-005</v>
      </c>
      <c r="AA32" s="23" t="n">
        <v>3</v>
      </c>
      <c r="AB32" s="9" t="s">
        <v>186</v>
      </c>
      <c r="AC32" s="9" t="s">
        <v>276</v>
      </c>
      <c r="AD32" s="23" t="s">
        <v>197</v>
      </c>
      <c r="AE32" s="23" t="s">
        <v>197</v>
      </c>
      <c r="AF32" s="23" t="s">
        <v>197</v>
      </c>
      <c r="AG32" s="23" t="s">
        <v>197</v>
      </c>
      <c r="AH32" s="23" t="s">
        <v>197</v>
      </c>
      <c r="AI32" s="23" t="s">
        <v>197</v>
      </c>
      <c r="AJ32" s="23" t="n">
        <v>12</v>
      </c>
      <c r="AK32" s="23" t="s">
        <v>197</v>
      </c>
      <c r="AL32" s="23" t="n">
        <v>90</v>
      </c>
      <c r="AM32" s="9" t="s">
        <v>257</v>
      </c>
      <c r="AN32" s="23" t="s">
        <v>197</v>
      </c>
      <c r="AO32" s="23" t="n">
        <v>2</v>
      </c>
      <c r="AP32" s="23" t="n">
        <v>2.7</v>
      </c>
    </row>
    <row r="33" customFormat="false" ht="21.75" hidden="false" customHeight="true" outlineLevel="0" collapsed="false">
      <c r="B33" s="14" t="n">
        <v>29</v>
      </c>
      <c r="C33" s="7" t="s">
        <v>41</v>
      </c>
      <c r="D33" s="7" t="s">
        <v>20</v>
      </c>
      <c r="E33" s="7" t="s">
        <v>116</v>
      </c>
      <c r="F33" s="7" t="s">
        <v>65</v>
      </c>
      <c r="G33" s="7" t="s">
        <v>280</v>
      </c>
      <c r="H33" s="7" t="s">
        <v>281</v>
      </c>
      <c r="I33" s="7" t="s">
        <v>268</v>
      </c>
      <c r="J33" s="7" t="s">
        <v>269</v>
      </c>
      <c r="K33" s="7" t="s">
        <v>270</v>
      </c>
      <c r="L33" s="7" t="s">
        <v>186</v>
      </c>
      <c r="M33" s="7" t="s">
        <v>271</v>
      </c>
      <c r="N33" s="7" t="s">
        <v>272</v>
      </c>
      <c r="O33" s="7" t="s">
        <v>189</v>
      </c>
      <c r="P33" s="7" t="s">
        <v>190</v>
      </c>
      <c r="Q33" s="7" t="s">
        <v>273</v>
      </c>
      <c r="R33" s="7" t="s">
        <v>274</v>
      </c>
      <c r="S33" s="7" t="s">
        <v>193</v>
      </c>
      <c r="T33" s="7" t="s">
        <v>275</v>
      </c>
      <c r="U33" s="18" t="n">
        <v>55</v>
      </c>
      <c r="V33" s="7"/>
      <c r="W33" s="7"/>
      <c r="X33" s="7" t="s">
        <v>203</v>
      </c>
      <c r="Y33" s="22" t="n">
        <v>1.125E-005</v>
      </c>
      <c r="Z33" s="22" t="n">
        <v>3.08E-005</v>
      </c>
      <c r="AA33" s="22" t="n">
        <v>3</v>
      </c>
      <c r="AB33" s="7" t="s">
        <v>186</v>
      </c>
      <c r="AC33" s="7" t="s">
        <v>276</v>
      </c>
      <c r="AD33" s="22" t="s">
        <v>197</v>
      </c>
      <c r="AE33" s="22" t="s">
        <v>197</v>
      </c>
      <c r="AF33" s="22" t="s">
        <v>197</v>
      </c>
      <c r="AG33" s="22" t="s">
        <v>197</v>
      </c>
      <c r="AH33" s="22" t="s">
        <v>197</v>
      </c>
      <c r="AI33" s="22" t="s">
        <v>197</v>
      </c>
      <c r="AJ33" s="22" t="n">
        <v>12</v>
      </c>
      <c r="AK33" s="22" t="s">
        <v>197</v>
      </c>
      <c r="AL33" s="22" t="n">
        <v>90</v>
      </c>
      <c r="AM33" s="7" t="s">
        <v>257</v>
      </c>
      <c r="AN33" s="22" t="s">
        <v>197</v>
      </c>
      <c r="AO33" s="22" t="n">
        <v>2</v>
      </c>
      <c r="AP33" s="22" t="n">
        <v>2.7</v>
      </c>
    </row>
    <row r="34" customFormat="false" ht="21.75" hidden="false" customHeight="true" outlineLevel="0" collapsed="false">
      <c r="B34" s="15" t="n">
        <v>30</v>
      </c>
      <c r="C34" s="9" t="s">
        <v>41</v>
      </c>
      <c r="D34" s="9" t="s">
        <v>20</v>
      </c>
      <c r="E34" s="9" t="s">
        <v>116</v>
      </c>
      <c r="F34" s="9" t="s">
        <v>65</v>
      </c>
      <c r="G34" s="9" t="s">
        <v>282</v>
      </c>
      <c r="H34" s="9" t="s">
        <v>283</v>
      </c>
      <c r="I34" s="9" t="s">
        <v>268</v>
      </c>
      <c r="J34" s="9" t="s">
        <v>269</v>
      </c>
      <c r="K34" s="9" t="s">
        <v>270</v>
      </c>
      <c r="L34" s="9" t="s">
        <v>186</v>
      </c>
      <c r="M34" s="9" t="s">
        <v>271</v>
      </c>
      <c r="N34" s="9" t="s">
        <v>272</v>
      </c>
      <c r="O34" s="9" t="s">
        <v>189</v>
      </c>
      <c r="P34" s="9" t="s">
        <v>190</v>
      </c>
      <c r="Q34" s="9" t="s">
        <v>273</v>
      </c>
      <c r="R34" s="9" t="s">
        <v>274</v>
      </c>
      <c r="S34" s="9" t="s">
        <v>193</v>
      </c>
      <c r="T34" s="9" t="s">
        <v>275</v>
      </c>
      <c r="U34" s="19" t="n">
        <v>85</v>
      </c>
      <c r="V34" s="9"/>
      <c r="W34" s="9"/>
      <c r="X34" s="9" t="s">
        <v>205</v>
      </c>
      <c r="Y34" s="23" t="n">
        <v>2.112E-005</v>
      </c>
      <c r="Z34" s="23" t="n">
        <v>4.844E-005</v>
      </c>
      <c r="AA34" s="23" t="n">
        <v>3</v>
      </c>
      <c r="AB34" s="9" t="s">
        <v>186</v>
      </c>
      <c r="AC34" s="9" t="s">
        <v>276</v>
      </c>
      <c r="AD34" s="23" t="s">
        <v>197</v>
      </c>
      <c r="AE34" s="23" t="s">
        <v>197</v>
      </c>
      <c r="AF34" s="23" t="s">
        <v>197</v>
      </c>
      <c r="AG34" s="23" t="s">
        <v>197</v>
      </c>
      <c r="AH34" s="23" t="s">
        <v>197</v>
      </c>
      <c r="AI34" s="23" t="s">
        <v>197</v>
      </c>
      <c r="AJ34" s="23" t="n">
        <v>15</v>
      </c>
      <c r="AK34" s="23" t="s">
        <v>197</v>
      </c>
      <c r="AL34" s="23" t="n">
        <v>90</v>
      </c>
      <c r="AM34" s="9" t="s">
        <v>257</v>
      </c>
      <c r="AN34" s="23" t="s">
        <v>197</v>
      </c>
      <c r="AO34" s="23" t="n">
        <v>2</v>
      </c>
      <c r="AP34" s="23" t="n">
        <v>2.7</v>
      </c>
    </row>
    <row r="35" customFormat="false" ht="21.75" hidden="false" customHeight="true" outlineLevel="0" collapsed="false">
      <c r="B35" s="14" t="n">
        <v>31</v>
      </c>
      <c r="C35" s="7" t="s">
        <v>41</v>
      </c>
      <c r="D35" s="7" t="s">
        <v>20</v>
      </c>
      <c r="E35" s="7" t="s">
        <v>116</v>
      </c>
      <c r="F35" s="7" t="s">
        <v>66</v>
      </c>
      <c r="G35" s="7" t="s">
        <v>284</v>
      </c>
      <c r="H35" s="7" t="s">
        <v>285</v>
      </c>
      <c r="I35" s="7" t="s">
        <v>286</v>
      </c>
      <c r="J35" s="7" t="s">
        <v>287</v>
      </c>
      <c r="K35" s="7" t="s">
        <v>250</v>
      </c>
      <c r="L35" s="7" t="s">
        <v>186</v>
      </c>
      <c r="M35" s="7" t="s">
        <v>251</v>
      </c>
      <c r="N35" s="7" t="s">
        <v>288</v>
      </c>
      <c r="O35" s="7" t="s">
        <v>189</v>
      </c>
      <c r="P35" s="7" t="s">
        <v>190</v>
      </c>
      <c r="Q35" s="7" t="s">
        <v>289</v>
      </c>
      <c r="R35" s="7" t="s">
        <v>290</v>
      </c>
      <c r="S35" s="7" t="s">
        <v>193</v>
      </c>
      <c r="T35" s="7" t="s">
        <v>291</v>
      </c>
      <c r="U35" s="18" t="n">
        <v>25</v>
      </c>
      <c r="V35" s="7"/>
      <c r="W35" s="7"/>
      <c r="X35" s="7" t="s">
        <v>195</v>
      </c>
      <c r="Y35" s="22" t="n">
        <v>0.019</v>
      </c>
      <c r="Z35" s="22" t="n">
        <v>0.029</v>
      </c>
      <c r="AA35" s="22" t="n">
        <v>12</v>
      </c>
      <c r="AB35" s="7" t="s">
        <v>186</v>
      </c>
      <c r="AC35" s="7" t="s">
        <v>256</v>
      </c>
      <c r="AD35" s="22" t="s">
        <v>197</v>
      </c>
      <c r="AE35" s="22" t="s">
        <v>197</v>
      </c>
      <c r="AF35" s="22" t="s">
        <v>197</v>
      </c>
      <c r="AG35" s="22" t="s">
        <v>197</v>
      </c>
      <c r="AH35" s="22" t="s">
        <v>197</v>
      </c>
      <c r="AI35" s="22" t="s">
        <v>197</v>
      </c>
      <c r="AJ35" s="22" t="s">
        <v>197</v>
      </c>
      <c r="AK35" s="22" t="n">
        <v>10</v>
      </c>
      <c r="AL35" s="22" t="n">
        <v>90</v>
      </c>
      <c r="AM35" s="7" t="s">
        <v>292</v>
      </c>
      <c r="AN35" s="22" t="s">
        <v>197</v>
      </c>
      <c r="AO35" s="22" t="n">
        <v>2</v>
      </c>
      <c r="AP35" s="22" t="n">
        <v>3</v>
      </c>
    </row>
    <row r="36" customFormat="false" ht="21.75" hidden="false" customHeight="true" outlineLevel="0" collapsed="false">
      <c r="B36" s="15" t="n">
        <v>32</v>
      </c>
      <c r="C36" s="9" t="s">
        <v>41</v>
      </c>
      <c r="D36" s="9" t="s">
        <v>20</v>
      </c>
      <c r="E36" s="9" t="s">
        <v>116</v>
      </c>
      <c r="F36" s="9" t="s">
        <v>66</v>
      </c>
      <c r="G36" s="9" t="s">
        <v>293</v>
      </c>
      <c r="H36" s="9" t="s">
        <v>294</v>
      </c>
      <c r="I36" s="9" t="s">
        <v>286</v>
      </c>
      <c r="J36" s="9" t="s">
        <v>287</v>
      </c>
      <c r="K36" s="9" t="s">
        <v>250</v>
      </c>
      <c r="L36" s="9" t="s">
        <v>186</v>
      </c>
      <c r="M36" s="9" t="s">
        <v>251</v>
      </c>
      <c r="N36" s="9" t="s">
        <v>288</v>
      </c>
      <c r="O36" s="9" t="s">
        <v>189</v>
      </c>
      <c r="P36" s="9" t="s">
        <v>190</v>
      </c>
      <c r="Q36" s="9" t="s">
        <v>289</v>
      </c>
      <c r="R36" s="9" t="s">
        <v>290</v>
      </c>
      <c r="S36" s="9" t="s">
        <v>193</v>
      </c>
      <c r="T36" s="9" t="s">
        <v>291</v>
      </c>
      <c r="U36" s="19" t="n">
        <v>40</v>
      </c>
      <c r="V36" s="9"/>
      <c r="W36" s="9"/>
      <c r="X36" s="9" t="s">
        <v>199</v>
      </c>
      <c r="Y36" s="23" t="n">
        <v>0.02</v>
      </c>
      <c r="Z36" s="23" t="n">
        <v>0.03</v>
      </c>
      <c r="AA36" s="23" t="n">
        <v>12</v>
      </c>
      <c r="AB36" s="9" t="s">
        <v>186</v>
      </c>
      <c r="AC36" s="9" t="s">
        <v>256</v>
      </c>
      <c r="AD36" s="23" t="s">
        <v>197</v>
      </c>
      <c r="AE36" s="23" t="s">
        <v>197</v>
      </c>
      <c r="AF36" s="23" t="s">
        <v>197</v>
      </c>
      <c r="AG36" s="23" t="s">
        <v>197</v>
      </c>
      <c r="AH36" s="23" t="s">
        <v>197</v>
      </c>
      <c r="AI36" s="23" t="s">
        <v>197</v>
      </c>
      <c r="AJ36" s="23" t="s">
        <v>197</v>
      </c>
      <c r="AK36" s="23" t="n">
        <v>12</v>
      </c>
      <c r="AL36" s="23" t="n">
        <v>90</v>
      </c>
      <c r="AM36" s="9" t="s">
        <v>292</v>
      </c>
      <c r="AN36" s="23" t="s">
        <v>197</v>
      </c>
      <c r="AO36" s="23" t="n">
        <v>2</v>
      </c>
      <c r="AP36" s="23" t="n">
        <v>3</v>
      </c>
    </row>
    <row r="37" customFormat="false" ht="21.75" hidden="false" customHeight="true" outlineLevel="0" collapsed="false">
      <c r="B37" s="14" t="n">
        <v>33</v>
      </c>
      <c r="C37" s="7" t="s">
        <v>41</v>
      </c>
      <c r="D37" s="7" t="s">
        <v>20</v>
      </c>
      <c r="E37" s="7" t="s">
        <v>116</v>
      </c>
      <c r="F37" s="7" t="s">
        <v>66</v>
      </c>
      <c r="G37" s="7" t="s">
        <v>295</v>
      </c>
      <c r="H37" s="7" t="s">
        <v>296</v>
      </c>
      <c r="I37" s="7" t="s">
        <v>286</v>
      </c>
      <c r="J37" s="7" t="s">
        <v>287</v>
      </c>
      <c r="K37" s="7" t="s">
        <v>250</v>
      </c>
      <c r="L37" s="7" t="s">
        <v>186</v>
      </c>
      <c r="M37" s="7" t="s">
        <v>251</v>
      </c>
      <c r="N37" s="7" t="s">
        <v>288</v>
      </c>
      <c r="O37" s="7" t="s">
        <v>189</v>
      </c>
      <c r="P37" s="7" t="s">
        <v>190</v>
      </c>
      <c r="Q37" s="7" t="s">
        <v>289</v>
      </c>
      <c r="R37" s="7" t="s">
        <v>290</v>
      </c>
      <c r="S37" s="7" t="s">
        <v>193</v>
      </c>
      <c r="T37" s="7" t="s">
        <v>291</v>
      </c>
      <c r="U37" s="18" t="n">
        <v>55</v>
      </c>
      <c r="V37" s="7"/>
      <c r="W37" s="7"/>
      <c r="X37" s="7" t="s">
        <v>297</v>
      </c>
      <c r="Y37" s="22" t="n">
        <v>0.024</v>
      </c>
      <c r="Z37" s="22" t="n">
        <v>0.034</v>
      </c>
      <c r="AA37" s="22" t="n">
        <v>12</v>
      </c>
      <c r="AB37" s="7" t="s">
        <v>186</v>
      </c>
      <c r="AC37" s="7" t="s">
        <v>256</v>
      </c>
      <c r="AD37" s="22" t="s">
        <v>197</v>
      </c>
      <c r="AE37" s="22" t="s">
        <v>197</v>
      </c>
      <c r="AF37" s="22" t="s">
        <v>197</v>
      </c>
      <c r="AG37" s="22" t="s">
        <v>197</v>
      </c>
      <c r="AH37" s="22" t="s">
        <v>197</v>
      </c>
      <c r="AI37" s="22" t="s">
        <v>197</v>
      </c>
      <c r="AJ37" s="22" t="s">
        <v>197</v>
      </c>
      <c r="AK37" s="22" t="n">
        <v>12</v>
      </c>
      <c r="AL37" s="22" t="n">
        <v>90</v>
      </c>
      <c r="AM37" s="7" t="s">
        <v>292</v>
      </c>
      <c r="AN37" s="22" t="s">
        <v>197</v>
      </c>
      <c r="AO37" s="22" t="n">
        <v>2</v>
      </c>
      <c r="AP37" s="22" t="n">
        <v>3</v>
      </c>
    </row>
    <row r="38" customFormat="false" ht="21.75" hidden="false" customHeight="true" outlineLevel="0" collapsed="false">
      <c r="B38" s="15" t="n">
        <v>34</v>
      </c>
      <c r="C38" s="9" t="s">
        <v>41</v>
      </c>
      <c r="D38" s="9" t="s">
        <v>20</v>
      </c>
      <c r="E38" s="9" t="s">
        <v>116</v>
      </c>
      <c r="F38" s="9" t="s">
        <v>66</v>
      </c>
      <c r="G38" s="9" t="s">
        <v>298</v>
      </c>
      <c r="H38" s="9" t="s">
        <v>299</v>
      </c>
      <c r="I38" s="9" t="s">
        <v>286</v>
      </c>
      <c r="J38" s="9" t="s">
        <v>287</v>
      </c>
      <c r="K38" s="9" t="s">
        <v>250</v>
      </c>
      <c r="L38" s="9" t="s">
        <v>186</v>
      </c>
      <c r="M38" s="9" t="s">
        <v>251</v>
      </c>
      <c r="N38" s="9" t="s">
        <v>288</v>
      </c>
      <c r="O38" s="9" t="s">
        <v>189</v>
      </c>
      <c r="P38" s="9" t="s">
        <v>190</v>
      </c>
      <c r="Q38" s="9" t="s">
        <v>289</v>
      </c>
      <c r="R38" s="9" t="s">
        <v>290</v>
      </c>
      <c r="S38" s="9" t="s">
        <v>193</v>
      </c>
      <c r="T38" s="9" t="s">
        <v>291</v>
      </c>
      <c r="U38" s="19" t="n">
        <v>80</v>
      </c>
      <c r="V38" s="9"/>
      <c r="W38" s="9"/>
      <c r="X38" s="9" t="s">
        <v>203</v>
      </c>
      <c r="Y38" s="23" t="n">
        <v>0.028</v>
      </c>
      <c r="Z38" s="23" t="n">
        <v>0.038</v>
      </c>
      <c r="AA38" s="23" t="n">
        <v>12</v>
      </c>
      <c r="AB38" s="9" t="s">
        <v>186</v>
      </c>
      <c r="AC38" s="9" t="s">
        <v>256</v>
      </c>
      <c r="AD38" s="23" t="s">
        <v>197</v>
      </c>
      <c r="AE38" s="23" t="s">
        <v>197</v>
      </c>
      <c r="AF38" s="23" t="s">
        <v>197</v>
      </c>
      <c r="AG38" s="23" t="s">
        <v>197</v>
      </c>
      <c r="AH38" s="23" t="s">
        <v>197</v>
      </c>
      <c r="AI38" s="23" t="s">
        <v>197</v>
      </c>
      <c r="AJ38" s="23" t="s">
        <v>197</v>
      </c>
      <c r="AK38" s="23" t="n">
        <v>15</v>
      </c>
      <c r="AL38" s="23" t="n">
        <v>90</v>
      </c>
      <c r="AM38" s="9" t="s">
        <v>292</v>
      </c>
      <c r="AN38" s="23" t="s">
        <v>197</v>
      </c>
      <c r="AO38" s="23" t="n">
        <v>2</v>
      </c>
      <c r="AP38" s="23" t="n">
        <v>3</v>
      </c>
    </row>
    <row r="39" customFormat="false" ht="21.75" hidden="false" customHeight="true" outlineLevel="0" collapsed="false">
      <c r="B39" s="14" t="n">
        <v>35</v>
      </c>
      <c r="C39" s="7" t="s">
        <v>41</v>
      </c>
      <c r="D39" s="7" t="s">
        <v>20</v>
      </c>
      <c r="E39" s="7" t="s">
        <v>116</v>
      </c>
      <c r="F39" s="7" t="s">
        <v>66</v>
      </c>
      <c r="G39" s="7" t="s">
        <v>300</v>
      </c>
      <c r="H39" s="7" t="s">
        <v>301</v>
      </c>
      <c r="I39" s="7" t="s">
        <v>286</v>
      </c>
      <c r="J39" s="7" t="s">
        <v>287</v>
      </c>
      <c r="K39" s="7" t="s">
        <v>250</v>
      </c>
      <c r="L39" s="7" t="s">
        <v>186</v>
      </c>
      <c r="M39" s="7" t="s">
        <v>251</v>
      </c>
      <c r="N39" s="7" t="s">
        <v>288</v>
      </c>
      <c r="O39" s="7" t="s">
        <v>189</v>
      </c>
      <c r="P39" s="7" t="s">
        <v>190</v>
      </c>
      <c r="Q39" s="7" t="s">
        <v>289</v>
      </c>
      <c r="R39" s="7" t="s">
        <v>290</v>
      </c>
      <c r="S39" s="7" t="s">
        <v>193</v>
      </c>
      <c r="T39" s="7" t="s">
        <v>291</v>
      </c>
      <c r="U39" s="18" t="n">
        <v>120</v>
      </c>
      <c r="V39" s="7"/>
      <c r="W39" s="7"/>
      <c r="X39" s="7" t="s">
        <v>205</v>
      </c>
      <c r="Y39" s="22" t="n">
        <v>0.027</v>
      </c>
      <c r="Z39" s="22" t="n">
        <v>0.037</v>
      </c>
      <c r="AA39" s="22" t="n">
        <v>12</v>
      </c>
      <c r="AB39" s="7" t="s">
        <v>186</v>
      </c>
      <c r="AC39" s="7" t="s">
        <v>256</v>
      </c>
      <c r="AD39" s="22" t="s">
        <v>197</v>
      </c>
      <c r="AE39" s="22" t="s">
        <v>197</v>
      </c>
      <c r="AF39" s="22" t="s">
        <v>197</v>
      </c>
      <c r="AG39" s="22" t="s">
        <v>197</v>
      </c>
      <c r="AH39" s="22" t="s">
        <v>197</v>
      </c>
      <c r="AI39" s="22" t="s">
        <v>197</v>
      </c>
      <c r="AJ39" s="22" t="s">
        <v>197</v>
      </c>
      <c r="AK39" s="22" t="n">
        <v>20</v>
      </c>
      <c r="AL39" s="22" t="n">
        <v>90</v>
      </c>
      <c r="AM39" s="7" t="s">
        <v>292</v>
      </c>
      <c r="AN39" s="22" t="s">
        <v>197</v>
      </c>
      <c r="AO39" s="22" t="n">
        <v>2</v>
      </c>
      <c r="AP39" s="22" t="n">
        <v>3</v>
      </c>
    </row>
    <row r="40" customFormat="false" ht="21.75" hidden="false" customHeight="true" outlineLevel="0" collapsed="false">
      <c r="B40" s="15" t="n">
        <v>36</v>
      </c>
      <c r="C40" s="9" t="s">
        <v>41</v>
      </c>
      <c r="D40" s="9" t="s">
        <v>20</v>
      </c>
      <c r="E40" s="9" t="s">
        <v>116</v>
      </c>
      <c r="F40" s="9" t="s">
        <v>67</v>
      </c>
      <c r="G40" s="9" t="s">
        <v>302</v>
      </c>
      <c r="H40" s="9" t="s">
        <v>303</v>
      </c>
      <c r="I40" s="9" t="s">
        <v>304</v>
      </c>
      <c r="J40" s="9" t="s">
        <v>305</v>
      </c>
      <c r="K40" s="9" t="s">
        <v>250</v>
      </c>
      <c r="L40" s="9" t="s">
        <v>186</v>
      </c>
      <c r="M40" s="9" t="s">
        <v>306</v>
      </c>
      <c r="N40" s="9" t="s">
        <v>189</v>
      </c>
      <c r="O40" s="9" t="s">
        <v>189</v>
      </c>
      <c r="P40" s="9" t="s">
        <v>190</v>
      </c>
      <c r="Q40" s="9" t="s">
        <v>307</v>
      </c>
      <c r="R40" s="9" t="s">
        <v>308</v>
      </c>
      <c r="S40" s="9" t="s">
        <v>193</v>
      </c>
      <c r="T40" s="9" t="s">
        <v>309</v>
      </c>
      <c r="U40" s="19" t="n">
        <v>8</v>
      </c>
      <c r="V40" s="9"/>
      <c r="W40" s="9"/>
      <c r="X40" s="9" t="s">
        <v>195</v>
      </c>
      <c r="Y40" s="23" t="n">
        <v>0</v>
      </c>
      <c r="Z40" s="23" t="n">
        <v>0</v>
      </c>
      <c r="AA40" s="23" t="s">
        <v>197</v>
      </c>
      <c r="AB40" s="9" t="s">
        <v>186</v>
      </c>
      <c r="AC40" s="9" t="s">
        <v>256</v>
      </c>
      <c r="AD40" s="23" t="s">
        <v>197</v>
      </c>
      <c r="AE40" s="23" t="s">
        <v>197</v>
      </c>
      <c r="AF40" s="23" t="s">
        <v>197</v>
      </c>
      <c r="AG40" s="23" t="s">
        <v>197</v>
      </c>
      <c r="AH40" s="23" t="s">
        <v>197</v>
      </c>
      <c r="AI40" s="23" t="s">
        <v>197</v>
      </c>
      <c r="AJ40" s="23" t="s">
        <v>197</v>
      </c>
      <c r="AK40" s="23" t="s">
        <v>197</v>
      </c>
      <c r="AL40" s="23" t="s">
        <v>197</v>
      </c>
      <c r="AM40" s="9" t="s">
        <v>310</v>
      </c>
      <c r="AN40" s="23" t="s">
        <v>197</v>
      </c>
      <c r="AO40" s="23" t="s">
        <v>197</v>
      </c>
      <c r="AP40" s="23" t="s">
        <v>197</v>
      </c>
    </row>
    <row r="41" customFormat="false" ht="21.75" hidden="false" customHeight="true" outlineLevel="0" collapsed="false">
      <c r="B41" s="14" t="n">
        <v>37</v>
      </c>
      <c r="C41" s="7" t="s">
        <v>41</v>
      </c>
      <c r="D41" s="7" t="s">
        <v>20</v>
      </c>
      <c r="E41" s="7" t="s">
        <v>116</v>
      </c>
      <c r="F41" s="7" t="s">
        <v>67</v>
      </c>
      <c r="G41" s="7" t="s">
        <v>311</v>
      </c>
      <c r="H41" s="7" t="s">
        <v>312</v>
      </c>
      <c r="I41" s="7" t="s">
        <v>304</v>
      </c>
      <c r="J41" s="7" t="s">
        <v>305</v>
      </c>
      <c r="K41" s="7" t="s">
        <v>250</v>
      </c>
      <c r="L41" s="7" t="s">
        <v>186</v>
      </c>
      <c r="M41" s="7" t="s">
        <v>306</v>
      </c>
      <c r="N41" s="7" t="s">
        <v>189</v>
      </c>
      <c r="O41" s="7" t="s">
        <v>189</v>
      </c>
      <c r="P41" s="7" t="s">
        <v>190</v>
      </c>
      <c r="Q41" s="7" t="s">
        <v>307</v>
      </c>
      <c r="R41" s="7" t="s">
        <v>308</v>
      </c>
      <c r="S41" s="7" t="s">
        <v>193</v>
      </c>
      <c r="T41" s="7" t="s">
        <v>309</v>
      </c>
      <c r="U41" s="18" t="n">
        <v>8</v>
      </c>
      <c r="V41" s="7"/>
      <c r="W41" s="7"/>
      <c r="X41" s="7" t="s">
        <v>199</v>
      </c>
      <c r="Y41" s="22" t="n">
        <v>0</v>
      </c>
      <c r="Z41" s="22" t="n">
        <v>0</v>
      </c>
      <c r="AA41" s="22" t="s">
        <v>197</v>
      </c>
      <c r="AB41" s="7" t="s">
        <v>186</v>
      </c>
      <c r="AC41" s="7" t="s">
        <v>256</v>
      </c>
      <c r="AD41" s="22" t="s">
        <v>197</v>
      </c>
      <c r="AE41" s="22" t="s">
        <v>197</v>
      </c>
      <c r="AF41" s="22" t="s">
        <v>197</v>
      </c>
      <c r="AG41" s="22" t="s">
        <v>197</v>
      </c>
      <c r="AH41" s="22" t="s">
        <v>197</v>
      </c>
      <c r="AI41" s="22" t="s">
        <v>197</v>
      </c>
      <c r="AJ41" s="22" t="s">
        <v>197</v>
      </c>
      <c r="AK41" s="22" t="s">
        <v>197</v>
      </c>
      <c r="AL41" s="22" t="s">
        <v>197</v>
      </c>
      <c r="AM41" s="7" t="s">
        <v>310</v>
      </c>
      <c r="AN41" s="22" t="s">
        <v>197</v>
      </c>
      <c r="AO41" s="22" t="s">
        <v>197</v>
      </c>
      <c r="AP41" s="22" t="s">
        <v>197</v>
      </c>
    </row>
    <row r="42" customFormat="false" ht="21.75" hidden="false" customHeight="true" outlineLevel="0" collapsed="false">
      <c r="B42" s="15" t="n">
        <v>38</v>
      </c>
      <c r="C42" s="9" t="s">
        <v>41</v>
      </c>
      <c r="D42" s="9" t="s">
        <v>20</v>
      </c>
      <c r="E42" s="9" t="s">
        <v>116</v>
      </c>
      <c r="F42" s="9" t="s">
        <v>67</v>
      </c>
      <c r="G42" s="9" t="s">
        <v>313</v>
      </c>
      <c r="H42" s="9" t="s">
        <v>314</v>
      </c>
      <c r="I42" s="9" t="s">
        <v>304</v>
      </c>
      <c r="J42" s="9" t="s">
        <v>305</v>
      </c>
      <c r="K42" s="9" t="s">
        <v>250</v>
      </c>
      <c r="L42" s="9" t="s">
        <v>186</v>
      </c>
      <c r="M42" s="9" t="s">
        <v>306</v>
      </c>
      <c r="N42" s="9" t="s">
        <v>189</v>
      </c>
      <c r="O42" s="9" t="s">
        <v>189</v>
      </c>
      <c r="P42" s="9" t="s">
        <v>190</v>
      </c>
      <c r="Q42" s="9" t="s">
        <v>307</v>
      </c>
      <c r="R42" s="9" t="s">
        <v>308</v>
      </c>
      <c r="S42" s="9" t="s">
        <v>193</v>
      </c>
      <c r="T42" s="9" t="s">
        <v>309</v>
      </c>
      <c r="U42" s="19" t="n">
        <v>8</v>
      </c>
      <c r="V42" s="9"/>
      <c r="W42" s="9"/>
      <c r="X42" s="9" t="s">
        <v>315</v>
      </c>
      <c r="Y42" s="23" t="n">
        <v>0</v>
      </c>
      <c r="Z42" s="23" t="n">
        <v>0</v>
      </c>
      <c r="AA42" s="23" t="s">
        <v>197</v>
      </c>
      <c r="AB42" s="9" t="s">
        <v>186</v>
      </c>
      <c r="AC42" s="9" t="s">
        <v>256</v>
      </c>
      <c r="AD42" s="23" t="s">
        <v>197</v>
      </c>
      <c r="AE42" s="23" t="s">
        <v>197</v>
      </c>
      <c r="AF42" s="23" t="s">
        <v>197</v>
      </c>
      <c r="AG42" s="23" t="s">
        <v>197</v>
      </c>
      <c r="AH42" s="23" t="s">
        <v>197</v>
      </c>
      <c r="AI42" s="23" t="s">
        <v>197</v>
      </c>
      <c r="AJ42" s="23" t="s">
        <v>197</v>
      </c>
      <c r="AK42" s="23" t="s">
        <v>197</v>
      </c>
      <c r="AL42" s="23" t="s">
        <v>197</v>
      </c>
      <c r="AM42" s="9" t="s">
        <v>310</v>
      </c>
      <c r="AN42" s="23" t="s">
        <v>197</v>
      </c>
      <c r="AO42" s="23" t="s">
        <v>197</v>
      </c>
      <c r="AP42" s="23" t="s">
        <v>197</v>
      </c>
    </row>
    <row r="43" customFormat="false" ht="21.75" hidden="false" customHeight="true" outlineLevel="0" collapsed="false">
      <c r="B43" s="14" t="n">
        <v>39</v>
      </c>
      <c r="C43" s="7" t="s">
        <v>41</v>
      </c>
      <c r="D43" s="7" t="s">
        <v>20</v>
      </c>
      <c r="E43" s="7" t="s">
        <v>116</v>
      </c>
      <c r="F43" s="7" t="s">
        <v>67</v>
      </c>
      <c r="G43" s="7" t="s">
        <v>316</v>
      </c>
      <c r="H43" s="7" t="s">
        <v>317</v>
      </c>
      <c r="I43" s="7" t="s">
        <v>304</v>
      </c>
      <c r="J43" s="7" t="s">
        <v>305</v>
      </c>
      <c r="K43" s="7" t="s">
        <v>250</v>
      </c>
      <c r="L43" s="7" t="s">
        <v>186</v>
      </c>
      <c r="M43" s="7" t="s">
        <v>306</v>
      </c>
      <c r="N43" s="7" t="s">
        <v>189</v>
      </c>
      <c r="O43" s="7" t="s">
        <v>189</v>
      </c>
      <c r="P43" s="7" t="s">
        <v>190</v>
      </c>
      <c r="Q43" s="7" t="s">
        <v>307</v>
      </c>
      <c r="R43" s="7" t="s">
        <v>308</v>
      </c>
      <c r="S43" s="7" t="s">
        <v>193</v>
      </c>
      <c r="T43" s="7" t="s">
        <v>309</v>
      </c>
      <c r="U43" s="18" t="n">
        <v>12</v>
      </c>
      <c r="V43" s="7"/>
      <c r="W43" s="7"/>
      <c r="X43" s="7" t="s">
        <v>203</v>
      </c>
      <c r="Y43" s="22" t="n">
        <v>0</v>
      </c>
      <c r="Z43" s="22" t="n">
        <v>0</v>
      </c>
      <c r="AA43" s="22" t="s">
        <v>197</v>
      </c>
      <c r="AB43" s="7" t="s">
        <v>186</v>
      </c>
      <c r="AC43" s="7" t="s">
        <v>256</v>
      </c>
      <c r="AD43" s="22" t="s">
        <v>197</v>
      </c>
      <c r="AE43" s="22" t="s">
        <v>197</v>
      </c>
      <c r="AF43" s="22" t="s">
        <v>197</v>
      </c>
      <c r="AG43" s="22" t="s">
        <v>197</v>
      </c>
      <c r="AH43" s="22" t="s">
        <v>197</v>
      </c>
      <c r="AI43" s="22" t="s">
        <v>197</v>
      </c>
      <c r="AJ43" s="22" t="s">
        <v>197</v>
      </c>
      <c r="AK43" s="22" t="s">
        <v>197</v>
      </c>
      <c r="AL43" s="22" t="s">
        <v>197</v>
      </c>
      <c r="AM43" s="7" t="s">
        <v>310</v>
      </c>
      <c r="AN43" s="22" t="s">
        <v>197</v>
      </c>
      <c r="AO43" s="22" t="s">
        <v>197</v>
      </c>
      <c r="AP43" s="22" t="s">
        <v>197</v>
      </c>
    </row>
    <row r="44" customFormat="false" ht="21.75" hidden="false" customHeight="true" outlineLevel="0" collapsed="false">
      <c r="B44" s="15" t="n">
        <v>40</v>
      </c>
      <c r="C44" s="9" t="s">
        <v>41</v>
      </c>
      <c r="D44" s="9" t="s">
        <v>20</v>
      </c>
      <c r="E44" s="9" t="s">
        <v>116</v>
      </c>
      <c r="F44" s="9" t="s">
        <v>67</v>
      </c>
      <c r="G44" s="9" t="s">
        <v>318</v>
      </c>
      <c r="H44" s="9" t="s">
        <v>319</v>
      </c>
      <c r="I44" s="9" t="s">
        <v>304</v>
      </c>
      <c r="J44" s="9" t="s">
        <v>305</v>
      </c>
      <c r="K44" s="9" t="s">
        <v>250</v>
      </c>
      <c r="L44" s="9" t="s">
        <v>186</v>
      </c>
      <c r="M44" s="9" t="s">
        <v>306</v>
      </c>
      <c r="N44" s="9" t="s">
        <v>189</v>
      </c>
      <c r="O44" s="9" t="s">
        <v>189</v>
      </c>
      <c r="P44" s="9" t="s">
        <v>190</v>
      </c>
      <c r="Q44" s="9" t="s">
        <v>307</v>
      </c>
      <c r="R44" s="9" t="s">
        <v>308</v>
      </c>
      <c r="S44" s="9" t="s">
        <v>193</v>
      </c>
      <c r="T44" s="9" t="s">
        <v>309</v>
      </c>
      <c r="U44" s="19" t="n">
        <v>18</v>
      </c>
      <c r="V44" s="9"/>
      <c r="W44" s="9"/>
      <c r="X44" s="9" t="s">
        <v>205</v>
      </c>
      <c r="Y44" s="23" t="n">
        <v>0</v>
      </c>
      <c r="Z44" s="23" t="n">
        <v>0</v>
      </c>
      <c r="AA44" s="23" t="s">
        <v>197</v>
      </c>
      <c r="AB44" s="9" t="s">
        <v>186</v>
      </c>
      <c r="AC44" s="9" t="s">
        <v>256</v>
      </c>
      <c r="AD44" s="23" t="s">
        <v>197</v>
      </c>
      <c r="AE44" s="23" t="s">
        <v>197</v>
      </c>
      <c r="AF44" s="23" t="s">
        <v>197</v>
      </c>
      <c r="AG44" s="23" t="s">
        <v>197</v>
      </c>
      <c r="AH44" s="23" t="s">
        <v>197</v>
      </c>
      <c r="AI44" s="23" t="s">
        <v>197</v>
      </c>
      <c r="AJ44" s="23" t="s">
        <v>197</v>
      </c>
      <c r="AK44" s="23" t="s">
        <v>197</v>
      </c>
      <c r="AL44" s="23" t="s">
        <v>197</v>
      </c>
      <c r="AM44" s="9" t="s">
        <v>310</v>
      </c>
      <c r="AN44" s="23" t="s">
        <v>197</v>
      </c>
      <c r="AO44" s="23" t="s">
        <v>197</v>
      </c>
      <c r="AP44" s="23" t="s">
        <v>197</v>
      </c>
    </row>
    <row r="45" customFormat="false" ht="21.75" hidden="false" customHeight="true" outlineLevel="0" collapsed="false">
      <c r="B45" s="14" t="n">
        <v>41</v>
      </c>
      <c r="C45" s="7" t="s">
        <v>41</v>
      </c>
      <c r="D45" s="7" t="s">
        <v>20</v>
      </c>
      <c r="E45" s="7" t="s">
        <v>116</v>
      </c>
      <c r="F45" s="7" t="s">
        <v>68</v>
      </c>
      <c r="G45" s="7" t="s">
        <v>320</v>
      </c>
      <c r="H45" s="7" t="s">
        <v>321</v>
      </c>
      <c r="I45" s="7" t="s">
        <v>322</v>
      </c>
      <c r="J45" s="7" t="s">
        <v>323</v>
      </c>
      <c r="K45" s="7" t="s">
        <v>250</v>
      </c>
      <c r="L45" s="7" t="s">
        <v>186</v>
      </c>
      <c r="M45" s="7" t="s">
        <v>251</v>
      </c>
      <c r="N45" s="7" t="s">
        <v>324</v>
      </c>
      <c r="O45" s="7" t="s">
        <v>189</v>
      </c>
      <c r="P45" s="7" t="s">
        <v>190</v>
      </c>
      <c r="Q45" s="7" t="s">
        <v>325</v>
      </c>
      <c r="R45" s="7" t="s">
        <v>326</v>
      </c>
      <c r="S45" s="7" t="s">
        <v>193</v>
      </c>
      <c r="T45" s="7" t="s">
        <v>327</v>
      </c>
      <c r="U45" s="18" t="n">
        <v>19</v>
      </c>
      <c r="V45" s="7"/>
      <c r="W45" s="7"/>
      <c r="X45" s="7" t="s">
        <v>195</v>
      </c>
      <c r="Y45" s="22" t="n">
        <v>0.015</v>
      </c>
      <c r="Z45" s="22" t="n">
        <v>0.023</v>
      </c>
      <c r="AA45" s="22" t="n">
        <v>12</v>
      </c>
      <c r="AB45" s="7" t="s">
        <v>186</v>
      </c>
      <c r="AC45" s="7" t="s">
        <v>256</v>
      </c>
      <c r="AD45" s="22" t="s">
        <v>197</v>
      </c>
      <c r="AE45" s="22" t="s">
        <v>197</v>
      </c>
      <c r="AF45" s="22" t="s">
        <v>197</v>
      </c>
      <c r="AG45" s="22" t="s">
        <v>197</v>
      </c>
      <c r="AH45" s="22" t="s">
        <v>197</v>
      </c>
      <c r="AI45" s="22" t="s">
        <v>197</v>
      </c>
      <c r="AJ45" s="22" t="n">
        <v>6</v>
      </c>
      <c r="AK45" s="22" t="s">
        <v>197</v>
      </c>
      <c r="AL45" s="22" t="s">
        <v>197</v>
      </c>
      <c r="AM45" s="7" t="s">
        <v>328</v>
      </c>
      <c r="AN45" s="22" t="s">
        <v>197</v>
      </c>
      <c r="AO45" s="22" t="n">
        <v>2</v>
      </c>
      <c r="AP45" s="22" t="n">
        <v>4.6</v>
      </c>
    </row>
    <row r="46" customFormat="false" ht="21.75" hidden="false" customHeight="true" outlineLevel="0" collapsed="false">
      <c r="B46" s="15" t="n">
        <v>42</v>
      </c>
      <c r="C46" s="9" t="s">
        <v>41</v>
      </c>
      <c r="D46" s="9" t="s">
        <v>20</v>
      </c>
      <c r="E46" s="9" t="s">
        <v>116</v>
      </c>
      <c r="F46" s="9" t="s">
        <v>68</v>
      </c>
      <c r="G46" s="9" t="s">
        <v>329</v>
      </c>
      <c r="H46" s="9" t="s">
        <v>330</v>
      </c>
      <c r="I46" s="9" t="s">
        <v>322</v>
      </c>
      <c r="J46" s="9" t="s">
        <v>323</v>
      </c>
      <c r="K46" s="9" t="s">
        <v>250</v>
      </c>
      <c r="L46" s="9" t="s">
        <v>186</v>
      </c>
      <c r="M46" s="9" t="s">
        <v>251</v>
      </c>
      <c r="N46" s="9" t="s">
        <v>324</v>
      </c>
      <c r="O46" s="9" t="s">
        <v>189</v>
      </c>
      <c r="P46" s="9" t="s">
        <v>190</v>
      </c>
      <c r="Q46" s="9" t="s">
        <v>325</v>
      </c>
      <c r="R46" s="9" t="s">
        <v>326</v>
      </c>
      <c r="S46" s="9" t="s">
        <v>193</v>
      </c>
      <c r="T46" s="9" t="s">
        <v>327</v>
      </c>
      <c r="U46" s="19" t="n">
        <v>25</v>
      </c>
      <c r="V46" s="9"/>
      <c r="W46" s="9"/>
      <c r="X46" s="9" t="s">
        <v>199</v>
      </c>
      <c r="Y46" s="23" t="n">
        <v>0.019</v>
      </c>
      <c r="Z46" s="23" t="n">
        <v>0.029</v>
      </c>
      <c r="AA46" s="23" t="n">
        <v>12</v>
      </c>
      <c r="AB46" s="9" t="s">
        <v>186</v>
      </c>
      <c r="AC46" s="9" t="s">
        <v>256</v>
      </c>
      <c r="AD46" s="23" t="s">
        <v>197</v>
      </c>
      <c r="AE46" s="23" t="s">
        <v>197</v>
      </c>
      <c r="AF46" s="23" t="s">
        <v>197</v>
      </c>
      <c r="AG46" s="23" t="s">
        <v>197</v>
      </c>
      <c r="AH46" s="23" t="s">
        <v>197</v>
      </c>
      <c r="AI46" s="23" t="s">
        <v>197</v>
      </c>
      <c r="AJ46" s="23" t="n">
        <v>7.6</v>
      </c>
      <c r="AK46" s="23" t="s">
        <v>197</v>
      </c>
      <c r="AL46" s="23" t="s">
        <v>197</v>
      </c>
      <c r="AM46" s="9" t="s">
        <v>328</v>
      </c>
      <c r="AN46" s="23" t="s">
        <v>197</v>
      </c>
      <c r="AO46" s="23" t="n">
        <v>2</v>
      </c>
      <c r="AP46" s="23" t="n">
        <v>4.6</v>
      </c>
    </row>
    <row r="47" customFormat="false" ht="21.75" hidden="false" customHeight="true" outlineLevel="0" collapsed="false">
      <c r="B47" s="14" t="n">
        <v>43</v>
      </c>
      <c r="C47" s="7" t="s">
        <v>41</v>
      </c>
      <c r="D47" s="7" t="s">
        <v>20</v>
      </c>
      <c r="E47" s="7" t="s">
        <v>116</v>
      </c>
      <c r="F47" s="7" t="s">
        <v>68</v>
      </c>
      <c r="G47" s="7" t="s">
        <v>331</v>
      </c>
      <c r="H47" s="7" t="s">
        <v>332</v>
      </c>
      <c r="I47" s="7" t="s">
        <v>322</v>
      </c>
      <c r="J47" s="7" t="s">
        <v>323</v>
      </c>
      <c r="K47" s="7" t="s">
        <v>250</v>
      </c>
      <c r="L47" s="7" t="s">
        <v>186</v>
      </c>
      <c r="M47" s="7" t="s">
        <v>251</v>
      </c>
      <c r="N47" s="7" t="s">
        <v>324</v>
      </c>
      <c r="O47" s="7" t="s">
        <v>189</v>
      </c>
      <c r="P47" s="7" t="s">
        <v>190</v>
      </c>
      <c r="Q47" s="7" t="s">
        <v>325</v>
      </c>
      <c r="R47" s="7" t="s">
        <v>326</v>
      </c>
      <c r="S47" s="7" t="s">
        <v>193</v>
      </c>
      <c r="T47" s="7" t="s">
        <v>327</v>
      </c>
      <c r="U47" s="18" t="n">
        <v>35</v>
      </c>
      <c r="V47" s="7"/>
      <c r="W47" s="7"/>
      <c r="X47" s="7" t="s">
        <v>333</v>
      </c>
      <c r="Y47" s="22" t="n">
        <v>0.013</v>
      </c>
      <c r="Z47" s="22" t="n">
        <v>0.021</v>
      </c>
      <c r="AA47" s="22" t="n">
        <v>12</v>
      </c>
      <c r="AB47" s="7" t="s">
        <v>186</v>
      </c>
      <c r="AC47" s="7" t="s">
        <v>256</v>
      </c>
      <c r="AD47" s="22" t="s">
        <v>197</v>
      </c>
      <c r="AE47" s="22" t="s">
        <v>197</v>
      </c>
      <c r="AF47" s="22" t="s">
        <v>197</v>
      </c>
      <c r="AG47" s="22" t="s">
        <v>197</v>
      </c>
      <c r="AH47" s="22" t="s">
        <v>197</v>
      </c>
      <c r="AI47" s="22" t="s">
        <v>197</v>
      </c>
      <c r="AJ47" s="22" t="n">
        <v>7.6</v>
      </c>
      <c r="AK47" s="22" t="s">
        <v>197</v>
      </c>
      <c r="AL47" s="22" t="s">
        <v>197</v>
      </c>
      <c r="AM47" s="7" t="s">
        <v>328</v>
      </c>
      <c r="AN47" s="22" t="s">
        <v>197</v>
      </c>
      <c r="AO47" s="22" t="n">
        <v>2</v>
      </c>
      <c r="AP47" s="22" t="n">
        <v>4.6</v>
      </c>
    </row>
    <row r="48" customFormat="false" ht="21.75" hidden="false" customHeight="true" outlineLevel="0" collapsed="false">
      <c r="B48" s="15" t="n">
        <v>44</v>
      </c>
      <c r="C48" s="9" t="s">
        <v>41</v>
      </c>
      <c r="D48" s="9" t="s">
        <v>20</v>
      </c>
      <c r="E48" s="9" t="s">
        <v>116</v>
      </c>
      <c r="F48" s="9" t="s">
        <v>68</v>
      </c>
      <c r="G48" s="9" t="s">
        <v>334</v>
      </c>
      <c r="H48" s="9" t="s">
        <v>335</v>
      </c>
      <c r="I48" s="9" t="s">
        <v>322</v>
      </c>
      <c r="J48" s="9" t="s">
        <v>323</v>
      </c>
      <c r="K48" s="9" t="s">
        <v>250</v>
      </c>
      <c r="L48" s="9" t="s">
        <v>186</v>
      </c>
      <c r="M48" s="9" t="s">
        <v>251</v>
      </c>
      <c r="N48" s="9" t="s">
        <v>324</v>
      </c>
      <c r="O48" s="9" t="s">
        <v>189</v>
      </c>
      <c r="P48" s="9" t="s">
        <v>190</v>
      </c>
      <c r="Q48" s="9" t="s">
        <v>325</v>
      </c>
      <c r="R48" s="9" t="s">
        <v>326</v>
      </c>
      <c r="S48" s="9" t="s">
        <v>193</v>
      </c>
      <c r="T48" s="9" t="s">
        <v>327</v>
      </c>
      <c r="U48" s="19" t="n">
        <v>55</v>
      </c>
      <c r="V48" s="9"/>
      <c r="W48" s="9"/>
      <c r="X48" s="9" t="s">
        <v>203</v>
      </c>
      <c r="Y48" s="23" t="n">
        <v>0.016</v>
      </c>
      <c r="Z48" s="23" t="n">
        <v>0.025</v>
      </c>
      <c r="AA48" s="23" t="n">
        <v>12</v>
      </c>
      <c r="AB48" s="9" t="s">
        <v>186</v>
      </c>
      <c r="AC48" s="9" t="s">
        <v>256</v>
      </c>
      <c r="AD48" s="23" t="s">
        <v>197</v>
      </c>
      <c r="AE48" s="23" t="s">
        <v>197</v>
      </c>
      <c r="AF48" s="23" t="s">
        <v>197</v>
      </c>
      <c r="AG48" s="23" t="s">
        <v>197</v>
      </c>
      <c r="AH48" s="23" t="s">
        <v>197</v>
      </c>
      <c r="AI48" s="23" t="s">
        <v>197</v>
      </c>
      <c r="AJ48" s="23" t="n">
        <v>9</v>
      </c>
      <c r="AK48" s="23" t="s">
        <v>197</v>
      </c>
      <c r="AL48" s="23" t="s">
        <v>197</v>
      </c>
      <c r="AM48" s="9" t="s">
        <v>328</v>
      </c>
      <c r="AN48" s="23" t="s">
        <v>197</v>
      </c>
      <c r="AO48" s="23" t="n">
        <v>2</v>
      </c>
      <c r="AP48" s="23" t="n">
        <v>4.6</v>
      </c>
    </row>
    <row r="49" customFormat="false" ht="21.75" hidden="false" customHeight="true" outlineLevel="0" collapsed="false">
      <c r="B49" s="14" t="n">
        <v>45</v>
      </c>
      <c r="C49" s="7" t="s">
        <v>41</v>
      </c>
      <c r="D49" s="7" t="s">
        <v>20</v>
      </c>
      <c r="E49" s="7" t="s">
        <v>116</v>
      </c>
      <c r="F49" s="7" t="s">
        <v>68</v>
      </c>
      <c r="G49" s="7" t="s">
        <v>336</v>
      </c>
      <c r="H49" s="7" t="s">
        <v>337</v>
      </c>
      <c r="I49" s="7" t="s">
        <v>322</v>
      </c>
      <c r="J49" s="7" t="s">
        <v>323</v>
      </c>
      <c r="K49" s="7" t="s">
        <v>250</v>
      </c>
      <c r="L49" s="7" t="s">
        <v>186</v>
      </c>
      <c r="M49" s="7" t="s">
        <v>251</v>
      </c>
      <c r="N49" s="7" t="s">
        <v>324</v>
      </c>
      <c r="O49" s="7" t="s">
        <v>189</v>
      </c>
      <c r="P49" s="7" t="s">
        <v>190</v>
      </c>
      <c r="Q49" s="7" t="s">
        <v>325</v>
      </c>
      <c r="R49" s="7" t="s">
        <v>326</v>
      </c>
      <c r="S49" s="7" t="s">
        <v>193</v>
      </c>
      <c r="T49" s="7" t="s">
        <v>327</v>
      </c>
      <c r="U49" s="18" t="n">
        <v>80</v>
      </c>
      <c r="V49" s="7"/>
      <c r="W49" s="7"/>
      <c r="X49" s="7" t="s">
        <v>205</v>
      </c>
      <c r="Y49" s="22" t="n">
        <v>0.013</v>
      </c>
      <c r="Z49" s="22" t="n">
        <v>0.021</v>
      </c>
      <c r="AA49" s="22" t="n">
        <v>12</v>
      </c>
      <c r="AB49" s="7" t="s">
        <v>186</v>
      </c>
      <c r="AC49" s="7" t="s">
        <v>256</v>
      </c>
      <c r="AD49" s="22" t="s">
        <v>197</v>
      </c>
      <c r="AE49" s="22" t="s">
        <v>197</v>
      </c>
      <c r="AF49" s="22" t="s">
        <v>197</v>
      </c>
      <c r="AG49" s="22" t="s">
        <v>197</v>
      </c>
      <c r="AH49" s="22" t="s">
        <v>197</v>
      </c>
      <c r="AI49" s="22" t="s">
        <v>197</v>
      </c>
      <c r="AJ49" s="22" t="n">
        <v>9</v>
      </c>
      <c r="AK49" s="22" t="s">
        <v>197</v>
      </c>
      <c r="AL49" s="22" t="s">
        <v>197</v>
      </c>
      <c r="AM49" s="7" t="s">
        <v>328</v>
      </c>
      <c r="AN49" s="22" t="s">
        <v>197</v>
      </c>
      <c r="AO49" s="22" t="n">
        <v>2</v>
      </c>
      <c r="AP49" s="22" t="n">
        <v>4.6</v>
      </c>
    </row>
    <row r="50" customFormat="false" ht="21.75" hidden="false" customHeight="true" outlineLevel="0" collapsed="false">
      <c r="B50" s="15" t="n">
        <v>46</v>
      </c>
      <c r="C50" s="9" t="s">
        <v>41</v>
      </c>
      <c r="D50" s="9" t="s">
        <v>20</v>
      </c>
      <c r="E50" s="9" t="s">
        <v>116</v>
      </c>
      <c r="F50" s="9" t="s">
        <v>69</v>
      </c>
      <c r="G50" s="9" t="s">
        <v>338</v>
      </c>
      <c r="H50" s="9" t="s">
        <v>339</v>
      </c>
      <c r="I50" s="9" t="s">
        <v>340</v>
      </c>
      <c r="J50" s="9" t="s">
        <v>341</v>
      </c>
      <c r="K50" s="9" t="s">
        <v>342</v>
      </c>
      <c r="L50" s="9" t="s">
        <v>186</v>
      </c>
      <c r="M50" s="9" t="s">
        <v>343</v>
      </c>
      <c r="N50" s="9" t="s">
        <v>344</v>
      </c>
      <c r="O50" s="9" t="s">
        <v>345</v>
      </c>
      <c r="P50" s="9" t="s">
        <v>190</v>
      </c>
      <c r="Q50" s="9" t="s">
        <v>346</v>
      </c>
      <c r="R50" s="9" t="s">
        <v>347</v>
      </c>
      <c r="S50" s="9" t="s">
        <v>193</v>
      </c>
      <c r="T50" s="9" t="s">
        <v>348</v>
      </c>
      <c r="U50" s="19" t="n">
        <v>20</v>
      </c>
      <c r="V50" s="9"/>
      <c r="W50" s="9"/>
      <c r="X50" s="9" t="s">
        <v>195</v>
      </c>
      <c r="Y50" s="23" t="n">
        <v>0.011</v>
      </c>
      <c r="Z50" s="23" t="n">
        <v>0.497</v>
      </c>
      <c r="AA50" s="23" t="n">
        <v>12</v>
      </c>
      <c r="AB50" s="9" t="s">
        <v>186</v>
      </c>
      <c r="AC50" s="9" t="s">
        <v>256</v>
      </c>
      <c r="AD50" s="23" t="s">
        <v>197</v>
      </c>
      <c r="AE50" s="23" t="s">
        <v>197</v>
      </c>
      <c r="AF50" s="23" t="s">
        <v>197</v>
      </c>
      <c r="AG50" s="23" t="s">
        <v>197</v>
      </c>
      <c r="AH50" s="23" t="s">
        <v>197</v>
      </c>
      <c r="AI50" s="23" t="s">
        <v>197</v>
      </c>
      <c r="AJ50" s="23" t="s">
        <v>197</v>
      </c>
      <c r="AK50" s="23" t="s">
        <v>197</v>
      </c>
      <c r="AL50" s="23" t="s">
        <v>197</v>
      </c>
      <c r="AM50" s="9" t="s">
        <v>197</v>
      </c>
      <c r="AN50" s="23" t="n">
        <v>23.8</v>
      </c>
      <c r="AO50" s="23" t="n">
        <v>2.5</v>
      </c>
      <c r="AP50" s="23" t="n">
        <v>4.5</v>
      </c>
    </row>
    <row r="51" customFormat="false" ht="21.75" hidden="false" customHeight="true" outlineLevel="0" collapsed="false">
      <c r="B51" s="14" t="n">
        <v>47</v>
      </c>
      <c r="C51" s="7" t="s">
        <v>41</v>
      </c>
      <c r="D51" s="7" t="s">
        <v>20</v>
      </c>
      <c r="E51" s="7" t="s">
        <v>116</v>
      </c>
      <c r="F51" s="7" t="s">
        <v>69</v>
      </c>
      <c r="G51" s="7" t="s">
        <v>349</v>
      </c>
      <c r="H51" s="7" t="s">
        <v>350</v>
      </c>
      <c r="I51" s="7" t="s">
        <v>340</v>
      </c>
      <c r="J51" s="7" t="s">
        <v>341</v>
      </c>
      <c r="K51" s="7" t="s">
        <v>342</v>
      </c>
      <c r="L51" s="7" t="s">
        <v>186</v>
      </c>
      <c r="M51" s="7" t="s">
        <v>343</v>
      </c>
      <c r="N51" s="7" t="s">
        <v>344</v>
      </c>
      <c r="O51" s="7" t="s">
        <v>345</v>
      </c>
      <c r="P51" s="7" t="s">
        <v>190</v>
      </c>
      <c r="Q51" s="7" t="s">
        <v>346</v>
      </c>
      <c r="R51" s="7" t="s">
        <v>347</v>
      </c>
      <c r="S51" s="7" t="s">
        <v>193</v>
      </c>
      <c r="T51" s="7" t="s">
        <v>348</v>
      </c>
      <c r="U51" s="18" t="n">
        <v>30</v>
      </c>
      <c r="V51" s="7"/>
      <c r="W51" s="7"/>
      <c r="X51" s="7" t="s">
        <v>199</v>
      </c>
      <c r="Y51" s="22" t="n">
        <v>0.008</v>
      </c>
      <c r="Z51" s="22" t="n">
        <v>0.374</v>
      </c>
      <c r="AA51" s="22" t="n">
        <v>12</v>
      </c>
      <c r="AB51" s="7" t="s">
        <v>186</v>
      </c>
      <c r="AC51" s="7" t="s">
        <v>256</v>
      </c>
      <c r="AD51" s="22" t="s">
        <v>197</v>
      </c>
      <c r="AE51" s="22" t="s">
        <v>197</v>
      </c>
      <c r="AF51" s="22" t="s">
        <v>197</v>
      </c>
      <c r="AG51" s="22" t="s">
        <v>197</v>
      </c>
      <c r="AH51" s="22" t="s">
        <v>197</v>
      </c>
      <c r="AI51" s="22" t="s">
        <v>197</v>
      </c>
      <c r="AJ51" s="22" t="s">
        <v>197</v>
      </c>
      <c r="AK51" s="22" t="s">
        <v>197</v>
      </c>
      <c r="AL51" s="22" t="s">
        <v>197</v>
      </c>
      <c r="AM51" s="7" t="s">
        <v>197</v>
      </c>
      <c r="AN51" s="22" t="n">
        <v>18.8</v>
      </c>
      <c r="AO51" s="22" t="n">
        <v>2.5</v>
      </c>
      <c r="AP51" s="22" t="n">
        <v>4.5</v>
      </c>
    </row>
    <row r="52" customFormat="false" ht="21.75" hidden="false" customHeight="true" outlineLevel="0" collapsed="false">
      <c r="B52" s="15" t="n">
        <v>48</v>
      </c>
      <c r="C52" s="9" t="s">
        <v>41</v>
      </c>
      <c r="D52" s="9" t="s">
        <v>20</v>
      </c>
      <c r="E52" s="9" t="s">
        <v>116</v>
      </c>
      <c r="F52" s="9" t="s">
        <v>69</v>
      </c>
      <c r="G52" s="9" t="s">
        <v>351</v>
      </c>
      <c r="H52" s="9" t="s">
        <v>352</v>
      </c>
      <c r="I52" s="9" t="s">
        <v>340</v>
      </c>
      <c r="J52" s="9" t="s">
        <v>341</v>
      </c>
      <c r="K52" s="9" t="s">
        <v>342</v>
      </c>
      <c r="L52" s="9" t="s">
        <v>186</v>
      </c>
      <c r="M52" s="9" t="s">
        <v>343</v>
      </c>
      <c r="N52" s="9" t="s">
        <v>344</v>
      </c>
      <c r="O52" s="9" t="s">
        <v>345</v>
      </c>
      <c r="P52" s="9" t="s">
        <v>190</v>
      </c>
      <c r="Q52" s="9" t="s">
        <v>346</v>
      </c>
      <c r="R52" s="9" t="s">
        <v>347</v>
      </c>
      <c r="S52" s="9" t="s">
        <v>193</v>
      </c>
      <c r="T52" s="9" t="s">
        <v>348</v>
      </c>
      <c r="U52" s="19" t="n">
        <v>45</v>
      </c>
      <c r="V52" s="9"/>
      <c r="W52" s="9"/>
      <c r="X52" s="9" t="s">
        <v>353</v>
      </c>
      <c r="Y52" s="23" t="n">
        <v>0.01</v>
      </c>
      <c r="Z52" s="23" t="n">
        <v>0.468</v>
      </c>
      <c r="AA52" s="23" t="n">
        <v>12</v>
      </c>
      <c r="AB52" s="9" t="s">
        <v>186</v>
      </c>
      <c r="AC52" s="9" t="s">
        <v>256</v>
      </c>
      <c r="AD52" s="23" t="s">
        <v>197</v>
      </c>
      <c r="AE52" s="23" t="s">
        <v>197</v>
      </c>
      <c r="AF52" s="23" t="s">
        <v>197</v>
      </c>
      <c r="AG52" s="23" t="s">
        <v>197</v>
      </c>
      <c r="AH52" s="23" t="s">
        <v>197</v>
      </c>
      <c r="AI52" s="23" t="s">
        <v>197</v>
      </c>
      <c r="AJ52" s="23" t="s">
        <v>197</v>
      </c>
      <c r="AK52" s="23" t="s">
        <v>197</v>
      </c>
      <c r="AL52" s="23" t="s">
        <v>197</v>
      </c>
      <c r="AM52" s="9" t="s">
        <v>197</v>
      </c>
      <c r="AN52" s="23" t="n">
        <v>22.6</v>
      </c>
      <c r="AO52" s="23" t="n">
        <v>2.5</v>
      </c>
      <c r="AP52" s="23" t="n">
        <v>4.5</v>
      </c>
    </row>
    <row r="53" customFormat="false" ht="21.75" hidden="false" customHeight="true" outlineLevel="0" collapsed="false">
      <c r="B53" s="14" t="n">
        <v>49</v>
      </c>
      <c r="C53" s="7" t="s">
        <v>41</v>
      </c>
      <c r="D53" s="7" t="s">
        <v>20</v>
      </c>
      <c r="E53" s="7" t="s">
        <v>116</v>
      </c>
      <c r="F53" s="7" t="s">
        <v>69</v>
      </c>
      <c r="G53" s="7" t="s">
        <v>354</v>
      </c>
      <c r="H53" s="7" t="s">
        <v>355</v>
      </c>
      <c r="I53" s="7" t="s">
        <v>340</v>
      </c>
      <c r="J53" s="7" t="s">
        <v>341</v>
      </c>
      <c r="K53" s="7" t="s">
        <v>342</v>
      </c>
      <c r="L53" s="7" t="s">
        <v>186</v>
      </c>
      <c r="M53" s="7" t="s">
        <v>343</v>
      </c>
      <c r="N53" s="7" t="s">
        <v>344</v>
      </c>
      <c r="O53" s="7" t="s">
        <v>345</v>
      </c>
      <c r="P53" s="7" t="s">
        <v>190</v>
      </c>
      <c r="Q53" s="7" t="s">
        <v>346</v>
      </c>
      <c r="R53" s="7" t="s">
        <v>347</v>
      </c>
      <c r="S53" s="7" t="s">
        <v>193</v>
      </c>
      <c r="T53" s="7" t="s">
        <v>348</v>
      </c>
      <c r="U53" s="18" t="n">
        <v>65</v>
      </c>
      <c r="V53" s="7"/>
      <c r="W53" s="7"/>
      <c r="X53" s="7" t="s">
        <v>203</v>
      </c>
      <c r="Y53" s="22" t="n">
        <v>0.008</v>
      </c>
      <c r="Z53" s="22" t="n">
        <v>0.38</v>
      </c>
      <c r="AA53" s="22" t="n">
        <v>12</v>
      </c>
      <c r="AB53" s="7" t="s">
        <v>186</v>
      </c>
      <c r="AC53" s="7" t="s">
        <v>256</v>
      </c>
      <c r="AD53" s="22" t="s">
        <v>197</v>
      </c>
      <c r="AE53" s="22" t="s">
        <v>197</v>
      </c>
      <c r="AF53" s="22" t="s">
        <v>197</v>
      </c>
      <c r="AG53" s="22" t="s">
        <v>197</v>
      </c>
      <c r="AH53" s="22" t="s">
        <v>197</v>
      </c>
      <c r="AI53" s="22" t="s">
        <v>197</v>
      </c>
      <c r="AJ53" s="22" t="s">
        <v>197</v>
      </c>
      <c r="AK53" s="22" t="s">
        <v>197</v>
      </c>
      <c r="AL53" s="22" t="s">
        <v>197</v>
      </c>
      <c r="AM53" s="7" t="s">
        <v>197</v>
      </c>
      <c r="AN53" s="22" t="n">
        <v>19.1</v>
      </c>
      <c r="AO53" s="22" t="n">
        <v>2.5</v>
      </c>
      <c r="AP53" s="22" t="n">
        <v>4.5</v>
      </c>
    </row>
    <row r="54" customFormat="false" ht="21.75" hidden="false" customHeight="true" outlineLevel="0" collapsed="false">
      <c r="B54" s="15" t="n">
        <v>50</v>
      </c>
      <c r="C54" s="9" t="s">
        <v>41</v>
      </c>
      <c r="D54" s="9" t="s">
        <v>20</v>
      </c>
      <c r="E54" s="9" t="s">
        <v>116</v>
      </c>
      <c r="F54" s="9" t="s">
        <v>69</v>
      </c>
      <c r="G54" s="9" t="s">
        <v>356</v>
      </c>
      <c r="H54" s="9" t="s">
        <v>357</v>
      </c>
      <c r="I54" s="9" t="s">
        <v>340</v>
      </c>
      <c r="J54" s="9" t="s">
        <v>341</v>
      </c>
      <c r="K54" s="9" t="s">
        <v>342</v>
      </c>
      <c r="L54" s="9" t="s">
        <v>186</v>
      </c>
      <c r="M54" s="9" t="s">
        <v>343</v>
      </c>
      <c r="N54" s="9" t="s">
        <v>344</v>
      </c>
      <c r="O54" s="9" t="s">
        <v>345</v>
      </c>
      <c r="P54" s="9" t="s">
        <v>190</v>
      </c>
      <c r="Q54" s="9" t="s">
        <v>346</v>
      </c>
      <c r="R54" s="9" t="s">
        <v>347</v>
      </c>
      <c r="S54" s="9" t="s">
        <v>193</v>
      </c>
      <c r="T54" s="9" t="s">
        <v>348</v>
      </c>
      <c r="U54" s="19" t="n">
        <v>100</v>
      </c>
      <c r="V54" s="9"/>
      <c r="W54" s="9"/>
      <c r="X54" s="9" t="s">
        <v>205</v>
      </c>
      <c r="Y54" s="23" t="n">
        <v>0.007</v>
      </c>
      <c r="Z54" s="23" t="n">
        <v>0.362</v>
      </c>
      <c r="AA54" s="23" t="n">
        <v>12</v>
      </c>
      <c r="AB54" s="9" t="s">
        <v>186</v>
      </c>
      <c r="AC54" s="9" t="s">
        <v>256</v>
      </c>
      <c r="AD54" s="23" t="s">
        <v>197</v>
      </c>
      <c r="AE54" s="23" t="s">
        <v>197</v>
      </c>
      <c r="AF54" s="23" t="s">
        <v>197</v>
      </c>
      <c r="AG54" s="23" t="s">
        <v>197</v>
      </c>
      <c r="AH54" s="23" t="s">
        <v>197</v>
      </c>
      <c r="AI54" s="23" t="s">
        <v>197</v>
      </c>
      <c r="AJ54" s="23" t="s">
        <v>197</v>
      </c>
      <c r="AK54" s="23" t="s">
        <v>197</v>
      </c>
      <c r="AL54" s="23" t="s">
        <v>197</v>
      </c>
      <c r="AM54" s="9" t="s">
        <v>197</v>
      </c>
      <c r="AN54" s="23" t="n">
        <v>18.3</v>
      </c>
      <c r="AO54" s="23" t="n">
        <v>2.5</v>
      </c>
      <c r="AP54" s="23" t="n">
        <v>4.5</v>
      </c>
    </row>
    <row r="55" customFormat="false" ht="21.75" hidden="false" customHeight="true" outlineLevel="0" collapsed="false">
      <c r="B55" s="14" t="n">
        <v>51</v>
      </c>
      <c r="C55" s="7" t="s">
        <v>41</v>
      </c>
      <c r="D55" s="7" t="s">
        <v>20</v>
      </c>
      <c r="E55" s="7" t="s">
        <v>116</v>
      </c>
      <c r="F55" s="7" t="s">
        <v>70</v>
      </c>
      <c r="G55" s="7" t="s">
        <v>358</v>
      </c>
      <c r="H55" s="7" t="s">
        <v>359</v>
      </c>
      <c r="I55" s="7" t="s">
        <v>360</v>
      </c>
      <c r="J55" s="7" t="s">
        <v>361</v>
      </c>
      <c r="K55" s="7" t="s">
        <v>342</v>
      </c>
      <c r="L55" s="7" t="s">
        <v>186</v>
      </c>
      <c r="M55" s="7" t="s">
        <v>251</v>
      </c>
      <c r="N55" s="7" t="s">
        <v>362</v>
      </c>
      <c r="O55" s="7" t="s">
        <v>189</v>
      </c>
      <c r="P55" s="7" t="s">
        <v>190</v>
      </c>
      <c r="Q55" s="7" t="s">
        <v>363</v>
      </c>
      <c r="R55" s="7" t="s">
        <v>364</v>
      </c>
      <c r="S55" s="7" t="s">
        <v>193</v>
      </c>
      <c r="T55" s="7" t="s">
        <v>365</v>
      </c>
      <c r="U55" s="18" t="n">
        <v>13</v>
      </c>
      <c r="V55" s="7"/>
      <c r="W55" s="7"/>
      <c r="X55" s="7" t="s">
        <v>195</v>
      </c>
      <c r="Y55" s="22" t="n">
        <v>0.004</v>
      </c>
      <c r="Z55" s="22" t="n">
        <v>0.243</v>
      </c>
      <c r="AA55" s="22" t="n">
        <v>12</v>
      </c>
      <c r="AB55" s="7" t="s">
        <v>186</v>
      </c>
      <c r="AC55" s="7" t="s">
        <v>256</v>
      </c>
      <c r="AD55" s="22" t="s">
        <v>197</v>
      </c>
      <c r="AE55" s="22" t="s">
        <v>197</v>
      </c>
      <c r="AF55" s="22" t="s">
        <v>197</v>
      </c>
      <c r="AG55" s="22" t="s">
        <v>197</v>
      </c>
      <c r="AH55" s="22" t="s">
        <v>197</v>
      </c>
      <c r="AI55" s="22" t="s">
        <v>197</v>
      </c>
      <c r="AJ55" s="22" t="s">
        <v>197</v>
      </c>
      <c r="AK55" s="22" t="s">
        <v>197</v>
      </c>
      <c r="AL55" s="22" t="s">
        <v>197</v>
      </c>
      <c r="AM55" s="7" t="s">
        <v>197</v>
      </c>
      <c r="AN55" s="22" t="n">
        <v>13.7</v>
      </c>
      <c r="AO55" s="22" t="n">
        <v>2</v>
      </c>
      <c r="AP55" s="22" t="n">
        <v>3</v>
      </c>
    </row>
    <row r="56" customFormat="false" ht="21.75" hidden="false" customHeight="true" outlineLevel="0" collapsed="false">
      <c r="B56" s="15" t="n">
        <v>52</v>
      </c>
      <c r="C56" s="9" t="s">
        <v>41</v>
      </c>
      <c r="D56" s="9" t="s">
        <v>20</v>
      </c>
      <c r="E56" s="9" t="s">
        <v>116</v>
      </c>
      <c r="F56" s="9" t="s">
        <v>70</v>
      </c>
      <c r="G56" s="9" t="s">
        <v>366</v>
      </c>
      <c r="H56" s="9" t="s">
        <v>367</v>
      </c>
      <c r="I56" s="9" t="s">
        <v>360</v>
      </c>
      <c r="J56" s="9" t="s">
        <v>361</v>
      </c>
      <c r="K56" s="9" t="s">
        <v>342</v>
      </c>
      <c r="L56" s="9" t="s">
        <v>186</v>
      </c>
      <c r="M56" s="9" t="s">
        <v>251</v>
      </c>
      <c r="N56" s="9" t="s">
        <v>362</v>
      </c>
      <c r="O56" s="9" t="s">
        <v>189</v>
      </c>
      <c r="P56" s="9" t="s">
        <v>190</v>
      </c>
      <c r="Q56" s="9" t="s">
        <v>363</v>
      </c>
      <c r="R56" s="9" t="s">
        <v>364</v>
      </c>
      <c r="S56" s="9" t="s">
        <v>193</v>
      </c>
      <c r="T56" s="9" t="s">
        <v>365</v>
      </c>
      <c r="U56" s="19" t="n">
        <v>20</v>
      </c>
      <c r="V56" s="9"/>
      <c r="W56" s="9"/>
      <c r="X56" s="9" t="s">
        <v>199</v>
      </c>
      <c r="Y56" s="23" t="n">
        <v>0.007</v>
      </c>
      <c r="Z56" s="23" t="n">
        <v>0.325</v>
      </c>
      <c r="AA56" s="23" t="n">
        <v>12</v>
      </c>
      <c r="AB56" s="9" t="s">
        <v>186</v>
      </c>
      <c r="AC56" s="9" t="s">
        <v>256</v>
      </c>
      <c r="AD56" s="23" t="s">
        <v>197</v>
      </c>
      <c r="AE56" s="23" t="s">
        <v>197</v>
      </c>
      <c r="AF56" s="23" t="s">
        <v>197</v>
      </c>
      <c r="AG56" s="23" t="s">
        <v>197</v>
      </c>
      <c r="AH56" s="23" t="s">
        <v>197</v>
      </c>
      <c r="AI56" s="23" t="s">
        <v>197</v>
      </c>
      <c r="AJ56" s="23" t="s">
        <v>197</v>
      </c>
      <c r="AK56" s="23" t="s">
        <v>197</v>
      </c>
      <c r="AL56" s="23" t="s">
        <v>197</v>
      </c>
      <c r="AM56" s="9" t="s">
        <v>197</v>
      </c>
      <c r="AN56" s="23" t="n">
        <v>17</v>
      </c>
      <c r="AO56" s="23" t="n">
        <v>2</v>
      </c>
      <c r="AP56" s="23" t="n">
        <v>3</v>
      </c>
    </row>
    <row r="57" customFormat="false" ht="21.75" hidden="false" customHeight="true" outlineLevel="0" collapsed="false">
      <c r="B57" s="14" t="n">
        <v>53</v>
      </c>
      <c r="C57" s="7" t="s">
        <v>41</v>
      </c>
      <c r="D57" s="7" t="s">
        <v>20</v>
      </c>
      <c r="E57" s="7" t="s">
        <v>116</v>
      </c>
      <c r="F57" s="7" t="s">
        <v>70</v>
      </c>
      <c r="G57" s="7" t="s">
        <v>368</v>
      </c>
      <c r="H57" s="7" t="s">
        <v>369</v>
      </c>
      <c r="I57" s="7" t="s">
        <v>360</v>
      </c>
      <c r="J57" s="7" t="s">
        <v>361</v>
      </c>
      <c r="K57" s="7" t="s">
        <v>342</v>
      </c>
      <c r="L57" s="7" t="s">
        <v>186</v>
      </c>
      <c r="M57" s="7" t="s">
        <v>251</v>
      </c>
      <c r="N57" s="7" t="s">
        <v>362</v>
      </c>
      <c r="O57" s="7" t="s">
        <v>189</v>
      </c>
      <c r="P57" s="7" t="s">
        <v>190</v>
      </c>
      <c r="Q57" s="7" t="s">
        <v>363</v>
      </c>
      <c r="R57" s="7" t="s">
        <v>364</v>
      </c>
      <c r="S57" s="7" t="s">
        <v>193</v>
      </c>
      <c r="T57" s="7" t="s">
        <v>365</v>
      </c>
      <c r="U57" s="18" t="n">
        <v>25</v>
      </c>
      <c r="V57" s="7"/>
      <c r="W57" s="7"/>
      <c r="X57" s="7" t="s">
        <v>370</v>
      </c>
      <c r="Y57" s="22" t="n">
        <v>0.007</v>
      </c>
      <c r="Z57" s="22" t="n">
        <v>0.31</v>
      </c>
      <c r="AA57" s="22" t="n">
        <v>12</v>
      </c>
      <c r="AB57" s="7" t="s">
        <v>186</v>
      </c>
      <c r="AC57" s="7" t="s">
        <v>256</v>
      </c>
      <c r="AD57" s="22" t="s">
        <v>197</v>
      </c>
      <c r="AE57" s="22" t="s">
        <v>197</v>
      </c>
      <c r="AF57" s="22" t="s">
        <v>197</v>
      </c>
      <c r="AG57" s="22" t="s">
        <v>197</v>
      </c>
      <c r="AH57" s="22" t="s">
        <v>197</v>
      </c>
      <c r="AI57" s="22" t="s">
        <v>197</v>
      </c>
      <c r="AJ57" s="22" t="s">
        <v>197</v>
      </c>
      <c r="AK57" s="22" t="s">
        <v>197</v>
      </c>
      <c r="AL57" s="22" t="s">
        <v>197</v>
      </c>
      <c r="AM57" s="7" t="s">
        <v>197</v>
      </c>
      <c r="AN57" s="22" t="n">
        <v>16.4</v>
      </c>
      <c r="AO57" s="22" t="n">
        <v>2</v>
      </c>
      <c r="AP57" s="22" t="n">
        <v>3</v>
      </c>
    </row>
    <row r="58" customFormat="false" ht="21.75" hidden="false" customHeight="true" outlineLevel="0" collapsed="false">
      <c r="B58" s="15" t="n">
        <v>54</v>
      </c>
      <c r="C58" s="9" t="s">
        <v>41</v>
      </c>
      <c r="D58" s="9" t="s">
        <v>20</v>
      </c>
      <c r="E58" s="9" t="s">
        <v>116</v>
      </c>
      <c r="F58" s="9" t="s">
        <v>70</v>
      </c>
      <c r="G58" s="9" t="s">
        <v>371</v>
      </c>
      <c r="H58" s="9" t="s">
        <v>339</v>
      </c>
      <c r="I58" s="9" t="s">
        <v>360</v>
      </c>
      <c r="J58" s="9" t="s">
        <v>361</v>
      </c>
      <c r="K58" s="9" t="s">
        <v>342</v>
      </c>
      <c r="L58" s="9" t="s">
        <v>186</v>
      </c>
      <c r="M58" s="9" t="s">
        <v>251</v>
      </c>
      <c r="N58" s="9" t="s">
        <v>362</v>
      </c>
      <c r="O58" s="9" t="s">
        <v>189</v>
      </c>
      <c r="P58" s="9" t="s">
        <v>190</v>
      </c>
      <c r="Q58" s="9" t="s">
        <v>363</v>
      </c>
      <c r="R58" s="9" t="s">
        <v>364</v>
      </c>
      <c r="S58" s="9" t="s">
        <v>193</v>
      </c>
      <c r="T58" s="9" t="s">
        <v>365</v>
      </c>
      <c r="U58" s="19" t="n">
        <v>35</v>
      </c>
      <c r="V58" s="9"/>
      <c r="W58" s="9"/>
      <c r="X58" s="9" t="s">
        <v>203</v>
      </c>
      <c r="Y58" s="23" t="n">
        <v>0.008</v>
      </c>
      <c r="Z58" s="23" t="n">
        <v>0.355</v>
      </c>
      <c r="AA58" s="23" t="n">
        <v>12</v>
      </c>
      <c r="AB58" s="9" t="s">
        <v>186</v>
      </c>
      <c r="AC58" s="9" t="s">
        <v>256</v>
      </c>
      <c r="AD58" s="23" t="s">
        <v>197</v>
      </c>
      <c r="AE58" s="23" t="s">
        <v>197</v>
      </c>
      <c r="AF58" s="23" t="s">
        <v>197</v>
      </c>
      <c r="AG58" s="23" t="s">
        <v>197</v>
      </c>
      <c r="AH58" s="23" t="s">
        <v>197</v>
      </c>
      <c r="AI58" s="23" t="s">
        <v>197</v>
      </c>
      <c r="AJ58" s="23" t="s">
        <v>197</v>
      </c>
      <c r="AK58" s="23" t="s">
        <v>197</v>
      </c>
      <c r="AL58" s="23" t="s">
        <v>197</v>
      </c>
      <c r="AM58" s="9" t="s">
        <v>197</v>
      </c>
      <c r="AN58" s="23" t="n">
        <v>18.2</v>
      </c>
      <c r="AO58" s="23" t="n">
        <v>2</v>
      </c>
      <c r="AP58" s="23" t="n">
        <v>3</v>
      </c>
    </row>
    <row r="59" customFormat="false" ht="21.75" hidden="false" customHeight="true" outlineLevel="0" collapsed="false">
      <c r="B59" s="14" t="n">
        <v>55</v>
      </c>
      <c r="C59" s="7" t="s">
        <v>41</v>
      </c>
      <c r="D59" s="7" t="s">
        <v>20</v>
      </c>
      <c r="E59" s="7" t="s">
        <v>116</v>
      </c>
      <c r="F59" s="7" t="s">
        <v>70</v>
      </c>
      <c r="G59" s="7" t="s">
        <v>372</v>
      </c>
      <c r="H59" s="7" t="s">
        <v>352</v>
      </c>
      <c r="I59" s="7" t="s">
        <v>360</v>
      </c>
      <c r="J59" s="7" t="s">
        <v>361</v>
      </c>
      <c r="K59" s="7" t="s">
        <v>342</v>
      </c>
      <c r="L59" s="7" t="s">
        <v>186</v>
      </c>
      <c r="M59" s="7" t="s">
        <v>251</v>
      </c>
      <c r="N59" s="7" t="s">
        <v>362</v>
      </c>
      <c r="O59" s="7" t="s">
        <v>189</v>
      </c>
      <c r="P59" s="7" t="s">
        <v>190</v>
      </c>
      <c r="Q59" s="7" t="s">
        <v>363</v>
      </c>
      <c r="R59" s="7" t="s">
        <v>364</v>
      </c>
      <c r="S59" s="7" t="s">
        <v>193</v>
      </c>
      <c r="T59" s="7" t="s">
        <v>365</v>
      </c>
      <c r="U59" s="18" t="n">
        <v>55</v>
      </c>
      <c r="V59" s="7"/>
      <c r="W59" s="7"/>
      <c r="X59" s="7" t="s">
        <v>205</v>
      </c>
      <c r="Y59" s="22" t="n">
        <v>0.003</v>
      </c>
      <c r="Z59" s="22" t="n">
        <v>0.206</v>
      </c>
      <c r="AA59" s="22" t="n">
        <v>12</v>
      </c>
      <c r="AB59" s="7" t="s">
        <v>186</v>
      </c>
      <c r="AC59" s="7" t="s">
        <v>256</v>
      </c>
      <c r="AD59" s="22" t="s">
        <v>197</v>
      </c>
      <c r="AE59" s="22" t="s">
        <v>197</v>
      </c>
      <c r="AF59" s="22" t="s">
        <v>197</v>
      </c>
      <c r="AG59" s="22" t="s">
        <v>197</v>
      </c>
      <c r="AH59" s="22" t="s">
        <v>197</v>
      </c>
      <c r="AI59" s="22" t="s">
        <v>197</v>
      </c>
      <c r="AJ59" s="22" t="s">
        <v>197</v>
      </c>
      <c r="AK59" s="22" t="s">
        <v>197</v>
      </c>
      <c r="AL59" s="22" t="s">
        <v>197</v>
      </c>
      <c r="AM59" s="7" t="s">
        <v>197</v>
      </c>
      <c r="AN59" s="22" t="n">
        <v>12.2</v>
      </c>
      <c r="AO59" s="22" t="n">
        <v>2</v>
      </c>
      <c r="AP59" s="22" t="n">
        <v>3</v>
      </c>
    </row>
    <row r="60" customFormat="false" ht="21.75" hidden="false" customHeight="true" outlineLevel="0" collapsed="false">
      <c r="B60" s="15" t="n">
        <v>56</v>
      </c>
      <c r="C60" s="9" t="s">
        <v>41</v>
      </c>
      <c r="D60" s="9" t="s">
        <v>20</v>
      </c>
      <c r="E60" s="9" t="s">
        <v>116</v>
      </c>
      <c r="F60" s="9" t="s">
        <v>71</v>
      </c>
      <c r="G60" s="9" t="s">
        <v>373</v>
      </c>
      <c r="H60" s="9" t="s">
        <v>374</v>
      </c>
      <c r="I60" s="9" t="s">
        <v>375</v>
      </c>
      <c r="J60" s="9" t="s">
        <v>376</v>
      </c>
      <c r="K60" s="9" t="s">
        <v>377</v>
      </c>
      <c r="L60" s="9" t="s">
        <v>186</v>
      </c>
      <c r="M60" s="9" t="s">
        <v>235</v>
      </c>
      <c r="N60" s="9" t="s">
        <v>378</v>
      </c>
      <c r="O60" s="9" t="s">
        <v>189</v>
      </c>
      <c r="P60" s="9" t="s">
        <v>190</v>
      </c>
      <c r="Q60" s="9" t="s">
        <v>379</v>
      </c>
      <c r="R60" s="9" t="s">
        <v>380</v>
      </c>
      <c r="S60" s="9" t="s">
        <v>193</v>
      </c>
      <c r="T60" s="9" t="s">
        <v>381</v>
      </c>
      <c r="U60" s="19" t="n">
        <v>90</v>
      </c>
      <c r="V60" s="9"/>
      <c r="W60" s="9"/>
      <c r="X60" s="9" t="s">
        <v>195</v>
      </c>
      <c r="Y60" s="23" t="n">
        <v>0.085</v>
      </c>
      <c r="Z60" s="23" t="n">
        <v>0.312</v>
      </c>
      <c r="AA60" s="23" t="n">
        <v>12</v>
      </c>
      <c r="AB60" s="9" t="s">
        <v>186</v>
      </c>
      <c r="AC60" s="9" t="s">
        <v>240</v>
      </c>
      <c r="AD60" s="23" t="s">
        <v>197</v>
      </c>
      <c r="AE60" s="23" t="s">
        <v>197</v>
      </c>
      <c r="AF60" s="23" t="s">
        <v>197</v>
      </c>
      <c r="AG60" s="23" t="s">
        <v>197</v>
      </c>
      <c r="AH60" s="23" t="s">
        <v>197</v>
      </c>
      <c r="AI60" s="23" t="s">
        <v>197</v>
      </c>
      <c r="AJ60" s="23" t="s">
        <v>197</v>
      </c>
      <c r="AK60" s="23" t="s">
        <v>197</v>
      </c>
      <c r="AL60" s="23" t="s">
        <v>197</v>
      </c>
      <c r="AM60" s="9" t="s">
        <v>197</v>
      </c>
      <c r="AN60" s="23" t="s">
        <v>197</v>
      </c>
      <c r="AO60" s="23" t="s">
        <v>197</v>
      </c>
      <c r="AP60" s="23" t="s">
        <v>197</v>
      </c>
    </row>
    <row r="61" customFormat="false" ht="21.75" hidden="false" customHeight="true" outlineLevel="0" collapsed="false">
      <c r="B61" s="14" t="n">
        <v>57</v>
      </c>
      <c r="C61" s="7" t="s">
        <v>41</v>
      </c>
      <c r="D61" s="7" t="s">
        <v>20</v>
      </c>
      <c r="E61" s="7" t="s">
        <v>116</v>
      </c>
      <c r="F61" s="7" t="s">
        <v>71</v>
      </c>
      <c r="G61" s="7" t="s">
        <v>382</v>
      </c>
      <c r="H61" s="7" t="s">
        <v>383</v>
      </c>
      <c r="I61" s="7" t="s">
        <v>375</v>
      </c>
      <c r="J61" s="7" t="s">
        <v>376</v>
      </c>
      <c r="K61" s="7" t="s">
        <v>377</v>
      </c>
      <c r="L61" s="7" t="s">
        <v>186</v>
      </c>
      <c r="M61" s="7" t="s">
        <v>235</v>
      </c>
      <c r="N61" s="7" t="s">
        <v>378</v>
      </c>
      <c r="O61" s="7" t="s">
        <v>189</v>
      </c>
      <c r="P61" s="7" t="s">
        <v>190</v>
      </c>
      <c r="Q61" s="7" t="s">
        <v>379</v>
      </c>
      <c r="R61" s="7" t="s">
        <v>380</v>
      </c>
      <c r="S61" s="7" t="s">
        <v>193</v>
      </c>
      <c r="T61" s="7" t="s">
        <v>381</v>
      </c>
      <c r="U61" s="18" t="n">
        <v>135</v>
      </c>
      <c r="V61" s="7"/>
      <c r="W61" s="7"/>
      <c r="X61" s="7" t="s">
        <v>199</v>
      </c>
      <c r="Y61" s="22" t="n">
        <v>0.086</v>
      </c>
      <c r="Z61" s="22" t="n">
        <v>0.316</v>
      </c>
      <c r="AA61" s="22" t="n">
        <v>12</v>
      </c>
      <c r="AB61" s="7" t="s">
        <v>186</v>
      </c>
      <c r="AC61" s="7" t="s">
        <v>240</v>
      </c>
      <c r="AD61" s="22" t="s">
        <v>197</v>
      </c>
      <c r="AE61" s="22" t="s">
        <v>197</v>
      </c>
      <c r="AF61" s="22" t="s">
        <v>197</v>
      </c>
      <c r="AG61" s="22" t="s">
        <v>197</v>
      </c>
      <c r="AH61" s="22" t="s">
        <v>197</v>
      </c>
      <c r="AI61" s="22" t="s">
        <v>197</v>
      </c>
      <c r="AJ61" s="22" t="s">
        <v>197</v>
      </c>
      <c r="AK61" s="22" t="s">
        <v>197</v>
      </c>
      <c r="AL61" s="22" t="s">
        <v>197</v>
      </c>
      <c r="AM61" s="7" t="s">
        <v>197</v>
      </c>
      <c r="AN61" s="22" t="s">
        <v>197</v>
      </c>
      <c r="AO61" s="22" t="s">
        <v>197</v>
      </c>
      <c r="AP61" s="22" t="s">
        <v>197</v>
      </c>
    </row>
    <row r="62" customFormat="false" ht="21.75" hidden="false" customHeight="true" outlineLevel="0" collapsed="false">
      <c r="B62" s="15" t="n">
        <v>58</v>
      </c>
      <c r="C62" s="9" t="s">
        <v>41</v>
      </c>
      <c r="D62" s="9" t="s">
        <v>20</v>
      </c>
      <c r="E62" s="9" t="s">
        <v>116</v>
      </c>
      <c r="F62" s="9" t="s">
        <v>71</v>
      </c>
      <c r="G62" s="9" t="s">
        <v>384</v>
      </c>
      <c r="H62" s="9" t="s">
        <v>385</v>
      </c>
      <c r="I62" s="9" t="s">
        <v>375</v>
      </c>
      <c r="J62" s="9" t="s">
        <v>376</v>
      </c>
      <c r="K62" s="9" t="s">
        <v>377</v>
      </c>
      <c r="L62" s="9" t="s">
        <v>186</v>
      </c>
      <c r="M62" s="9" t="s">
        <v>235</v>
      </c>
      <c r="N62" s="9" t="s">
        <v>378</v>
      </c>
      <c r="O62" s="9" t="s">
        <v>189</v>
      </c>
      <c r="P62" s="9" t="s">
        <v>190</v>
      </c>
      <c r="Q62" s="9" t="s">
        <v>379</v>
      </c>
      <c r="R62" s="9" t="s">
        <v>380</v>
      </c>
      <c r="S62" s="9" t="s">
        <v>193</v>
      </c>
      <c r="T62" s="9" t="s">
        <v>381</v>
      </c>
      <c r="U62" s="19" t="n">
        <v>185</v>
      </c>
      <c r="V62" s="9"/>
      <c r="W62" s="9"/>
      <c r="X62" s="9" t="s">
        <v>386</v>
      </c>
      <c r="Y62" s="23" t="n">
        <v>0.053</v>
      </c>
      <c r="Z62" s="23" t="n">
        <v>0.233</v>
      </c>
      <c r="AA62" s="23" t="n">
        <v>12</v>
      </c>
      <c r="AB62" s="9" t="s">
        <v>186</v>
      </c>
      <c r="AC62" s="9" t="s">
        <v>240</v>
      </c>
      <c r="AD62" s="23" t="s">
        <v>197</v>
      </c>
      <c r="AE62" s="23" t="s">
        <v>197</v>
      </c>
      <c r="AF62" s="23" t="s">
        <v>197</v>
      </c>
      <c r="AG62" s="23" t="s">
        <v>197</v>
      </c>
      <c r="AH62" s="23" t="s">
        <v>197</v>
      </c>
      <c r="AI62" s="23" t="s">
        <v>197</v>
      </c>
      <c r="AJ62" s="23" t="s">
        <v>197</v>
      </c>
      <c r="AK62" s="23" t="s">
        <v>197</v>
      </c>
      <c r="AL62" s="23" t="s">
        <v>197</v>
      </c>
      <c r="AM62" s="9" t="s">
        <v>197</v>
      </c>
      <c r="AN62" s="23" t="s">
        <v>197</v>
      </c>
      <c r="AO62" s="23" t="s">
        <v>197</v>
      </c>
      <c r="AP62" s="23" t="s">
        <v>197</v>
      </c>
    </row>
    <row r="63" customFormat="false" ht="21.75" hidden="false" customHeight="true" outlineLevel="0" collapsed="false">
      <c r="B63" s="14" t="n">
        <v>59</v>
      </c>
      <c r="C63" s="7" t="s">
        <v>41</v>
      </c>
      <c r="D63" s="7" t="s">
        <v>20</v>
      </c>
      <c r="E63" s="7" t="s">
        <v>116</v>
      </c>
      <c r="F63" s="7" t="s">
        <v>71</v>
      </c>
      <c r="G63" s="7" t="s">
        <v>387</v>
      </c>
      <c r="H63" s="7" t="s">
        <v>388</v>
      </c>
      <c r="I63" s="7" t="s">
        <v>375</v>
      </c>
      <c r="J63" s="7" t="s">
        <v>376</v>
      </c>
      <c r="K63" s="7" t="s">
        <v>377</v>
      </c>
      <c r="L63" s="7" t="s">
        <v>186</v>
      </c>
      <c r="M63" s="7" t="s">
        <v>235</v>
      </c>
      <c r="N63" s="7" t="s">
        <v>378</v>
      </c>
      <c r="O63" s="7" t="s">
        <v>189</v>
      </c>
      <c r="P63" s="7" t="s">
        <v>190</v>
      </c>
      <c r="Q63" s="7" t="s">
        <v>379</v>
      </c>
      <c r="R63" s="7" t="s">
        <v>380</v>
      </c>
      <c r="S63" s="7" t="s">
        <v>193</v>
      </c>
      <c r="T63" s="7" t="s">
        <v>381</v>
      </c>
      <c r="U63" s="18" t="n">
        <v>275</v>
      </c>
      <c r="V63" s="7"/>
      <c r="W63" s="7"/>
      <c r="X63" s="7" t="s">
        <v>203</v>
      </c>
      <c r="Y63" s="22" t="n">
        <v>0.052</v>
      </c>
      <c r="Z63" s="22" t="n">
        <v>0.23</v>
      </c>
      <c r="AA63" s="22" t="n">
        <v>12</v>
      </c>
      <c r="AB63" s="7" t="s">
        <v>186</v>
      </c>
      <c r="AC63" s="7" t="s">
        <v>240</v>
      </c>
      <c r="AD63" s="22" t="s">
        <v>197</v>
      </c>
      <c r="AE63" s="22" t="s">
        <v>197</v>
      </c>
      <c r="AF63" s="22" t="s">
        <v>197</v>
      </c>
      <c r="AG63" s="22" t="s">
        <v>197</v>
      </c>
      <c r="AH63" s="22" t="s">
        <v>197</v>
      </c>
      <c r="AI63" s="22" t="s">
        <v>197</v>
      </c>
      <c r="AJ63" s="22" t="s">
        <v>197</v>
      </c>
      <c r="AK63" s="22" t="s">
        <v>197</v>
      </c>
      <c r="AL63" s="22" t="s">
        <v>197</v>
      </c>
      <c r="AM63" s="7" t="s">
        <v>197</v>
      </c>
      <c r="AN63" s="22" t="s">
        <v>197</v>
      </c>
      <c r="AO63" s="22" t="s">
        <v>197</v>
      </c>
      <c r="AP63" s="22" t="s">
        <v>197</v>
      </c>
    </row>
    <row r="64" customFormat="false" ht="21.75" hidden="false" customHeight="true" outlineLevel="0" collapsed="false">
      <c r="B64" s="15" t="n">
        <v>60</v>
      </c>
      <c r="C64" s="9" t="s">
        <v>41</v>
      </c>
      <c r="D64" s="9" t="s">
        <v>20</v>
      </c>
      <c r="E64" s="9" t="s">
        <v>116</v>
      </c>
      <c r="F64" s="9" t="s">
        <v>71</v>
      </c>
      <c r="G64" s="9" t="s">
        <v>389</v>
      </c>
      <c r="H64" s="9" t="s">
        <v>390</v>
      </c>
      <c r="I64" s="9" t="s">
        <v>375</v>
      </c>
      <c r="J64" s="9" t="s">
        <v>376</v>
      </c>
      <c r="K64" s="9" t="s">
        <v>377</v>
      </c>
      <c r="L64" s="9" t="s">
        <v>186</v>
      </c>
      <c r="M64" s="9" t="s">
        <v>235</v>
      </c>
      <c r="N64" s="9" t="s">
        <v>378</v>
      </c>
      <c r="O64" s="9" t="s">
        <v>189</v>
      </c>
      <c r="P64" s="9" t="s">
        <v>190</v>
      </c>
      <c r="Q64" s="9" t="s">
        <v>379</v>
      </c>
      <c r="R64" s="9" t="s">
        <v>380</v>
      </c>
      <c r="S64" s="9" t="s">
        <v>193</v>
      </c>
      <c r="T64" s="9" t="s">
        <v>381</v>
      </c>
      <c r="U64" s="19" t="n">
        <v>405</v>
      </c>
      <c r="V64" s="9"/>
      <c r="W64" s="9"/>
      <c r="X64" s="9" t="s">
        <v>205</v>
      </c>
      <c r="Y64" s="23" t="n">
        <v>0.094</v>
      </c>
      <c r="Z64" s="23" t="n">
        <v>0.334</v>
      </c>
      <c r="AA64" s="23" t="n">
        <v>12</v>
      </c>
      <c r="AB64" s="9" t="s">
        <v>186</v>
      </c>
      <c r="AC64" s="9" t="s">
        <v>240</v>
      </c>
      <c r="AD64" s="23" t="s">
        <v>197</v>
      </c>
      <c r="AE64" s="23" t="s">
        <v>197</v>
      </c>
      <c r="AF64" s="23" t="s">
        <v>197</v>
      </c>
      <c r="AG64" s="23" t="s">
        <v>197</v>
      </c>
      <c r="AH64" s="23" t="s">
        <v>197</v>
      </c>
      <c r="AI64" s="23" t="s">
        <v>197</v>
      </c>
      <c r="AJ64" s="23" t="s">
        <v>197</v>
      </c>
      <c r="AK64" s="23" t="s">
        <v>197</v>
      </c>
      <c r="AL64" s="23" t="s">
        <v>197</v>
      </c>
      <c r="AM64" s="9" t="s">
        <v>197</v>
      </c>
      <c r="AN64" s="23" t="s">
        <v>197</v>
      </c>
      <c r="AO64" s="23" t="s">
        <v>197</v>
      </c>
      <c r="AP64" s="23" t="s">
        <v>197</v>
      </c>
    </row>
    <row r="65" customFormat="false" ht="21.75" hidden="false" customHeight="true" outlineLevel="0" collapsed="false">
      <c r="B65" s="14" t="n">
        <v>61</v>
      </c>
      <c r="C65" s="7" t="s">
        <v>41</v>
      </c>
      <c r="D65" s="7" t="s">
        <v>20</v>
      </c>
      <c r="E65" s="7" t="s">
        <v>116</v>
      </c>
      <c r="F65" s="7" t="s">
        <v>72</v>
      </c>
      <c r="G65" s="7" t="s">
        <v>391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18"/>
      <c r="V65" s="7"/>
      <c r="W65" s="7"/>
      <c r="X65" s="7" t="s">
        <v>392</v>
      </c>
      <c r="Y65" s="22" t="s">
        <v>197</v>
      </c>
      <c r="Z65" s="22" t="s">
        <v>197</v>
      </c>
      <c r="AA65" s="22" t="s">
        <v>197</v>
      </c>
      <c r="AB65" s="7" t="s">
        <v>197</v>
      </c>
      <c r="AC65" s="7" t="s">
        <v>197</v>
      </c>
      <c r="AD65" s="22" t="s">
        <v>197</v>
      </c>
      <c r="AE65" s="22" t="s">
        <v>197</v>
      </c>
      <c r="AF65" s="22" t="s">
        <v>197</v>
      </c>
      <c r="AG65" s="22" t="s">
        <v>197</v>
      </c>
      <c r="AH65" s="22" t="s">
        <v>197</v>
      </c>
      <c r="AI65" s="22" t="s">
        <v>197</v>
      </c>
      <c r="AJ65" s="22" t="s">
        <v>197</v>
      </c>
      <c r="AK65" s="22" t="s">
        <v>197</v>
      </c>
      <c r="AL65" s="22" t="s">
        <v>197</v>
      </c>
      <c r="AM65" s="7" t="s">
        <v>197</v>
      </c>
      <c r="AN65" s="22" t="s">
        <v>197</v>
      </c>
      <c r="AO65" s="22" t="s">
        <v>197</v>
      </c>
      <c r="AP65" s="22" t="s">
        <v>197</v>
      </c>
    </row>
    <row r="66" customFormat="false" ht="21.75" hidden="false" customHeight="true" outlineLevel="0" collapsed="false">
      <c r="B66" s="15" t="n">
        <v>62</v>
      </c>
      <c r="C66" s="9" t="s">
        <v>41</v>
      </c>
      <c r="D66" s="9" t="s">
        <v>20</v>
      </c>
      <c r="E66" s="9" t="s">
        <v>116</v>
      </c>
      <c r="F66" s="9" t="s">
        <v>73</v>
      </c>
      <c r="G66" s="9" t="s">
        <v>393</v>
      </c>
      <c r="H66" s="9" t="s">
        <v>394</v>
      </c>
      <c r="I66" s="9" t="s">
        <v>395</v>
      </c>
      <c r="J66" s="9" t="s">
        <v>396</v>
      </c>
      <c r="K66" s="9" t="s">
        <v>234</v>
      </c>
      <c r="L66" s="9" t="s">
        <v>186</v>
      </c>
      <c r="M66" s="9" t="s">
        <v>235</v>
      </c>
      <c r="N66" s="9" t="s">
        <v>397</v>
      </c>
      <c r="O66" s="9" t="s">
        <v>189</v>
      </c>
      <c r="P66" s="9" t="s">
        <v>190</v>
      </c>
      <c r="Q66" s="9" t="s">
        <v>398</v>
      </c>
      <c r="R66" s="9" t="s">
        <v>399</v>
      </c>
      <c r="S66" s="9" t="s">
        <v>193</v>
      </c>
      <c r="T66" s="9" t="s">
        <v>400</v>
      </c>
      <c r="U66" s="19" t="n">
        <v>35</v>
      </c>
      <c r="V66" s="9"/>
      <c r="W66" s="9"/>
      <c r="X66" s="9" t="s">
        <v>195</v>
      </c>
      <c r="Y66" s="23" t="n">
        <v>0.049</v>
      </c>
      <c r="Z66" s="23" t="n">
        <v>0.075</v>
      </c>
      <c r="AA66" s="23" t="n">
        <v>12</v>
      </c>
      <c r="AB66" s="9" t="s">
        <v>186</v>
      </c>
      <c r="AC66" s="9" t="s">
        <v>240</v>
      </c>
      <c r="AD66" s="23" t="s">
        <v>197</v>
      </c>
      <c r="AE66" s="23" t="s">
        <v>197</v>
      </c>
      <c r="AF66" s="23" t="s">
        <v>197</v>
      </c>
      <c r="AG66" s="23" t="n">
        <v>4</v>
      </c>
      <c r="AH66" s="23" t="s">
        <v>197</v>
      </c>
      <c r="AI66" s="23" t="s">
        <v>197</v>
      </c>
      <c r="AJ66" s="23" t="s">
        <v>197</v>
      </c>
      <c r="AK66" s="23" t="s">
        <v>197</v>
      </c>
      <c r="AL66" s="23" t="s">
        <v>197</v>
      </c>
      <c r="AM66" s="9" t="s">
        <v>197</v>
      </c>
      <c r="AN66" s="23" t="s">
        <v>197</v>
      </c>
      <c r="AO66" s="23" t="s">
        <v>197</v>
      </c>
      <c r="AP66" s="23" t="s">
        <v>197</v>
      </c>
    </row>
    <row r="67" customFormat="false" ht="21.75" hidden="false" customHeight="true" outlineLevel="0" collapsed="false">
      <c r="B67" s="14" t="n">
        <v>63</v>
      </c>
      <c r="C67" s="7" t="s">
        <v>41</v>
      </c>
      <c r="D67" s="7" t="s">
        <v>20</v>
      </c>
      <c r="E67" s="7" t="s">
        <v>116</v>
      </c>
      <c r="F67" s="7" t="s">
        <v>73</v>
      </c>
      <c r="G67" s="7" t="s">
        <v>401</v>
      </c>
      <c r="H67" s="7" t="s">
        <v>402</v>
      </c>
      <c r="I67" s="7" t="s">
        <v>395</v>
      </c>
      <c r="J67" s="7" t="s">
        <v>396</v>
      </c>
      <c r="K67" s="7" t="s">
        <v>234</v>
      </c>
      <c r="L67" s="7" t="s">
        <v>186</v>
      </c>
      <c r="M67" s="7" t="s">
        <v>235</v>
      </c>
      <c r="N67" s="7" t="s">
        <v>397</v>
      </c>
      <c r="O67" s="7" t="s">
        <v>189</v>
      </c>
      <c r="P67" s="7" t="s">
        <v>190</v>
      </c>
      <c r="Q67" s="7" t="s">
        <v>398</v>
      </c>
      <c r="R67" s="7" t="s">
        <v>399</v>
      </c>
      <c r="S67" s="7" t="s">
        <v>193</v>
      </c>
      <c r="T67" s="7" t="s">
        <v>400</v>
      </c>
      <c r="U67" s="18" t="n">
        <v>55</v>
      </c>
      <c r="V67" s="7"/>
      <c r="W67" s="7"/>
      <c r="X67" s="7" t="s">
        <v>199</v>
      </c>
      <c r="Y67" s="22" t="n">
        <v>0.059</v>
      </c>
      <c r="Z67" s="22" t="n">
        <v>0.088</v>
      </c>
      <c r="AA67" s="22" t="n">
        <v>12</v>
      </c>
      <c r="AB67" s="7" t="s">
        <v>186</v>
      </c>
      <c r="AC67" s="7" t="s">
        <v>240</v>
      </c>
      <c r="AD67" s="22" t="s">
        <v>197</v>
      </c>
      <c r="AE67" s="22" t="s">
        <v>197</v>
      </c>
      <c r="AF67" s="22" t="s">
        <v>197</v>
      </c>
      <c r="AG67" s="22" t="n">
        <v>8</v>
      </c>
      <c r="AH67" s="22" t="s">
        <v>197</v>
      </c>
      <c r="AI67" s="22" t="s">
        <v>197</v>
      </c>
      <c r="AJ67" s="22" t="s">
        <v>197</v>
      </c>
      <c r="AK67" s="22" t="s">
        <v>197</v>
      </c>
      <c r="AL67" s="22" t="s">
        <v>197</v>
      </c>
      <c r="AM67" s="7" t="s">
        <v>197</v>
      </c>
      <c r="AN67" s="22" t="s">
        <v>197</v>
      </c>
      <c r="AO67" s="22" t="s">
        <v>197</v>
      </c>
      <c r="AP67" s="22" t="s">
        <v>197</v>
      </c>
    </row>
    <row r="68" customFormat="false" ht="21.75" hidden="false" customHeight="true" outlineLevel="0" collapsed="false">
      <c r="B68" s="15" t="n">
        <v>64</v>
      </c>
      <c r="C68" s="9" t="s">
        <v>41</v>
      </c>
      <c r="D68" s="9" t="s">
        <v>20</v>
      </c>
      <c r="E68" s="9" t="s">
        <v>116</v>
      </c>
      <c r="F68" s="9" t="s">
        <v>73</v>
      </c>
      <c r="G68" s="9" t="s">
        <v>403</v>
      </c>
      <c r="H68" s="9" t="s">
        <v>404</v>
      </c>
      <c r="I68" s="9" t="s">
        <v>395</v>
      </c>
      <c r="J68" s="9" t="s">
        <v>396</v>
      </c>
      <c r="K68" s="9" t="s">
        <v>234</v>
      </c>
      <c r="L68" s="9" t="s">
        <v>186</v>
      </c>
      <c r="M68" s="9" t="s">
        <v>235</v>
      </c>
      <c r="N68" s="9" t="s">
        <v>397</v>
      </c>
      <c r="O68" s="9" t="s">
        <v>189</v>
      </c>
      <c r="P68" s="9" t="s">
        <v>190</v>
      </c>
      <c r="Q68" s="9" t="s">
        <v>398</v>
      </c>
      <c r="R68" s="9" t="s">
        <v>399</v>
      </c>
      <c r="S68" s="9" t="s">
        <v>193</v>
      </c>
      <c r="T68" s="9" t="s">
        <v>400</v>
      </c>
      <c r="U68" s="19" t="n">
        <v>75</v>
      </c>
      <c r="V68" s="9"/>
      <c r="W68" s="9"/>
      <c r="X68" s="9" t="s">
        <v>405</v>
      </c>
      <c r="Y68" s="23" t="n">
        <v>0.06</v>
      </c>
      <c r="Z68" s="23" t="n">
        <v>0.09</v>
      </c>
      <c r="AA68" s="23" t="n">
        <v>12</v>
      </c>
      <c r="AB68" s="9" t="s">
        <v>186</v>
      </c>
      <c r="AC68" s="9" t="s">
        <v>240</v>
      </c>
      <c r="AD68" s="23" t="s">
        <v>197</v>
      </c>
      <c r="AE68" s="23" t="s">
        <v>197</v>
      </c>
      <c r="AF68" s="23" t="s">
        <v>197</v>
      </c>
      <c r="AG68" s="23" t="n">
        <v>8</v>
      </c>
      <c r="AH68" s="23" t="s">
        <v>197</v>
      </c>
      <c r="AI68" s="23" t="s">
        <v>197</v>
      </c>
      <c r="AJ68" s="23" t="s">
        <v>197</v>
      </c>
      <c r="AK68" s="23" t="s">
        <v>197</v>
      </c>
      <c r="AL68" s="23" t="s">
        <v>197</v>
      </c>
      <c r="AM68" s="9" t="s">
        <v>197</v>
      </c>
      <c r="AN68" s="23" t="s">
        <v>197</v>
      </c>
      <c r="AO68" s="23" t="s">
        <v>197</v>
      </c>
      <c r="AP68" s="23" t="s">
        <v>197</v>
      </c>
    </row>
    <row r="69" customFormat="false" ht="21.75" hidden="false" customHeight="true" outlineLevel="0" collapsed="false">
      <c r="B69" s="14" t="n">
        <v>65</v>
      </c>
      <c r="C69" s="7" t="s">
        <v>41</v>
      </c>
      <c r="D69" s="7" t="s">
        <v>20</v>
      </c>
      <c r="E69" s="7" t="s">
        <v>116</v>
      </c>
      <c r="F69" s="7" t="s">
        <v>73</v>
      </c>
      <c r="G69" s="7" t="s">
        <v>406</v>
      </c>
      <c r="H69" s="7" t="s">
        <v>407</v>
      </c>
      <c r="I69" s="7" t="s">
        <v>395</v>
      </c>
      <c r="J69" s="7" t="s">
        <v>396</v>
      </c>
      <c r="K69" s="7" t="s">
        <v>234</v>
      </c>
      <c r="L69" s="7" t="s">
        <v>186</v>
      </c>
      <c r="M69" s="7" t="s">
        <v>235</v>
      </c>
      <c r="N69" s="7" t="s">
        <v>397</v>
      </c>
      <c r="O69" s="7" t="s">
        <v>189</v>
      </c>
      <c r="P69" s="7" t="s">
        <v>190</v>
      </c>
      <c r="Q69" s="7" t="s">
        <v>398</v>
      </c>
      <c r="R69" s="7" t="s">
        <v>399</v>
      </c>
      <c r="S69" s="7" t="s">
        <v>193</v>
      </c>
      <c r="T69" s="7" t="s">
        <v>400</v>
      </c>
      <c r="U69" s="18" t="n">
        <v>115</v>
      </c>
      <c r="V69" s="7"/>
      <c r="W69" s="7"/>
      <c r="X69" s="7" t="s">
        <v>203</v>
      </c>
      <c r="Y69" s="22" t="n">
        <v>0.031</v>
      </c>
      <c r="Z69" s="22" t="n">
        <v>0.052</v>
      </c>
      <c r="AA69" s="22" t="n">
        <v>12</v>
      </c>
      <c r="AB69" s="7" t="s">
        <v>186</v>
      </c>
      <c r="AC69" s="7" t="s">
        <v>240</v>
      </c>
      <c r="AD69" s="22" t="s">
        <v>197</v>
      </c>
      <c r="AE69" s="22" t="s">
        <v>197</v>
      </c>
      <c r="AF69" s="22" t="s">
        <v>197</v>
      </c>
      <c r="AG69" s="22" t="n">
        <v>16</v>
      </c>
      <c r="AH69" s="22" t="s">
        <v>197</v>
      </c>
      <c r="AI69" s="22" t="s">
        <v>197</v>
      </c>
      <c r="AJ69" s="22" t="s">
        <v>197</v>
      </c>
      <c r="AK69" s="22" t="s">
        <v>197</v>
      </c>
      <c r="AL69" s="22" t="s">
        <v>197</v>
      </c>
      <c r="AM69" s="7" t="s">
        <v>197</v>
      </c>
      <c r="AN69" s="22" t="s">
        <v>197</v>
      </c>
      <c r="AO69" s="22" t="s">
        <v>197</v>
      </c>
      <c r="AP69" s="22" t="s">
        <v>197</v>
      </c>
    </row>
    <row r="70" customFormat="false" ht="21.75" hidden="false" customHeight="true" outlineLevel="0" collapsed="false">
      <c r="B70" s="15" t="n">
        <v>66</v>
      </c>
      <c r="C70" s="9" t="s">
        <v>41</v>
      </c>
      <c r="D70" s="9" t="s">
        <v>20</v>
      </c>
      <c r="E70" s="9" t="s">
        <v>116</v>
      </c>
      <c r="F70" s="9" t="s">
        <v>73</v>
      </c>
      <c r="G70" s="9" t="s">
        <v>408</v>
      </c>
      <c r="H70" s="9" t="s">
        <v>409</v>
      </c>
      <c r="I70" s="9" t="s">
        <v>395</v>
      </c>
      <c r="J70" s="9" t="s">
        <v>396</v>
      </c>
      <c r="K70" s="9" t="s">
        <v>234</v>
      </c>
      <c r="L70" s="9" t="s">
        <v>186</v>
      </c>
      <c r="M70" s="9" t="s">
        <v>235</v>
      </c>
      <c r="N70" s="9" t="s">
        <v>397</v>
      </c>
      <c r="O70" s="9" t="s">
        <v>189</v>
      </c>
      <c r="P70" s="9" t="s">
        <v>190</v>
      </c>
      <c r="Q70" s="9" t="s">
        <v>398</v>
      </c>
      <c r="R70" s="9" t="s">
        <v>399</v>
      </c>
      <c r="S70" s="9" t="s">
        <v>193</v>
      </c>
      <c r="T70" s="9" t="s">
        <v>400</v>
      </c>
      <c r="U70" s="19" t="n">
        <v>170</v>
      </c>
      <c r="V70" s="9"/>
      <c r="W70" s="9"/>
      <c r="X70" s="9" t="s">
        <v>205</v>
      </c>
      <c r="Y70" s="23" t="n">
        <v>0.04</v>
      </c>
      <c r="Z70" s="23" t="n">
        <v>0.064</v>
      </c>
      <c r="AA70" s="23" t="n">
        <v>12</v>
      </c>
      <c r="AB70" s="9" t="s">
        <v>186</v>
      </c>
      <c r="AC70" s="9" t="s">
        <v>240</v>
      </c>
      <c r="AD70" s="23" t="s">
        <v>197</v>
      </c>
      <c r="AE70" s="23" t="s">
        <v>197</v>
      </c>
      <c r="AF70" s="23" t="s">
        <v>197</v>
      </c>
      <c r="AG70" s="23" t="n">
        <v>16</v>
      </c>
      <c r="AH70" s="23" t="s">
        <v>197</v>
      </c>
      <c r="AI70" s="23" t="s">
        <v>197</v>
      </c>
      <c r="AJ70" s="23" t="s">
        <v>197</v>
      </c>
      <c r="AK70" s="23" t="s">
        <v>197</v>
      </c>
      <c r="AL70" s="23" t="s">
        <v>197</v>
      </c>
      <c r="AM70" s="9" t="s">
        <v>197</v>
      </c>
      <c r="AN70" s="23" t="s">
        <v>197</v>
      </c>
      <c r="AO70" s="23" t="s">
        <v>197</v>
      </c>
      <c r="AP70" s="23" t="s">
        <v>197</v>
      </c>
    </row>
    <row r="71" customFormat="false" ht="21.75" hidden="false" customHeight="true" outlineLevel="0" collapsed="false">
      <c r="B71" s="14" t="n">
        <v>67</v>
      </c>
      <c r="C71" s="7" t="s">
        <v>41</v>
      </c>
      <c r="D71" s="7" t="s">
        <v>20</v>
      </c>
      <c r="E71" s="7" t="s">
        <v>116</v>
      </c>
      <c r="F71" s="7" t="s">
        <v>74</v>
      </c>
      <c r="G71" s="7" t="s">
        <v>410</v>
      </c>
      <c r="H71" s="7" t="s">
        <v>411</v>
      </c>
      <c r="I71" s="7" t="s">
        <v>412</v>
      </c>
      <c r="J71" s="7" t="s">
        <v>413</v>
      </c>
      <c r="K71" s="7" t="s">
        <v>414</v>
      </c>
      <c r="L71" s="7" t="s">
        <v>186</v>
      </c>
      <c r="M71" s="7" t="s">
        <v>415</v>
      </c>
      <c r="N71" s="7" t="s">
        <v>416</v>
      </c>
      <c r="O71" s="7" t="s">
        <v>189</v>
      </c>
      <c r="P71" s="7" t="s">
        <v>190</v>
      </c>
      <c r="Q71" s="7" t="s">
        <v>417</v>
      </c>
      <c r="R71" s="7" t="s">
        <v>418</v>
      </c>
      <c r="S71" s="7" t="s">
        <v>193</v>
      </c>
      <c r="T71" s="7" t="s">
        <v>419</v>
      </c>
      <c r="U71" s="18" t="n">
        <v>30</v>
      </c>
      <c r="V71" s="7"/>
      <c r="W71" s="7"/>
      <c r="X71" s="7" t="s">
        <v>195</v>
      </c>
      <c r="Y71" s="22" t="n">
        <v>5.58E-006</v>
      </c>
      <c r="Z71" s="22" t="n">
        <v>2.385E-005</v>
      </c>
      <c r="AA71" s="22" t="n">
        <v>3</v>
      </c>
      <c r="AB71" s="7" t="s">
        <v>186</v>
      </c>
      <c r="AC71" s="7" t="s">
        <v>256</v>
      </c>
      <c r="AD71" s="22" t="s">
        <v>197</v>
      </c>
      <c r="AE71" s="22" t="s">
        <v>197</v>
      </c>
      <c r="AF71" s="22" t="s">
        <v>197</v>
      </c>
      <c r="AG71" s="22" t="s">
        <v>197</v>
      </c>
      <c r="AH71" s="22" t="s">
        <v>197</v>
      </c>
      <c r="AI71" s="22" t="s">
        <v>197</v>
      </c>
      <c r="AJ71" s="22" t="s">
        <v>197</v>
      </c>
      <c r="AK71" s="22" t="s">
        <v>197</v>
      </c>
      <c r="AL71" s="22" t="s">
        <v>197</v>
      </c>
      <c r="AM71" s="7" t="s">
        <v>197</v>
      </c>
      <c r="AN71" s="22" t="s">
        <v>197</v>
      </c>
      <c r="AO71" s="22" t="s">
        <v>197</v>
      </c>
      <c r="AP71" s="22" t="s">
        <v>197</v>
      </c>
    </row>
    <row r="72" customFormat="false" ht="21.75" hidden="false" customHeight="true" outlineLevel="0" collapsed="false">
      <c r="B72" s="15" t="n">
        <v>68</v>
      </c>
      <c r="C72" s="9" t="s">
        <v>41</v>
      </c>
      <c r="D72" s="9" t="s">
        <v>20</v>
      </c>
      <c r="E72" s="9" t="s">
        <v>116</v>
      </c>
      <c r="F72" s="9" t="s">
        <v>74</v>
      </c>
      <c r="G72" s="9" t="s">
        <v>420</v>
      </c>
      <c r="H72" s="9" t="s">
        <v>421</v>
      </c>
      <c r="I72" s="9" t="s">
        <v>412</v>
      </c>
      <c r="J72" s="9" t="s">
        <v>413</v>
      </c>
      <c r="K72" s="9" t="s">
        <v>414</v>
      </c>
      <c r="L72" s="9" t="s">
        <v>186</v>
      </c>
      <c r="M72" s="9" t="s">
        <v>415</v>
      </c>
      <c r="N72" s="9" t="s">
        <v>416</v>
      </c>
      <c r="O72" s="9" t="s">
        <v>189</v>
      </c>
      <c r="P72" s="9" t="s">
        <v>190</v>
      </c>
      <c r="Q72" s="9" t="s">
        <v>417</v>
      </c>
      <c r="R72" s="9" t="s">
        <v>418</v>
      </c>
      <c r="S72" s="9" t="s">
        <v>193</v>
      </c>
      <c r="T72" s="9" t="s">
        <v>419</v>
      </c>
      <c r="U72" s="19" t="n">
        <v>45</v>
      </c>
      <c r="V72" s="9"/>
      <c r="W72" s="9"/>
      <c r="X72" s="9" t="s">
        <v>199</v>
      </c>
      <c r="Y72" s="23" t="n">
        <v>7.8E-006</v>
      </c>
      <c r="Z72" s="23" t="n">
        <v>3.409E-005</v>
      </c>
      <c r="AA72" s="23" t="n">
        <v>3</v>
      </c>
      <c r="AB72" s="9" t="s">
        <v>186</v>
      </c>
      <c r="AC72" s="9" t="s">
        <v>256</v>
      </c>
      <c r="AD72" s="23" t="s">
        <v>197</v>
      </c>
      <c r="AE72" s="23" t="s">
        <v>197</v>
      </c>
      <c r="AF72" s="23" t="s">
        <v>197</v>
      </c>
      <c r="AG72" s="23" t="s">
        <v>197</v>
      </c>
      <c r="AH72" s="23" t="s">
        <v>197</v>
      </c>
      <c r="AI72" s="23" t="s">
        <v>197</v>
      </c>
      <c r="AJ72" s="23" t="s">
        <v>197</v>
      </c>
      <c r="AK72" s="23" t="s">
        <v>197</v>
      </c>
      <c r="AL72" s="23" t="s">
        <v>197</v>
      </c>
      <c r="AM72" s="9" t="s">
        <v>197</v>
      </c>
      <c r="AN72" s="23" t="s">
        <v>197</v>
      </c>
      <c r="AO72" s="23" t="s">
        <v>197</v>
      </c>
      <c r="AP72" s="23" t="s">
        <v>197</v>
      </c>
    </row>
    <row r="73" customFormat="false" ht="21.75" hidden="false" customHeight="true" outlineLevel="0" collapsed="false">
      <c r="B73" s="14" t="n">
        <v>69</v>
      </c>
      <c r="C73" s="7" t="s">
        <v>41</v>
      </c>
      <c r="D73" s="7" t="s">
        <v>20</v>
      </c>
      <c r="E73" s="7" t="s">
        <v>116</v>
      </c>
      <c r="F73" s="7" t="s">
        <v>74</v>
      </c>
      <c r="G73" s="7" t="s">
        <v>422</v>
      </c>
      <c r="H73" s="7" t="s">
        <v>423</v>
      </c>
      <c r="I73" s="7" t="s">
        <v>412</v>
      </c>
      <c r="J73" s="7" t="s">
        <v>413</v>
      </c>
      <c r="K73" s="7" t="s">
        <v>414</v>
      </c>
      <c r="L73" s="7" t="s">
        <v>186</v>
      </c>
      <c r="M73" s="7" t="s">
        <v>415</v>
      </c>
      <c r="N73" s="7" t="s">
        <v>416</v>
      </c>
      <c r="O73" s="7" t="s">
        <v>189</v>
      </c>
      <c r="P73" s="7" t="s">
        <v>190</v>
      </c>
      <c r="Q73" s="7" t="s">
        <v>417</v>
      </c>
      <c r="R73" s="7" t="s">
        <v>418</v>
      </c>
      <c r="S73" s="7" t="s">
        <v>193</v>
      </c>
      <c r="T73" s="7" t="s">
        <v>419</v>
      </c>
      <c r="U73" s="18" t="n">
        <v>65</v>
      </c>
      <c r="V73" s="7"/>
      <c r="W73" s="7"/>
      <c r="X73" s="7" t="s">
        <v>424</v>
      </c>
      <c r="Y73" s="22" t="n">
        <v>0</v>
      </c>
      <c r="Z73" s="22" t="n">
        <v>0</v>
      </c>
      <c r="AA73" s="22" t="s">
        <v>197</v>
      </c>
      <c r="AB73" s="7" t="s">
        <v>186</v>
      </c>
      <c r="AC73" s="7" t="s">
        <v>256</v>
      </c>
      <c r="AD73" s="22" t="s">
        <v>197</v>
      </c>
      <c r="AE73" s="22" t="s">
        <v>197</v>
      </c>
      <c r="AF73" s="22" t="s">
        <v>197</v>
      </c>
      <c r="AG73" s="22" t="s">
        <v>197</v>
      </c>
      <c r="AH73" s="22" t="s">
        <v>197</v>
      </c>
      <c r="AI73" s="22" t="s">
        <v>197</v>
      </c>
      <c r="AJ73" s="22" t="s">
        <v>197</v>
      </c>
      <c r="AK73" s="22" t="s">
        <v>197</v>
      </c>
      <c r="AL73" s="22" t="s">
        <v>197</v>
      </c>
      <c r="AM73" s="7" t="s">
        <v>197</v>
      </c>
      <c r="AN73" s="22" t="s">
        <v>197</v>
      </c>
      <c r="AO73" s="22" t="n">
        <v>1.1</v>
      </c>
      <c r="AP73" s="22" t="n">
        <v>1.5</v>
      </c>
    </row>
    <row r="74" customFormat="false" ht="21.75" hidden="false" customHeight="true" outlineLevel="0" collapsed="false">
      <c r="B74" s="15" t="n">
        <v>70</v>
      </c>
      <c r="C74" s="9" t="s">
        <v>41</v>
      </c>
      <c r="D74" s="9" t="s">
        <v>20</v>
      </c>
      <c r="E74" s="9" t="s">
        <v>116</v>
      </c>
      <c r="F74" s="9" t="s">
        <v>74</v>
      </c>
      <c r="G74" s="9" t="s">
        <v>425</v>
      </c>
      <c r="H74" s="9" t="s">
        <v>426</v>
      </c>
      <c r="I74" s="9" t="s">
        <v>412</v>
      </c>
      <c r="J74" s="9" t="s">
        <v>413</v>
      </c>
      <c r="K74" s="9" t="s">
        <v>414</v>
      </c>
      <c r="L74" s="9" t="s">
        <v>186</v>
      </c>
      <c r="M74" s="9" t="s">
        <v>415</v>
      </c>
      <c r="N74" s="9" t="s">
        <v>416</v>
      </c>
      <c r="O74" s="9" t="s">
        <v>189</v>
      </c>
      <c r="P74" s="9" t="s">
        <v>190</v>
      </c>
      <c r="Q74" s="9" t="s">
        <v>417</v>
      </c>
      <c r="R74" s="9" t="s">
        <v>418</v>
      </c>
      <c r="S74" s="9" t="s">
        <v>193</v>
      </c>
      <c r="T74" s="9" t="s">
        <v>419</v>
      </c>
      <c r="U74" s="19" t="n">
        <v>95</v>
      </c>
      <c r="V74" s="9"/>
      <c r="W74" s="9"/>
      <c r="X74" s="9" t="s">
        <v>203</v>
      </c>
      <c r="Y74" s="23" t="n">
        <v>0</v>
      </c>
      <c r="Z74" s="23" t="n">
        <v>0</v>
      </c>
      <c r="AA74" s="23" t="s">
        <v>197</v>
      </c>
      <c r="AB74" s="9" t="s">
        <v>186</v>
      </c>
      <c r="AC74" s="9" t="s">
        <v>256</v>
      </c>
      <c r="AD74" s="23" t="s">
        <v>197</v>
      </c>
      <c r="AE74" s="23" t="s">
        <v>197</v>
      </c>
      <c r="AF74" s="23" t="s">
        <v>197</v>
      </c>
      <c r="AG74" s="23" t="s">
        <v>197</v>
      </c>
      <c r="AH74" s="23" t="s">
        <v>197</v>
      </c>
      <c r="AI74" s="23" t="s">
        <v>197</v>
      </c>
      <c r="AJ74" s="23" t="s">
        <v>197</v>
      </c>
      <c r="AK74" s="23" t="s">
        <v>197</v>
      </c>
      <c r="AL74" s="23" t="s">
        <v>197</v>
      </c>
      <c r="AM74" s="9" t="s">
        <v>197</v>
      </c>
      <c r="AN74" s="23" t="s">
        <v>197</v>
      </c>
      <c r="AO74" s="23" t="n">
        <v>1.1</v>
      </c>
      <c r="AP74" s="23" t="n">
        <v>1.5</v>
      </c>
    </row>
    <row r="75" customFormat="false" ht="21.75" hidden="false" customHeight="true" outlineLevel="0" collapsed="false">
      <c r="B75" s="14" t="n">
        <v>71</v>
      </c>
      <c r="C75" s="7" t="s">
        <v>41</v>
      </c>
      <c r="D75" s="7" t="s">
        <v>20</v>
      </c>
      <c r="E75" s="7" t="s">
        <v>116</v>
      </c>
      <c r="F75" s="7" t="s">
        <v>74</v>
      </c>
      <c r="G75" s="7" t="s">
        <v>427</v>
      </c>
      <c r="H75" s="7" t="s">
        <v>428</v>
      </c>
      <c r="I75" s="7" t="s">
        <v>412</v>
      </c>
      <c r="J75" s="7" t="s">
        <v>413</v>
      </c>
      <c r="K75" s="7" t="s">
        <v>414</v>
      </c>
      <c r="L75" s="7" t="s">
        <v>186</v>
      </c>
      <c r="M75" s="7" t="s">
        <v>415</v>
      </c>
      <c r="N75" s="7" t="s">
        <v>416</v>
      </c>
      <c r="O75" s="7" t="s">
        <v>189</v>
      </c>
      <c r="P75" s="7" t="s">
        <v>190</v>
      </c>
      <c r="Q75" s="7" t="s">
        <v>417</v>
      </c>
      <c r="R75" s="7" t="s">
        <v>418</v>
      </c>
      <c r="S75" s="7" t="s">
        <v>193</v>
      </c>
      <c r="T75" s="7" t="s">
        <v>419</v>
      </c>
      <c r="U75" s="18" t="n">
        <v>140</v>
      </c>
      <c r="V75" s="7"/>
      <c r="W75" s="7"/>
      <c r="X75" s="7" t="s">
        <v>205</v>
      </c>
      <c r="Y75" s="22" t="n">
        <v>0</v>
      </c>
      <c r="Z75" s="22" t="n">
        <v>0</v>
      </c>
      <c r="AA75" s="22" t="s">
        <v>197</v>
      </c>
      <c r="AB75" s="7" t="s">
        <v>186</v>
      </c>
      <c r="AC75" s="7" t="s">
        <v>256</v>
      </c>
      <c r="AD75" s="22" t="s">
        <v>197</v>
      </c>
      <c r="AE75" s="22" t="s">
        <v>197</v>
      </c>
      <c r="AF75" s="22" t="s">
        <v>197</v>
      </c>
      <c r="AG75" s="22" t="s">
        <v>197</v>
      </c>
      <c r="AH75" s="22" t="s">
        <v>197</v>
      </c>
      <c r="AI75" s="22" t="s">
        <v>197</v>
      </c>
      <c r="AJ75" s="22" t="s">
        <v>197</v>
      </c>
      <c r="AK75" s="22" t="s">
        <v>197</v>
      </c>
      <c r="AL75" s="22" t="s">
        <v>197</v>
      </c>
      <c r="AM75" s="7" t="s">
        <v>197</v>
      </c>
      <c r="AN75" s="22" t="s">
        <v>197</v>
      </c>
      <c r="AO75" s="22" t="n">
        <v>1.1</v>
      </c>
      <c r="AP75" s="22" t="n">
        <v>1.5</v>
      </c>
    </row>
    <row r="76" customFormat="false" ht="21.75" hidden="false" customHeight="true" outlineLevel="0" collapsed="false">
      <c r="B76" s="15" t="n">
        <v>72</v>
      </c>
      <c r="C76" s="9" t="s">
        <v>41</v>
      </c>
      <c r="D76" s="9" t="s">
        <v>20</v>
      </c>
      <c r="E76" s="9" t="s">
        <v>116</v>
      </c>
      <c r="F76" s="9" t="s">
        <v>75</v>
      </c>
      <c r="G76" s="9" t="s">
        <v>429</v>
      </c>
      <c r="H76" s="9" t="s">
        <v>430</v>
      </c>
      <c r="I76" s="9" t="s">
        <v>431</v>
      </c>
      <c r="J76" s="9" t="s">
        <v>432</v>
      </c>
      <c r="K76" s="9" t="s">
        <v>414</v>
      </c>
      <c r="L76" s="9" t="s">
        <v>186</v>
      </c>
      <c r="M76" s="9" t="s">
        <v>415</v>
      </c>
      <c r="N76" s="9" t="s">
        <v>433</v>
      </c>
      <c r="O76" s="9" t="s">
        <v>189</v>
      </c>
      <c r="P76" s="9" t="s">
        <v>190</v>
      </c>
      <c r="Q76" s="9" t="s">
        <v>434</v>
      </c>
      <c r="R76" s="9" t="s">
        <v>435</v>
      </c>
      <c r="S76" s="9" t="s">
        <v>193</v>
      </c>
      <c r="T76" s="9" t="s">
        <v>436</v>
      </c>
      <c r="U76" s="19" t="n">
        <v>20</v>
      </c>
      <c r="V76" s="9"/>
      <c r="W76" s="9"/>
      <c r="X76" s="9" t="s">
        <v>195</v>
      </c>
      <c r="Y76" s="23" t="n">
        <v>4.57E-006</v>
      </c>
      <c r="Z76" s="23" t="n">
        <v>2.283E-005</v>
      </c>
      <c r="AA76" s="23" t="n">
        <v>3</v>
      </c>
      <c r="AB76" s="9" t="s">
        <v>186</v>
      </c>
      <c r="AC76" s="9" t="s">
        <v>276</v>
      </c>
      <c r="AD76" s="23" t="s">
        <v>197</v>
      </c>
      <c r="AE76" s="23" t="s">
        <v>197</v>
      </c>
      <c r="AF76" s="23" t="s">
        <v>197</v>
      </c>
      <c r="AG76" s="23" t="s">
        <v>197</v>
      </c>
      <c r="AH76" s="23" t="s">
        <v>197</v>
      </c>
      <c r="AI76" s="23" t="s">
        <v>197</v>
      </c>
      <c r="AJ76" s="23" t="s">
        <v>197</v>
      </c>
      <c r="AK76" s="23" t="s">
        <v>197</v>
      </c>
      <c r="AL76" s="23" t="s">
        <v>197</v>
      </c>
      <c r="AM76" s="9" t="s">
        <v>197</v>
      </c>
      <c r="AN76" s="23" t="s">
        <v>197</v>
      </c>
      <c r="AO76" s="23" t="s">
        <v>197</v>
      </c>
      <c r="AP76" s="23" t="s">
        <v>197</v>
      </c>
    </row>
    <row r="77" customFormat="false" ht="21.75" hidden="false" customHeight="true" outlineLevel="0" collapsed="false">
      <c r="B77" s="14" t="n">
        <v>73</v>
      </c>
      <c r="C77" s="7" t="s">
        <v>41</v>
      </c>
      <c r="D77" s="7" t="s">
        <v>20</v>
      </c>
      <c r="E77" s="7" t="s">
        <v>116</v>
      </c>
      <c r="F77" s="7" t="s">
        <v>75</v>
      </c>
      <c r="G77" s="7" t="s">
        <v>437</v>
      </c>
      <c r="H77" s="7" t="s">
        <v>438</v>
      </c>
      <c r="I77" s="7" t="s">
        <v>431</v>
      </c>
      <c r="J77" s="7" t="s">
        <v>432</v>
      </c>
      <c r="K77" s="7" t="s">
        <v>414</v>
      </c>
      <c r="L77" s="7" t="s">
        <v>186</v>
      </c>
      <c r="M77" s="7" t="s">
        <v>415</v>
      </c>
      <c r="N77" s="7" t="s">
        <v>433</v>
      </c>
      <c r="O77" s="7" t="s">
        <v>189</v>
      </c>
      <c r="P77" s="7" t="s">
        <v>190</v>
      </c>
      <c r="Q77" s="7" t="s">
        <v>434</v>
      </c>
      <c r="R77" s="7" t="s">
        <v>435</v>
      </c>
      <c r="S77" s="7" t="s">
        <v>193</v>
      </c>
      <c r="T77" s="7" t="s">
        <v>436</v>
      </c>
      <c r="U77" s="18" t="n">
        <v>30</v>
      </c>
      <c r="V77" s="7"/>
      <c r="W77" s="7"/>
      <c r="X77" s="7" t="s">
        <v>199</v>
      </c>
      <c r="Y77" s="22" t="n">
        <v>5.89E-006</v>
      </c>
      <c r="Z77" s="22" t="n">
        <v>2.945E-005</v>
      </c>
      <c r="AA77" s="22" t="n">
        <v>3</v>
      </c>
      <c r="AB77" s="7" t="s">
        <v>186</v>
      </c>
      <c r="AC77" s="7" t="s">
        <v>276</v>
      </c>
      <c r="AD77" s="22" t="s">
        <v>197</v>
      </c>
      <c r="AE77" s="22" t="s">
        <v>197</v>
      </c>
      <c r="AF77" s="22" t="s">
        <v>197</v>
      </c>
      <c r="AG77" s="22" t="s">
        <v>197</v>
      </c>
      <c r="AH77" s="22" t="s">
        <v>197</v>
      </c>
      <c r="AI77" s="22" t="s">
        <v>197</v>
      </c>
      <c r="AJ77" s="22" t="s">
        <v>197</v>
      </c>
      <c r="AK77" s="22" t="s">
        <v>197</v>
      </c>
      <c r="AL77" s="22" t="s">
        <v>197</v>
      </c>
      <c r="AM77" s="7" t="s">
        <v>197</v>
      </c>
      <c r="AN77" s="22" t="s">
        <v>197</v>
      </c>
      <c r="AO77" s="22" t="s">
        <v>197</v>
      </c>
      <c r="AP77" s="22" t="s">
        <v>197</v>
      </c>
    </row>
    <row r="78" customFormat="false" ht="21.75" hidden="false" customHeight="true" outlineLevel="0" collapsed="false">
      <c r="B78" s="15" t="n">
        <v>74</v>
      </c>
      <c r="C78" s="9" t="s">
        <v>41</v>
      </c>
      <c r="D78" s="9" t="s">
        <v>20</v>
      </c>
      <c r="E78" s="9" t="s">
        <v>116</v>
      </c>
      <c r="F78" s="9" t="s">
        <v>75</v>
      </c>
      <c r="G78" s="9" t="s">
        <v>439</v>
      </c>
      <c r="H78" s="9" t="s">
        <v>440</v>
      </c>
      <c r="I78" s="9" t="s">
        <v>431</v>
      </c>
      <c r="J78" s="9" t="s">
        <v>432</v>
      </c>
      <c r="K78" s="9" t="s">
        <v>414</v>
      </c>
      <c r="L78" s="9" t="s">
        <v>186</v>
      </c>
      <c r="M78" s="9" t="s">
        <v>415</v>
      </c>
      <c r="N78" s="9" t="s">
        <v>433</v>
      </c>
      <c r="O78" s="9" t="s">
        <v>189</v>
      </c>
      <c r="P78" s="9" t="s">
        <v>190</v>
      </c>
      <c r="Q78" s="9" t="s">
        <v>434</v>
      </c>
      <c r="R78" s="9" t="s">
        <v>435</v>
      </c>
      <c r="S78" s="9" t="s">
        <v>193</v>
      </c>
      <c r="T78" s="9" t="s">
        <v>436</v>
      </c>
      <c r="U78" s="19" t="n">
        <v>40</v>
      </c>
      <c r="V78" s="9"/>
      <c r="W78" s="9"/>
      <c r="X78" s="9" t="s">
        <v>441</v>
      </c>
      <c r="Y78" s="23" t="n">
        <v>5.45E-006</v>
      </c>
      <c r="Z78" s="23" t="n">
        <v>2.724E-005</v>
      </c>
      <c r="AA78" s="23" t="n">
        <v>3</v>
      </c>
      <c r="AB78" s="9" t="s">
        <v>186</v>
      </c>
      <c r="AC78" s="9" t="s">
        <v>276</v>
      </c>
      <c r="AD78" s="23" t="s">
        <v>197</v>
      </c>
      <c r="AE78" s="23" t="s">
        <v>197</v>
      </c>
      <c r="AF78" s="23" t="s">
        <v>197</v>
      </c>
      <c r="AG78" s="23" t="s">
        <v>197</v>
      </c>
      <c r="AH78" s="23" t="s">
        <v>197</v>
      </c>
      <c r="AI78" s="23" t="s">
        <v>197</v>
      </c>
      <c r="AJ78" s="23" t="s">
        <v>197</v>
      </c>
      <c r="AK78" s="23" t="s">
        <v>197</v>
      </c>
      <c r="AL78" s="23" t="s">
        <v>197</v>
      </c>
      <c r="AM78" s="9" t="s">
        <v>197</v>
      </c>
      <c r="AN78" s="23" t="s">
        <v>197</v>
      </c>
      <c r="AO78" s="23" t="s">
        <v>197</v>
      </c>
      <c r="AP78" s="23" t="s">
        <v>197</v>
      </c>
    </row>
    <row r="79" customFormat="false" ht="21.75" hidden="false" customHeight="true" outlineLevel="0" collapsed="false">
      <c r="B79" s="14" t="n">
        <v>75</v>
      </c>
      <c r="C79" s="7" t="s">
        <v>41</v>
      </c>
      <c r="D79" s="7" t="s">
        <v>20</v>
      </c>
      <c r="E79" s="7" t="s">
        <v>116</v>
      </c>
      <c r="F79" s="7" t="s">
        <v>75</v>
      </c>
      <c r="G79" s="7" t="s">
        <v>442</v>
      </c>
      <c r="H79" s="7" t="s">
        <v>443</v>
      </c>
      <c r="I79" s="7" t="s">
        <v>431</v>
      </c>
      <c r="J79" s="7" t="s">
        <v>432</v>
      </c>
      <c r="K79" s="7" t="s">
        <v>414</v>
      </c>
      <c r="L79" s="7" t="s">
        <v>186</v>
      </c>
      <c r="M79" s="7" t="s">
        <v>415</v>
      </c>
      <c r="N79" s="7" t="s">
        <v>433</v>
      </c>
      <c r="O79" s="7" t="s">
        <v>189</v>
      </c>
      <c r="P79" s="7" t="s">
        <v>190</v>
      </c>
      <c r="Q79" s="7" t="s">
        <v>434</v>
      </c>
      <c r="R79" s="7" t="s">
        <v>435</v>
      </c>
      <c r="S79" s="7" t="s">
        <v>193</v>
      </c>
      <c r="T79" s="7" t="s">
        <v>436</v>
      </c>
      <c r="U79" s="18" t="n">
        <v>60</v>
      </c>
      <c r="V79" s="7"/>
      <c r="W79" s="7"/>
      <c r="X79" s="7" t="s">
        <v>203</v>
      </c>
      <c r="Y79" s="22" t="n">
        <v>4.92E-006</v>
      </c>
      <c r="Z79" s="22" t="n">
        <v>2.459E-005</v>
      </c>
      <c r="AA79" s="22" t="n">
        <v>3</v>
      </c>
      <c r="AB79" s="7" t="s">
        <v>186</v>
      </c>
      <c r="AC79" s="7" t="s">
        <v>276</v>
      </c>
      <c r="AD79" s="22" t="s">
        <v>197</v>
      </c>
      <c r="AE79" s="22" t="s">
        <v>197</v>
      </c>
      <c r="AF79" s="22" t="s">
        <v>197</v>
      </c>
      <c r="AG79" s="22" t="s">
        <v>197</v>
      </c>
      <c r="AH79" s="22" t="s">
        <v>197</v>
      </c>
      <c r="AI79" s="22" t="s">
        <v>197</v>
      </c>
      <c r="AJ79" s="22" t="s">
        <v>197</v>
      </c>
      <c r="AK79" s="22" t="s">
        <v>197</v>
      </c>
      <c r="AL79" s="22" t="s">
        <v>197</v>
      </c>
      <c r="AM79" s="7" t="s">
        <v>197</v>
      </c>
      <c r="AN79" s="22" t="s">
        <v>197</v>
      </c>
      <c r="AO79" s="22" t="s">
        <v>197</v>
      </c>
      <c r="AP79" s="22" t="s">
        <v>197</v>
      </c>
    </row>
    <row r="80" customFormat="false" ht="21.75" hidden="false" customHeight="true" outlineLevel="0" collapsed="false">
      <c r="B80" s="15" t="n">
        <v>76</v>
      </c>
      <c r="C80" s="9" t="s">
        <v>41</v>
      </c>
      <c r="D80" s="9" t="s">
        <v>20</v>
      </c>
      <c r="E80" s="9" t="s">
        <v>116</v>
      </c>
      <c r="F80" s="9" t="s">
        <v>75</v>
      </c>
      <c r="G80" s="9" t="s">
        <v>427</v>
      </c>
      <c r="H80" s="9" t="s">
        <v>444</v>
      </c>
      <c r="I80" s="9" t="s">
        <v>431</v>
      </c>
      <c r="J80" s="9" t="s">
        <v>432</v>
      </c>
      <c r="K80" s="9" t="s">
        <v>414</v>
      </c>
      <c r="L80" s="9" t="s">
        <v>186</v>
      </c>
      <c r="M80" s="9" t="s">
        <v>415</v>
      </c>
      <c r="N80" s="9" t="s">
        <v>433</v>
      </c>
      <c r="O80" s="9" t="s">
        <v>189</v>
      </c>
      <c r="P80" s="9" t="s">
        <v>190</v>
      </c>
      <c r="Q80" s="9" t="s">
        <v>434</v>
      </c>
      <c r="R80" s="9" t="s">
        <v>435</v>
      </c>
      <c r="S80" s="9" t="s">
        <v>193</v>
      </c>
      <c r="T80" s="9" t="s">
        <v>436</v>
      </c>
      <c r="U80" s="19" t="n">
        <v>85</v>
      </c>
      <c r="V80" s="9"/>
      <c r="W80" s="9"/>
      <c r="X80" s="9" t="s">
        <v>205</v>
      </c>
      <c r="Y80" s="23" t="n">
        <v>3.07E-006</v>
      </c>
      <c r="Z80" s="23" t="n">
        <v>1.537E-005</v>
      </c>
      <c r="AA80" s="23" t="n">
        <v>3</v>
      </c>
      <c r="AB80" s="9" t="s">
        <v>186</v>
      </c>
      <c r="AC80" s="9" t="s">
        <v>276</v>
      </c>
      <c r="AD80" s="23" t="s">
        <v>197</v>
      </c>
      <c r="AE80" s="23" t="s">
        <v>197</v>
      </c>
      <c r="AF80" s="23" t="s">
        <v>197</v>
      </c>
      <c r="AG80" s="23" t="s">
        <v>197</v>
      </c>
      <c r="AH80" s="23" t="s">
        <v>197</v>
      </c>
      <c r="AI80" s="23" t="s">
        <v>197</v>
      </c>
      <c r="AJ80" s="23" t="s">
        <v>197</v>
      </c>
      <c r="AK80" s="23" t="s">
        <v>197</v>
      </c>
      <c r="AL80" s="23" t="s">
        <v>197</v>
      </c>
      <c r="AM80" s="9" t="s">
        <v>197</v>
      </c>
      <c r="AN80" s="23" t="s">
        <v>197</v>
      </c>
      <c r="AO80" s="23" t="s">
        <v>197</v>
      </c>
      <c r="AP80" s="23" t="s">
        <v>197</v>
      </c>
    </row>
    <row r="81" customFormat="false" ht="21.75" hidden="false" customHeight="true" outlineLevel="0" collapsed="false">
      <c r="B81" s="14" t="n">
        <v>77</v>
      </c>
      <c r="C81" s="7" t="s">
        <v>42</v>
      </c>
      <c r="D81" s="7" t="s">
        <v>20</v>
      </c>
      <c r="E81" s="7" t="s">
        <v>117</v>
      </c>
      <c r="F81" s="7" t="s">
        <v>60</v>
      </c>
      <c r="G81" s="7" t="s">
        <v>445</v>
      </c>
      <c r="H81" s="7" t="s">
        <v>446</v>
      </c>
      <c r="I81" s="7" t="s">
        <v>447</v>
      </c>
      <c r="J81" s="7" t="s">
        <v>448</v>
      </c>
      <c r="K81" s="7" t="s">
        <v>449</v>
      </c>
      <c r="L81" s="7" t="s">
        <v>450</v>
      </c>
      <c r="M81" s="7" t="s">
        <v>187</v>
      </c>
      <c r="N81" s="7" t="s">
        <v>451</v>
      </c>
      <c r="O81" s="7" t="s">
        <v>189</v>
      </c>
      <c r="P81" s="7" t="s">
        <v>190</v>
      </c>
      <c r="Q81" s="7" t="s">
        <v>452</v>
      </c>
      <c r="R81" s="7" t="s">
        <v>453</v>
      </c>
      <c r="S81" s="7" t="s">
        <v>454</v>
      </c>
      <c r="T81" s="7" t="s">
        <v>455</v>
      </c>
      <c r="U81" s="18" t="n">
        <v>155</v>
      </c>
      <c r="V81" s="7"/>
      <c r="W81" s="7"/>
      <c r="X81" s="7" t="s">
        <v>195</v>
      </c>
      <c r="Y81" s="22" t="n">
        <v>0.11</v>
      </c>
      <c r="Z81" s="22" t="n">
        <v>0.65</v>
      </c>
      <c r="AA81" s="22" t="n">
        <v>12</v>
      </c>
      <c r="AB81" s="7" t="s">
        <v>450</v>
      </c>
      <c r="AC81" s="7" t="s">
        <v>456</v>
      </c>
      <c r="AD81" s="22" t="n">
        <v>0.11</v>
      </c>
      <c r="AE81" s="22" t="n">
        <v>0.65</v>
      </c>
      <c r="AF81" s="22" t="n">
        <v>2.5</v>
      </c>
      <c r="AG81" s="22" t="n">
        <v>32</v>
      </c>
      <c r="AH81" s="22" t="n">
        <v>2</v>
      </c>
      <c r="AI81" s="22" t="s">
        <v>197</v>
      </c>
      <c r="AJ81" s="22" t="s">
        <v>197</v>
      </c>
      <c r="AK81" s="22" t="s">
        <v>197</v>
      </c>
      <c r="AL81" s="22" t="s">
        <v>197</v>
      </c>
      <c r="AM81" s="7" t="s">
        <v>197</v>
      </c>
      <c r="AN81" s="22" t="s">
        <v>197</v>
      </c>
      <c r="AO81" s="22" t="s">
        <v>197</v>
      </c>
      <c r="AP81" s="22" t="s">
        <v>197</v>
      </c>
    </row>
    <row r="82" customFormat="false" ht="21.75" hidden="false" customHeight="true" outlineLevel="0" collapsed="false">
      <c r="B82" s="15" t="n">
        <v>78</v>
      </c>
      <c r="C82" s="9" t="s">
        <v>42</v>
      </c>
      <c r="D82" s="9" t="s">
        <v>20</v>
      </c>
      <c r="E82" s="9" t="s">
        <v>117</v>
      </c>
      <c r="F82" s="9" t="s">
        <v>60</v>
      </c>
      <c r="G82" s="9" t="s">
        <v>457</v>
      </c>
      <c r="H82" s="9" t="s">
        <v>446</v>
      </c>
      <c r="I82" s="9" t="s">
        <v>447</v>
      </c>
      <c r="J82" s="9" t="s">
        <v>448</v>
      </c>
      <c r="K82" s="9" t="s">
        <v>449</v>
      </c>
      <c r="L82" s="9" t="s">
        <v>450</v>
      </c>
      <c r="M82" s="9" t="s">
        <v>187</v>
      </c>
      <c r="N82" s="9" t="s">
        <v>451</v>
      </c>
      <c r="O82" s="9" t="s">
        <v>189</v>
      </c>
      <c r="P82" s="9" t="s">
        <v>190</v>
      </c>
      <c r="Q82" s="9" t="s">
        <v>452</v>
      </c>
      <c r="R82" s="9" t="s">
        <v>453</v>
      </c>
      <c r="S82" s="9" t="s">
        <v>454</v>
      </c>
      <c r="T82" s="9" t="s">
        <v>455</v>
      </c>
      <c r="U82" s="19" t="n">
        <v>230</v>
      </c>
      <c r="V82" s="9"/>
      <c r="W82" s="9"/>
      <c r="X82" s="9" t="s">
        <v>199</v>
      </c>
      <c r="Y82" s="23" t="n">
        <v>0.119</v>
      </c>
      <c r="Z82" s="23" t="n">
        <v>0.65</v>
      </c>
      <c r="AA82" s="23" t="n">
        <v>12</v>
      </c>
      <c r="AB82" s="9" t="s">
        <v>450</v>
      </c>
      <c r="AC82" s="9" t="s">
        <v>456</v>
      </c>
      <c r="AD82" s="23" t="n">
        <v>0.119</v>
      </c>
      <c r="AE82" s="23" t="n">
        <v>0.65</v>
      </c>
      <c r="AF82" s="23" t="n">
        <v>3.5</v>
      </c>
      <c r="AG82" s="23" t="n">
        <v>128</v>
      </c>
      <c r="AH82" s="23" t="n">
        <v>8</v>
      </c>
      <c r="AI82" s="23" t="s">
        <v>197</v>
      </c>
      <c r="AJ82" s="23" t="s">
        <v>197</v>
      </c>
      <c r="AK82" s="23" t="s">
        <v>197</v>
      </c>
      <c r="AL82" s="23" t="s">
        <v>197</v>
      </c>
      <c r="AM82" s="9" t="s">
        <v>197</v>
      </c>
      <c r="AN82" s="23" t="s">
        <v>197</v>
      </c>
      <c r="AO82" s="23" t="s">
        <v>197</v>
      </c>
      <c r="AP82" s="23" t="s">
        <v>197</v>
      </c>
    </row>
    <row r="83" customFormat="false" ht="21.75" hidden="false" customHeight="true" outlineLevel="0" collapsed="false">
      <c r="B83" s="14" t="n">
        <v>79</v>
      </c>
      <c r="C83" s="7" t="s">
        <v>42</v>
      </c>
      <c r="D83" s="7" t="s">
        <v>20</v>
      </c>
      <c r="E83" s="7" t="s">
        <v>117</v>
      </c>
      <c r="F83" s="7" t="s">
        <v>60</v>
      </c>
      <c r="G83" s="7" t="s">
        <v>458</v>
      </c>
      <c r="H83" s="7" t="s">
        <v>446</v>
      </c>
      <c r="I83" s="7" t="s">
        <v>447</v>
      </c>
      <c r="J83" s="7" t="s">
        <v>448</v>
      </c>
      <c r="K83" s="7" t="s">
        <v>449</v>
      </c>
      <c r="L83" s="7" t="s">
        <v>450</v>
      </c>
      <c r="M83" s="7" t="s">
        <v>187</v>
      </c>
      <c r="N83" s="7" t="s">
        <v>451</v>
      </c>
      <c r="O83" s="7" t="s">
        <v>189</v>
      </c>
      <c r="P83" s="7" t="s">
        <v>190</v>
      </c>
      <c r="Q83" s="7" t="s">
        <v>452</v>
      </c>
      <c r="R83" s="7" t="s">
        <v>453</v>
      </c>
      <c r="S83" s="7" t="s">
        <v>454</v>
      </c>
      <c r="T83" s="7" t="s">
        <v>455</v>
      </c>
      <c r="U83" s="18" t="n">
        <v>310</v>
      </c>
      <c r="V83" s="7"/>
      <c r="W83" s="7"/>
      <c r="X83" s="7" t="s">
        <v>459</v>
      </c>
      <c r="Y83" s="22" t="n">
        <v>0.055</v>
      </c>
      <c r="Z83" s="22" t="n">
        <v>0.65</v>
      </c>
      <c r="AA83" s="22" t="n">
        <v>12</v>
      </c>
      <c r="AB83" s="7" t="s">
        <v>450</v>
      </c>
      <c r="AC83" s="7" t="s">
        <v>456</v>
      </c>
      <c r="AD83" s="22" t="n">
        <v>0.055</v>
      </c>
      <c r="AE83" s="22" t="n">
        <v>0.65</v>
      </c>
      <c r="AF83" s="22" t="n">
        <v>2.5</v>
      </c>
      <c r="AG83" s="22" t="n">
        <v>32</v>
      </c>
      <c r="AH83" s="22" t="n">
        <v>2</v>
      </c>
      <c r="AI83" s="22" t="s">
        <v>197</v>
      </c>
      <c r="AJ83" s="22" t="s">
        <v>197</v>
      </c>
      <c r="AK83" s="22" t="s">
        <v>197</v>
      </c>
      <c r="AL83" s="22" t="s">
        <v>197</v>
      </c>
      <c r="AM83" s="7" t="s">
        <v>197</v>
      </c>
      <c r="AN83" s="22" t="s">
        <v>197</v>
      </c>
      <c r="AO83" s="22" t="s">
        <v>197</v>
      </c>
      <c r="AP83" s="22" t="s">
        <v>197</v>
      </c>
    </row>
    <row r="84" customFormat="false" ht="21.75" hidden="false" customHeight="true" outlineLevel="0" collapsed="false">
      <c r="B84" s="15" t="n">
        <v>80</v>
      </c>
      <c r="C84" s="9" t="s">
        <v>42</v>
      </c>
      <c r="D84" s="9" t="s">
        <v>20</v>
      </c>
      <c r="E84" s="9" t="s">
        <v>117</v>
      </c>
      <c r="F84" s="9" t="s">
        <v>60</v>
      </c>
      <c r="G84" s="9" t="s">
        <v>460</v>
      </c>
      <c r="H84" s="9" t="s">
        <v>446</v>
      </c>
      <c r="I84" s="9" t="s">
        <v>447</v>
      </c>
      <c r="J84" s="9" t="s">
        <v>448</v>
      </c>
      <c r="K84" s="9" t="s">
        <v>449</v>
      </c>
      <c r="L84" s="9" t="s">
        <v>450</v>
      </c>
      <c r="M84" s="9" t="s">
        <v>187</v>
      </c>
      <c r="N84" s="9" t="s">
        <v>451</v>
      </c>
      <c r="O84" s="9" t="s">
        <v>189</v>
      </c>
      <c r="P84" s="9" t="s">
        <v>190</v>
      </c>
      <c r="Q84" s="9" t="s">
        <v>452</v>
      </c>
      <c r="R84" s="9" t="s">
        <v>453</v>
      </c>
      <c r="S84" s="9" t="s">
        <v>454</v>
      </c>
      <c r="T84" s="9" t="s">
        <v>455</v>
      </c>
      <c r="U84" s="19" t="n">
        <v>465</v>
      </c>
      <c r="V84" s="9"/>
      <c r="W84" s="9"/>
      <c r="X84" s="9" t="s">
        <v>203</v>
      </c>
      <c r="Y84" s="23" t="n">
        <v>0.07</v>
      </c>
      <c r="Z84" s="23" t="n">
        <v>0.65</v>
      </c>
      <c r="AA84" s="23" t="n">
        <v>12</v>
      </c>
      <c r="AB84" s="9" t="s">
        <v>450</v>
      </c>
      <c r="AC84" s="9" t="s">
        <v>456</v>
      </c>
      <c r="AD84" s="23" t="n">
        <v>0.07</v>
      </c>
      <c r="AE84" s="23" t="n">
        <v>0.65</v>
      </c>
      <c r="AF84" s="23" t="n">
        <v>2.5</v>
      </c>
      <c r="AG84" s="23" t="n">
        <v>32</v>
      </c>
      <c r="AH84" s="23" t="n">
        <v>2</v>
      </c>
      <c r="AI84" s="23" t="s">
        <v>197</v>
      </c>
      <c r="AJ84" s="23" t="s">
        <v>197</v>
      </c>
      <c r="AK84" s="23" t="s">
        <v>197</v>
      </c>
      <c r="AL84" s="23" t="s">
        <v>197</v>
      </c>
      <c r="AM84" s="9" t="s">
        <v>197</v>
      </c>
      <c r="AN84" s="23" t="s">
        <v>197</v>
      </c>
      <c r="AO84" s="23" t="s">
        <v>197</v>
      </c>
      <c r="AP84" s="23" t="s">
        <v>197</v>
      </c>
    </row>
    <row r="85" customFormat="false" ht="21.75" hidden="false" customHeight="true" outlineLevel="0" collapsed="false">
      <c r="B85" s="14" t="n">
        <v>81</v>
      </c>
      <c r="C85" s="7" t="s">
        <v>42</v>
      </c>
      <c r="D85" s="7" t="s">
        <v>20</v>
      </c>
      <c r="E85" s="7" t="s">
        <v>117</v>
      </c>
      <c r="F85" s="7" t="s">
        <v>60</v>
      </c>
      <c r="G85" s="7" t="s">
        <v>461</v>
      </c>
      <c r="H85" s="7" t="s">
        <v>446</v>
      </c>
      <c r="I85" s="7" t="s">
        <v>447</v>
      </c>
      <c r="J85" s="7" t="s">
        <v>448</v>
      </c>
      <c r="K85" s="7" t="s">
        <v>449</v>
      </c>
      <c r="L85" s="7" t="s">
        <v>450</v>
      </c>
      <c r="M85" s="7" t="s">
        <v>187</v>
      </c>
      <c r="N85" s="7" t="s">
        <v>451</v>
      </c>
      <c r="O85" s="7" t="s">
        <v>189</v>
      </c>
      <c r="P85" s="7" t="s">
        <v>190</v>
      </c>
      <c r="Q85" s="7" t="s">
        <v>452</v>
      </c>
      <c r="R85" s="7" t="s">
        <v>453</v>
      </c>
      <c r="S85" s="7" t="s">
        <v>454</v>
      </c>
      <c r="T85" s="7" t="s">
        <v>455</v>
      </c>
      <c r="U85" s="18" t="n">
        <v>680</v>
      </c>
      <c r="V85" s="7"/>
      <c r="W85" s="7"/>
      <c r="X85" s="7" t="s">
        <v>205</v>
      </c>
      <c r="Y85" s="22" t="n">
        <v>0.109</v>
      </c>
      <c r="Z85" s="22" t="n">
        <v>0.65</v>
      </c>
      <c r="AA85" s="22" t="n">
        <v>12</v>
      </c>
      <c r="AB85" s="7" t="s">
        <v>450</v>
      </c>
      <c r="AC85" s="7" t="s">
        <v>456</v>
      </c>
      <c r="AD85" s="22" t="n">
        <v>0.109</v>
      </c>
      <c r="AE85" s="22" t="n">
        <v>0.65</v>
      </c>
      <c r="AF85" s="22" t="n">
        <v>3</v>
      </c>
      <c r="AG85" s="22" t="n">
        <v>64</v>
      </c>
      <c r="AH85" s="22" t="n">
        <v>8</v>
      </c>
      <c r="AI85" s="22" t="s">
        <v>197</v>
      </c>
      <c r="AJ85" s="22" t="s">
        <v>197</v>
      </c>
      <c r="AK85" s="22" t="s">
        <v>197</v>
      </c>
      <c r="AL85" s="22" t="s">
        <v>197</v>
      </c>
      <c r="AM85" s="7" t="s">
        <v>197</v>
      </c>
      <c r="AN85" s="22" t="s">
        <v>197</v>
      </c>
      <c r="AO85" s="22" t="s">
        <v>197</v>
      </c>
      <c r="AP85" s="22" t="s">
        <v>197</v>
      </c>
    </row>
    <row r="86" customFormat="false" ht="21.75" hidden="false" customHeight="true" outlineLevel="0" collapsed="false">
      <c r="B86" s="15" t="n">
        <v>82</v>
      </c>
      <c r="C86" s="9" t="s">
        <v>42</v>
      </c>
      <c r="D86" s="9" t="s">
        <v>20</v>
      </c>
      <c r="E86" s="9" t="s">
        <v>117</v>
      </c>
      <c r="F86" s="9" t="s">
        <v>61</v>
      </c>
      <c r="G86" s="9" t="s">
        <v>462</v>
      </c>
      <c r="H86" s="9" t="s">
        <v>446</v>
      </c>
      <c r="I86" s="9" t="s">
        <v>463</v>
      </c>
      <c r="J86" s="9" t="s">
        <v>464</v>
      </c>
      <c r="K86" s="9" t="s">
        <v>465</v>
      </c>
      <c r="L86" s="9" t="s">
        <v>450</v>
      </c>
      <c r="M86" s="9" t="s">
        <v>187</v>
      </c>
      <c r="N86" s="9" t="s">
        <v>466</v>
      </c>
      <c r="O86" s="9" t="s">
        <v>189</v>
      </c>
      <c r="P86" s="9" t="s">
        <v>190</v>
      </c>
      <c r="Q86" s="9" t="s">
        <v>467</v>
      </c>
      <c r="R86" s="9" t="s">
        <v>468</v>
      </c>
      <c r="S86" s="9" t="s">
        <v>454</v>
      </c>
      <c r="T86" s="9" t="s">
        <v>213</v>
      </c>
      <c r="U86" s="19" t="n">
        <v>90</v>
      </c>
      <c r="V86" s="9"/>
      <c r="W86" s="9"/>
      <c r="X86" s="9" t="s">
        <v>195</v>
      </c>
      <c r="Y86" s="23" t="n">
        <v>0.06</v>
      </c>
      <c r="Z86" s="23" t="n">
        <v>0.55</v>
      </c>
      <c r="AA86" s="23" t="n">
        <v>12</v>
      </c>
      <c r="AB86" s="9" t="s">
        <v>450</v>
      </c>
      <c r="AC86" s="9" t="s">
        <v>456</v>
      </c>
      <c r="AD86" s="23" t="n">
        <v>0.06</v>
      </c>
      <c r="AE86" s="23" t="n">
        <v>0.55</v>
      </c>
      <c r="AF86" s="23" t="n">
        <v>2</v>
      </c>
      <c r="AG86" s="23" t="n">
        <v>16</v>
      </c>
      <c r="AH86" s="23" t="n">
        <v>2</v>
      </c>
      <c r="AI86" s="23" t="s">
        <v>197</v>
      </c>
      <c r="AJ86" s="23" t="s">
        <v>197</v>
      </c>
      <c r="AK86" s="23" t="s">
        <v>197</v>
      </c>
      <c r="AL86" s="23" t="s">
        <v>197</v>
      </c>
      <c r="AM86" s="9" t="s">
        <v>197</v>
      </c>
      <c r="AN86" s="23" t="s">
        <v>197</v>
      </c>
      <c r="AO86" s="23" t="s">
        <v>197</v>
      </c>
      <c r="AP86" s="23" t="s">
        <v>197</v>
      </c>
    </row>
    <row r="87" customFormat="false" ht="21.75" hidden="false" customHeight="true" outlineLevel="0" collapsed="false">
      <c r="B87" s="14" t="n">
        <v>83</v>
      </c>
      <c r="C87" s="7" t="s">
        <v>42</v>
      </c>
      <c r="D87" s="7" t="s">
        <v>20</v>
      </c>
      <c r="E87" s="7" t="s">
        <v>117</v>
      </c>
      <c r="F87" s="7" t="s">
        <v>61</v>
      </c>
      <c r="G87" s="7" t="s">
        <v>469</v>
      </c>
      <c r="H87" s="7" t="s">
        <v>446</v>
      </c>
      <c r="I87" s="7" t="s">
        <v>463</v>
      </c>
      <c r="J87" s="7" t="s">
        <v>464</v>
      </c>
      <c r="K87" s="7" t="s">
        <v>465</v>
      </c>
      <c r="L87" s="7" t="s">
        <v>450</v>
      </c>
      <c r="M87" s="7" t="s">
        <v>187</v>
      </c>
      <c r="N87" s="7" t="s">
        <v>466</v>
      </c>
      <c r="O87" s="7" t="s">
        <v>189</v>
      </c>
      <c r="P87" s="7" t="s">
        <v>190</v>
      </c>
      <c r="Q87" s="7" t="s">
        <v>467</v>
      </c>
      <c r="R87" s="7" t="s">
        <v>468</v>
      </c>
      <c r="S87" s="7" t="s">
        <v>454</v>
      </c>
      <c r="T87" s="7" t="s">
        <v>213</v>
      </c>
      <c r="U87" s="18" t="n">
        <v>135</v>
      </c>
      <c r="V87" s="7"/>
      <c r="W87" s="7"/>
      <c r="X87" s="7" t="s">
        <v>199</v>
      </c>
      <c r="Y87" s="22" t="n">
        <v>0.096</v>
      </c>
      <c r="Z87" s="22" t="n">
        <v>0.55</v>
      </c>
      <c r="AA87" s="22" t="n">
        <v>12</v>
      </c>
      <c r="AB87" s="7" t="s">
        <v>450</v>
      </c>
      <c r="AC87" s="7" t="s">
        <v>456</v>
      </c>
      <c r="AD87" s="22" t="n">
        <v>0.096</v>
      </c>
      <c r="AE87" s="22" t="n">
        <v>0.55</v>
      </c>
      <c r="AF87" s="22" t="n">
        <v>2.5</v>
      </c>
      <c r="AG87" s="22" t="n">
        <v>32</v>
      </c>
      <c r="AH87" s="22" t="n">
        <v>8</v>
      </c>
      <c r="AI87" s="22" t="s">
        <v>197</v>
      </c>
      <c r="AJ87" s="22" t="s">
        <v>197</v>
      </c>
      <c r="AK87" s="22" t="s">
        <v>197</v>
      </c>
      <c r="AL87" s="22" t="s">
        <v>197</v>
      </c>
      <c r="AM87" s="7" t="s">
        <v>197</v>
      </c>
      <c r="AN87" s="22" t="s">
        <v>197</v>
      </c>
      <c r="AO87" s="22" t="s">
        <v>197</v>
      </c>
      <c r="AP87" s="22" t="s">
        <v>197</v>
      </c>
    </row>
    <row r="88" customFormat="false" ht="21.75" hidden="false" customHeight="true" outlineLevel="0" collapsed="false">
      <c r="B88" s="15" t="n">
        <v>84</v>
      </c>
      <c r="C88" s="9" t="s">
        <v>42</v>
      </c>
      <c r="D88" s="9" t="s">
        <v>20</v>
      </c>
      <c r="E88" s="9" t="s">
        <v>117</v>
      </c>
      <c r="F88" s="9" t="s">
        <v>61</v>
      </c>
      <c r="G88" s="9" t="s">
        <v>461</v>
      </c>
      <c r="H88" s="9" t="s">
        <v>446</v>
      </c>
      <c r="I88" s="9" t="s">
        <v>463</v>
      </c>
      <c r="J88" s="9" t="s">
        <v>464</v>
      </c>
      <c r="K88" s="9" t="s">
        <v>465</v>
      </c>
      <c r="L88" s="9" t="s">
        <v>450</v>
      </c>
      <c r="M88" s="9" t="s">
        <v>187</v>
      </c>
      <c r="N88" s="9" t="s">
        <v>466</v>
      </c>
      <c r="O88" s="9" t="s">
        <v>189</v>
      </c>
      <c r="P88" s="9" t="s">
        <v>190</v>
      </c>
      <c r="Q88" s="9" t="s">
        <v>467</v>
      </c>
      <c r="R88" s="9" t="s">
        <v>468</v>
      </c>
      <c r="S88" s="9" t="s">
        <v>454</v>
      </c>
      <c r="T88" s="9" t="s">
        <v>213</v>
      </c>
      <c r="U88" s="19" t="n">
        <v>185</v>
      </c>
      <c r="V88" s="9"/>
      <c r="W88" s="9"/>
      <c r="X88" s="9" t="s">
        <v>470</v>
      </c>
      <c r="Y88" s="23" t="n">
        <v>0.109</v>
      </c>
      <c r="Z88" s="23" t="n">
        <v>0.55</v>
      </c>
      <c r="AA88" s="23" t="n">
        <v>12</v>
      </c>
      <c r="AB88" s="9" t="s">
        <v>450</v>
      </c>
      <c r="AC88" s="9" t="s">
        <v>456</v>
      </c>
      <c r="AD88" s="23" t="n">
        <v>0.109</v>
      </c>
      <c r="AE88" s="23" t="n">
        <v>0.55</v>
      </c>
      <c r="AF88" s="23" t="n">
        <v>3</v>
      </c>
      <c r="AG88" s="23" t="n">
        <v>64</v>
      </c>
      <c r="AH88" s="23" t="n">
        <v>8</v>
      </c>
      <c r="AI88" s="23" t="s">
        <v>197</v>
      </c>
      <c r="AJ88" s="23" t="s">
        <v>197</v>
      </c>
      <c r="AK88" s="23" t="s">
        <v>197</v>
      </c>
      <c r="AL88" s="23" t="s">
        <v>197</v>
      </c>
      <c r="AM88" s="9" t="s">
        <v>197</v>
      </c>
      <c r="AN88" s="23" t="s">
        <v>197</v>
      </c>
      <c r="AO88" s="23" t="s">
        <v>197</v>
      </c>
      <c r="AP88" s="23" t="s">
        <v>197</v>
      </c>
    </row>
    <row r="89" customFormat="false" ht="21.75" hidden="false" customHeight="true" outlineLevel="0" collapsed="false">
      <c r="B89" s="14" t="n">
        <v>85</v>
      </c>
      <c r="C89" s="7" t="s">
        <v>42</v>
      </c>
      <c r="D89" s="7" t="s">
        <v>20</v>
      </c>
      <c r="E89" s="7" t="s">
        <v>117</v>
      </c>
      <c r="F89" s="7" t="s">
        <v>61</v>
      </c>
      <c r="G89" s="7" t="s">
        <v>471</v>
      </c>
      <c r="H89" s="7" t="s">
        <v>446</v>
      </c>
      <c r="I89" s="7" t="s">
        <v>463</v>
      </c>
      <c r="J89" s="7" t="s">
        <v>464</v>
      </c>
      <c r="K89" s="7" t="s">
        <v>465</v>
      </c>
      <c r="L89" s="7" t="s">
        <v>450</v>
      </c>
      <c r="M89" s="7" t="s">
        <v>187</v>
      </c>
      <c r="N89" s="7" t="s">
        <v>466</v>
      </c>
      <c r="O89" s="7" t="s">
        <v>189</v>
      </c>
      <c r="P89" s="7" t="s">
        <v>190</v>
      </c>
      <c r="Q89" s="7" t="s">
        <v>467</v>
      </c>
      <c r="R89" s="7" t="s">
        <v>468</v>
      </c>
      <c r="S89" s="7" t="s">
        <v>454</v>
      </c>
      <c r="T89" s="7" t="s">
        <v>213</v>
      </c>
      <c r="U89" s="18" t="n">
        <v>275</v>
      </c>
      <c r="V89" s="7"/>
      <c r="W89" s="7"/>
      <c r="X89" s="7" t="s">
        <v>203</v>
      </c>
      <c r="Y89" s="22" t="n">
        <v>0.104</v>
      </c>
      <c r="Z89" s="22" t="n">
        <v>0.55</v>
      </c>
      <c r="AA89" s="22" t="n">
        <v>12</v>
      </c>
      <c r="AB89" s="7" t="s">
        <v>450</v>
      </c>
      <c r="AC89" s="7" t="s">
        <v>456</v>
      </c>
      <c r="AD89" s="22" t="n">
        <v>0.104</v>
      </c>
      <c r="AE89" s="22" t="n">
        <v>0.55</v>
      </c>
      <c r="AF89" s="22" t="n">
        <v>3.5</v>
      </c>
      <c r="AG89" s="22" t="n">
        <v>128</v>
      </c>
      <c r="AH89" s="22" t="n">
        <v>32</v>
      </c>
      <c r="AI89" s="22" t="s">
        <v>197</v>
      </c>
      <c r="AJ89" s="22" t="s">
        <v>197</v>
      </c>
      <c r="AK89" s="22" t="s">
        <v>197</v>
      </c>
      <c r="AL89" s="22" t="s">
        <v>197</v>
      </c>
      <c r="AM89" s="7" t="s">
        <v>197</v>
      </c>
      <c r="AN89" s="22" t="s">
        <v>197</v>
      </c>
      <c r="AO89" s="22" t="s">
        <v>197</v>
      </c>
      <c r="AP89" s="22" t="s">
        <v>197</v>
      </c>
    </row>
    <row r="90" customFormat="false" ht="21.75" hidden="false" customHeight="true" outlineLevel="0" collapsed="false">
      <c r="B90" s="15" t="n">
        <v>86</v>
      </c>
      <c r="C90" s="9" t="s">
        <v>42</v>
      </c>
      <c r="D90" s="9" t="s">
        <v>20</v>
      </c>
      <c r="E90" s="9" t="s">
        <v>117</v>
      </c>
      <c r="F90" s="9" t="s">
        <v>61</v>
      </c>
      <c r="G90" s="9" t="s">
        <v>472</v>
      </c>
      <c r="H90" s="9" t="s">
        <v>446</v>
      </c>
      <c r="I90" s="9" t="s">
        <v>463</v>
      </c>
      <c r="J90" s="9" t="s">
        <v>464</v>
      </c>
      <c r="K90" s="9" t="s">
        <v>465</v>
      </c>
      <c r="L90" s="9" t="s">
        <v>450</v>
      </c>
      <c r="M90" s="9" t="s">
        <v>187</v>
      </c>
      <c r="N90" s="9" t="s">
        <v>466</v>
      </c>
      <c r="O90" s="9" t="s">
        <v>189</v>
      </c>
      <c r="P90" s="9" t="s">
        <v>190</v>
      </c>
      <c r="Q90" s="9" t="s">
        <v>467</v>
      </c>
      <c r="R90" s="9" t="s">
        <v>468</v>
      </c>
      <c r="S90" s="9" t="s">
        <v>454</v>
      </c>
      <c r="T90" s="9" t="s">
        <v>213</v>
      </c>
      <c r="U90" s="19" t="n">
        <v>405</v>
      </c>
      <c r="V90" s="9"/>
      <c r="W90" s="9"/>
      <c r="X90" s="9" t="s">
        <v>205</v>
      </c>
      <c r="Y90" s="23" t="n">
        <v>0.09</v>
      </c>
      <c r="Z90" s="23" t="n">
        <v>0.55</v>
      </c>
      <c r="AA90" s="23" t="n">
        <v>12</v>
      </c>
      <c r="AB90" s="9" t="s">
        <v>450</v>
      </c>
      <c r="AC90" s="9" t="s">
        <v>456</v>
      </c>
      <c r="AD90" s="23" t="n">
        <v>0.09</v>
      </c>
      <c r="AE90" s="23" t="n">
        <v>0.55</v>
      </c>
      <c r="AF90" s="23" t="n">
        <v>2.5</v>
      </c>
      <c r="AG90" s="23" t="n">
        <v>32</v>
      </c>
      <c r="AH90" s="23" t="n">
        <v>2</v>
      </c>
      <c r="AI90" s="23" t="s">
        <v>197</v>
      </c>
      <c r="AJ90" s="23" t="s">
        <v>197</v>
      </c>
      <c r="AK90" s="23" t="s">
        <v>197</v>
      </c>
      <c r="AL90" s="23" t="s">
        <v>197</v>
      </c>
      <c r="AM90" s="9" t="s">
        <v>197</v>
      </c>
      <c r="AN90" s="23" t="s">
        <v>197</v>
      </c>
      <c r="AO90" s="23" t="s">
        <v>197</v>
      </c>
      <c r="AP90" s="23" t="s">
        <v>197</v>
      </c>
    </row>
    <row r="91" customFormat="false" ht="21.75" hidden="false" customHeight="true" outlineLevel="0" collapsed="false">
      <c r="B91" s="14" t="n">
        <v>87</v>
      </c>
      <c r="C91" s="7" t="s">
        <v>42</v>
      </c>
      <c r="D91" s="7" t="s">
        <v>20</v>
      </c>
      <c r="E91" s="7" t="s">
        <v>117</v>
      </c>
      <c r="F91" s="7" t="s">
        <v>62</v>
      </c>
      <c r="G91" s="7" t="s">
        <v>473</v>
      </c>
      <c r="H91" s="7" t="s">
        <v>474</v>
      </c>
      <c r="I91" s="7" t="s">
        <v>475</v>
      </c>
      <c r="J91" s="7" t="s">
        <v>476</v>
      </c>
      <c r="K91" s="7" t="s">
        <v>477</v>
      </c>
      <c r="L91" s="7" t="s">
        <v>450</v>
      </c>
      <c r="M91" s="7" t="s">
        <v>478</v>
      </c>
      <c r="N91" s="7" t="s">
        <v>479</v>
      </c>
      <c r="O91" s="7" t="s">
        <v>189</v>
      </c>
      <c r="P91" s="7" t="s">
        <v>190</v>
      </c>
      <c r="Q91" s="7" t="s">
        <v>480</v>
      </c>
      <c r="R91" s="7" t="s">
        <v>481</v>
      </c>
      <c r="S91" s="7" t="s">
        <v>454</v>
      </c>
      <c r="T91" s="7" t="s">
        <v>482</v>
      </c>
      <c r="U91" s="18" t="n">
        <v>120</v>
      </c>
      <c r="V91" s="7"/>
      <c r="W91" s="7"/>
      <c r="X91" s="7" t="s">
        <v>195</v>
      </c>
      <c r="Y91" s="22" t="n">
        <v>0.059</v>
      </c>
      <c r="Z91" s="22" t="n">
        <v>0.4</v>
      </c>
      <c r="AA91" s="22" t="n">
        <v>12</v>
      </c>
      <c r="AB91" s="7" t="s">
        <v>450</v>
      </c>
      <c r="AC91" s="7" t="s">
        <v>456</v>
      </c>
      <c r="AD91" s="22" t="n">
        <v>0.059</v>
      </c>
      <c r="AE91" s="22" t="n">
        <v>0.4</v>
      </c>
      <c r="AF91" s="22" t="n">
        <v>2</v>
      </c>
      <c r="AG91" s="22" t="n">
        <v>32</v>
      </c>
      <c r="AH91" s="22" t="n">
        <v>4</v>
      </c>
      <c r="AI91" s="22" t="s">
        <v>197</v>
      </c>
      <c r="AJ91" s="22" t="s">
        <v>197</v>
      </c>
      <c r="AK91" s="22" t="s">
        <v>197</v>
      </c>
      <c r="AL91" s="22" t="s">
        <v>197</v>
      </c>
      <c r="AM91" s="7" t="s">
        <v>197</v>
      </c>
      <c r="AN91" s="22" t="s">
        <v>197</v>
      </c>
      <c r="AO91" s="22" t="s">
        <v>197</v>
      </c>
      <c r="AP91" s="22" t="s">
        <v>197</v>
      </c>
    </row>
    <row r="92" customFormat="false" ht="21.75" hidden="false" customHeight="true" outlineLevel="0" collapsed="false">
      <c r="B92" s="15" t="n">
        <v>88</v>
      </c>
      <c r="C92" s="9" t="s">
        <v>42</v>
      </c>
      <c r="D92" s="9" t="s">
        <v>20</v>
      </c>
      <c r="E92" s="9" t="s">
        <v>117</v>
      </c>
      <c r="F92" s="9" t="s">
        <v>62</v>
      </c>
      <c r="G92" s="9" t="s">
        <v>483</v>
      </c>
      <c r="H92" s="9" t="s">
        <v>474</v>
      </c>
      <c r="I92" s="9" t="s">
        <v>475</v>
      </c>
      <c r="J92" s="9" t="s">
        <v>476</v>
      </c>
      <c r="K92" s="9" t="s">
        <v>477</v>
      </c>
      <c r="L92" s="9" t="s">
        <v>450</v>
      </c>
      <c r="M92" s="9" t="s">
        <v>478</v>
      </c>
      <c r="N92" s="9" t="s">
        <v>479</v>
      </c>
      <c r="O92" s="9" t="s">
        <v>189</v>
      </c>
      <c r="P92" s="9" t="s">
        <v>190</v>
      </c>
      <c r="Q92" s="9" t="s">
        <v>480</v>
      </c>
      <c r="R92" s="9" t="s">
        <v>481</v>
      </c>
      <c r="S92" s="9" t="s">
        <v>454</v>
      </c>
      <c r="T92" s="9" t="s">
        <v>482</v>
      </c>
      <c r="U92" s="19" t="n">
        <v>185</v>
      </c>
      <c r="V92" s="9"/>
      <c r="W92" s="9"/>
      <c r="X92" s="9" t="s">
        <v>199</v>
      </c>
      <c r="Y92" s="23" t="n">
        <v>0.096</v>
      </c>
      <c r="Z92" s="23" t="n">
        <v>0.4</v>
      </c>
      <c r="AA92" s="23" t="n">
        <v>12</v>
      </c>
      <c r="AB92" s="9" t="s">
        <v>450</v>
      </c>
      <c r="AC92" s="9" t="s">
        <v>456</v>
      </c>
      <c r="AD92" s="23" t="n">
        <v>0.096</v>
      </c>
      <c r="AE92" s="23" t="n">
        <v>0.4</v>
      </c>
      <c r="AF92" s="23" t="n">
        <v>2</v>
      </c>
      <c r="AG92" s="23" t="n">
        <v>32</v>
      </c>
      <c r="AH92" s="23" t="n">
        <v>4</v>
      </c>
      <c r="AI92" s="23" t="s">
        <v>197</v>
      </c>
      <c r="AJ92" s="23" t="s">
        <v>197</v>
      </c>
      <c r="AK92" s="23" t="s">
        <v>197</v>
      </c>
      <c r="AL92" s="23" t="s">
        <v>197</v>
      </c>
      <c r="AM92" s="9" t="s">
        <v>197</v>
      </c>
      <c r="AN92" s="23" t="s">
        <v>197</v>
      </c>
      <c r="AO92" s="23" t="s">
        <v>197</v>
      </c>
      <c r="AP92" s="23" t="s">
        <v>197</v>
      </c>
    </row>
    <row r="93" customFormat="false" ht="21.75" hidden="false" customHeight="true" outlineLevel="0" collapsed="false">
      <c r="B93" s="14" t="n">
        <v>89</v>
      </c>
      <c r="C93" s="7" t="s">
        <v>42</v>
      </c>
      <c r="D93" s="7" t="s">
        <v>20</v>
      </c>
      <c r="E93" s="7" t="s">
        <v>117</v>
      </c>
      <c r="F93" s="7" t="s">
        <v>62</v>
      </c>
      <c r="G93" s="7" t="s">
        <v>484</v>
      </c>
      <c r="H93" s="7" t="s">
        <v>474</v>
      </c>
      <c r="I93" s="7" t="s">
        <v>475</v>
      </c>
      <c r="J93" s="7" t="s">
        <v>476</v>
      </c>
      <c r="K93" s="7" t="s">
        <v>477</v>
      </c>
      <c r="L93" s="7" t="s">
        <v>450</v>
      </c>
      <c r="M93" s="7" t="s">
        <v>478</v>
      </c>
      <c r="N93" s="7" t="s">
        <v>479</v>
      </c>
      <c r="O93" s="7" t="s">
        <v>189</v>
      </c>
      <c r="P93" s="7" t="s">
        <v>190</v>
      </c>
      <c r="Q93" s="7" t="s">
        <v>480</v>
      </c>
      <c r="R93" s="7" t="s">
        <v>481</v>
      </c>
      <c r="S93" s="7" t="s">
        <v>454</v>
      </c>
      <c r="T93" s="7" t="s">
        <v>482</v>
      </c>
      <c r="U93" s="18" t="n">
        <v>245</v>
      </c>
      <c r="V93" s="7"/>
      <c r="W93" s="7"/>
      <c r="X93" s="7" t="s">
        <v>485</v>
      </c>
      <c r="Y93" s="22" t="n">
        <v>0.11</v>
      </c>
      <c r="Z93" s="22" t="n">
        <v>0.4</v>
      </c>
      <c r="AA93" s="22" t="n">
        <v>12</v>
      </c>
      <c r="AB93" s="7" t="s">
        <v>450</v>
      </c>
      <c r="AC93" s="7" t="s">
        <v>456</v>
      </c>
      <c r="AD93" s="22" t="n">
        <v>0.11</v>
      </c>
      <c r="AE93" s="22" t="n">
        <v>0.4</v>
      </c>
      <c r="AF93" s="22" t="n">
        <v>2</v>
      </c>
      <c r="AG93" s="22" t="n">
        <v>32</v>
      </c>
      <c r="AH93" s="22" t="n">
        <v>4</v>
      </c>
      <c r="AI93" s="22" t="s">
        <v>197</v>
      </c>
      <c r="AJ93" s="22" t="s">
        <v>197</v>
      </c>
      <c r="AK93" s="22" t="s">
        <v>197</v>
      </c>
      <c r="AL93" s="22" t="s">
        <v>197</v>
      </c>
      <c r="AM93" s="7" t="s">
        <v>197</v>
      </c>
      <c r="AN93" s="22" t="s">
        <v>197</v>
      </c>
      <c r="AO93" s="22" t="s">
        <v>197</v>
      </c>
      <c r="AP93" s="22" t="s">
        <v>197</v>
      </c>
    </row>
    <row r="94" customFormat="false" ht="21.75" hidden="false" customHeight="true" outlineLevel="0" collapsed="false">
      <c r="B94" s="15" t="n">
        <v>90</v>
      </c>
      <c r="C94" s="9" t="s">
        <v>42</v>
      </c>
      <c r="D94" s="9" t="s">
        <v>20</v>
      </c>
      <c r="E94" s="9" t="s">
        <v>117</v>
      </c>
      <c r="F94" s="9" t="s">
        <v>62</v>
      </c>
      <c r="G94" s="9" t="s">
        <v>486</v>
      </c>
      <c r="H94" s="9" t="s">
        <v>474</v>
      </c>
      <c r="I94" s="9" t="s">
        <v>475</v>
      </c>
      <c r="J94" s="9" t="s">
        <v>476</v>
      </c>
      <c r="K94" s="9" t="s">
        <v>477</v>
      </c>
      <c r="L94" s="9" t="s">
        <v>450</v>
      </c>
      <c r="M94" s="9" t="s">
        <v>478</v>
      </c>
      <c r="N94" s="9" t="s">
        <v>479</v>
      </c>
      <c r="O94" s="9" t="s">
        <v>189</v>
      </c>
      <c r="P94" s="9" t="s">
        <v>190</v>
      </c>
      <c r="Q94" s="9" t="s">
        <v>480</v>
      </c>
      <c r="R94" s="9" t="s">
        <v>481</v>
      </c>
      <c r="S94" s="9" t="s">
        <v>454</v>
      </c>
      <c r="T94" s="9" t="s">
        <v>482</v>
      </c>
      <c r="U94" s="19" t="n">
        <v>370</v>
      </c>
      <c r="V94" s="9"/>
      <c r="W94" s="9"/>
      <c r="X94" s="9" t="s">
        <v>203</v>
      </c>
      <c r="Y94" s="23" t="n">
        <v>0.08</v>
      </c>
      <c r="Z94" s="23" t="n">
        <v>0.4</v>
      </c>
      <c r="AA94" s="23" t="n">
        <v>12</v>
      </c>
      <c r="AB94" s="9" t="s">
        <v>450</v>
      </c>
      <c r="AC94" s="9" t="s">
        <v>456</v>
      </c>
      <c r="AD94" s="23" t="n">
        <v>0.08</v>
      </c>
      <c r="AE94" s="23" t="n">
        <v>0.4</v>
      </c>
      <c r="AF94" s="23" t="n">
        <v>2</v>
      </c>
      <c r="AG94" s="23" t="n">
        <v>32</v>
      </c>
      <c r="AH94" s="23" t="n">
        <v>4</v>
      </c>
      <c r="AI94" s="23" t="s">
        <v>197</v>
      </c>
      <c r="AJ94" s="23" t="s">
        <v>197</v>
      </c>
      <c r="AK94" s="23" t="s">
        <v>197</v>
      </c>
      <c r="AL94" s="23" t="s">
        <v>197</v>
      </c>
      <c r="AM94" s="9" t="s">
        <v>197</v>
      </c>
      <c r="AN94" s="23" t="s">
        <v>197</v>
      </c>
      <c r="AO94" s="23" t="s">
        <v>197</v>
      </c>
      <c r="AP94" s="23" t="s">
        <v>197</v>
      </c>
    </row>
    <row r="95" customFormat="false" ht="21.75" hidden="false" customHeight="true" outlineLevel="0" collapsed="false">
      <c r="B95" s="14" t="n">
        <v>91</v>
      </c>
      <c r="C95" s="7" t="s">
        <v>42</v>
      </c>
      <c r="D95" s="7" t="s">
        <v>20</v>
      </c>
      <c r="E95" s="7" t="s">
        <v>117</v>
      </c>
      <c r="F95" s="7" t="s">
        <v>62</v>
      </c>
      <c r="G95" s="7" t="s">
        <v>487</v>
      </c>
      <c r="H95" s="7" t="s">
        <v>474</v>
      </c>
      <c r="I95" s="7" t="s">
        <v>475</v>
      </c>
      <c r="J95" s="7" t="s">
        <v>476</v>
      </c>
      <c r="K95" s="7" t="s">
        <v>477</v>
      </c>
      <c r="L95" s="7" t="s">
        <v>450</v>
      </c>
      <c r="M95" s="7" t="s">
        <v>478</v>
      </c>
      <c r="N95" s="7" t="s">
        <v>479</v>
      </c>
      <c r="O95" s="7" t="s">
        <v>189</v>
      </c>
      <c r="P95" s="7" t="s">
        <v>190</v>
      </c>
      <c r="Q95" s="7" t="s">
        <v>480</v>
      </c>
      <c r="R95" s="7" t="s">
        <v>481</v>
      </c>
      <c r="S95" s="7" t="s">
        <v>454</v>
      </c>
      <c r="T95" s="7" t="s">
        <v>482</v>
      </c>
      <c r="U95" s="18" t="n">
        <v>545</v>
      </c>
      <c r="V95" s="7"/>
      <c r="W95" s="7"/>
      <c r="X95" s="7" t="s">
        <v>205</v>
      </c>
      <c r="Y95" s="22" t="n">
        <v>0.08</v>
      </c>
      <c r="Z95" s="22" t="n">
        <v>0.4</v>
      </c>
      <c r="AA95" s="22" t="n">
        <v>12</v>
      </c>
      <c r="AB95" s="7" t="s">
        <v>450</v>
      </c>
      <c r="AC95" s="7" t="s">
        <v>456</v>
      </c>
      <c r="AD95" s="22" t="n">
        <v>0.08</v>
      </c>
      <c r="AE95" s="22" t="n">
        <v>0.4</v>
      </c>
      <c r="AF95" s="22" t="n">
        <v>2</v>
      </c>
      <c r="AG95" s="22" t="n">
        <v>32</v>
      </c>
      <c r="AH95" s="22" t="n">
        <v>4</v>
      </c>
      <c r="AI95" s="22" t="s">
        <v>197</v>
      </c>
      <c r="AJ95" s="22" t="s">
        <v>197</v>
      </c>
      <c r="AK95" s="22" t="s">
        <v>197</v>
      </c>
      <c r="AL95" s="22" t="s">
        <v>197</v>
      </c>
      <c r="AM95" s="7" t="s">
        <v>197</v>
      </c>
      <c r="AN95" s="22" t="s">
        <v>197</v>
      </c>
      <c r="AO95" s="22" t="s">
        <v>197</v>
      </c>
      <c r="AP95" s="22" t="s">
        <v>197</v>
      </c>
    </row>
    <row r="96" customFormat="false" ht="21.75" hidden="false" customHeight="true" outlineLevel="0" collapsed="false">
      <c r="B96" s="15" t="n">
        <v>92</v>
      </c>
      <c r="C96" s="9" t="s">
        <v>42</v>
      </c>
      <c r="D96" s="9" t="s">
        <v>20</v>
      </c>
      <c r="E96" s="9" t="s">
        <v>117</v>
      </c>
      <c r="F96" s="9" t="s">
        <v>63</v>
      </c>
      <c r="G96" s="9" t="s">
        <v>488</v>
      </c>
      <c r="H96" s="9" t="s">
        <v>489</v>
      </c>
      <c r="I96" s="9" t="s">
        <v>490</v>
      </c>
      <c r="J96" s="9" t="s">
        <v>491</v>
      </c>
      <c r="K96" s="9" t="s">
        <v>492</v>
      </c>
      <c r="L96" s="9" t="s">
        <v>450</v>
      </c>
      <c r="M96" s="9" t="s">
        <v>235</v>
      </c>
      <c r="N96" s="9" t="s">
        <v>493</v>
      </c>
      <c r="O96" s="9" t="s">
        <v>189</v>
      </c>
      <c r="P96" s="9" t="s">
        <v>190</v>
      </c>
      <c r="Q96" s="9" t="s">
        <v>494</v>
      </c>
      <c r="R96" s="9" t="s">
        <v>399</v>
      </c>
      <c r="S96" s="9" t="s">
        <v>454</v>
      </c>
      <c r="T96" s="9" t="s">
        <v>239</v>
      </c>
      <c r="U96" s="19" t="n">
        <v>40</v>
      </c>
      <c r="V96" s="9"/>
      <c r="W96" s="9"/>
      <c r="X96" s="9" t="s">
        <v>195</v>
      </c>
      <c r="Y96" s="23" t="n">
        <v>0.042</v>
      </c>
      <c r="Z96" s="23" t="n">
        <v>0.08</v>
      </c>
      <c r="AA96" s="23" t="n">
        <v>12</v>
      </c>
      <c r="AB96" s="9" t="s">
        <v>450</v>
      </c>
      <c r="AC96" s="9" t="s">
        <v>495</v>
      </c>
      <c r="AD96" s="23" t="s">
        <v>197</v>
      </c>
      <c r="AE96" s="23" t="s">
        <v>197</v>
      </c>
      <c r="AF96" s="23" t="s">
        <v>197</v>
      </c>
      <c r="AG96" s="23" t="s">
        <v>197</v>
      </c>
      <c r="AH96" s="23" t="s">
        <v>197</v>
      </c>
      <c r="AI96" s="23" t="s">
        <v>197</v>
      </c>
      <c r="AJ96" s="23" t="s">
        <v>197</v>
      </c>
      <c r="AK96" s="23" t="s">
        <v>197</v>
      </c>
      <c r="AL96" s="23" t="s">
        <v>197</v>
      </c>
      <c r="AM96" s="9" t="s">
        <v>197</v>
      </c>
      <c r="AN96" s="23" t="s">
        <v>197</v>
      </c>
      <c r="AO96" s="23" t="n">
        <v>1.2</v>
      </c>
      <c r="AP96" s="23" t="n">
        <v>1.6</v>
      </c>
    </row>
    <row r="97" customFormat="false" ht="21.75" hidden="false" customHeight="true" outlineLevel="0" collapsed="false">
      <c r="B97" s="14" t="n">
        <v>93</v>
      </c>
      <c r="C97" s="7" t="s">
        <v>42</v>
      </c>
      <c r="D97" s="7" t="s">
        <v>20</v>
      </c>
      <c r="E97" s="7" t="s">
        <v>117</v>
      </c>
      <c r="F97" s="7" t="s">
        <v>63</v>
      </c>
      <c r="G97" s="7" t="s">
        <v>496</v>
      </c>
      <c r="H97" s="7" t="s">
        <v>489</v>
      </c>
      <c r="I97" s="7" t="s">
        <v>490</v>
      </c>
      <c r="J97" s="7" t="s">
        <v>491</v>
      </c>
      <c r="K97" s="7" t="s">
        <v>492</v>
      </c>
      <c r="L97" s="7" t="s">
        <v>450</v>
      </c>
      <c r="M97" s="7" t="s">
        <v>235</v>
      </c>
      <c r="N97" s="7" t="s">
        <v>493</v>
      </c>
      <c r="O97" s="7" t="s">
        <v>189</v>
      </c>
      <c r="P97" s="7" t="s">
        <v>190</v>
      </c>
      <c r="Q97" s="7" t="s">
        <v>494</v>
      </c>
      <c r="R97" s="7" t="s">
        <v>399</v>
      </c>
      <c r="S97" s="7" t="s">
        <v>454</v>
      </c>
      <c r="T97" s="7" t="s">
        <v>239</v>
      </c>
      <c r="U97" s="18" t="n">
        <v>65</v>
      </c>
      <c r="V97" s="7"/>
      <c r="W97" s="7"/>
      <c r="X97" s="7" t="s">
        <v>199</v>
      </c>
      <c r="Y97" s="22" t="n">
        <v>0.056</v>
      </c>
      <c r="Z97" s="22" t="n">
        <v>0.104</v>
      </c>
      <c r="AA97" s="22" t="n">
        <v>12</v>
      </c>
      <c r="AB97" s="7" t="s">
        <v>450</v>
      </c>
      <c r="AC97" s="7" t="s">
        <v>495</v>
      </c>
      <c r="AD97" s="22" t="s">
        <v>197</v>
      </c>
      <c r="AE97" s="22" t="s">
        <v>197</v>
      </c>
      <c r="AF97" s="22" t="s">
        <v>197</v>
      </c>
      <c r="AG97" s="22" t="s">
        <v>197</v>
      </c>
      <c r="AH97" s="22" t="s">
        <v>197</v>
      </c>
      <c r="AI97" s="22" t="s">
        <v>197</v>
      </c>
      <c r="AJ97" s="22" t="s">
        <v>197</v>
      </c>
      <c r="AK97" s="22" t="s">
        <v>197</v>
      </c>
      <c r="AL97" s="22" t="s">
        <v>197</v>
      </c>
      <c r="AM97" s="7" t="s">
        <v>197</v>
      </c>
      <c r="AN97" s="22" t="s">
        <v>197</v>
      </c>
      <c r="AO97" s="22" t="n">
        <v>1.2</v>
      </c>
      <c r="AP97" s="22" t="n">
        <v>1.6</v>
      </c>
    </row>
    <row r="98" customFormat="false" ht="21.75" hidden="false" customHeight="true" outlineLevel="0" collapsed="false">
      <c r="B98" s="15" t="n">
        <v>94</v>
      </c>
      <c r="C98" s="9" t="s">
        <v>42</v>
      </c>
      <c r="D98" s="9" t="s">
        <v>20</v>
      </c>
      <c r="E98" s="9" t="s">
        <v>117</v>
      </c>
      <c r="F98" s="9" t="s">
        <v>63</v>
      </c>
      <c r="G98" s="9" t="s">
        <v>497</v>
      </c>
      <c r="H98" s="9" t="s">
        <v>489</v>
      </c>
      <c r="I98" s="9" t="s">
        <v>490</v>
      </c>
      <c r="J98" s="9" t="s">
        <v>491</v>
      </c>
      <c r="K98" s="9" t="s">
        <v>492</v>
      </c>
      <c r="L98" s="9" t="s">
        <v>450</v>
      </c>
      <c r="M98" s="9" t="s">
        <v>235</v>
      </c>
      <c r="N98" s="9" t="s">
        <v>493</v>
      </c>
      <c r="O98" s="9" t="s">
        <v>189</v>
      </c>
      <c r="P98" s="9" t="s">
        <v>190</v>
      </c>
      <c r="Q98" s="9" t="s">
        <v>494</v>
      </c>
      <c r="R98" s="9" t="s">
        <v>399</v>
      </c>
      <c r="S98" s="9" t="s">
        <v>454</v>
      </c>
      <c r="T98" s="9" t="s">
        <v>239</v>
      </c>
      <c r="U98" s="19" t="n">
        <v>85</v>
      </c>
      <c r="V98" s="9"/>
      <c r="W98" s="9"/>
      <c r="X98" s="9" t="s">
        <v>498</v>
      </c>
      <c r="Y98" s="23" t="n">
        <v>0.041</v>
      </c>
      <c r="Z98" s="23" t="n">
        <v>0.078</v>
      </c>
      <c r="AA98" s="23" t="n">
        <v>12</v>
      </c>
      <c r="AB98" s="9" t="s">
        <v>450</v>
      </c>
      <c r="AC98" s="9" t="s">
        <v>495</v>
      </c>
      <c r="AD98" s="23" t="s">
        <v>197</v>
      </c>
      <c r="AE98" s="23" t="s">
        <v>197</v>
      </c>
      <c r="AF98" s="23" t="s">
        <v>197</v>
      </c>
      <c r="AG98" s="23" t="s">
        <v>197</v>
      </c>
      <c r="AH98" s="23" t="s">
        <v>197</v>
      </c>
      <c r="AI98" s="23" t="s">
        <v>197</v>
      </c>
      <c r="AJ98" s="23" t="s">
        <v>197</v>
      </c>
      <c r="AK98" s="23" t="s">
        <v>197</v>
      </c>
      <c r="AL98" s="23" t="s">
        <v>197</v>
      </c>
      <c r="AM98" s="9" t="s">
        <v>197</v>
      </c>
      <c r="AN98" s="23" t="s">
        <v>197</v>
      </c>
      <c r="AO98" s="23" t="n">
        <v>1.2</v>
      </c>
      <c r="AP98" s="23" t="n">
        <v>1.6</v>
      </c>
    </row>
    <row r="99" customFormat="false" ht="21.75" hidden="false" customHeight="true" outlineLevel="0" collapsed="false">
      <c r="B99" s="14" t="n">
        <v>95</v>
      </c>
      <c r="C99" s="7" t="s">
        <v>42</v>
      </c>
      <c r="D99" s="7" t="s">
        <v>20</v>
      </c>
      <c r="E99" s="7" t="s">
        <v>117</v>
      </c>
      <c r="F99" s="7" t="s">
        <v>63</v>
      </c>
      <c r="G99" s="7" t="s">
        <v>499</v>
      </c>
      <c r="H99" s="7" t="s">
        <v>489</v>
      </c>
      <c r="I99" s="7" t="s">
        <v>490</v>
      </c>
      <c r="J99" s="7" t="s">
        <v>491</v>
      </c>
      <c r="K99" s="7" t="s">
        <v>492</v>
      </c>
      <c r="L99" s="7" t="s">
        <v>450</v>
      </c>
      <c r="M99" s="7" t="s">
        <v>235</v>
      </c>
      <c r="N99" s="7" t="s">
        <v>493</v>
      </c>
      <c r="O99" s="7" t="s">
        <v>189</v>
      </c>
      <c r="P99" s="7" t="s">
        <v>190</v>
      </c>
      <c r="Q99" s="7" t="s">
        <v>494</v>
      </c>
      <c r="R99" s="7" t="s">
        <v>399</v>
      </c>
      <c r="S99" s="7" t="s">
        <v>454</v>
      </c>
      <c r="T99" s="7" t="s">
        <v>239</v>
      </c>
      <c r="U99" s="18" t="n">
        <v>130</v>
      </c>
      <c r="V99" s="7"/>
      <c r="W99" s="7"/>
      <c r="X99" s="7" t="s">
        <v>203</v>
      </c>
      <c r="Y99" s="22" t="n">
        <v>0.049</v>
      </c>
      <c r="Z99" s="22" t="n">
        <v>0.092</v>
      </c>
      <c r="AA99" s="22" t="n">
        <v>12</v>
      </c>
      <c r="AB99" s="7" t="s">
        <v>450</v>
      </c>
      <c r="AC99" s="7" t="s">
        <v>495</v>
      </c>
      <c r="AD99" s="22" t="s">
        <v>197</v>
      </c>
      <c r="AE99" s="22" t="s">
        <v>197</v>
      </c>
      <c r="AF99" s="22" t="s">
        <v>197</v>
      </c>
      <c r="AG99" s="22" t="s">
        <v>197</v>
      </c>
      <c r="AH99" s="22" t="s">
        <v>197</v>
      </c>
      <c r="AI99" s="22" t="s">
        <v>197</v>
      </c>
      <c r="AJ99" s="22" t="s">
        <v>197</v>
      </c>
      <c r="AK99" s="22" t="s">
        <v>197</v>
      </c>
      <c r="AL99" s="22" t="s">
        <v>197</v>
      </c>
      <c r="AM99" s="7" t="s">
        <v>197</v>
      </c>
      <c r="AN99" s="22" t="s">
        <v>197</v>
      </c>
      <c r="AO99" s="22" t="n">
        <v>1.2</v>
      </c>
      <c r="AP99" s="22" t="n">
        <v>1.6</v>
      </c>
    </row>
    <row r="100" customFormat="false" ht="21.75" hidden="false" customHeight="true" outlineLevel="0" collapsed="false">
      <c r="B100" s="15" t="n">
        <v>96</v>
      </c>
      <c r="C100" s="9" t="s">
        <v>42</v>
      </c>
      <c r="D100" s="9" t="s">
        <v>20</v>
      </c>
      <c r="E100" s="9" t="s">
        <v>117</v>
      </c>
      <c r="F100" s="9" t="s">
        <v>63</v>
      </c>
      <c r="G100" s="9" t="s">
        <v>500</v>
      </c>
      <c r="H100" s="9" t="s">
        <v>489</v>
      </c>
      <c r="I100" s="9" t="s">
        <v>490</v>
      </c>
      <c r="J100" s="9" t="s">
        <v>491</v>
      </c>
      <c r="K100" s="9" t="s">
        <v>492</v>
      </c>
      <c r="L100" s="9" t="s">
        <v>450</v>
      </c>
      <c r="M100" s="9" t="s">
        <v>235</v>
      </c>
      <c r="N100" s="9" t="s">
        <v>493</v>
      </c>
      <c r="O100" s="9" t="s">
        <v>189</v>
      </c>
      <c r="P100" s="9" t="s">
        <v>190</v>
      </c>
      <c r="Q100" s="9" t="s">
        <v>494</v>
      </c>
      <c r="R100" s="9" t="s">
        <v>399</v>
      </c>
      <c r="S100" s="9" t="s">
        <v>454</v>
      </c>
      <c r="T100" s="9" t="s">
        <v>239</v>
      </c>
      <c r="U100" s="19" t="n">
        <v>190</v>
      </c>
      <c r="V100" s="9"/>
      <c r="W100" s="9"/>
      <c r="X100" s="9" t="s">
        <v>205</v>
      </c>
      <c r="Y100" s="23" t="n">
        <v>0.043</v>
      </c>
      <c r="Z100" s="23" t="n">
        <v>0.082</v>
      </c>
      <c r="AA100" s="23" t="n">
        <v>12</v>
      </c>
      <c r="AB100" s="9" t="s">
        <v>450</v>
      </c>
      <c r="AC100" s="9" t="s">
        <v>495</v>
      </c>
      <c r="AD100" s="23" t="s">
        <v>197</v>
      </c>
      <c r="AE100" s="23" t="s">
        <v>197</v>
      </c>
      <c r="AF100" s="23" t="s">
        <v>197</v>
      </c>
      <c r="AG100" s="23" t="s">
        <v>197</v>
      </c>
      <c r="AH100" s="23" t="s">
        <v>197</v>
      </c>
      <c r="AI100" s="23" t="s">
        <v>197</v>
      </c>
      <c r="AJ100" s="23" t="s">
        <v>197</v>
      </c>
      <c r="AK100" s="23" t="s">
        <v>197</v>
      </c>
      <c r="AL100" s="23" t="s">
        <v>197</v>
      </c>
      <c r="AM100" s="9" t="s">
        <v>197</v>
      </c>
      <c r="AN100" s="23" t="s">
        <v>197</v>
      </c>
      <c r="AO100" s="23" t="n">
        <v>1.2</v>
      </c>
      <c r="AP100" s="23" t="n">
        <v>1.6</v>
      </c>
    </row>
    <row r="101" customFormat="false" ht="21.75" hidden="false" customHeight="true" outlineLevel="0" collapsed="false">
      <c r="B101" s="14" t="n">
        <v>97</v>
      </c>
      <c r="C101" s="7" t="s">
        <v>42</v>
      </c>
      <c r="D101" s="7" t="s">
        <v>20</v>
      </c>
      <c r="E101" s="7" t="s">
        <v>117</v>
      </c>
      <c r="F101" s="7" t="s">
        <v>64</v>
      </c>
      <c r="G101" s="7" t="s">
        <v>501</v>
      </c>
      <c r="H101" s="7" t="s">
        <v>247</v>
      </c>
      <c r="I101" s="7" t="s">
        <v>502</v>
      </c>
      <c r="J101" s="7" t="s">
        <v>503</v>
      </c>
      <c r="K101" s="7" t="s">
        <v>250</v>
      </c>
      <c r="L101" s="7" t="s">
        <v>450</v>
      </c>
      <c r="M101" s="7" t="s">
        <v>251</v>
      </c>
      <c r="N101" s="7" t="s">
        <v>504</v>
      </c>
      <c r="O101" s="7" t="s">
        <v>189</v>
      </c>
      <c r="P101" s="7" t="s">
        <v>190</v>
      </c>
      <c r="Q101" s="7" t="s">
        <v>505</v>
      </c>
      <c r="R101" s="7" t="s">
        <v>506</v>
      </c>
      <c r="S101" s="7" t="s">
        <v>454</v>
      </c>
      <c r="T101" s="7" t="s">
        <v>507</v>
      </c>
      <c r="U101" s="18" t="n">
        <v>12</v>
      </c>
      <c r="V101" s="7"/>
      <c r="W101" s="7"/>
      <c r="X101" s="7" t="s">
        <v>195</v>
      </c>
      <c r="Y101" s="22" t="n">
        <v>0.008</v>
      </c>
      <c r="Z101" s="22" t="n">
        <v>0.012</v>
      </c>
      <c r="AA101" s="22" t="n">
        <v>12</v>
      </c>
      <c r="AB101" s="7" t="s">
        <v>450</v>
      </c>
      <c r="AC101" s="7" t="s">
        <v>508</v>
      </c>
      <c r="AD101" s="22" t="s">
        <v>197</v>
      </c>
      <c r="AE101" s="22" t="s">
        <v>197</v>
      </c>
      <c r="AF101" s="22" t="s">
        <v>197</v>
      </c>
      <c r="AG101" s="22" t="s">
        <v>197</v>
      </c>
      <c r="AH101" s="22" t="s">
        <v>197</v>
      </c>
      <c r="AI101" s="22" t="s">
        <v>197</v>
      </c>
      <c r="AJ101" s="22" t="n">
        <v>8</v>
      </c>
      <c r="AK101" s="22" t="s">
        <v>197</v>
      </c>
      <c r="AL101" s="22" t="n">
        <v>90</v>
      </c>
      <c r="AM101" s="7" t="s">
        <v>257</v>
      </c>
      <c r="AN101" s="22" t="s">
        <v>197</v>
      </c>
      <c r="AO101" s="22" t="n">
        <v>2</v>
      </c>
      <c r="AP101" s="22" t="n">
        <v>2.7</v>
      </c>
    </row>
    <row r="102" customFormat="false" ht="21.75" hidden="false" customHeight="true" outlineLevel="0" collapsed="false">
      <c r="B102" s="15" t="n">
        <v>98</v>
      </c>
      <c r="C102" s="9" t="s">
        <v>42</v>
      </c>
      <c r="D102" s="9" t="s">
        <v>20</v>
      </c>
      <c r="E102" s="9" t="s">
        <v>117</v>
      </c>
      <c r="F102" s="9" t="s">
        <v>64</v>
      </c>
      <c r="G102" s="9" t="s">
        <v>509</v>
      </c>
      <c r="H102" s="9" t="s">
        <v>259</v>
      </c>
      <c r="I102" s="9" t="s">
        <v>502</v>
      </c>
      <c r="J102" s="9" t="s">
        <v>503</v>
      </c>
      <c r="K102" s="9" t="s">
        <v>250</v>
      </c>
      <c r="L102" s="9" t="s">
        <v>450</v>
      </c>
      <c r="M102" s="9" t="s">
        <v>251</v>
      </c>
      <c r="N102" s="9" t="s">
        <v>504</v>
      </c>
      <c r="O102" s="9" t="s">
        <v>189</v>
      </c>
      <c r="P102" s="9" t="s">
        <v>190</v>
      </c>
      <c r="Q102" s="9" t="s">
        <v>505</v>
      </c>
      <c r="R102" s="9" t="s">
        <v>506</v>
      </c>
      <c r="S102" s="9" t="s">
        <v>454</v>
      </c>
      <c r="T102" s="9" t="s">
        <v>507</v>
      </c>
      <c r="U102" s="19" t="n">
        <v>18</v>
      </c>
      <c r="V102" s="9"/>
      <c r="W102" s="9"/>
      <c r="X102" s="9" t="s">
        <v>199</v>
      </c>
      <c r="Y102" s="23" t="n">
        <v>0.017</v>
      </c>
      <c r="Z102" s="23" t="n">
        <v>0.024</v>
      </c>
      <c r="AA102" s="23" t="n">
        <v>12</v>
      </c>
      <c r="AB102" s="9" t="s">
        <v>450</v>
      </c>
      <c r="AC102" s="9" t="s">
        <v>508</v>
      </c>
      <c r="AD102" s="23" t="s">
        <v>197</v>
      </c>
      <c r="AE102" s="23" t="s">
        <v>197</v>
      </c>
      <c r="AF102" s="23" t="s">
        <v>197</v>
      </c>
      <c r="AG102" s="23" t="s">
        <v>197</v>
      </c>
      <c r="AH102" s="23" t="s">
        <v>197</v>
      </c>
      <c r="AI102" s="23" t="s">
        <v>197</v>
      </c>
      <c r="AJ102" s="23" t="n">
        <v>10</v>
      </c>
      <c r="AK102" s="23" t="s">
        <v>197</v>
      </c>
      <c r="AL102" s="23" t="n">
        <v>90</v>
      </c>
      <c r="AM102" s="9" t="s">
        <v>257</v>
      </c>
      <c r="AN102" s="23" t="s">
        <v>197</v>
      </c>
      <c r="AO102" s="23" t="n">
        <v>2</v>
      </c>
      <c r="AP102" s="23" t="n">
        <v>2.7</v>
      </c>
    </row>
    <row r="103" customFormat="false" ht="21.75" hidden="false" customHeight="true" outlineLevel="0" collapsed="false">
      <c r="B103" s="14" t="n">
        <v>99</v>
      </c>
      <c r="C103" s="7" t="s">
        <v>42</v>
      </c>
      <c r="D103" s="7" t="s">
        <v>20</v>
      </c>
      <c r="E103" s="7" t="s">
        <v>117</v>
      </c>
      <c r="F103" s="7" t="s">
        <v>64</v>
      </c>
      <c r="G103" s="7" t="s">
        <v>510</v>
      </c>
      <c r="H103" s="7" t="s">
        <v>261</v>
      </c>
      <c r="I103" s="7" t="s">
        <v>502</v>
      </c>
      <c r="J103" s="7" t="s">
        <v>503</v>
      </c>
      <c r="K103" s="7" t="s">
        <v>250</v>
      </c>
      <c r="L103" s="7" t="s">
        <v>450</v>
      </c>
      <c r="M103" s="7" t="s">
        <v>251</v>
      </c>
      <c r="N103" s="7" t="s">
        <v>504</v>
      </c>
      <c r="O103" s="7" t="s">
        <v>189</v>
      </c>
      <c r="P103" s="7" t="s">
        <v>190</v>
      </c>
      <c r="Q103" s="7" t="s">
        <v>505</v>
      </c>
      <c r="R103" s="7" t="s">
        <v>506</v>
      </c>
      <c r="S103" s="7" t="s">
        <v>454</v>
      </c>
      <c r="T103" s="7" t="s">
        <v>507</v>
      </c>
      <c r="U103" s="18" t="n">
        <v>20</v>
      </c>
      <c r="V103" s="7"/>
      <c r="W103" s="7"/>
      <c r="X103" s="7" t="s">
        <v>511</v>
      </c>
      <c r="Y103" s="22" t="n">
        <v>0.015</v>
      </c>
      <c r="Z103" s="22" t="n">
        <v>0.021</v>
      </c>
      <c r="AA103" s="22" t="n">
        <v>12</v>
      </c>
      <c r="AB103" s="7" t="s">
        <v>450</v>
      </c>
      <c r="AC103" s="7" t="s">
        <v>508</v>
      </c>
      <c r="AD103" s="22" t="s">
        <v>197</v>
      </c>
      <c r="AE103" s="22" t="s">
        <v>197</v>
      </c>
      <c r="AF103" s="22" t="s">
        <v>197</v>
      </c>
      <c r="AG103" s="22" t="s">
        <v>197</v>
      </c>
      <c r="AH103" s="22" t="s">
        <v>197</v>
      </c>
      <c r="AI103" s="22" t="s">
        <v>197</v>
      </c>
      <c r="AJ103" s="22" t="n">
        <v>12</v>
      </c>
      <c r="AK103" s="22" t="s">
        <v>197</v>
      </c>
      <c r="AL103" s="22" t="n">
        <v>90</v>
      </c>
      <c r="AM103" s="7" t="s">
        <v>257</v>
      </c>
      <c r="AN103" s="22" t="s">
        <v>197</v>
      </c>
      <c r="AO103" s="22" t="n">
        <v>2</v>
      </c>
      <c r="AP103" s="22" t="n">
        <v>2.7</v>
      </c>
    </row>
    <row r="104" customFormat="false" ht="21.75" hidden="false" customHeight="true" outlineLevel="0" collapsed="false">
      <c r="B104" s="15" t="n">
        <v>100</v>
      </c>
      <c r="C104" s="9" t="s">
        <v>42</v>
      </c>
      <c r="D104" s="9" t="s">
        <v>20</v>
      </c>
      <c r="E104" s="9" t="s">
        <v>117</v>
      </c>
      <c r="F104" s="9" t="s">
        <v>64</v>
      </c>
      <c r="G104" s="9" t="s">
        <v>512</v>
      </c>
      <c r="H104" s="9" t="s">
        <v>264</v>
      </c>
      <c r="I104" s="9" t="s">
        <v>502</v>
      </c>
      <c r="J104" s="9" t="s">
        <v>503</v>
      </c>
      <c r="K104" s="9" t="s">
        <v>250</v>
      </c>
      <c r="L104" s="9" t="s">
        <v>450</v>
      </c>
      <c r="M104" s="9" t="s">
        <v>251</v>
      </c>
      <c r="N104" s="9" t="s">
        <v>504</v>
      </c>
      <c r="O104" s="9" t="s">
        <v>189</v>
      </c>
      <c r="P104" s="9" t="s">
        <v>190</v>
      </c>
      <c r="Q104" s="9" t="s">
        <v>505</v>
      </c>
      <c r="R104" s="9" t="s">
        <v>506</v>
      </c>
      <c r="S104" s="9" t="s">
        <v>454</v>
      </c>
      <c r="T104" s="9" t="s">
        <v>507</v>
      </c>
      <c r="U104" s="19" t="n">
        <v>35</v>
      </c>
      <c r="V104" s="9"/>
      <c r="W104" s="9"/>
      <c r="X104" s="9" t="s">
        <v>203</v>
      </c>
      <c r="Y104" s="23" t="n">
        <v>0.013</v>
      </c>
      <c r="Z104" s="23" t="n">
        <v>0.018</v>
      </c>
      <c r="AA104" s="23" t="n">
        <v>12</v>
      </c>
      <c r="AB104" s="9" t="s">
        <v>450</v>
      </c>
      <c r="AC104" s="9" t="s">
        <v>508</v>
      </c>
      <c r="AD104" s="23" t="s">
        <v>197</v>
      </c>
      <c r="AE104" s="23" t="s">
        <v>197</v>
      </c>
      <c r="AF104" s="23" t="s">
        <v>197</v>
      </c>
      <c r="AG104" s="23" t="s">
        <v>197</v>
      </c>
      <c r="AH104" s="23" t="s">
        <v>197</v>
      </c>
      <c r="AI104" s="23" t="s">
        <v>197</v>
      </c>
      <c r="AJ104" s="23" t="n">
        <v>12</v>
      </c>
      <c r="AK104" s="23" t="s">
        <v>197</v>
      </c>
      <c r="AL104" s="23" t="n">
        <v>110</v>
      </c>
      <c r="AM104" s="9" t="s">
        <v>257</v>
      </c>
      <c r="AN104" s="23" t="s">
        <v>197</v>
      </c>
      <c r="AO104" s="23" t="n">
        <v>2</v>
      </c>
      <c r="AP104" s="23" t="n">
        <v>2.7</v>
      </c>
    </row>
    <row r="105" customFormat="false" ht="21.75" hidden="false" customHeight="true" outlineLevel="0" collapsed="false">
      <c r="B105" s="14" t="n">
        <v>101</v>
      </c>
      <c r="C105" s="7" t="s">
        <v>42</v>
      </c>
      <c r="D105" s="7" t="s">
        <v>20</v>
      </c>
      <c r="E105" s="7" t="s">
        <v>117</v>
      </c>
      <c r="F105" s="7" t="s">
        <v>64</v>
      </c>
      <c r="G105" s="7" t="s">
        <v>513</v>
      </c>
      <c r="H105" s="7" t="s">
        <v>266</v>
      </c>
      <c r="I105" s="7" t="s">
        <v>502</v>
      </c>
      <c r="J105" s="7" t="s">
        <v>503</v>
      </c>
      <c r="K105" s="7" t="s">
        <v>250</v>
      </c>
      <c r="L105" s="7" t="s">
        <v>450</v>
      </c>
      <c r="M105" s="7" t="s">
        <v>251</v>
      </c>
      <c r="N105" s="7" t="s">
        <v>504</v>
      </c>
      <c r="O105" s="7" t="s">
        <v>189</v>
      </c>
      <c r="P105" s="7" t="s">
        <v>190</v>
      </c>
      <c r="Q105" s="7" t="s">
        <v>505</v>
      </c>
      <c r="R105" s="7" t="s">
        <v>506</v>
      </c>
      <c r="S105" s="7" t="s">
        <v>454</v>
      </c>
      <c r="T105" s="7" t="s">
        <v>507</v>
      </c>
      <c r="U105" s="18" t="n">
        <v>50</v>
      </c>
      <c r="V105" s="7"/>
      <c r="W105" s="7"/>
      <c r="X105" s="7" t="s">
        <v>205</v>
      </c>
      <c r="Y105" s="22" t="n">
        <v>0.01</v>
      </c>
      <c r="Z105" s="22" t="n">
        <v>0.014</v>
      </c>
      <c r="AA105" s="22" t="n">
        <v>12</v>
      </c>
      <c r="AB105" s="7" t="s">
        <v>450</v>
      </c>
      <c r="AC105" s="7" t="s">
        <v>508</v>
      </c>
      <c r="AD105" s="22" t="s">
        <v>197</v>
      </c>
      <c r="AE105" s="22" t="s">
        <v>197</v>
      </c>
      <c r="AF105" s="22" t="s">
        <v>197</v>
      </c>
      <c r="AG105" s="22" t="s">
        <v>197</v>
      </c>
      <c r="AH105" s="22" t="s">
        <v>197</v>
      </c>
      <c r="AI105" s="22" t="s">
        <v>197</v>
      </c>
      <c r="AJ105" s="22" t="n">
        <v>15</v>
      </c>
      <c r="AK105" s="22" t="s">
        <v>197</v>
      </c>
      <c r="AL105" s="22" t="n">
        <v>110</v>
      </c>
      <c r="AM105" s="7" t="s">
        <v>257</v>
      </c>
      <c r="AN105" s="22" t="s">
        <v>197</v>
      </c>
      <c r="AO105" s="22" t="n">
        <v>2</v>
      </c>
      <c r="AP105" s="22" t="n">
        <v>2.7</v>
      </c>
    </row>
    <row r="106" customFormat="false" ht="21.75" hidden="false" customHeight="true" outlineLevel="0" collapsed="false">
      <c r="B106" s="15" t="n">
        <v>102</v>
      </c>
      <c r="C106" s="9" t="s">
        <v>42</v>
      </c>
      <c r="D106" s="9" t="s">
        <v>20</v>
      </c>
      <c r="E106" s="9" t="s">
        <v>117</v>
      </c>
      <c r="F106" s="9" t="s">
        <v>65</v>
      </c>
      <c r="G106" s="9" t="s">
        <v>514</v>
      </c>
      <c r="H106" s="9" t="s">
        <v>247</v>
      </c>
      <c r="I106" s="9" t="s">
        <v>515</v>
      </c>
      <c r="J106" s="9" t="s">
        <v>516</v>
      </c>
      <c r="K106" s="9" t="s">
        <v>517</v>
      </c>
      <c r="L106" s="9" t="s">
        <v>450</v>
      </c>
      <c r="M106" s="9" t="s">
        <v>518</v>
      </c>
      <c r="N106" s="9" t="s">
        <v>519</v>
      </c>
      <c r="O106" s="9" t="s">
        <v>189</v>
      </c>
      <c r="P106" s="9" t="s">
        <v>190</v>
      </c>
      <c r="Q106" s="9" t="s">
        <v>520</v>
      </c>
      <c r="R106" s="9" t="s">
        <v>521</v>
      </c>
      <c r="S106" s="9" t="s">
        <v>454</v>
      </c>
      <c r="T106" s="9" t="s">
        <v>275</v>
      </c>
      <c r="U106" s="19" t="n">
        <v>18</v>
      </c>
      <c r="V106" s="9"/>
      <c r="W106" s="9"/>
      <c r="X106" s="9" t="s">
        <v>195</v>
      </c>
      <c r="Y106" s="23" t="n">
        <v>1.021E-005</v>
      </c>
      <c r="Z106" s="23" t="n">
        <v>2.895E-005</v>
      </c>
      <c r="AA106" s="23" t="n">
        <v>3</v>
      </c>
      <c r="AB106" s="9" t="s">
        <v>450</v>
      </c>
      <c r="AC106" s="9" t="s">
        <v>522</v>
      </c>
      <c r="AD106" s="23" t="s">
        <v>197</v>
      </c>
      <c r="AE106" s="23" t="s">
        <v>197</v>
      </c>
      <c r="AF106" s="23" t="s">
        <v>197</v>
      </c>
      <c r="AG106" s="23" t="s">
        <v>197</v>
      </c>
      <c r="AH106" s="23" t="s">
        <v>197</v>
      </c>
      <c r="AI106" s="23" t="s">
        <v>197</v>
      </c>
      <c r="AJ106" s="23" t="n">
        <v>8</v>
      </c>
      <c r="AK106" s="23" t="s">
        <v>197</v>
      </c>
      <c r="AL106" s="23" t="n">
        <v>90</v>
      </c>
      <c r="AM106" s="9" t="s">
        <v>257</v>
      </c>
      <c r="AN106" s="23" t="s">
        <v>197</v>
      </c>
      <c r="AO106" s="23" t="n">
        <v>2</v>
      </c>
      <c r="AP106" s="23" t="n">
        <v>2.7</v>
      </c>
    </row>
    <row r="107" customFormat="false" ht="21.75" hidden="false" customHeight="true" outlineLevel="0" collapsed="false">
      <c r="B107" s="14" t="n">
        <v>103</v>
      </c>
      <c r="C107" s="7" t="s">
        <v>42</v>
      </c>
      <c r="D107" s="7" t="s">
        <v>20</v>
      </c>
      <c r="E107" s="7" t="s">
        <v>117</v>
      </c>
      <c r="F107" s="7" t="s">
        <v>65</v>
      </c>
      <c r="G107" s="7" t="s">
        <v>523</v>
      </c>
      <c r="H107" s="7" t="s">
        <v>259</v>
      </c>
      <c r="I107" s="7" t="s">
        <v>515</v>
      </c>
      <c r="J107" s="7" t="s">
        <v>516</v>
      </c>
      <c r="K107" s="7" t="s">
        <v>517</v>
      </c>
      <c r="L107" s="7" t="s">
        <v>450</v>
      </c>
      <c r="M107" s="7" t="s">
        <v>518</v>
      </c>
      <c r="N107" s="7" t="s">
        <v>519</v>
      </c>
      <c r="O107" s="7" t="s">
        <v>189</v>
      </c>
      <c r="P107" s="7" t="s">
        <v>190</v>
      </c>
      <c r="Q107" s="7" t="s">
        <v>520</v>
      </c>
      <c r="R107" s="7" t="s">
        <v>521</v>
      </c>
      <c r="S107" s="7" t="s">
        <v>454</v>
      </c>
      <c r="T107" s="7" t="s">
        <v>275</v>
      </c>
      <c r="U107" s="18" t="n">
        <v>25</v>
      </c>
      <c r="V107" s="7"/>
      <c r="W107" s="7"/>
      <c r="X107" s="7" t="s">
        <v>199</v>
      </c>
      <c r="Y107" s="22" t="n">
        <v>1.405E-005</v>
      </c>
      <c r="Z107" s="22" t="n">
        <v>3.58E-005</v>
      </c>
      <c r="AA107" s="22" t="n">
        <v>3</v>
      </c>
      <c r="AB107" s="7" t="s">
        <v>450</v>
      </c>
      <c r="AC107" s="7" t="s">
        <v>522</v>
      </c>
      <c r="AD107" s="22" t="s">
        <v>197</v>
      </c>
      <c r="AE107" s="22" t="s">
        <v>197</v>
      </c>
      <c r="AF107" s="22" t="s">
        <v>197</v>
      </c>
      <c r="AG107" s="22" t="s">
        <v>197</v>
      </c>
      <c r="AH107" s="22" t="s">
        <v>197</v>
      </c>
      <c r="AI107" s="22" t="s">
        <v>197</v>
      </c>
      <c r="AJ107" s="22" t="n">
        <v>10</v>
      </c>
      <c r="AK107" s="22" t="s">
        <v>197</v>
      </c>
      <c r="AL107" s="22" t="n">
        <v>90</v>
      </c>
      <c r="AM107" s="7" t="s">
        <v>257</v>
      </c>
      <c r="AN107" s="22" t="s">
        <v>197</v>
      </c>
      <c r="AO107" s="22" t="n">
        <v>2</v>
      </c>
      <c r="AP107" s="22" t="n">
        <v>2.7</v>
      </c>
    </row>
    <row r="108" customFormat="false" ht="21.75" hidden="false" customHeight="true" outlineLevel="0" collapsed="false">
      <c r="B108" s="15" t="n">
        <v>104</v>
      </c>
      <c r="C108" s="9" t="s">
        <v>42</v>
      </c>
      <c r="D108" s="9" t="s">
        <v>20</v>
      </c>
      <c r="E108" s="9" t="s">
        <v>117</v>
      </c>
      <c r="F108" s="9" t="s">
        <v>65</v>
      </c>
      <c r="G108" s="9" t="s">
        <v>524</v>
      </c>
      <c r="H108" s="9" t="s">
        <v>261</v>
      </c>
      <c r="I108" s="9" t="s">
        <v>515</v>
      </c>
      <c r="J108" s="9" t="s">
        <v>516</v>
      </c>
      <c r="K108" s="9" t="s">
        <v>517</v>
      </c>
      <c r="L108" s="9" t="s">
        <v>450</v>
      </c>
      <c r="M108" s="9" t="s">
        <v>518</v>
      </c>
      <c r="N108" s="9" t="s">
        <v>519</v>
      </c>
      <c r="O108" s="9" t="s">
        <v>189</v>
      </c>
      <c r="P108" s="9" t="s">
        <v>190</v>
      </c>
      <c r="Q108" s="9" t="s">
        <v>520</v>
      </c>
      <c r="R108" s="9" t="s">
        <v>521</v>
      </c>
      <c r="S108" s="9" t="s">
        <v>454</v>
      </c>
      <c r="T108" s="9" t="s">
        <v>275</v>
      </c>
      <c r="U108" s="19" t="n">
        <v>35</v>
      </c>
      <c r="V108" s="9"/>
      <c r="W108" s="9"/>
      <c r="X108" s="9" t="s">
        <v>525</v>
      </c>
      <c r="Y108" s="23" t="n">
        <v>1.05E-005</v>
      </c>
      <c r="Z108" s="23" t="n">
        <v>2.947E-005</v>
      </c>
      <c r="AA108" s="23" t="n">
        <v>3</v>
      </c>
      <c r="AB108" s="9" t="s">
        <v>450</v>
      </c>
      <c r="AC108" s="9" t="s">
        <v>522</v>
      </c>
      <c r="AD108" s="23" t="s">
        <v>197</v>
      </c>
      <c r="AE108" s="23" t="s">
        <v>197</v>
      </c>
      <c r="AF108" s="23" t="s">
        <v>197</v>
      </c>
      <c r="AG108" s="23" t="s">
        <v>197</v>
      </c>
      <c r="AH108" s="23" t="s">
        <v>197</v>
      </c>
      <c r="AI108" s="23" t="s">
        <v>197</v>
      </c>
      <c r="AJ108" s="23" t="n">
        <v>12</v>
      </c>
      <c r="AK108" s="23" t="s">
        <v>197</v>
      </c>
      <c r="AL108" s="23" t="n">
        <v>90</v>
      </c>
      <c r="AM108" s="9" t="s">
        <v>257</v>
      </c>
      <c r="AN108" s="23" t="s">
        <v>197</v>
      </c>
      <c r="AO108" s="23" t="n">
        <v>2</v>
      </c>
      <c r="AP108" s="23" t="n">
        <v>2.7</v>
      </c>
    </row>
    <row r="109" customFormat="false" ht="21.75" hidden="false" customHeight="true" outlineLevel="0" collapsed="false">
      <c r="B109" s="14" t="n">
        <v>105</v>
      </c>
      <c r="C109" s="7" t="s">
        <v>42</v>
      </c>
      <c r="D109" s="7" t="s">
        <v>20</v>
      </c>
      <c r="E109" s="7" t="s">
        <v>117</v>
      </c>
      <c r="F109" s="7" t="s">
        <v>65</v>
      </c>
      <c r="G109" s="7" t="s">
        <v>526</v>
      </c>
      <c r="H109" s="7" t="s">
        <v>281</v>
      </c>
      <c r="I109" s="7" t="s">
        <v>515</v>
      </c>
      <c r="J109" s="7" t="s">
        <v>516</v>
      </c>
      <c r="K109" s="7" t="s">
        <v>517</v>
      </c>
      <c r="L109" s="7" t="s">
        <v>450</v>
      </c>
      <c r="M109" s="7" t="s">
        <v>518</v>
      </c>
      <c r="N109" s="7" t="s">
        <v>519</v>
      </c>
      <c r="O109" s="7" t="s">
        <v>189</v>
      </c>
      <c r="P109" s="7" t="s">
        <v>190</v>
      </c>
      <c r="Q109" s="7" t="s">
        <v>520</v>
      </c>
      <c r="R109" s="7" t="s">
        <v>521</v>
      </c>
      <c r="S109" s="7" t="s">
        <v>454</v>
      </c>
      <c r="T109" s="7" t="s">
        <v>275</v>
      </c>
      <c r="U109" s="18" t="n">
        <v>50</v>
      </c>
      <c r="V109" s="7"/>
      <c r="W109" s="7"/>
      <c r="X109" s="7" t="s">
        <v>203</v>
      </c>
      <c r="Y109" s="22" t="n">
        <v>1.259E-005</v>
      </c>
      <c r="Z109" s="22" t="n">
        <v>3.319E-005</v>
      </c>
      <c r="AA109" s="22" t="n">
        <v>3</v>
      </c>
      <c r="AB109" s="7" t="s">
        <v>450</v>
      </c>
      <c r="AC109" s="7" t="s">
        <v>522</v>
      </c>
      <c r="AD109" s="22" t="s">
        <v>197</v>
      </c>
      <c r="AE109" s="22" t="s">
        <v>197</v>
      </c>
      <c r="AF109" s="22" t="s">
        <v>197</v>
      </c>
      <c r="AG109" s="22" t="s">
        <v>197</v>
      </c>
      <c r="AH109" s="22" t="s">
        <v>197</v>
      </c>
      <c r="AI109" s="22" t="s">
        <v>197</v>
      </c>
      <c r="AJ109" s="22" t="n">
        <v>12</v>
      </c>
      <c r="AK109" s="22" t="s">
        <v>197</v>
      </c>
      <c r="AL109" s="22" t="n">
        <v>90</v>
      </c>
      <c r="AM109" s="7" t="s">
        <v>257</v>
      </c>
      <c r="AN109" s="22" t="s">
        <v>197</v>
      </c>
      <c r="AO109" s="22" t="n">
        <v>2</v>
      </c>
      <c r="AP109" s="22" t="n">
        <v>2.7</v>
      </c>
    </row>
    <row r="110" customFormat="false" ht="21.75" hidden="false" customHeight="true" outlineLevel="0" collapsed="false">
      <c r="B110" s="15" t="n">
        <v>106</v>
      </c>
      <c r="C110" s="9" t="s">
        <v>42</v>
      </c>
      <c r="D110" s="9" t="s">
        <v>20</v>
      </c>
      <c r="E110" s="9" t="s">
        <v>117</v>
      </c>
      <c r="F110" s="9" t="s">
        <v>65</v>
      </c>
      <c r="G110" s="9" t="s">
        <v>527</v>
      </c>
      <c r="H110" s="9" t="s">
        <v>283</v>
      </c>
      <c r="I110" s="9" t="s">
        <v>515</v>
      </c>
      <c r="J110" s="9" t="s">
        <v>516</v>
      </c>
      <c r="K110" s="9" t="s">
        <v>517</v>
      </c>
      <c r="L110" s="9" t="s">
        <v>450</v>
      </c>
      <c r="M110" s="9" t="s">
        <v>518</v>
      </c>
      <c r="N110" s="9" t="s">
        <v>519</v>
      </c>
      <c r="O110" s="9" t="s">
        <v>189</v>
      </c>
      <c r="P110" s="9" t="s">
        <v>190</v>
      </c>
      <c r="Q110" s="9" t="s">
        <v>520</v>
      </c>
      <c r="R110" s="9" t="s">
        <v>521</v>
      </c>
      <c r="S110" s="9" t="s">
        <v>454</v>
      </c>
      <c r="T110" s="9" t="s">
        <v>275</v>
      </c>
      <c r="U110" s="19" t="n">
        <v>75</v>
      </c>
      <c r="V110" s="9"/>
      <c r="W110" s="9"/>
      <c r="X110" s="9" t="s">
        <v>205</v>
      </c>
      <c r="Y110" s="23" t="n">
        <v>1.758E-005</v>
      </c>
      <c r="Z110" s="23" t="n">
        <v>4.211E-005</v>
      </c>
      <c r="AA110" s="23" t="n">
        <v>3</v>
      </c>
      <c r="AB110" s="9" t="s">
        <v>450</v>
      </c>
      <c r="AC110" s="9" t="s">
        <v>522</v>
      </c>
      <c r="AD110" s="23" t="s">
        <v>197</v>
      </c>
      <c r="AE110" s="23" t="s">
        <v>197</v>
      </c>
      <c r="AF110" s="23" t="s">
        <v>197</v>
      </c>
      <c r="AG110" s="23" t="s">
        <v>197</v>
      </c>
      <c r="AH110" s="23" t="s">
        <v>197</v>
      </c>
      <c r="AI110" s="23" t="s">
        <v>197</v>
      </c>
      <c r="AJ110" s="23" t="n">
        <v>15</v>
      </c>
      <c r="AK110" s="23" t="s">
        <v>197</v>
      </c>
      <c r="AL110" s="23" t="n">
        <v>90</v>
      </c>
      <c r="AM110" s="9" t="s">
        <v>257</v>
      </c>
      <c r="AN110" s="23" t="s">
        <v>197</v>
      </c>
      <c r="AO110" s="23" t="n">
        <v>2</v>
      </c>
      <c r="AP110" s="23" t="n">
        <v>2.7</v>
      </c>
    </row>
    <row r="111" customFormat="false" ht="21.75" hidden="false" customHeight="true" outlineLevel="0" collapsed="false">
      <c r="B111" s="14" t="n">
        <v>107</v>
      </c>
      <c r="C111" s="7" t="s">
        <v>42</v>
      </c>
      <c r="D111" s="7" t="s">
        <v>20</v>
      </c>
      <c r="E111" s="7" t="s">
        <v>117</v>
      </c>
      <c r="F111" s="7" t="s">
        <v>66</v>
      </c>
      <c r="G111" s="7" t="s">
        <v>528</v>
      </c>
      <c r="H111" s="7" t="s">
        <v>285</v>
      </c>
      <c r="I111" s="7" t="s">
        <v>529</v>
      </c>
      <c r="J111" s="7" t="s">
        <v>530</v>
      </c>
      <c r="K111" s="7" t="s">
        <v>250</v>
      </c>
      <c r="L111" s="7" t="s">
        <v>450</v>
      </c>
      <c r="M111" s="7" t="s">
        <v>251</v>
      </c>
      <c r="N111" s="7" t="s">
        <v>288</v>
      </c>
      <c r="O111" s="7" t="s">
        <v>531</v>
      </c>
      <c r="P111" s="7" t="s">
        <v>190</v>
      </c>
      <c r="Q111" s="7" t="s">
        <v>532</v>
      </c>
      <c r="R111" s="7" t="s">
        <v>364</v>
      </c>
      <c r="S111" s="7" t="s">
        <v>454</v>
      </c>
      <c r="T111" s="7" t="s">
        <v>533</v>
      </c>
      <c r="U111" s="18" t="n">
        <v>25</v>
      </c>
      <c r="V111" s="7"/>
      <c r="W111" s="7"/>
      <c r="X111" s="7" t="s">
        <v>195</v>
      </c>
      <c r="Y111" s="22" t="n">
        <v>0.02</v>
      </c>
      <c r="Z111" s="22" t="n">
        <v>0.03</v>
      </c>
      <c r="AA111" s="22" t="n">
        <v>12</v>
      </c>
      <c r="AB111" s="7" t="s">
        <v>450</v>
      </c>
      <c r="AC111" s="7" t="s">
        <v>508</v>
      </c>
      <c r="AD111" s="22" t="s">
        <v>197</v>
      </c>
      <c r="AE111" s="22" t="s">
        <v>197</v>
      </c>
      <c r="AF111" s="22" t="s">
        <v>197</v>
      </c>
      <c r="AG111" s="22" t="s">
        <v>197</v>
      </c>
      <c r="AH111" s="22" t="s">
        <v>197</v>
      </c>
      <c r="AI111" s="22" t="s">
        <v>197</v>
      </c>
      <c r="AJ111" s="22" t="s">
        <v>197</v>
      </c>
      <c r="AK111" s="22" t="n">
        <v>10</v>
      </c>
      <c r="AL111" s="22" t="n">
        <v>90</v>
      </c>
      <c r="AM111" s="7" t="s">
        <v>292</v>
      </c>
      <c r="AN111" s="22" t="s">
        <v>197</v>
      </c>
      <c r="AO111" s="22" t="n">
        <v>2</v>
      </c>
      <c r="AP111" s="22" t="n">
        <v>3</v>
      </c>
    </row>
    <row r="112" customFormat="false" ht="21.75" hidden="false" customHeight="true" outlineLevel="0" collapsed="false">
      <c r="B112" s="15" t="n">
        <v>108</v>
      </c>
      <c r="C112" s="9" t="s">
        <v>42</v>
      </c>
      <c r="D112" s="9" t="s">
        <v>20</v>
      </c>
      <c r="E112" s="9" t="s">
        <v>117</v>
      </c>
      <c r="F112" s="9" t="s">
        <v>66</v>
      </c>
      <c r="G112" s="9" t="s">
        <v>534</v>
      </c>
      <c r="H112" s="9" t="s">
        <v>294</v>
      </c>
      <c r="I112" s="9" t="s">
        <v>529</v>
      </c>
      <c r="J112" s="9" t="s">
        <v>530</v>
      </c>
      <c r="K112" s="9" t="s">
        <v>250</v>
      </c>
      <c r="L112" s="9" t="s">
        <v>450</v>
      </c>
      <c r="M112" s="9" t="s">
        <v>251</v>
      </c>
      <c r="N112" s="9" t="s">
        <v>288</v>
      </c>
      <c r="O112" s="9" t="s">
        <v>531</v>
      </c>
      <c r="P112" s="9" t="s">
        <v>190</v>
      </c>
      <c r="Q112" s="9" t="s">
        <v>532</v>
      </c>
      <c r="R112" s="9" t="s">
        <v>364</v>
      </c>
      <c r="S112" s="9" t="s">
        <v>454</v>
      </c>
      <c r="T112" s="9" t="s">
        <v>533</v>
      </c>
      <c r="U112" s="19" t="n">
        <v>40</v>
      </c>
      <c r="V112" s="9"/>
      <c r="W112" s="9"/>
      <c r="X112" s="9" t="s">
        <v>199</v>
      </c>
      <c r="Y112" s="23" t="n">
        <v>0.016</v>
      </c>
      <c r="Z112" s="23" t="n">
        <v>0.026</v>
      </c>
      <c r="AA112" s="23" t="n">
        <v>12</v>
      </c>
      <c r="AB112" s="9" t="s">
        <v>450</v>
      </c>
      <c r="AC112" s="9" t="s">
        <v>508</v>
      </c>
      <c r="AD112" s="23" t="s">
        <v>197</v>
      </c>
      <c r="AE112" s="23" t="s">
        <v>197</v>
      </c>
      <c r="AF112" s="23" t="s">
        <v>197</v>
      </c>
      <c r="AG112" s="23" t="s">
        <v>197</v>
      </c>
      <c r="AH112" s="23" t="s">
        <v>197</v>
      </c>
      <c r="AI112" s="23" t="s">
        <v>197</v>
      </c>
      <c r="AJ112" s="23" t="s">
        <v>197</v>
      </c>
      <c r="AK112" s="23" t="n">
        <v>12</v>
      </c>
      <c r="AL112" s="23" t="n">
        <v>90</v>
      </c>
      <c r="AM112" s="9" t="s">
        <v>292</v>
      </c>
      <c r="AN112" s="23" t="s">
        <v>197</v>
      </c>
      <c r="AO112" s="23" t="n">
        <v>2</v>
      </c>
      <c r="AP112" s="23" t="n">
        <v>3</v>
      </c>
    </row>
    <row r="113" customFormat="false" ht="21.75" hidden="false" customHeight="true" outlineLevel="0" collapsed="false">
      <c r="B113" s="14" t="n">
        <v>109</v>
      </c>
      <c r="C113" s="7" t="s">
        <v>42</v>
      </c>
      <c r="D113" s="7" t="s">
        <v>20</v>
      </c>
      <c r="E113" s="7" t="s">
        <v>117</v>
      </c>
      <c r="F113" s="7" t="s">
        <v>66</v>
      </c>
      <c r="G113" s="7" t="s">
        <v>535</v>
      </c>
      <c r="H113" s="7" t="s">
        <v>296</v>
      </c>
      <c r="I113" s="7" t="s">
        <v>529</v>
      </c>
      <c r="J113" s="7" t="s">
        <v>530</v>
      </c>
      <c r="K113" s="7" t="s">
        <v>250</v>
      </c>
      <c r="L113" s="7" t="s">
        <v>450</v>
      </c>
      <c r="M113" s="7" t="s">
        <v>251</v>
      </c>
      <c r="N113" s="7" t="s">
        <v>288</v>
      </c>
      <c r="O113" s="7" t="s">
        <v>531</v>
      </c>
      <c r="P113" s="7" t="s">
        <v>190</v>
      </c>
      <c r="Q113" s="7" t="s">
        <v>532</v>
      </c>
      <c r="R113" s="7" t="s">
        <v>364</v>
      </c>
      <c r="S113" s="7" t="s">
        <v>454</v>
      </c>
      <c r="T113" s="7" t="s">
        <v>533</v>
      </c>
      <c r="U113" s="18" t="n">
        <v>55</v>
      </c>
      <c r="V113" s="7"/>
      <c r="W113" s="7"/>
      <c r="X113" s="7" t="s">
        <v>536</v>
      </c>
      <c r="Y113" s="22" t="n">
        <v>0.023</v>
      </c>
      <c r="Z113" s="22" t="n">
        <v>0.033</v>
      </c>
      <c r="AA113" s="22" t="n">
        <v>12</v>
      </c>
      <c r="AB113" s="7" t="s">
        <v>450</v>
      </c>
      <c r="AC113" s="7" t="s">
        <v>508</v>
      </c>
      <c r="AD113" s="22" t="s">
        <v>197</v>
      </c>
      <c r="AE113" s="22" t="s">
        <v>197</v>
      </c>
      <c r="AF113" s="22" t="s">
        <v>197</v>
      </c>
      <c r="AG113" s="22" t="s">
        <v>197</v>
      </c>
      <c r="AH113" s="22" t="s">
        <v>197</v>
      </c>
      <c r="AI113" s="22" t="s">
        <v>197</v>
      </c>
      <c r="AJ113" s="22" t="s">
        <v>197</v>
      </c>
      <c r="AK113" s="22" t="n">
        <v>12</v>
      </c>
      <c r="AL113" s="22" t="n">
        <v>90</v>
      </c>
      <c r="AM113" s="7" t="s">
        <v>292</v>
      </c>
      <c r="AN113" s="22" t="s">
        <v>197</v>
      </c>
      <c r="AO113" s="22" t="n">
        <v>2</v>
      </c>
      <c r="AP113" s="22" t="n">
        <v>3</v>
      </c>
    </row>
    <row r="114" customFormat="false" ht="21.75" hidden="false" customHeight="true" outlineLevel="0" collapsed="false">
      <c r="B114" s="15" t="n">
        <v>110</v>
      </c>
      <c r="C114" s="9" t="s">
        <v>42</v>
      </c>
      <c r="D114" s="9" t="s">
        <v>20</v>
      </c>
      <c r="E114" s="9" t="s">
        <v>117</v>
      </c>
      <c r="F114" s="9" t="s">
        <v>66</v>
      </c>
      <c r="G114" s="9" t="s">
        <v>537</v>
      </c>
      <c r="H114" s="9" t="s">
        <v>299</v>
      </c>
      <c r="I114" s="9" t="s">
        <v>529</v>
      </c>
      <c r="J114" s="9" t="s">
        <v>530</v>
      </c>
      <c r="K114" s="9" t="s">
        <v>250</v>
      </c>
      <c r="L114" s="9" t="s">
        <v>450</v>
      </c>
      <c r="M114" s="9" t="s">
        <v>251</v>
      </c>
      <c r="N114" s="9" t="s">
        <v>288</v>
      </c>
      <c r="O114" s="9" t="s">
        <v>531</v>
      </c>
      <c r="P114" s="9" t="s">
        <v>190</v>
      </c>
      <c r="Q114" s="9" t="s">
        <v>532</v>
      </c>
      <c r="R114" s="9" t="s">
        <v>364</v>
      </c>
      <c r="S114" s="9" t="s">
        <v>454</v>
      </c>
      <c r="T114" s="9" t="s">
        <v>533</v>
      </c>
      <c r="U114" s="19" t="n">
        <v>85</v>
      </c>
      <c r="V114" s="9"/>
      <c r="W114" s="9"/>
      <c r="X114" s="9" t="s">
        <v>203</v>
      </c>
      <c r="Y114" s="23" t="n">
        <v>0.016</v>
      </c>
      <c r="Z114" s="23" t="n">
        <v>0.026</v>
      </c>
      <c r="AA114" s="23" t="n">
        <v>12</v>
      </c>
      <c r="AB114" s="9" t="s">
        <v>450</v>
      </c>
      <c r="AC114" s="9" t="s">
        <v>508</v>
      </c>
      <c r="AD114" s="23" t="s">
        <v>197</v>
      </c>
      <c r="AE114" s="23" t="s">
        <v>197</v>
      </c>
      <c r="AF114" s="23" t="s">
        <v>197</v>
      </c>
      <c r="AG114" s="23" t="s">
        <v>197</v>
      </c>
      <c r="AH114" s="23" t="s">
        <v>197</v>
      </c>
      <c r="AI114" s="23" t="s">
        <v>197</v>
      </c>
      <c r="AJ114" s="23" t="s">
        <v>197</v>
      </c>
      <c r="AK114" s="23" t="n">
        <v>15</v>
      </c>
      <c r="AL114" s="23" t="n">
        <v>90</v>
      </c>
      <c r="AM114" s="9" t="s">
        <v>292</v>
      </c>
      <c r="AN114" s="23" t="s">
        <v>197</v>
      </c>
      <c r="AO114" s="23" t="n">
        <v>2</v>
      </c>
      <c r="AP114" s="23" t="n">
        <v>3</v>
      </c>
    </row>
    <row r="115" customFormat="false" ht="21.75" hidden="false" customHeight="true" outlineLevel="0" collapsed="false">
      <c r="B115" s="14" t="n">
        <v>111</v>
      </c>
      <c r="C115" s="7" t="s">
        <v>42</v>
      </c>
      <c r="D115" s="7" t="s">
        <v>20</v>
      </c>
      <c r="E115" s="7" t="s">
        <v>117</v>
      </c>
      <c r="F115" s="7" t="s">
        <v>66</v>
      </c>
      <c r="G115" s="7" t="s">
        <v>538</v>
      </c>
      <c r="H115" s="7" t="s">
        <v>301</v>
      </c>
      <c r="I115" s="7" t="s">
        <v>529</v>
      </c>
      <c r="J115" s="7" t="s">
        <v>530</v>
      </c>
      <c r="K115" s="7" t="s">
        <v>250</v>
      </c>
      <c r="L115" s="7" t="s">
        <v>450</v>
      </c>
      <c r="M115" s="7" t="s">
        <v>251</v>
      </c>
      <c r="N115" s="7" t="s">
        <v>288</v>
      </c>
      <c r="O115" s="7" t="s">
        <v>531</v>
      </c>
      <c r="P115" s="7" t="s">
        <v>190</v>
      </c>
      <c r="Q115" s="7" t="s">
        <v>532</v>
      </c>
      <c r="R115" s="7" t="s">
        <v>364</v>
      </c>
      <c r="S115" s="7" t="s">
        <v>454</v>
      </c>
      <c r="T115" s="7" t="s">
        <v>533</v>
      </c>
      <c r="U115" s="18" t="n">
        <v>125</v>
      </c>
      <c r="V115" s="7"/>
      <c r="W115" s="7"/>
      <c r="X115" s="7" t="s">
        <v>205</v>
      </c>
      <c r="Y115" s="22" t="n">
        <v>0.023</v>
      </c>
      <c r="Z115" s="22" t="n">
        <v>0.033</v>
      </c>
      <c r="AA115" s="22" t="n">
        <v>12</v>
      </c>
      <c r="AB115" s="7" t="s">
        <v>450</v>
      </c>
      <c r="AC115" s="7" t="s">
        <v>508</v>
      </c>
      <c r="AD115" s="22" t="s">
        <v>197</v>
      </c>
      <c r="AE115" s="22" t="s">
        <v>197</v>
      </c>
      <c r="AF115" s="22" t="s">
        <v>197</v>
      </c>
      <c r="AG115" s="22" t="s">
        <v>197</v>
      </c>
      <c r="AH115" s="22" t="s">
        <v>197</v>
      </c>
      <c r="AI115" s="22" t="s">
        <v>197</v>
      </c>
      <c r="AJ115" s="22" t="s">
        <v>197</v>
      </c>
      <c r="AK115" s="22" t="n">
        <v>20</v>
      </c>
      <c r="AL115" s="22" t="n">
        <v>90</v>
      </c>
      <c r="AM115" s="7" t="s">
        <v>292</v>
      </c>
      <c r="AN115" s="22" t="s">
        <v>197</v>
      </c>
      <c r="AO115" s="22" t="n">
        <v>2</v>
      </c>
      <c r="AP115" s="22" t="n">
        <v>3</v>
      </c>
    </row>
    <row r="116" customFormat="false" ht="21.75" hidden="false" customHeight="true" outlineLevel="0" collapsed="false">
      <c r="B116" s="15" t="n">
        <v>112</v>
      </c>
      <c r="C116" s="9" t="s">
        <v>42</v>
      </c>
      <c r="D116" s="9" t="s">
        <v>20</v>
      </c>
      <c r="E116" s="9" t="s">
        <v>117</v>
      </c>
      <c r="F116" s="9" t="s">
        <v>67</v>
      </c>
      <c r="G116" s="9" t="s">
        <v>539</v>
      </c>
      <c r="H116" s="9" t="s">
        <v>303</v>
      </c>
      <c r="I116" s="9" t="s">
        <v>540</v>
      </c>
      <c r="J116" s="9" t="s">
        <v>541</v>
      </c>
      <c r="K116" s="9" t="s">
        <v>517</v>
      </c>
      <c r="L116" s="9" t="s">
        <v>450</v>
      </c>
      <c r="M116" s="9" t="s">
        <v>542</v>
      </c>
      <c r="N116" s="9" t="s">
        <v>543</v>
      </c>
      <c r="O116" s="9" t="s">
        <v>189</v>
      </c>
      <c r="P116" s="9" t="s">
        <v>190</v>
      </c>
      <c r="Q116" s="9" t="s">
        <v>544</v>
      </c>
      <c r="R116" s="9" t="s">
        <v>545</v>
      </c>
      <c r="S116" s="9" t="s">
        <v>454</v>
      </c>
      <c r="T116" s="9" t="s">
        <v>546</v>
      </c>
      <c r="U116" s="19" t="n">
        <v>16</v>
      </c>
      <c r="V116" s="9"/>
      <c r="W116" s="9"/>
      <c r="X116" s="9" t="s">
        <v>195</v>
      </c>
      <c r="Y116" s="23" t="n">
        <v>0</v>
      </c>
      <c r="Z116" s="23" t="n">
        <v>0</v>
      </c>
      <c r="AA116" s="23" t="s">
        <v>197</v>
      </c>
      <c r="AB116" s="9" t="s">
        <v>450</v>
      </c>
      <c r="AC116" s="9" t="s">
        <v>508</v>
      </c>
      <c r="AD116" s="23" t="s">
        <v>197</v>
      </c>
      <c r="AE116" s="23" t="s">
        <v>197</v>
      </c>
      <c r="AF116" s="23" t="s">
        <v>197</v>
      </c>
      <c r="AG116" s="23" t="s">
        <v>197</v>
      </c>
      <c r="AH116" s="23" t="s">
        <v>197</v>
      </c>
      <c r="AI116" s="23" t="s">
        <v>197</v>
      </c>
      <c r="AJ116" s="23" t="s">
        <v>197</v>
      </c>
      <c r="AK116" s="23" t="s">
        <v>197</v>
      </c>
      <c r="AL116" s="23" t="s">
        <v>197</v>
      </c>
      <c r="AM116" s="9" t="s">
        <v>310</v>
      </c>
      <c r="AN116" s="23" t="s">
        <v>197</v>
      </c>
      <c r="AO116" s="23" t="s">
        <v>197</v>
      </c>
      <c r="AP116" s="23" t="s">
        <v>197</v>
      </c>
    </row>
    <row r="117" customFormat="false" ht="21.75" hidden="false" customHeight="true" outlineLevel="0" collapsed="false">
      <c r="B117" s="14" t="n">
        <v>113</v>
      </c>
      <c r="C117" s="7" t="s">
        <v>42</v>
      </c>
      <c r="D117" s="7" t="s">
        <v>20</v>
      </c>
      <c r="E117" s="7" t="s">
        <v>117</v>
      </c>
      <c r="F117" s="7" t="s">
        <v>67</v>
      </c>
      <c r="G117" s="7" t="s">
        <v>547</v>
      </c>
      <c r="H117" s="7" t="s">
        <v>312</v>
      </c>
      <c r="I117" s="7" t="s">
        <v>540</v>
      </c>
      <c r="J117" s="7" t="s">
        <v>541</v>
      </c>
      <c r="K117" s="7" t="s">
        <v>517</v>
      </c>
      <c r="L117" s="7" t="s">
        <v>450</v>
      </c>
      <c r="M117" s="7" t="s">
        <v>542</v>
      </c>
      <c r="N117" s="7" t="s">
        <v>543</v>
      </c>
      <c r="O117" s="7" t="s">
        <v>189</v>
      </c>
      <c r="P117" s="7" t="s">
        <v>190</v>
      </c>
      <c r="Q117" s="7" t="s">
        <v>544</v>
      </c>
      <c r="R117" s="7" t="s">
        <v>545</v>
      </c>
      <c r="S117" s="7" t="s">
        <v>454</v>
      </c>
      <c r="T117" s="7" t="s">
        <v>546</v>
      </c>
      <c r="U117" s="18" t="n">
        <v>20</v>
      </c>
      <c r="V117" s="7"/>
      <c r="W117" s="7"/>
      <c r="X117" s="7" t="s">
        <v>199</v>
      </c>
      <c r="Y117" s="22" t="n">
        <v>0</v>
      </c>
      <c r="Z117" s="22" t="n">
        <v>0</v>
      </c>
      <c r="AA117" s="22" t="s">
        <v>197</v>
      </c>
      <c r="AB117" s="7" t="s">
        <v>450</v>
      </c>
      <c r="AC117" s="7" t="s">
        <v>508</v>
      </c>
      <c r="AD117" s="22" t="s">
        <v>197</v>
      </c>
      <c r="AE117" s="22" t="s">
        <v>197</v>
      </c>
      <c r="AF117" s="22" t="s">
        <v>197</v>
      </c>
      <c r="AG117" s="22" t="s">
        <v>197</v>
      </c>
      <c r="AH117" s="22" t="s">
        <v>197</v>
      </c>
      <c r="AI117" s="22" t="s">
        <v>197</v>
      </c>
      <c r="AJ117" s="22" t="s">
        <v>197</v>
      </c>
      <c r="AK117" s="22" t="s">
        <v>197</v>
      </c>
      <c r="AL117" s="22" t="s">
        <v>197</v>
      </c>
      <c r="AM117" s="7" t="s">
        <v>310</v>
      </c>
      <c r="AN117" s="22" t="s">
        <v>197</v>
      </c>
      <c r="AO117" s="22" t="s">
        <v>197</v>
      </c>
      <c r="AP117" s="22" t="s">
        <v>197</v>
      </c>
    </row>
    <row r="118" customFormat="false" ht="21.75" hidden="false" customHeight="true" outlineLevel="0" collapsed="false">
      <c r="B118" s="15" t="n">
        <v>114</v>
      </c>
      <c r="C118" s="9" t="s">
        <v>42</v>
      </c>
      <c r="D118" s="9" t="s">
        <v>20</v>
      </c>
      <c r="E118" s="9" t="s">
        <v>117</v>
      </c>
      <c r="F118" s="9" t="s">
        <v>67</v>
      </c>
      <c r="G118" s="9" t="s">
        <v>548</v>
      </c>
      <c r="H118" s="9" t="s">
        <v>314</v>
      </c>
      <c r="I118" s="9" t="s">
        <v>540</v>
      </c>
      <c r="J118" s="9" t="s">
        <v>541</v>
      </c>
      <c r="K118" s="9" t="s">
        <v>517</v>
      </c>
      <c r="L118" s="9" t="s">
        <v>450</v>
      </c>
      <c r="M118" s="9" t="s">
        <v>542</v>
      </c>
      <c r="N118" s="9" t="s">
        <v>543</v>
      </c>
      <c r="O118" s="9" t="s">
        <v>189</v>
      </c>
      <c r="P118" s="9" t="s">
        <v>190</v>
      </c>
      <c r="Q118" s="9" t="s">
        <v>544</v>
      </c>
      <c r="R118" s="9" t="s">
        <v>545</v>
      </c>
      <c r="S118" s="9" t="s">
        <v>454</v>
      </c>
      <c r="T118" s="9" t="s">
        <v>546</v>
      </c>
      <c r="U118" s="19" t="n">
        <v>30</v>
      </c>
      <c r="V118" s="9"/>
      <c r="W118" s="9"/>
      <c r="X118" s="9" t="s">
        <v>549</v>
      </c>
      <c r="Y118" s="23" t="n">
        <v>0</v>
      </c>
      <c r="Z118" s="23" t="n">
        <v>0</v>
      </c>
      <c r="AA118" s="23" t="s">
        <v>197</v>
      </c>
      <c r="AB118" s="9" t="s">
        <v>450</v>
      </c>
      <c r="AC118" s="9" t="s">
        <v>508</v>
      </c>
      <c r="AD118" s="23" t="s">
        <v>197</v>
      </c>
      <c r="AE118" s="23" t="s">
        <v>197</v>
      </c>
      <c r="AF118" s="23" t="s">
        <v>197</v>
      </c>
      <c r="AG118" s="23" t="s">
        <v>197</v>
      </c>
      <c r="AH118" s="23" t="s">
        <v>197</v>
      </c>
      <c r="AI118" s="23" t="s">
        <v>197</v>
      </c>
      <c r="AJ118" s="23" t="s">
        <v>197</v>
      </c>
      <c r="AK118" s="23" t="s">
        <v>197</v>
      </c>
      <c r="AL118" s="23" t="s">
        <v>197</v>
      </c>
      <c r="AM118" s="9" t="s">
        <v>310</v>
      </c>
      <c r="AN118" s="23" t="s">
        <v>197</v>
      </c>
      <c r="AO118" s="23" t="s">
        <v>197</v>
      </c>
      <c r="AP118" s="23" t="s">
        <v>197</v>
      </c>
    </row>
    <row r="119" customFormat="false" ht="21.75" hidden="false" customHeight="true" outlineLevel="0" collapsed="false">
      <c r="B119" s="14" t="n">
        <v>115</v>
      </c>
      <c r="C119" s="7" t="s">
        <v>42</v>
      </c>
      <c r="D119" s="7" t="s">
        <v>20</v>
      </c>
      <c r="E119" s="7" t="s">
        <v>117</v>
      </c>
      <c r="F119" s="7" t="s">
        <v>67</v>
      </c>
      <c r="G119" s="7" t="s">
        <v>550</v>
      </c>
      <c r="H119" s="7" t="s">
        <v>317</v>
      </c>
      <c r="I119" s="7" t="s">
        <v>540</v>
      </c>
      <c r="J119" s="7" t="s">
        <v>541</v>
      </c>
      <c r="K119" s="7" t="s">
        <v>517</v>
      </c>
      <c r="L119" s="7" t="s">
        <v>450</v>
      </c>
      <c r="M119" s="7" t="s">
        <v>542</v>
      </c>
      <c r="N119" s="7" t="s">
        <v>543</v>
      </c>
      <c r="O119" s="7" t="s">
        <v>189</v>
      </c>
      <c r="P119" s="7" t="s">
        <v>190</v>
      </c>
      <c r="Q119" s="7" t="s">
        <v>544</v>
      </c>
      <c r="R119" s="7" t="s">
        <v>545</v>
      </c>
      <c r="S119" s="7" t="s">
        <v>454</v>
      </c>
      <c r="T119" s="7" t="s">
        <v>546</v>
      </c>
      <c r="U119" s="18" t="n">
        <v>45</v>
      </c>
      <c r="V119" s="7"/>
      <c r="W119" s="7"/>
      <c r="X119" s="7" t="s">
        <v>203</v>
      </c>
      <c r="Y119" s="22" t="n">
        <v>0</v>
      </c>
      <c r="Z119" s="22" t="n">
        <v>0</v>
      </c>
      <c r="AA119" s="22" t="s">
        <v>197</v>
      </c>
      <c r="AB119" s="7" t="s">
        <v>450</v>
      </c>
      <c r="AC119" s="7" t="s">
        <v>508</v>
      </c>
      <c r="AD119" s="22" t="s">
        <v>197</v>
      </c>
      <c r="AE119" s="22" t="s">
        <v>197</v>
      </c>
      <c r="AF119" s="22" t="s">
        <v>197</v>
      </c>
      <c r="AG119" s="22" t="s">
        <v>197</v>
      </c>
      <c r="AH119" s="22" t="s">
        <v>197</v>
      </c>
      <c r="AI119" s="22" t="s">
        <v>197</v>
      </c>
      <c r="AJ119" s="22" t="s">
        <v>197</v>
      </c>
      <c r="AK119" s="22" t="s">
        <v>197</v>
      </c>
      <c r="AL119" s="22" t="s">
        <v>197</v>
      </c>
      <c r="AM119" s="7" t="s">
        <v>310</v>
      </c>
      <c r="AN119" s="22" t="s">
        <v>197</v>
      </c>
      <c r="AO119" s="22" t="s">
        <v>197</v>
      </c>
      <c r="AP119" s="22" t="s">
        <v>197</v>
      </c>
    </row>
    <row r="120" customFormat="false" ht="21.75" hidden="false" customHeight="true" outlineLevel="0" collapsed="false">
      <c r="B120" s="15" t="n">
        <v>116</v>
      </c>
      <c r="C120" s="9" t="s">
        <v>42</v>
      </c>
      <c r="D120" s="9" t="s">
        <v>20</v>
      </c>
      <c r="E120" s="9" t="s">
        <v>117</v>
      </c>
      <c r="F120" s="9" t="s">
        <v>67</v>
      </c>
      <c r="G120" s="9" t="s">
        <v>551</v>
      </c>
      <c r="H120" s="9" t="s">
        <v>319</v>
      </c>
      <c r="I120" s="9" t="s">
        <v>540</v>
      </c>
      <c r="J120" s="9" t="s">
        <v>541</v>
      </c>
      <c r="K120" s="9" t="s">
        <v>517</v>
      </c>
      <c r="L120" s="9" t="s">
        <v>450</v>
      </c>
      <c r="M120" s="9" t="s">
        <v>542</v>
      </c>
      <c r="N120" s="9" t="s">
        <v>543</v>
      </c>
      <c r="O120" s="9" t="s">
        <v>189</v>
      </c>
      <c r="P120" s="9" t="s">
        <v>190</v>
      </c>
      <c r="Q120" s="9" t="s">
        <v>544</v>
      </c>
      <c r="R120" s="9" t="s">
        <v>545</v>
      </c>
      <c r="S120" s="9" t="s">
        <v>454</v>
      </c>
      <c r="T120" s="9" t="s">
        <v>546</v>
      </c>
      <c r="U120" s="19" t="n">
        <v>70</v>
      </c>
      <c r="V120" s="9"/>
      <c r="W120" s="9"/>
      <c r="X120" s="9" t="s">
        <v>205</v>
      </c>
      <c r="Y120" s="23" t="n">
        <v>0</v>
      </c>
      <c r="Z120" s="23" t="n">
        <v>0</v>
      </c>
      <c r="AA120" s="23" t="s">
        <v>197</v>
      </c>
      <c r="AB120" s="9" t="s">
        <v>450</v>
      </c>
      <c r="AC120" s="9" t="s">
        <v>508</v>
      </c>
      <c r="AD120" s="23" t="s">
        <v>197</v>
      </c>
      <c r="AE120" s="23" t="s">
        <v>197</v>
      </c>
      <c r="AF120" s="23" t="s">
        <v>197</v>
      </c>
      <c r="AG120" s="23" t="s">
        <v>197</v>
      </c>
      <c r="AH120" s="23" t="s">
        <v>197</v>
      </c>
      <c r="AI120" s="23" t="s">
        <v>197</v>
      </c>
      <c r="AJ120" s="23" t="s">
        <v>197</v>
      </c>
      <c r="AK120" s="23" t="s">
        <v>197</v>
      </c>
      <c r="AL120" s="23" t="s">
        <v>197</v>
      </c>
      <c r="AM120" s="9" t="s">
        <v>310</v>
      </c>
      <c r="AN120" s="23" t="s">
        <v>197</v>
      </c>
      <c r="AO120" s="23" t="s">
        <v>197</v>
      </c>
      <c r="AP120" s="23" t="s">
        <v>197</v>
      </c>
    </row>
    <row r="121" customFormat="false" ht="21.75" hidden="false" customHeight="true" outlineLevel="0" collapsed="false">
      <c r="B121" s="14" t="n">
        <v>117</v>
      </c>
      <c r="C121" s="7" t="s">
        <v>42</v>
      </c>
      <c r="D121" s="7" t="s">
        <v>20</v>
      </c>
      <c r="E121" s="7" t="s">
        <v>117</v>
      </c>
      <c r="F121" s="7" t="s">
        <v>68</v>
      </c>
      <c r="G121" s="7" t="s">
        <v>552</v>
      </c>
      <c r="H121" s="7" t="s">
        <v>321</v>
      </c>
      <c r="I121" s="7" t="s">
        <v>553</v>
      </c>
      <c r="J121" s="7" t="s">
        <v>554</v>
      </c>
      <c r="K121" s="7" t="s">
        <v>250</v>
      </c>
      <c r="L121" s="7" t="s">
        <v>450</v>
      </c>
      <c r="M121" s="7" t="s">
        <v>251</v>
      </c>
      <c r="N121" s="7" t="s">
        <v>504</v>
      </c>
      <c r="O121" s="7" t="s">
        <v>189</v>
      </c>
      <c r="P121" s="7" t="s">
        <v>190</v>
      </c>
      <c r="Q121" s="7" t="s">
        <v>555</v>
      </c>
      <c r="R121" s="7" t="s">
        <v>556</v>
      </c>
      <c r="S121" s="7" t="s">
        <v>454</v>
      </c>
      <c r="T121" s="7" t="s">
        <v>557</v>
      </c>
      <c r="U121" s="18" t="n">
        <v>14</v>
      </c>
      <c r="V121" s="7"/>
      <c r="W121" s="7"/>
      <c r="X121" s="7" t="s">
        <v>195</v>
      </c>
      <c r="Y121" s="22" t="n">
        <v>0.017</v>
      </c>
      <c r="Z121" s="22" t="n">
        <v>0.026</v>
      </c>
      <c r="AA121" s="22" t="n">
        <v>12</v>
      </c>
      <c r="AB121" s="7" t="s">
        <v>450</v>
      </c>
      <c r="AC121" s="7" t="s">
        <v>508</v>
      </c>
      <c r="AD121" s="22" t="s">
        <v>197</v>
      </c>
      <c r="AE121" s="22" t="s">
        <v>197</v>
      </c>
      <c r="AF121" s="22" t="s">
        <v>197</v>
      </c>
      <c r="AG121" s="22" t="s">
        <v>197</v>
      </c>
      <c r="AH121" s="22" t="s">
        <v>197</v>
      </c>
      <c r="AI121" s="22" t="s">
        <v>197</v>
      </c>
      <c r="AJ121" s="22" t="n">
        <v>6</v>
      </c>
      <c r="AK121" s="22" t="s">
        <v>197</v>
      </c>
      <c r="AL121" s="22" t="s">
        <v>197</v>
      </c>
      <c r="AM121" s="7" t="s">
        <v>328</v>
      </c>
      <c r="AN121" s="22" t="s">
        <v>197</v>
      </c>
      <c r="AO121" s="22" t="n">
        <v>2</v>
      </c>
      <c r="AP121" s="22" t="n">
        <v>4.6</v>
      </c>
    </row>
    <row r="122" customFormat="false" ht="21.75" hidden="false" customHeight="true" outlineLevel="0" collapsed="false">
      <c r="B122" s="15" t="n">
        <v>118</v>
      </c>
      <c r="C122" s="9" t="s">
        <v>42</v>
      </c>
      <c r="D122" s="9" t="s">
        <v>20</v>
      </c>
      <c r="E122" s="9" t="s">
        <v>117</v>
      </c>
      <c r="F122" s="9" t="s">
        <v>68</v>
      </c>
      <c r="G122" s="9" t="s">
        <v>558</v>
      </c>
      <c r="H122" s="9" t="s">
        <v>330</v>
      </c>
      <c r="I122" s="9" t="s">
        <v>553</v>
      </c>
      <c r="J122" s="9" t="s">
        <v>554</v>
      </c>
      <c r="K122" s="9" t="s">
        <v>250</v>
      </c>
      <c r="L122" s="9" t="s">
        <v>450</v>
      </c>
      <c r="M122" s="9" t="s">
        <v>251</v>
      </c>
      <c r="N122" s="9" t="s">
        <v>504</v>
      </c>
      <c r="O122" s="9" t="s">
        <v>189</v>
      </c>
      <c r="P122" s="9" t="s">
        <v>190</v>
      </c>
      <c r="Q122" s="9" t="s">
        <v>555</v>
      </c>
      <c r="R122" s="9" t="s">
        <v>556</v>
      </c>
      <c r="S122" s="9" t="s">
        <v>454</v>
      </c>
      <c r="T122" s="9" t="s">
        <v>557</v>
      </c>
      <c r="U122" s="19" t="n">
        <v>20</v>
      </c>
      <c r="V122" s="9"/>
      <c r="W122" s="9"/>
      <c r="X122" s="9" t="s">
        <v>199</v>
      </c>
      <c r="Y122" s="23" t="n">
        <v>0.018</v>
      </c>
      <c r="Z122" s="23" t="n">
        <v>0.027</v>
      </c>
      <c r="AA122" s="23" t="n">
        <v>12</v>
      </c>
      <c r="AB122" s="9" t="s">
        <v>450</v>
      </c>
      <c r="AC122" s="9" t="s">
        <v>508</v>
      </c>
      <c r="AD122" s="23" t="s">
        <v>197</v>
      </c>
      <c r="AE122" s="23" t="s">
        <v>197</v>
      </c>
      <c r="AF122" s="23" t="s">
        <v>197</v>
      </c>
      <c r="AG122" s="23" t="s">
        <v>197</v>
      </c>
      <c r="AH122" s="23" t="s">
        <v>197</v>
      </c>
      <c r="AI122" s="23" t="s">
        <v>197</v>
      </c>
      <c r="AJ122" s="23" t="n">
        <v>7.6</v>
      </c>
      <c r="AK122" s="23" t="s">
        <v>197</v>
      </c>
      <c r="AL122" s="23" t="s">
        <v>197</v>
      </c>
      <c r="AM122" s="9" t="s">
        <v>328</v>
      </c>
      <c r="AN122" s="23" t="s">
        <v>197</v>
      </c>
      <c r="AO122" s="23" t="n">
        <v>2</v>
      </c>
      <c r="AP122" s="23" t="n">
        <v>4.6</v>
      </c>
    </row>
    <row r="123" customFormat="false" ht="21.75" hidden="false" customHeight="true" outlineLevel="0" collapsed="false">
      <c r="B123" s="14" t="n">
        <v>119</v>
      </c>
      <c r="C123" s="7" t="s">
        <v>42</v>
      </c>
      <c r="D123" s="7" t="s">
        <v>20</v>
      </c>
      <c r="E123" s="7" t="s">
        <v>117</v>
      </c>
      <c r="F123" s="7" t="s">
        <v>68</v>
      </c>
      <c r="G123" s="7" t="s">
        <v>559</v>
      </c>
      <c r="H123" s="7" t="s">
        <v>332</v>
      </c>
      <c r="I123" s="7" t="s">
        <v>553</v>
      </c>
      <c r="J123" s="7" t="s">
        <v>554</v>
      </c>
      <c r="K123" s="7" t="s">
        <v>250</v>
      </c>
      <c r="L123" s="7" t="s">
        <v>450</v>
      </c>
      <c r="M123" s="7" t="s">
        <v>251</v>
      </c>
      <c r="N123" s="7" t="s">
        <v>504</v>
      </c>
      <c r="O123" s="7" t="s">
        <v>189</v>
      </c>
      <c r="P123" s="7" t="s">
        <v>190</v>
      </c>
      <c r="Q123" s="7" t="s">
        <v>555</v>
      </c>
      <c r="R123" s="7" t="s">
        <v>556</v>
      </c>
      <c r="S123" s="7" t="s">
        <v>454</v>
      </c>
      <c r="T123" s="7" t="s">
        <v>557</v>
      </c>
      <c r="U123" s="18" t="n">
        <v>25</v>
      </c>
      <c r="V123" s="7"/>
      <c r="W123" s="7"/>
      <c r="X123" s="7" t="s">
        <v>560</v>
      </c>
      <c r="Y123" s="22" t="n">
        <v>0.02</v>
      </c>
      <c r="Z123" s="22" t="n">
        <v>0.03</v>
      </c>
      <c r="AA123" s="22" t="n">
        <v>12</v>
      </c>
      <c r="AB123" s="7" t="s">
        <v>450</v>
      </c>
      <c r="AC123" s="7" t="s">
        <v>508</v>
      </c>
      <c r="AD123" s="22" t="s">
        <v>197</v>
      </c>
      <c r="AE123" s="22" t="s">
        <v>197</v>
      </c>
      <c r="AF123" s="22" t="s">
        <v>197</v>
      </c>
      <c r="AG123" s="22" t="s">
        <v>197</v>
      </c>
      <c r="AH123" s="22" t="s">
        <v>197</v>
      </c>
      <c r="AI123" s="22" t="s">
        <v>197</v>
      </c>
      <c r="AJ123" s="22" t="n">
        <v>7.6</v>
      </c>
      <c r="AK123" s="22" t="s">
        <v>197</v>
      </c>
      <c r="AL123" s="22" t="s">
        <v>197</v>
      </c>
      <c r="AM123" s="7" t="s">
        <v>328</v>
      </c>
      <c r="AN123" s="22" t="s">
        <v>197</v>
      </c>
      <c r="AO123" s="22" t="n">
        <v>2</v>
      </c>
      <c r="AP123" s="22" t="n">
        <v>4.6</v>
      </c>
    </row>
    <row r="124" customFormat="false" ht="21.75" hidden="false" customHeight="true" outlineLevel="0" collapsed="false">
      <c r="B124" s="15" t="n">
        <v>120</v>
      </c>
      <c r="C124" s="9" t="s">
        <v>42</v>
      </c>
      <c r="D124" s="9" t="s">
        <v>20</v>
      </c>
      <c r="E124" s="9" t="s">
        <v>117</v>
      </c>
      <c r="F124" s="9" t="s">
        <v>68</v>
      </c>
      <c r="G124" s="9" t="s">
        <v>561</v>
      </c>
      <c r="H124" s="9" t="s">
        <v>335</v>
      </c>
      <c r="I124" s="9" t="s">
        <v>553</v>
      </c>
      <c r="J124" s="9" t="s">
        <v>554</v>
      </c>
      <c r="K124" s="9" t="s">
        <v>250</v>
      </c>
      <c r="L124" s="9" t="s">
        <v>450</v>
      </c>
      <c r="M124" s="9" t="s">
        <v>251</v>
      </c>
      <c r="N124" s="9" t="s">
        <v>504</v>
      </c>
      <c r="O124" s="9" t="s">
        <v>189</v>
      </c>
      <c r="P124" s="9" t="s">
        <v>190</v>
      </c>
      <c r="Q124" s="9" t="s">
        <v>555</v>
      </c>
      <c r="R124" s="9" t="s">
        <v>556</v>
      </c>
      <c r="S124" s="9" t="s">
        <v>454</v>
      </c>
      <c r="T124" s="9" t="s">
        <v>557</v>
      </c>
      <c r="U124" s="19" t="n">
        <v>40</v>
      </c>
      <c r="V124" s="9"/>
      <c r="W124" s="9"/>
      <c r="X124" s="9" t="s">
        <v>203</v>
      </c>
      <c r="Y124" s="23" t="n">
        <v>0.018</v>
      </c>
      <c r="Z124" s="23" t="n">
        <v>0.028</v>
      </c>
      <c r="AA124" s="23" t="n">
        <v>12</v>
      </c>
      <c r="AB124" s="9" t="s">
        <v>450</v>
      </c>
      <c r="AC124" s="9" t="s">
        <v>508</v>
      </c>
      <c r="AD124" s="23" t="s">
        <v>197</v>
      </c>
      <c r="AE124" s="23" t="s">
        <v>197</v>
      </c>
      <c r="AF124" s="23" t="s">
        <v>197</v>
      </c>
      <c r="AG124" s="23" t="s">
        <v>197</v>
      </c>
      <c r="AH124" s="23" t="s">
        <v>197</v>
      </c>
      <c r="AI124" s="23" t="s">
        <v>197</v>
      </c>
      <c r="AJ124" s="23" t="n">
        <v>9</v>
      </c>
      <c r="AK124" s="23" t="s">
        <v>197</v>
      </c>
      <c r="AL124" s="23" t="s">
        <v>197</v>
      </c>
      <c r="AM124" s="9" t="s">
        <v>328</v>
      </c>
      <c r="AN124" s="23" t="s">
        <v>197</v>
      </c>
      <c r="AO124" s="23" t="n">
        <v>2</v>
      </c>
      <c r="AP124" s="23" t="n">
        <v>4.6</v>
      </c>
    </row>
    <row r="125" customFormat="false" ht="21.75" hidden="false" customHeight="true" outlineLevel="0" collapsed="false">
      <c r="B125" s="14" t="n">
        <v>121</v>
      </c>
      <c r="C125" s="7" t="s">
        <v>42</v>
      </c>
      <c r="D125" s="7" t="s">
        <v>20</v>
      </c>
      <c r="E125" s="7" t="s">
        <v>117</v>
      </c>
      <c r="F125" s="7" t="s">
        <v>68</v>
      </c>
      <c r="G125" s="7" t="s">
        <v>562</v>
      </c>
      <c r="H125" s="7" t="s">
        <v>337</v>
      </c>
      <c r="I125" s="7" t="s">
        <v>553</v>
      </c>
      <c r="J125" s="7" t="s">
        <v>554</v>
      </c>
      <c r="K125" s="7" t="s">
        <v>250</v>
      </c>
      <c r="L125" s="7" t="s">
        <v>450</v>
      </c>
      <c r="M125" s="7" t="s">
        <v>251</v>
      </c>
      <c r="N125" s="7" t="s">
        <v>504</v>
      </c>
      <c r="O125" s="7" t="s">
        <v>189</v>
      </c>
      <c r="P125" s="7" t="s">
        <v>190</v>
      </c>
      <c r="Q125" s="7" t="s">
        <v>555</v>
      </c>
      <c r="R125" s="7" t="s">
        <v>556</v>
      </c>
      <c r="S125" s="7" t="s">
        <v>454</v>
      </c>
      <c r="T125" s="7" t="s">
        <v>557</v>
      </c>
      <c r="U125" s="18" t="n">
        <v>55</v>
      </c>
      <c r="V125" s="7"/>
      <c r="W125" s="7"/>
      <c r="X125" s="7" t="s">
        <v>205</v>
      </c>
      <c r="Y125" s="22" t="n">
        <v>0.015</v>
      </c>
      <c r="Z125" s="22" t="n">
        <v>0.024</v>
      </c>
      <c r="AA125" s="22" t="n">
        <v>12</v>
      </c>
      <c r="AB125" s="7" t="s">
        <v>450</v>
      </c>
      <c r="AC125" s="7" t="s">
        <v>508</v>
      </c>
      <c r="AD125" s="22" t="s">
        <v>197</v>
      </c>
      <c r="AE125" s="22" t="s">
        <v>197</v>
      </c>
      <c r="AF125" s="22" t="s">
        <v>197</v>
      </c>
      <c r="AG125" s="22" t="s">
        <v>197</v>
      </c>
      <c r="AH125" s="22" t="s">
        <v>197</v>
      </c>
      <c r="AI125" s="22" t="s">
        <v>197</v>
      </c>
      <c r="AJ125" s="22" t="n">
        <v>9</v>
      </c>
      <c r="AK125" s="22" t="s">
        <v>197</v>
      </c>
      <c r="AL125" s="22" t="s">
        <v>197</v>
      </c>
      <c r="AM125" s="7" t="s">
        <v>328</v>
      </c>
      <c r="AN125" s="22" t="s">
        <v>197</v>
      </c>
      <c r="AO125" s="22" t="n">
        <v>2</v>
      </c>
      <c r="AP125" s="22" t="n">
        <v>4.6</v>
      </c>
    </row>
    <row r="126" customFormat="false" ht="21.75" hidden="false" customHeight="true" outlineLevel="0" collapsed="false">
      <c r="B126" s="15" t="n">
        <v>122</v>
      </c>
      <c r="C126" s="9" t="s">
        <v>42</v>
      </c>
      <c r="D126" s="9" t="s">
        <v>20</v>
      </c>
      <c r="E126" s="9" t="s">
        <v>117</v>
      </c>
      <c r="F126" s="9" t="s">
        <v>69</v>
      </c>
      <c r="G126" s="9" t="s">
        <v>563</v>
      </c>
      <c r="H126" s="9" t="s">
        <v>339</v>
      </c>
      <c r="I126" s="9" t="s">
        <v>564</v>
      </c>
      <c r="J126" s="9" t="s">
        <v>565</v>
      </c>
      <c r="K126" s="9" t="s">
        <v>342</v>
      </c>
      <c r="L126" s="9" t="s">
        <v>450</v>
      </c>
      <c r="M126" s="9" t="s">
        <v>251</v>
      </c>
      <c r="N126" s="9" t="s">
        <v>566</v>
      </c>
      <c r="O126" s="9" t="s">
        <v>345</v>
      </c>
      <c r="P126" s="9" t="s">
        <v>190</v>
      </c>
      <c r="Q126" s="9" t="s">
        <v>567</v>
      </c>
      <c r="R126" s="9" t="s">
        <v>568</v>
      </c>
      <c r="S126" s="9" t="s">
        <v>454</v>
      </c>
      <c r="T126" s="9" t="s">
        <v>348</v>
      </c>
      <c r="U126" s="19" t="n">
        <v>20</v>
      </c>
      <c r="V126" s="9"/>
      <c r="W126" s="9"/>
      <c r="X126" s="9" t="s">
        <v>195</v>
      </c>
      <c r="Y126" s="23" t="n">
        <v>0.011</v>
      </c>
      <c r="Z126" s="23" t="n">
        <v>0.515</v>
      </c>
      <c r="AA126" s="23" t="n">
        <v>12</v>
      </c>
      <c r="AB126" s="9" t="s">
        <v>450</v>
      </c>
      <c r="AC126" s="9" t="s">
        <v>508</v>
      </c>
      <c r="AD126" s="23" t="s">
        <v>197</v>
      </c>
      <c r="AE126" s="23" t="s">
        <v>197</v>
      </c>
      <c r="AF126" s="23" t="s">
        <v>197</v>
      </c>
      <c r="AG126" s="23" t="s">
        <v>197</v>
      </c>
      <c r="AH126" s="23" t="s">
        <v>197</v>
      </c>
      <c r="AI126" s="23" t="s">
        <v>197</v>
      </c>
      <c r="AJ126" s="23" t="s">
        <v>197</v>
      </c>
      <c r="AK126" s="23" t="s">
        <v>197</v>
      </c>
      <c r="AL126" s="23" t="s">
        <v>197</v>
      </c>
      <c r="AM126" s="9" t="s">
        <v>197</v>
      </c>
      <c r="AN126" s="23" t="n">
        <v>24.5</v>
      </c>
      <c r="AO126" s="23" t="n">
        <v>2.5</v>
      </c>
      <c r="AP126" s="23" t="n">
        <v>4.5</v>
      </c>
    </row>
    <row r="127" customFormat="false" ht="21.75" hidden="false" customHeight="true" outlineLevel="0" collapsed="false">
      <c r="B127" s="14" t="n">
        <v>123</v>
      </c>
      <c r="C127" s="7" t="s">
        <v>42</v>
      </c>
      <c r="D127" s="7" t="s">
        <v>20</v>
      </c>
      <c r="E127" s="7" t="s">
        <v>117</v>
      </c>
      <c r="F127" s="7" t="s">
        <v>69</v>
      </c>
      <c r="G127" s="7" t="s">
        <v>569</v>
      </c>
      <c r="H127" s="7" t="s">
        <v>350</v>
      </c>
      <c r="I127" s="7" t="s">
        <v>564</v>
      </c>
      <c r="J127" s="7" t="s">
        <v>565</v>
      </c>
      <c r="K127" s="7" t="s">
        <v>342</v>
      </c>
      <c r="L127" s="7" t="s">
        <v>450</v>
      </c>
      <c r="M127" s="7" t="s">
        <v>251</v>
      </c>
      <c r="N127" s="7" t="s">
        <v>566</v>
      </c>
      <c r="O127" s="7" t="s">
        <v>345</v>
      </c>
      <c r="P127" s="7" t="s">
        <v>190</v>
      </c>
      <c r="Q127" s="7" t="s">
        <v>567</v>
      </c>
      <c r="R127" s="7" t="s">
        <v>568</v>
      </c>
      <c r="S127" s="7" t="s">
        <v>454</v>
      </c>
      <c r="T127" s="7" t="s">
        <v>348</v>
      </c>
      <c r="U127" s="18" t="n">
        <v>30</v>
      </c>
      <c r="V127" s="7"/>
      <c r="W127" s="7"/>
      <c r="X127" s="7" t="s">
        <v>199</v>
      </c>
      <c r="Y127" s="22" t="n">
        <v>0.007</v>
      </c>
      <c r="Z127" s="22" t="n">
        <v>0.361</v>
      </c>
      <c r="AA127" s="22" t="n">
        <v>12</v>
      </c>
      <c r="AB127" s="7" t="s">
        <v>450</v>
      </c>
      <c r="AC127" s="7" t="s">
        <v>508</v>
      </c>
      <c r="AD127" s="22" t="s">
        <v>197</v>
      </c>
      <c r="AE127" s="22" t="s">
        <v>197</v>
      </c>
      <c r="AF127" s="22" t="s">
        <v>197</v>
      </c>
      <c r="AG127" s="22" t="s">
        <v>197</v>
      </c>
      <c r="AH127" s="22" t="s">
        <v>197</v>
      </c>
      <c r="AI127" s="22" t="s">
        <v>197</v>
      </c>
      <c r="AJ127" s="22" t="s">
        <v>197</v>
      </c>
      <c r="AK127" s="22" t="s">
        <v>197</v>
      </c>
      <c r="AL127" s="22" t="s">
        <v>197</v>
      </c>
      <c r="AM127" s="7" t="s">
        <v>197</v>
      </c>
      <c r="AN127" s="22" t="n">
        <v>18.3</v>
      </c>
      <c r="AO127" s="22" t="n">
        <v>2.5</v>
      </c>
      <c r="AP127" s="22" t="n">
        <v>4.5</v>
      </c>
    </row>
    <row r="128" customFormat="false" ht="21.75" hidden="false" customHeight="true" outlineLevel="0" collapsed="false">
      <c r="B128" s="15" t="n">
        <v>124</v>
      </c>
      <c r="C128" s="9" t="s">
        <v>42</v>
      </c>
      <c r="D128" s="9" t="s">
        <v>20</v>
      </c>
      <c r="E128" s="9" t="s">
        <v>117</v>
      </c>
      <c r="F128" s="9" t="s">
        <v>69</v>
      </c>
      <c r="G128" s="9" t="s">
        <v>570</v>
      </c>
      <c r="H128" s="9" t="s">
        <v>352</v>
      </c>
      <c r="I128" s="9" t="s">
        <v>564</v>
      </c>
      <c r="J128" s="9" t="s">
        <v>565</v>
      </c>
      <c r="K128" s="9" t="s">
        <v>342</v>
      </c>
      <c r="L128" s="9" t="s">
        <v>450</v>
      </c>
      <c r="M128" s="9" t="s">
        <v>251</v>
      </c>
      <c r="N128" s="9" t="s">
        <v>566</v>
      </c>
      <c r="O128" s="9" t="s">
        <v>345</v>
      </c>
      <c r="P128" s="9" t="s">
        <v>190</v>
      </c>
      <c r="Q128" s="9" t="s">
        <v>567</v>
      </c>
      <c r="R128" s="9" t="s">
        <v>568</v>
      </c>
      <c r="S128" s="9" t="s">
        <v>454</v>
      </c>
      <c r="T128" s="9" t="s">
        <v>348</v>
      </c>
      <c r="U128" s="19" t="n">
        <v>45</v>
      </c>
      <c r="V128" s="9"/>
      <c r="W128" s="9"/>
      <c r="X128" s="9" t="s">
        <v>571</v>
      </c>
      <c r="Y128" s="23" t="n">
        <v>0.015</v>
      </c>
      <c r="Z128" s="23" t="n">
        <v>0.632</v>
      </c>
      <c r="AA128" s="23" t="n">
        <v>12</v>
      </c>
      <c r="AB128" s="9" t="s">
        <v>450</v>
      </c>
      <c r="AC128" s="9" t="s">
        <v>508</v>
      </c>
      <c r="AD128" s="23" t="s">
        <v>197</v>
      </c>
      <c r="AE128" s="23" t="s">
        <v>197</v>
      </c>
      <c r="AF128" s="23" t="s">
        <v>197</v>
      </c>
      <c r="AG128" s="23" t="s">
        <v>197</v>
      </c>
      <c r="AH128" s="23" t="s">
        <v>197</v>
      </c>
      <c r="AI128" s="23" t="s">
        <v>197</v>
      </c>
      <c r="AJ128" s="23" t="s">
        <v>197</v>
      </c>
      <c r="AK128" s="23" t="s">
        <v>197</v>
      </c>
      <c r="AL128" s="23" t="s">
        <v>197</v>
      </c>
      <c r="AM128" s="9" t="s">
        <v>197</v>
      </c>
      <c r="AN128" s="23" t="n">
        <v>29.3</v>
      </c>
      <c r="AO128" s="23" t="n">
        <v>2.5</v>
      </c>
      <c r="AP128" s="23" t="n">
        <v>4.5</v>
      </c>
    </row>
    <row r="129" customFormat="false" ht="21.75" hidden="false" customHeight="true" outlineLevel="0" collapsed="false">
      <c r="B129" s="14" t="n">
        <v>125</v>
      </c>
      <c r="C129" s="7" t="s">
        <v>42</v>
      </c>
      <c r="D129" s="7" t="s">
        <v>20</v>
      </c>
      <c r="E129" s="7" t="s">
        <v>117</v>
      </c>
      <c r="F129" s="7" t="s">
        <v>69</v>
      </c>
      <c r="G129" s="7" t="s">
        <v>572</v>
      </c>
      <c r="H129" s="7" t="s">
        <v>355</v>
      </c>
      <c r="I129" s="7" t="s">
        <v>564</v>
      </c>
      <c r="J129" s="7" t="s">
        <v>565</v>
      </c>
      <c r="K129" s="7" t="s">
        <v>342</v>
      </c>
      <c r="L129" s="7" t="s">
        <v>450</v>
      </c>
      <c r="M129" s="7" t="s">
        <v>251</v>
      </c>
      <c r="N129" s="7" t="s">
        <v>566</v>
      </c>
      <c r="O129" s="7" t="s">
        <v>345</v>
      </c>
      <c r="P129" s="7" t="s">
        <v>190</v>
      </c>
      <c r="Q129" s="7" t="s">
        <v>567</v>
      </c>
      <c r="R129" s="7" t="s">
        <v>568</v>
      </c>
      <c r="S129" s="7" t="s">
        <v>454</v>
      </c>
      <c r="T129" s="7" t="s">
        <v>348</v>
      </c>
      <c r="U129" s="18" t="n">
        <v>65</v>
      </c>
      <c r="V129" s="7"/>
      <c r="W129" s="7"/>
      <c r="X129" s="7" t="s">
        <v>203</v>
      </c>
      <c r="Y129" s="22" t="n">
        <v>0.007</v>
      </c>
      <c r="Z129" s="22" t="n">
        <v>0.36</v>
      </c>
      <c r="AA129" s="22" t="n">
        <v>12</v>
      </c>
      <c r="AB129" s="7" t="s">
        <v>450</v>
      </c>
      <c r="AC129" s="7" t="s">
        <v>508</v>
      </c>
      <c r="AD129" s="22" t="s">
        <v>197</v>
      </c>
      <c r="AE129" s="22" t="s">
        <v>197</v>
      </c>
      <c r="AF129" s="22" t="s">
        <v>197</v>
      </c>
      <c r="AG129" s="22" t="s">
        <v>197</v>
      </c>
      <c r="AH129" s="22" t="s">
        <v>197</v>
      </c>
      <c r="AI129" s="22" t="s">
        <v>197</v>
      </c>
      <c r="AJ129" s="22" t="s">
        <v>197</v>
      </c>
      <c r="AK129" s="22" t="s">
        <v>197</v>
      </c>
      <c r="AL129" s="22" t="s">
        <v>197</v>
      </c>
      <c r="AM129" s="7" t="s">
        <v>197</v>
      </c>
      <c r="AN129" s="22" t="n">
        <v>18.2</v>
      </c>
      <c r="AO129" s="22" t="n">
        <v>2.5</v>
      </c>
      <c r="AP129" s="22" t="n">
        <v>4.5</v>
      </c>
    </row>
    <row r="130" customFormat="false" ht="21.75" hidden="false" customHeight="true" outlineLevel="0" collapsed="false">
      <c r="B130" s="15" t="n">
        <v>126</v>
      </c>
      <c r="C130" s="9" t="s">
        <v>42</v>
      </c>
      <c r="D130" s="9" t="s">
        <v>20</v>
      </c>
      <c r="E130" s="9" t="s">
        <v>117</v>
      </c>
      <c r="F130" s="9" t="s">
        <v>69</v>
      </c>
      <c r="G130" s="9" t="s">
        <v>573</v>
      </c>
      <c r="H130" s="9" t="s">
        <v>357</v>
      </c>
      <c r="I130" s="9" t="s">
        <v>564</v>
      </c>
      <c r="J130" s="9" t="s">
        <v>565</v>
      </c>
      <c r="K130" s="9" t="s">
        <v>342</v>
      </c>
      <c r="L130" s="9" t="s">
        <v>450</v>
      </c>
      <c r="M130" s="9" t="s">
        <v>251</v>
      </c>
      <c r="N130" s="9" t="s">
        <v>566</v>
      </c>
      <c r="O130" s="9" t="s">
        <v>345</v>
      </c>
      <c r="P130" s="9" t="s">
        <v>190</v>
      </c>
      <c r="Q130" s="9" t="s">
        <v>567</v>
      </c>
      <c r="R130" s="9" t="s">
        <v>568</v>
      </c>
      <c r="S130" s="9" t="s">
        <v>454</v>
      </c>
      <c r="T130" s="9" t="s">
        <v>348</v>
      </c>
      <c r="U130" s="19" t="n">
        <v>100</v>
      </c>
      <c r="V130" s="9"/>
      <c r="W130" s="9"/>
      <c r="X130" s="9" t="s">
        <v>205</v>
      </c>
      <c r="Y130" s="23" t="n">
        <v>0.013</v>
      </c>
      <c r="Z130" s="23" t="n">
        <v>0.587</v>
      </c>
      <c r="AA130" s="23" t="n">
        <v>12</v>
      </c>
      <c r="AB130" s="9" t="s">
        <v>450</v>
      </c>
      <c r="AC130" s="9" t="s">
        <v>508</v>
      </c>
      <c r="AD130" s="23" t="s">
        <v>197</v>
      </c>
      <c r="AE130" s="23" t="s">
        <v>197</v>
      </c>
      <c r="AF130" s="23" t="s">
        <v>197</v>
      </c>
      <c r="AG130" s="23" t="s">
        <v>197</v>
      </c>
      <c r="AH130" s="23" t="s">
        <v>197</v>
      </c>
      <c r="AI130" s="23" t="s">
        <v>197</v>
      </c>
      <c r="AJ130" s="23" t="s">
        <v>197</v>
      </c>
      <c r="AK130" s="23" t="s">
        <v>197</v>
      </c>
      <c r="AL130" s="23" t="s">
        <v>197</v>
      </c>
      <c r="AM130" s="9" t="s">
        <v>197</v>
      </c>
      <c r="AN130" s="23" t="n">
        <v>27.4</v>
      </c>
      <c r="AO130" s="23" t="n">
        <v>2.5</v>
      </c>
      <c r="AP130" s="23" t="n">
        <v>4.5</v>
      </c>
    </row>
    <row r="131" customFormat="false" ht="21.75" hidden="false" customHeight="true" outlineLevel="0" collapsed="false">
      <c r="B131" s="14" t="n">
        <v>127</v>
      </c>
      <c r="C131" s="7" t="s">
        <v>42</v>
      </c>
      <c r="D131" s="7" t="s">
        <v>20</v>
      </c>
      <c r="E131" s="7" t="s">
        <v>117</v>
      </c>
      <c r="F131" s="7" t="s">
        <v>70</v>
      </c>
      <c r="G131" s="7" t="s">
        <v>574</v>
      </c>
      <c r="H131" s="7" t="s">
        <v>359</v>
      </c>
      <c r="I131" s="7" t="s">
        <v>575</v>
      </c>
      <c r="J131" s="7" t="s">
        <v>576</v>
      </c>
      <c r="K131" s="7" t="s">
        <v>517</v>
      </c>
      <c r="L131" s="7" t="s">
        <v>450</v>
      </c>
      <c r="M131" s="7" t="s">
        <v>577</v>
      </c>
      <c r="N131" s="7" t="s">
        <v>189</v>
      </c>
      <c r="O131" s="7" t="s">
        <v>189</v>
      </c>
      <c r="P131" s="7" t="s">
        <v>190</v>
      </c>
      <c r="Q131" s="7" t="s">
        <v>578</v>
      </c>
      <c r="R131" s="7" t="s">
        <v>399</v>
      </c>
      <c r="S131" s="7" t="s">
        <v>454</v>
      </c>
      <c r="T131" s="7" t="s">
        <v>275</v>
      </c>
      <c r="U131" s="18" t="n">
        <v>20</v>
      </c>
      <c r="V131" s="7"/>
      <c r="W131" s="7"/>
      <c r="X131" s="7" t="s">
        <v>195</v>
      </c>
      <c r="Y131" s="22" t="n">
        <v>2.465E-005</v>
      </c>
      <c r="Z131" s="22" t="n">
        <v>0.148</v>
      </c>
      <c r="AA131" s="22" t="n">
        <v>3</v>
      </c>
      <c r="AB131" s="7" t="s">
        <v>450</v>
      </c>
      <c r="AC131" s="7" t="s">
        <v>522</v>
      </c>
      <c r="AD131" s="22" t="s">
        <v>197</v>
      </c>
      <c r="AE131" s="22" t="s">
        <v>197</v>
      </c>
      <c r="AF131" s="22" t="s">
        <v>197</v>
      </c>
      <c r="AG131" s="22" t="s">
        <v>197</v>
      </c>
      <c r="AH131" s="22" t="s">
        <v>197</v>
      </c>
      <c r="AI131" s="22" t="s">
        <v>197</v>
      </c>
      <c r="AJ131" s="22" t="s">
        <v>197</v>
      </c>
      <c r="AK131" s="22" t="s">
        <v>197</v>
      </c>
      <c r="AL131" s="22" t="s">
        <v>197</v>
      </c>
      <c r="AM131" s="7" t="s">
        <v>197</v>
      </c>
      <c r="AN131" s="22" t="n">
        <v>4.9</v>
      </c>
      <c r="AO131" s="22" t="n">
        <v>2</v>
      </c>
      <c r="AP131" s="22" t="n">
        <v>3</v>
      </c>
    </row>
    <row r="132" customFormat="false" ht="21.75" hidden="false" customHeight="true" outlineLevel="0" collapsed="false">
      <c r="B132" s="15" t="n">
        <v>128</v>
      </c>
      <c r="C132" s="9" t="s">
        <v>42</v>
      </c>
      <c r="D132" s="9" t="s">
        <v>20</v>
      </c>
      <c r="E132" s="9" t="s">
        <v>117</v>
      </c>
      <c r="F132" s="9" t="s">
        <v>70</v>
      </c>
      <c r="G132" s="9" t="s">
        <v>579</v>
      </c>
      <c r="H132" s="9" t="s">
        <v>367</v>
      </c>
      <c r="I132" s="9" t="s">
        <v>575</v>
      </c>
      <c r="J132" s="9" t="s">
        <v>576</v>
      </c>
      <c r="K132" s="9" t="s">
        <v>517</v>
      </c>
      <c r="L132" s="9" t="s">
        <v>450</v>
      </c>
      <c r="M132" s="9" t="s">
        <v>577</v>
      </c>
      <c r="N132" s="9" t="s">
        <v>189</v>
      </c>
      <c r="O132" s="9" t="s">
        <v>189</v>
      </c>
      <c r="P132" s="9" t="s">
        <v>190</v>
      </c>
      <c r="Q132" s="9" t="s">
        <v>578</v>
      </c>
      <c r="R132" s="9" t="s">
        <v>399</v>
      </c>
      <c r="S132" s="9" t="s">
        <v>454</v>
      </c>
      <c r="T132" s="9" t="s">
        <v>275</v>
      </c>
      <c r="U132" s="19" t="n">
        <v>25</v>
      </c>
      <c r="V132" s="9"/>
      <c r="W132" s="9"/>
      <c r="X132" s="9" t="s">
        <v>199</v>
      </c>
      <c r="Y132" s="23" t="n">
        <v>1.494E-005</v>
      </c>
      <c r="Z132" s="23" t="n">
        <v>0.097</v>
      </c>
      <c r="AA132" s="23" t="n">
        <v>3</v>
      </c>
      <c r="AB132" s="9" t="s">
        <v>450</v>
      </c>
      <c r="AC132" s="9" t="s">
        <v>522</v>
      </c>
      <c r="AD132" s="23" t="s">
        <v>197</v>
      </c>
      <c r="AE132" s="23" t="s">
        <v>197</v>
      </c>
      <c r="AF132" s="23" t="s">
        <v>197</v>
      </c>
      <c r="AG132" s="23" t="s">
        <v>197</v>
      </c>
      <c r="AH132" s="23" t="s">
        <v>197</v>
      </c>
      <c r="AI132" s="23" t="s">
        <v>197</v>
      </c>
      <c r="AJ132" s="23" t="s">
        <v>197</v>
      </c>
      <c r="AK132" s="23" t="s">
        <v>197</v>
      </c>
      <c r="AL132" s="23" t="s">
        <v>197</v>
      </c>
      <c r="AM132" s="9" t="s">
        <v>197</v>
      </c>
      <c r="AN132" s="23" t="n">
        <v>3.2</v>
      </c>
      <c r="AO132" s="23" t="n">
        <v>2</v>
      </c>
      <c r="AP132" s="23" t="n">
        <v>3</v>
      </c>
    </row>
    <row r="133" customFormat="false" ht="21.75" hidden="false" customHeight="true" outlineLevel="0" collapsed="false">
      <c r="B133" s="14" t="n">
        <v>129</v>
      </c>
      <c r="C133" s="7" t="s">
        <v>42</v>
      </c>
      <c r="D133" s="7" t="s">
        <v>20</v>
      </c>
      <c r="E133" s="7" t="s">
        <v>117</v>
      </c>
      <c r="F133" s="7" t="s">
        <v>70</v>
      </c>
      <c r="G133" s="7" t="s">
        <v>580</v>
      </c>
      <c r="H133" s="7" t="s">
        <v>369</v>
      </c>
      <c r="I133" s="7" t="s">
        <v>575</v>
      </c>
      <c r="J133" s="7" t="s">
        <v>576</v>
      </c>
      <c r="K133" s="7" t="s">
        <v>517</v>
      </c>
      <c r="L133" s="7" t="s">
        <v>450</v>
      </c>
      <c r="M133" s="7" t="s">
        <v>577</v>
      </c>
      <c r="N133" s="7" t="s">
        <v>189</v>
      </c>
      <c r="O133" s="7" t="s">
        <v>189</v>
      </c>
      <c r="P133" s="7" t="s">
        <v>190</v>
      </c>
      <c r="Q133" s="7" t="s">
        <v>578</v>
      </c>
      <c r="R133" s="7" t="s">
        <v>399</v>
      </c>
      <c r="S133" s="7" t="s">
        <v>454</v>
      </c>
      <c r="T133" s="7" t="s">
        <v>275</v>
      </c>
      <c r="U133" s="18" t="n">
        <v>35</v>
      </c>
      <c r="V133" s="7"/>
      <c r="W133" s="7"/>
      <c r="X133" s="7" t="s">
        <v>581</v>
      </c>
      <c r="Y133" s="22" t="n">
        <v>1.777E-005</v>
      </c>
      <c r="Z133" s="22" t="n">
        <v>0.112</v>
      </c>
      <c r="AA133" s="22" t="n">
        <v>3</v>
      </c>
      <c r="AB133" s="7" t="s">
        <v>450</v>
      </c>
      <c r="AC133" s="7" t="s">
        <v>522</v>
      </c>
      <c r="AD133" s="22" t="s">
        <v>197</v>
      </c>
      <c r="AE133" s="22" t="s">
        <v>197</v>
      </c>
      <c r="AF133" s="22" t="s">
        <v>197</v>
      </c>
      <c r="AG133" s="22" t="s">
        <v>197</v>
      </c>
      <c r="AH133" s="22" t="s">
        <v>197</v>
      </c>
      <c r="AI133" s="22" t="s">
        <v>197</v>
      </c>
      <c r="AJ133" s="22" t="s">
        <v>197</v>
      </c>
      <c r="AK133" s="22" t="s">
        <v>197</v>
      </c>
      <c r="AL133" s="22" t="s">
        <v>197</v>
      </c>
      <c r="AM133" s="7" t="s">
        <v>197</v>
      </c>
      <c r="AN133" s="22" t="n">
        <v>3.7</v>
      </c>
      <c r="AO133" s="22" t="n">
        <v>2</v>
      </c>
      <c r="AP133" s="22" t="n">
        <v>3</v>
      </c>
    </row>
    <row r="134" customFormat="false" ht="21.75" hidden="false" customHeight="true" outlineLevel="0" collapsed="false">
      <c r="B134" s="15" t="n">
        <v>130</v>
      </c>
      <c r="C134" s="9" t="s">
        <v>42</v>
      </c>
      <c r="D134" s="9" t="s">
        <v>20</v>
      </c>
      <c r="E134" s="9" t="s">
        <v>117</v>
      </c>
      <c r="F134" s="9" t="s">
        <v>70</v>
      </c>
      <c r="G134" s="9" t="s">
        <v>582</v>
      </c>
      <c r="H134" s="9" t="s">
        <v>339</v>
      </c>
      <c r="I134" s="9" t="s">
        <v>575</v>
      </c>
      <c r="J134" s="9" t="s">
        <v>576</v>
      </c>
      <c r="K134" s="9" t="s">
        <v>517</v>
      </c>
      <c r="L134" s="9" t="s">
        <v>450</v>
      </c>
      <c r="M134" s="9" t="s">
        <v>577</v>
      </c>
      <c r="N134" s="9" t="s">
        <v>189</v>
      </c>
      <c r="O134" s="9" t="s">
        <v>189</v>
      </c>
      <c r="P134" s="9" t="s">
        <v>190</v>
      </c>
      <c r="Q134" s="9" t="s">
        <v>578</v>
      </c>
      <c r="R134" s="9" t="s">
        <v>399</v>
      </c>
      <c r="S134" s="9" t="s">
        <v>454</v>
      </c>
      <c r="T134" s="9" t="s">
        <v>275</v>
      </c>
      <c r="U134" s="19" t="n">
        <v>55</v>
      </c>
      <c r="V134" s="9"/>
      <c r="W134" s="9"/>
      <c r="X134" s="9" t="s">
        <v>203</v>
      </c>
      <c r="Y134" s="23" t="n">
        <v>8.63E-006</v>
      </c>
      <c r="Z134" s="23" t="n">
        <v>0.063</v>
      </c>
      <c r="AA134" s="23" t="n">
        <v>3</v>
      </c>
      <c r="AB134" s="9" t="s">
        <v>450</v>
      </c>
      <c r="AC134" s="9" t="s">
        <v>522</v>
      </c>
      <c r="AD134" s="23" t="s">
        <v>197</v>
      </c>
      <c r="AE134" s="23" t="s">
        <v>197</v>
      </c>
      <c r="AF134" s="23" t="s">
        <v>197</v>
      </c>
      <c r="AG134" s="23" t="s">
        <v>197</v>
      </c>
      <c r="AH134" s="23" t="s">
        <v>197</v>
      </c>
      <c r="AI134" s="23" t="s">
        <v>197</v>
      </c>
      <c r="AJ134" s="23" t="s">
        <v>197</v>
      </c>
      <c r="AK134" s="23" t="s">
        <v>197</v>
      </c>
      <c r="AL134" s="23" t="s">
        <v>197</v>
      </c>
      <c r="AM134" s="9" t="s">
        <v>197</v>
      </c>
      <c r="AN134" s="23" t="n">
        <v>2.1</v>
      </c>
      <c r="AO134" s="23" t="n">
        <v>2</v>
      </c>
      <c r="AP134" s="23" t="n">
        <v>3</v>
      </c>
    </row>
    <row r="135" customFormat="false" ht="21.75" hidden="false" customHeight="true" outlineLevel="0" collapsed="false">
      <c r="B135" s="14" t="n">
        <v>131</v>
      </c>
      <c r="C135" s="7" t="s">
        <v>42</v>
      </c>
      <c r="D135" s="7" t="s">
        <v>20</v>
      </c>
      <c r="E135" s="7" t="s">
        <v>117</v>
      </c>
      <c r="F135" s="7" t="s">
        <v>70</v>
      </c>
      <c r="G135" s="7" t="s">
        <v>583</v>
      </c>
      <c r="H135" s="7" t="s">
        <v>352</v>
      </c>
      <c r="I135" s="7" t="s">
        <v>575</v>
      </c>
      <c r="J135" s="7" t="s">
        <v>576</v>
      </c>
      <c r="K135" s="7" t="s">
        <v>517</v>
      </c>
      <c r="L135" s="7" t="s">
        <v>450</v>
      </c>
      <c r="M135" s="7" t="s">
        <v>577</v>
      </c>
      <c r="N135" s="7" t="s">
        <v>189</v>
      </c>
      <c r="O135" s="7" t="s">
        <v>189</v>
      </c>
      <c r="P135" s="7" t="s">
        <v>190</v>
      </c>
      <c r="Q135" s="7" t="s">
        <v>578</v>
      </c>
      <c r="R135" s="7" t="s">
        <v>399</v>
      </c>
      <c r="S135" s="7" t="s">
        <v>454</v>
      </c>
      <c r="T135" s="7" t="s">
        <v>275</v>
      </c>
      <c r="U135" s="18" t="n">
        <v>85</v>
      </c>
      <c r="V135" s="7"/>
      <c r="W135" s="7"/>
      <c r="X135" s="7" t="s">
        <v>205</v>
      </c>
      <c r="Y135" s="22" t="n">
        <v>2.312E-005</v>
      </c>
      <c r="Z135" s="22" t="n">
        <v>0.14</v>
      </c>
      <c r="AA135" s="22" t="n">
        <v>3</v>
      </c>
      <c r="AB135" s="7" t="s">
        <v>450</v>
      </c>
      <c r="AC135" s="7" t="s">
        <v>522</v>
      </c>
      <c r="AD135" s="22" t="s">
        <v>197</v>
      </c>
      <c r="AE135" s="22" t="s">
        <v>197</v>
      </c>
      <c r="AF135" s="22" t="s">
        <v>197</v>
      </c>
      <c r="AG135" s="22" t="s">
        <v>197</v>
      </c>
      <c r="AH135" s="22" t="s">
        <v>197</v>
      </c>
      <c r="AI135" s="22" t="s">
        <v>197</v>
      </c>
      <c r="AJ135" s="22" t="s">
        <v>197</v>
      </c>
      <c r="AK135" s="22" t="s">
        <v>197</v>
      </c>
      <c r="AL135" s="22" t="s">
        <v>197</v>
      </c>
      <c r="AM135" s="7" t="s">
        <v>197</v>
      </c>
      <c r="AN135" s="22" t="n">
        <v>4.7</v>
      </c>
      <c r="AO135" s="22" t="n">
        <v>2</v>
      </c>
      <c r="AP135" s="22" t="n">
        <v>3</v>
      </c>
    </row>
    <row r="136" customFormat="false" ht="21.75" hidden="false" customHeight="true" outlineLevel="0" collapsed="false">
      <c r="B136" s="15" t="n">
        <v>132</v>
      </c>
      <c r="C136" s="9" t="s">
        <v>42</v>
      </c>
      <c r="D136" s="9" t="s">
        <v>20</v>
      </c>
      <c r="E136" s="9" t="s">
        <v>117</v>
      </c>
      <c r="F136" s="9" t="s">
        <v>71</v>
      </c>
      <c r="G136" s="9" t="s">
        <v>584</v>
      </c>
      <c r="H136" s="9" t="s">
        <v>374</v>
      </c>
      <c r="I136" s="9" t="s">
        <v>585</v>
      </c>
      <c r="J136" s="9" t="s">
        <v>586</v>
      </c>
      <c r="K136" s="9" t="s">
        <v>587</v>
      </c>
      <c r="L136" s="9" t="s">
        <v>450</v>
      </c>
      <c r="M136" s="9" t="s">
        <v>251</v>
      </c>
      <c r="N136" s="9" t="s">
        <v>588</v>
      </c>
      <c r="O136" s="9" t="s">
        <v>189</v>
      </c>
      <c r="P136" s="9" t="s">
        <v>190</v>
      </c>
      <c r="Q136" s="9" t="s">
        <v>589</v>
      </c>
      <c r="R136" s="9" t="s">
        <v>590</v>
      </c>
      <c r="S136" s="9" t="s">
        <v>454</v>
      </c>
      <c r="T136" s="9" t="s">
        <v>591</v>
      </c>
      <c r="U136" s="19" t="n">
        <v>85</v>
      </c>
      <c r="V136" s="9"/>
      <c r="W136" s="9"/>
      <c r="X136" s="9" t="s">
        <v>195</v>
      </c>
      <c r="Y136" s="23" t="n">
        <v>0.089</v>
      </c>
      <c r="Z136" s="23" t="n">
        <v>0.321</v>
      </c>
      <c r="AA136" s="23" t="n">
        <v>12</v>
      </c>
      <c r="AB136" s="9" t="s">
        <v>450</v>
      </c>
      <c r="AC136" s="9" t="s">
        <v>495</v>
      </c>
      <c r="AD136" s="23" t="s">
        <v>197</v>
      </c>
      <c r="AE136" s="23" t="s">
        <v>197</v>
      </c>
      <c r="AF136" s="23" t="s">
        <v>197</v>
      </c>
      <c r="AG136" s="23" t="s">
        <v>197</v>
      </c>
      <c r="AH136" s="23" t="s">
        <v>197</v>
      </c>
      <c r="AI136" s="23" t="s">
        <v>197</v>
      </c>
      <c r="AJ136" s="23" t="s">
        <v>197</v>
      </c>
      <c r="AK136" s="23" t="s">
        <v>197</v>
      </c>
      <c r="AL136" s="23" t="s">
        <v>197</v>
      </c>
      <c r="AM136" s="9" t="s">
        <v>197</v>
      </c>
      <c r="AN136" s="23" t="s">
        <v>197</v>
      </c>
      <c r="AO136" s="23" t="s">
        <v>197</v>
      </c>
      <c r="AP136" s="23" t="s">
        <v>197</v>
      </c>
    </row>
    <row r="137" customFormat="false" ht="21.75" hidden="false" customHeight="true" outlineLevel="0" collapsed="false">
      <c r="B137" s="14" t="n">
        <v>133</v>
      </c>
      <c r="C137" s="7" t="s">
        <v>42</v>
      </c>
      <c r="D137" s="7" t="s">
        <v>20</v>
      </c>
      <c r="E137" s="7" t="s">
        <v>117</v>
      </c>
      <c r="F137" s="7" t="s">
        <v>71</v>
      </c>
      <c r="G137" s="7" t="s">
        <v>592</v>
      </c>
      <c r="H137" s="7" t="s">
        <v>383</v>
      </c>
      <c r="I137" s="7" t="s">
        <v>585</v>
      </c>
      <c r="J137" s="7" t="s">
        <v>586</v>
      </c>
      <c r="K137" s="7" t="s">
        <v>587</v>
      </c>
      <c r="L137" s="7" t="s">
        <v>450</v>
      </c>
      <c r="M137" s="7" t="s">
        <v>251</v>
      </c>
      <c r="N137" s="7" t="s">
        <v>588</v>
      </c>
      <c r="O137" s="7" t="s">
        <v>189</v>
      </c>
      <c r="P137" s="7" t="s">
        <v>190</v>
      </c>
      <c r="Q137" s="7" t="s">
        <v>589</v>
      </c>
      <c r="R137" s="7" t="s">
        <v>590</v>
      </c>
      <c r="S137" s="7" t="s">
        <v>454</v>
      </c>
      <c r="T137" s="7" t="s">
        <v>591</v>
      </c>
      <c r="U137" s="18" t="n">
        <v>125</v>
      </c>
      <c r="V137" s="7"/>
      <c r="W137" s="7"/>
      <c r="X137" s="7" t="s">
        <v>199</v>
      </c>
      <c r="Y137" s="22" t="n">
        <v>0.043</v>
      </c>
      <c r="Z137" s="22" t="n">
        <v>0.206</v>
      </c>
      <c r="AA137" s="22" t="n">
        <v>12</v>
      </c>
      <c r="AB137" s="7" t="s">
        <v>450</v>
      </c>
      <c r="AC137" s="7" t="s">
        <v>495</v>
      </c>
      <c r="AD137" s="22" t="s">
        <v>197</v>
      </c>
      <c r="AE137" s="22" t="s">
        <v>197</v>
      </c>
      <c r="AF137" s="22" t="s">
        <v>197</v>
      </c>
      <c r="AG137" s="22" t="s">
        <v>197</v>
      </c>
      <c r="AH137" s="22" t="s">
        <v>197</v>
      </c>
      <c r="AI137" s="22" t="s">
        <v>197</v>
      </c>
      <c r="AJ137" s="22" t="s">
        <v>197</v>
      </c>
      <c r="AK137" s="22" t="s">
        <v>197</v>
      </c>
      <c r="AL137" s="22" t="s">
        <v>197</v>
      </c>
      <c r="AM137" s="7" t="s">
        <v>197</v>
      </c>
      <c r="AN137" s="22" t="s">
        <v>197</v>
      </c>
      <c r="AO137" s="22" t="s">
        <v>197</v>
      </c>
      <c r="AP137" s="22" t="s">
        <v>197</v>
      </c>
    </row>
    <row r="138" customFormat="false" ht="21.75" hidden="false" customHeight="true" outlineLevel="0" collapsed="false">
      <c r="B138" s="15" t="n">
        <v>134</v>
      </c>
      <c r="C138" s="9" t="s">
        <v>42</v>
      </c>
      <c r="D138" s="9" t="s">
        <v>20</v>
      </c>
      <c r="E138" s="9" t="s">
        <v>117</v>
      </c>
      <c r="F138" s="9" t="s">
        <v>71</v>
      </c>
      <c r="G138" s="9" t="s">
        <v>593</v>
      </c>
      <c r="H138" s="9" t="s">
        <v>385</v>
      </c>
      <c r="I138" s="9" t="s">
        <v>585</v>
      </c>
      <c r="J138" s="9" t="s">
        <v>586</v>
      </c>
      <c r="K138" s="9" t="s">
        <v>587</v>
      </c>
      <c r="L138" s="9" t="s">
        <v>450</v>
      </c>
      <c r="M138" s="9" t="s">
        <v>251</v>
      </c>
      <c r="N138" s="9" t="s">
        <v>588</v>
      </c>
      <c r="O138" s="9" t="s">
        <v>189</v>
      </c>
      <c r="P138" s="9" t="s">
        <v>190</v>
      </c>
      <c r="Q138" s="9" t="s">
        <v>589</v>
      </c>
      <c r="R138" s="9" t="s">
        <v>590</v>
      </c>
      <c r="S138" s="9" t="s">
        <v>454</v>
      </c>
      <c r="T138" s="9" t="s">
        <v>591</v>
      </c>
      <c r="U138" s="19" t="n">
        <v>170</v>
      </c>
      <c r="V138" s="9"/>
      <c r="W138" s="9"/>
      <c r="X138" s="9" t="s">
        <v>594</v>
      </c>
      <c r="Y138" s="23" t="n">
        <v>0.082</v>
      </c>
      <c r="Z138" s="23" t="n">
        <v>0.304</v>
      </c>
      <c r="AA138" s="23" t="n">
        <v>12</v>
      </c>
      <c r="AB138" s="9" t="s">
        <v>450</v>
      </c>
      <c r="AC138" s="9" t="s">
        <v>495</v>
      </c>
      <c r="AD138" s="23" t="s">
        <v>197</v>
      </c>
      <c r="AE138" s="23" t="s">
        <v>197</v>
      </c>
      <c r="AF138" s="23" t="s">
        <v>197</v>
      </c>
      <c r="AG138" s="23" t="s">
        <v>197</v>
      </c>
      <c r="AH138" s="23" t="s">
        <v>197</v>
      </c>
      <c r="AI138" s="23" t="s">
        <v>197</v>
      </c>
      <c r="AJ138" s="23" t="s">
        <v>197</v>
      </c>
      <c r="AK138" s="23" t="s">
        <v>197</v>
      </c>
      <c r="AL138" s="23" t="s">
        <v>197</v>
      </c>
      <c r="AM138" s="9" t="s">
        <v>197</v>
      </c>
      <c r="AN138" s="23" t="s">
        <v>197</v>
      </c>
      <c r="AO138" s="23" t="s">
        <v>197</v>
      </c>
      <c r="AP138" s="23" t="s">
        <v>197</v>
      </c>
    </row>
    <row r="139" customFormat="false" ht="21.75" hidden="false" customHeight="true" outlineLevel="0" collapsed="false">
      <c r="B139" s="14" t="n">
        <v>135</v>
      </c>
      <c r="C139" s="7" t="s">
        <v>42</v>
      </c>
      <c r="D139" s="7" t="s">
        <v>20</v>
      </c>
      <c r="E139" s="7" t="s">
        <v>117</v>
      </c>
      <c r="F139" s="7" t="s">
        <v>71</v>
      </c>
      <c r="G139" s="7" t="s">
        <v>595</v>
      </c>
      <c r="H139" s="7" t="s">
        <v>388</v>
      </c>
      <c r="I139" s="7" t="s">
        <v>585</v>
      </c>
      <c r="J139" s="7" t="s">
        <v>586</v>
      </c>
      <c r="K139" s="7" t="s">
        <v>587</v>
      </c>
      <c r="L139" s="7" t="s">
        <v>450</v>
      </c>
      <c r="M139" s="7" t="s">
        <v>251</v>
      </c>
      <c r="N139" s="7" t="s">
        <v>588</v>
      </c>
      <c r="O139" s="7" t="s">
        <v>189</v>
      </c>
      <c r="P139" s="7" t="s">
        <v>190</v>
      </c>
      <c r="Q139" s="7" t="s">
        <v>589</v>
      </c>
      <c r="R139" s="7" t="s">
        <v>590</v>
      </c>
      <c r="S139" s="7" t="s">
        <v>454</v>
      </c>
      <c r="T139" s="7" t="s">
        <v>591</v>
      </c>
      <c r="U139" s="18" t="n">
        <v>255</v>
      </c>
      <c r="V139" s="7"/>
      <c r="W139" s="7"/>
      <c r="X139" s="7" t="s">
        <v>203</v>
      </c>
      <c r="Y139" s="22" t="n">
        <v>0.083</v>
      </c>
      <c r="Z139" s="22" t="n">
        <v>0.307</v>
      </c>
      <c r="AA139" s="22" t="n">
        <v>12</v>
      </c>
      <c r="AB139" s="7" t="s">
        <v>450</v>
      </c>
      <c r="AC139" s="7" t="s">
        <v>495</v>
      </c>
      <c r="AD139" s="22" t="s">
        <v>197</v>
      </c>
      <c r="AE139" s="22" t="s">
        <v>197</v>
      </c>
      <c r="AF139" s="22" t="s">
        <v>197</v>
      </c>
      <c r="AG139" s="22" t="s">
        <v>197</v>
      </c>
      <c r="AH139" s="22" t="s">
        <v>197</v>
      </c>
      <c r="AI139" s="22" t="s">
        <v>197</v>
      </c>
      <c r="AJ139" s="22" t="s">
        <v>197</v>
      </c>
      <c r="AK139" s="22" t="s">
        <v>197</v>
      </c>
      <c r="AL139" s="22" t="s">
        <v>197</v>
      </c>
      <c r="AM139" s="7" t="s">
        <v>197</v>
      </c>
      <c r="AN139" s="22" t="s">
        <v>197</v>
      </c>
      <c r="AO139" s="22" t="s">
        <v>197</v>
      </c>
      <c r="AP139" s="22" t="s">
        <v>197</v>
      </c>
    </row>
    <row r="140" customFormat="false" ht="21.75" hidden="false" customHeight="true" outlineLevel="0" collapsed="false">
      <c r="B140" s="15" t="n">
        <v>136</v>
      </c>
      <c r="C140" s="9" t="s">
        <v>42</v>
      </c>
      <c r="D140" s="9" t="s">
        <v>20</v>
      </c>
      <c r="E140" s="9" t="s">
        <v>117</v>
      </c>
      <c r="F140" s="9" t="s">
        <v>71</v>
      </c>
      <c r="G140" s="9" t="s">
        <v>596</v>
      </c>
      <c r="H140" s="9" t="s">
        <v>390</v>
      </c>
      <c r="I140" s="9" t="s">
        <v>585</v>
      </c>
      <c r="J140" s="9" t="s">
        <v>586</v>
      </c>
      <c r="K140" s="9" t="s">
        <v>587</v>
      </c>
      <c r="L140" s="9" t="s">
        <v>450</v>
      </c>
      <c r="M140" s="9" t="s">
        <v>251</v>
      </c>
      <c r="N140" s="9" t="s">
        <v>588</v>
      </c>
      <c r="O140" s="9" t="s">
        <v>189</v>
      </c>
      <c r="P140" s="9" t="s">
        <v>190</v>
      </c>
      <c r="Q140" s="9" t="s">
        <v>589</v>
      </c>
      <c r="R140" s="9" t="s">
        <v>590</v>
      </c>
      <c r="S140" s="9" t="s">
        <v>454</v>
      </c>
      <c r="T140" s="9" t="s">
        <v>591</v>
      </c>
      <c r="U140" s="19" t="n">
        <v>375</v>
      </c>
      <c r="V140" s="9"/>
      <c r="W140" s="9"/>
      <c r="X140" s="9" t="s">
        <v>205</v>
      </c>
      <c r="Y140" s="23" t="n">
        <v>0.046</v>
      </c>
      <c r="Z140" s="23" t="n">
        <v>0.216</v>
      </c>
      <c r="AA140" s="23" t="n">
        <v>12</v>
      </c>
      <c r="AB140" s="9" t="s">
        <v>450</v>
      </c>
      <c r="AC140" s="9" t="s">
        <v>495</v>
      </c>
      <c r="AD140" s="23" t="s">
        <v>197</v>
      </c>
      <c r="AE140" s="23" t="s">
        <v>197</v>
      </c>
      <c r="AF140" s="23" t="s">
        <v>197</v>
      </c>
      <c r="AG140" s="23" t="s">
        <v>197</v>
      </c>
      <c r="AH140" s="23" t="s">
        <v>197</v>
      </c>
      <c r="AI140" s="23" t="s">
        <v>197</v>
      </c>
      <c r="AJ140" s="23" t="s">
        <v>197</v>
      </c>
      <c r="AK140" s="23" t="s">
        <v>197</v>
      </c>
      <c r="AL140" s="23" t="s">
        <v>197</v>
      </c>
      <c r="AM140" s="9" t="s">
        <v>197</v>
      </c>
      <c r="AN140" s="23" t="s">
        <v>197</v>
      </c>
      <c r="AO140" s="23" t="s">
        <v>197</v>
      </c>
      <c r="AP140" s="23" t="s">
        <v>197</v>
      </c>
    </row>
    <row r="141" customFormat="false" ht="21.75" hidden="false" customHeight="true" outlineLevel="0" collapsed="false">
      <c r="B141" s="14" t="n">
        <v>137</v>
      </c>
      <c r="C141" s="7" t="s">
        <v>42</v>
      </c>
      <c r="D141" s="7" t="s">
        <v>20</v>
      </c>
      <c r="E141" s="7" t="s">
        <v>117</v>
      </c>
      <c r="F141" s="7" t="s">
        <v>72</v>
      </c>
      <c r="G141" s="7" t="s">
        <v>391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18"/>
      <c r="V141" s="7"/>
      <c r="W141" s="7"/>
      <c r="X141" s="7" t="s">
        <v>597</v>
      </c>
      <c r="Y141" s="22" t="s">
        <v>197</v>
      </c>
      <c r="Z141" s="22" t="s">
        <v>197</v>
      </c>
      <c r="AA141" s="22" t="s">
        <v>197</v>
      </c>
      <c r="AB141" s="7" t="s">
        <v>197</v>
      </c>
      <c r="AC141" s="7" t="s">
        <v>197</v>
      </c>
      <c r="AD141" s="22" t="s">
        <v>197</v>
      </c>
      <c r="AE141" s="22" t="s">
        <v>197</v>
      </c>
      <c r="AF141" s="22" t="s">
        <v>197</v>
      </c>
      <c r="AG141" s="22" t="s">
        <v>197</v>
      </c>
      <c r="AH141" s="22" t="s">
        <v>197</v>
      </c>
      <c r="AI141" s="22" t="s">
        <v>197</v>
      </c>
      <c r="AJ141" s="22" t="s">
        <v>197</v>
      </c>
      <c r="AK141" s="22" t="s">
        <v>197</v>
      </c>
      <c r="AL141" s="22" t="s">
        <v>197</v>
      </c>
      <c r="AM141" s="7" t="s">
        <v>197</v>
      </c>
      <c r="AN141" s="22" t="s">
        <v>197</v>
      </c>
      <c r="AO141" s="22" t="s">
        <v>197</v>
      </c>
      <c r="AP141" s="22" t="s">
        <v>197</v>
      </c>
    </row>
    <row r="142" customFormat="false" ht="21.75" hidden="false" customHeight="true" outlineLevel="0" collapsed="false">
      <c r="B142" s="15" t="n">
        <v>138</v>
      </c>
      <c r="C142" s="9" t="s">
        <v>42</v>
      </c>
      <c r="D142" s="9" t="s">
        <v>20</v>
      </c>
      <c r="E142" s="9" t="s">
        <v>117</v>
      </c>
      <c r="F142" s="9" t="s">
        <v>73</v>
      </c>
      <c r="G142" s="9" t="s">
        <v>598</v>
      </c>
      <c r="H142" s="9" t="s">
        <v>394</v>
      </c>
      <c r="I142" s="9" t="s">
        <v>599</v>
      </c>
      <c r="J142" s="9" t="s">
        <v>600</v>
      </c>
      <c r="K142" s="9" t="s">
        <v>601</v>
      </c>
      <c r="L142" s="9" t="s">
        <v>450</v>
      </c>
      <c r="M142" s="9" t="s">
        <v>235</v>
      </c>
      <c r="N142" s="9" t="s">
        <v>602</v>
      </c>
      <c r="O142" s="9" t="s">
        <v>189</v>
      </c>
      <c r="P142" s="9" t="s">
        <v>190</v>
      </c>
      <c r="Q142" s="9" t="s">
        <v>603</v>
      </c>
      <c r="R142" s="9" t="s">
        <v>604</v>
      </c>
      <c r="S142" s="9" t="s">
        <v>454</v>
      </c>
      <c r="T142" s="9" t="s">
        <v>605</v>
      </c>
      <c r="U142" s="19" t="n">
        <v>30</v>
      </c>
      <c r="V142" s="9"/>
      <c r="W142" s="9"/>
      <c r="X142" s="9" t="s">
        <v>195</v>
      </c>
      <c r="Y142" s="23" t="n">
        <v>0.031</v>
      </c>
      <c r="Z142" s="23" t="n">
        <v>0.052</v>
      </c>
      <c r="AA142" s="23" t="n">
        <v>12</v>
      </c>
      <c r="AB142" s="9" t="s">
        <v>450</v>
      </c>
      <c r="AC142" s="9" t="s">
        <v>495</v>
      </c>
      <c r="AD142" s="23" t="s">
        <v>197</v>
      </c>
      <c r="AE142" s="23" t="s">
        <v>197</v>
      </c>
      <c r="AF142" s="23" t="s">
        <v>197</v>
      </c>
      <c r="AG142" s="23" t="n">
        <v>4</v>
      </c>
      <c r="AH142" s="23" t="s">
        <v>197</v>
      </c>
      <c r="AI142" s="23" t="s">
        <v>197</v>
      </c>
      <c r="AJ142" s="23" t="s">
        <v>197</v>
      </c>
      <c r="AK142" s="23" t="s">
        <v>197</v>
      </c>
      <c r="AL142" s="23" t="s">
        <v>197</v>
      </c>
      <c r="AM142" s="9" t="s">
        <v>197</v>
      </c>
      <c r="AN142" s="23" t="s">
        <v>197</v>
      </c>
      <c r="AO142" s="23" t="s">
        <v>197</v>
      </c>
      <c r="AP142" s="23" t="s">
        <v>197</v>
      </c>
    </row>
    <row r="143" customFormat="false" ht="21.75" hidden="false" customHeight="true" outlineLevel="0" collapsed="false">
      <c r="B143" s="14" t="n">
        <v>139</v>
      </c>
      <c r="C143" s="7" t="s">
        <v>42</v>
      </c>
      <c r="D143" s="7" t="s">
        <v>20</v>
      </c>
      <c r="E143" s="7" t="s">
        <v>117</v>
      </c>
      <c r="F143" s="7" t="s">
        <v>73</v>
      </c>
      <c r="G143" s="7" t="s">
        <v>606</v>
      </c>
      <c r="H143" s="7" t="s">
        <v>402</v>
      </c>
      <c r="I143" s="7" t="s">
        <v>599</v>
      </c>
      <c r="J143" s="7" t="s">
        <v>600</v>
      </c>
      <c r="K143" s="7" t="s">
        <v>601</v>
      </c>
      <c r="L143" s="7" t="s">
        <v>450</v>
      </c>
      <c r="M143" s="7" t="s">
        <v>235</v>
      </c>
      <c r="N143" s="7" t="s">
        <v>602</v>
      </c>
      <c r="O143" s="7" t="s">
        <v>189</v>
      </c>
      <c r="P143" s="7" t="s">
        <v>190</v>
      </c>
      <c r="Q143" s="7" t="s">
        <v>603</v>
      </c>
      <c r="R143" s="7" t="s">
        <v>604</v>
      </c>
      <c r="S143" s="7" t="s">
        <v>454</v>
      </c>
      <c r="T143" s="7" t="s">
        <v>605</v>
      </c>
      <c r="U143" s="18" t="n">
        <v>50</v>
      </c>
      <c r="V143" s="7"/>
      <c r="W143" s="7"/>
      <c r="X143" s="7" t="s">
        <v>199</v>
      </c>
      <c r="Y143" s="22" t="n">
        <v>0.033</v>
      </c>
      <c r="Z143" s="22" t="n">
        <v>0.054</v>
      </c>
      <c r="AA143" s="22" t="n">
        <v>12</v>
      </c>
      <c r="AB143" s="7" t="s">
        <v>450</v>
      </c>
      <c r="AC143" s="7" t="s">
        <v>495</v>
      </c>
      <c r="AD143" s="22" t="s">
        <v>197</v>
      </c>
      <c r="AE143" s="22" t="s">
        <v>197</v>
      </c>
      <c r="AF143" s="22" t="s">
        <v>197</v>
      </c>
      <c r="AG143" s="22" t="n">
        <v>8</v>
      </c>
      <c r="AH143" s="22" t="s">
        <v>197</v>
      </c>
      <c r="AI143" s="22" t="s">
        <v>197</v>
      </c>
      <c r="AJ143" s="22" t="s">
        <v>197</v>
      </c>
      <c r="AK143" s="22" t="s">
        <v>197</v>
      </c>
      <c r="AL143" s="22" t="s">
        <v>197</v>
      </c>
      <c r="AM143" s="7" t="s">
        <v>197</v>
      </c>
      <c r="AN143" s="22" t="s">
        <v>197</v>
      </c>
      <c r="AO143" s="22" t="s">
        <v>197</v>
      </c>
      <c r="AP143" s="22" t="s">
        <v>197</v>
      </c>
    </row>
    <row r="144" customFormat="false" ht="21.75" hidden="false" customHeight="true" outlineLevel="0" collapsed="false">
      <c r="B144" s="15" t="n">
        <v>140</v>
      </c>
      <c r="C144" s="9" t="s">
        <v>42</v>
      </c>
      <c r="D144" s="9" t="s">
        <v>20</v>
      </c>
      <c r="E144" s="9" t="s">
        <v>117</v>
      </c>
      <c r="F144" s="9" t="s">
        <v>73</v>
      </c>
      <c r="G144" s="9" t="s">
        <v>607</v>
      </c>
      <c r="H144" s="9" t="s">
        <v>404</v>
      </c>
      <c r="I144" s="9" t="s">
        <v>599</v>
      </c>
      <c r="J144" s="9" t="s">
        <v>600</v>
      </c>
      <c r="K144" s="9" t="s">
        <v>601</v>
      </c>
      <c r="L144" s="9" t="s">
        <v>450</v>
      </c>
      <c r="M144" s="9" t="s">
        <v>235</v>
      </c>
      <c r="N144" s="9" t="s">
        <v>602</v>
      </c>
      <c r="O144" s="9" t="s">
        <v>189</v>
      </c>
      <c r="P144" s="9" t="s">
        <v>190</v>
      </c>
      <c r="Q144" s="9" t="s">
        <v>603</v>
      </c>
      <c r="R144" s="9" t="s">
        <v>604</v>
      </c>
      <c r="S144" s="9" t="s">
        <v>454</v>
      </c>
      <c r="T144" s="9" t="s">
        <v>605</v>
      </c>
      <c r="U144" s="19" t="n">
        <v>65</v>
      </c>
      <c r="V144" s="9"/>
      <c r="W144" s="9"/>
      <c r="X144" s="9" t="s">
        <v>608</v>
      </c>
      <c r="Y144" s="23" t="n">
        <v>0.053</v>
      </c>
      <c r="Z144" s="23" t="n">
        <v>0.08</v>
      </c>
      <c r="AA144" s="23" t="n">
        <v>12</v>
      </c>
      <c r="AB144" s="9" t="s">
        <v>450</v>
      </c>
      <c r="AC144" s="9" t="s">
        <v>495</v>
      </c>
      <c r="AD144" s="23" t="s">
        <v>197</v>
      </c>
      <c r="AE144" s="23" t="s">
        <v>197</v>
      </c>
      <c r="AF144" s="23" t="s">
        <v>197</v>
      </c>
      <c r="AG144" s="23" t="n">
        <v>8</v>
      </c>
      <c r="AH144" s="23" t="s">
        <v>197</v>
      </c>
      <c r="AI144" s="23" t="s">
        <v>197</v>
      </c>
      <c r="AJ144" s="23" t="s">
        <v>197</v>
      </c>
      <c r="AK144" s="23" t="s">
        <v>197</v>
      </c>
      <c r="AL144" s="23" t="s">
        <v>197</v>
      </c>
      <c r="AM144" s="9" t="s">
        <v>197</v>
      </c>
      <c r="AN144" s="23" t="s">
        <v>197</v>
      </c>
      <c r="AO144" s="23" t="s">
        <v>197</v>
      </c>
      <c r="AP144" s="23" t="s">
        <v>197</v>
      </c>
    </row>
    <row r="145" customFormat="false" ht="21.75" hidden="false" customHeight="true" outlineLevel="0" collapsed="false">
      <c r="B145" s="14" t="n">
        <v>141</v>
      </c>
      <c r="C145" s="7" t="s">
        <v>42</v>
      </c>
      <c r="D145" s="7" t="s">
        <v>20</v>
      </c>
      <c r="E145" s="7" t="s">
        <v>117</v>
      </c>
      <c r="F145" s="7" t="s">
        <v>73</v>
      </c>
      <c r="G145" s="7" t="s">
        <v>609</v>
      </c>
      <c r="H145" s="7" t="s">
        <v>407</v>
      </c>
      <c r="I145" s="7" t="s">
        <v>599</v>
      </c>
      <c r="J145" s="7" t="s">
        <v>600</v>
      </c>
      <c r="K145" s="7" t="s">
        <v>601</v>
      </c>
      <c r="L145" s="7" t="s">
        <v>450</v>
      </c>
      <c r="M145" s="7" t="s">
        <v>235</v>
      </c>
      <c r="N145" s="7" t="s">
        <v>602</v>
      </c>
      <c r="O145" s="7" t="s">
        <v>189</v>
      </c>
      <c r="P145" s="7" t="s">
        <v>190</v>
      </c>
      <c r="Q145" s="7" t="s">
        <v>603</v>
      </c>
      <c r="R145" s="7" t="s">
        <v>604</v>
      </c>
      <c r="S145" s="7" t="s">
        <v>454</v>
      </c>
      <c r="T145" s="7" t="s">
        <v>605</v>
      </c>
      <c r="U145" s="18" t="n">
        <v>100</v>
      </c>
      <c r="V145" s="7"/>
      <c r="W145" s="7"/>
      <c r="X145" s="7" t="s">
        <v>203</v>
      </c>
      <c r="Y145" s="22" t="n">
        <v>0.054</v>
      </c>
      <c r="Z145" s="22" t="n">
        <v>0.082</v>
      </c>
      <c r="AA145" s="22" t="n">
        <v>12</v>
      </c>
      <c r="AB145" s="7" t="s">
        <v>450</v>
      </c>
      <c r="AC145" s="7" t="s">
        <v>495</v>
      </c>
      <c r="AD145" s="22" t="s">
        <v>197</v>
      </c>
      <c r="AE145" s="22" t="s">
        <v>197</v>
      </c>
      <c r="AF145" s="22" t="s">
        <v>197</v>
      </c>
      <c r="AG145" s="22" t="n">
        <v>16</v>
      </c>
      <c r="AH145" s="22" t="s">
        <v>197</v>
      </c>
      <c r="AI145" s="22" t="s">
        <v>197</v>
      </c>
      <c r="AJ145" s="22" t="s">
        <v>197</v>
      </c>
      <c r="AK145" s="22" t="s">
        <v>197</v>
      </c>
      <c r="AL145" s="22" t="s">
        <v>197</v>
      </c>
      <c r="AM145" s="7" t="s">
        <v>197</v>
      </c>
      <c r="AN145" s="22" t="s">
        <v>197</v>
      </c>
      <c r="AO145" s="22" t="s">
        <v>197</v>
      </c>
      <c r="AP145" s="22" t="s">
        <v>197</v>
      </c>
    </row>
    <row r="146" customFormat="false" ht="21.75" hidden="false" customHeight="true" outlineLevel="0" collapsed="false">
      <c r="B146" s="15" t="n">
        <v>142</v>
      </c>
      <c r="C146" s="9" t="s">
        <v>42</v>
      </c>
      <c r="D146" s="9" t="s">
        <v>20</v>
      </c>
      <c r="E146" s="9" t="s">
        <v>117</v>
      </c>
      <c r="F146" s="9" t="s">
        <v>73</v>
      </c>
      <c r="G146" s="9" t="s">
        <v>610</v>
      </c>
      <c r="H146" s="9" t="s">
        <v>409</v>
      </c>
      <c r="I146" s="9" t="s">
        <v>599</v>
      </c>
      <c r="J146" s="9" t="s">
        <v>600</v>
      </c>
      <c r="K146" s="9" t="s">
        <v>601</v>
      </c>
      <c r="L146" s="9" t="s">
        <v>450</v>
      </c>
      <c r="M146" s="9" t="s">
        <v>235</v>
      </c>
      <c r="N146" s="9" t="s">
        <v>602</v>
      </c>
      <c r="O146" s="9" t="s">
        <v>189</v>
      </c>
      <c r="P146" s="9" t="s">
        <v>190</v>
      </c>
      <c r="Q146" s="9" t="s">
        <v>603</v>
      </c>
      <c r="R146" s="9" t="s">
        <v>604</v>
      </c>
      <c r="S146" s="9" t="s">
        <v>454</v>
      </c>
      <c r="T146" s="9" t="s">
        <v>605</v>
      </c>
      <c r="U146" s="19" t="n">
        <v>145</v>
      </c>
      <c r="V146" s="9"/>
      <c r="W146" s="9"/>
      <c r="X146" s="9" t="s">
        <v>205</v>
      </c>
      <c r="Y146" s="23" t="n">
        <v>0.032</v>
      </c>
      <c r="Z146" s="23" t="n">
        <v>0.052</v>
      </c>
      <c r="AA146" s="23" t="n">
        <v>12</v>
      </c>
      <c r="AB146" s="9" t="s">
        <v>450</v>
      </c>
      <c r="AC146" s="9" t="s">
        <v>495</v>
      </c>
      <c r="AD146" s="23" t="s">
        <v>197</v>
      </c>
      <c r="AE146" s="23" t="s">
        <v>197</v>
      </c>
      <c r="AF146" s="23" t="s">
        <v>197</v>
      </c>
      <c r="AG146" s="23" t="n">
        <v>16</v>
      </c>
      <c r="AH146" s="23" t="s">
        <v>197</v>
      </c>
      <c r="AI146" s="23" t="s">
        <v>197</v>
      </c>
      <c r="AJ146" s="23" t="s">
        <v>197</v>
      </c>
      <c r="AK146" s="23" t="s">
        <v>197</v>
      </c>
      <c r="AL146" s="23" t="s">
        <v>197</v>
      </c>
      <c r="AM146" s="9" t="s">
        <v>197</v>
      </c>
      <c r="AN146" s="23" t="s">
        <v>197</v>
      </c>
      <c r="AO146" s="23" t="s">
        <v>197</v>
      </c>
      <c r="AP146" s="23" t="s">
        <v>197</v>
      </c>
    </row>
    <row r="147" customFormat="false" ht="21.75" hidden="false" customHeight="true" outlineLevel="0" collapsed="false">
      <c r="B147" s="14" t="n">
        <v>143</v>
      </c>
      <c r="C147" s="7" t="s">
        <v>42</v>
      </c>
      <c r="D147" s="7" t="s">
        <v>20</v>
      </c>
      <c r="E147" s="7" t="s">
        <v>117</v>
      </c>
      <c r="F147" s="7" t="s">
        <v>74</v>
      </c>
      <c r="G147" s="7" t="s">
        <v>611</v>
      </c>
      <c r="H147" s="7" t="s">
        <v>411</v>
      </c>
      <c r="I147" s="7" t="s">
        <v>612</v>
      </c>
      <c r="J147" s="7" t="s">
        <v>613</v>
      </c>
      <c r="K147" s="7" t="s">
        <v>614</v>
      </c>
      <c r="L147" s="7" t="s">
        <v>450</v>
      </c>
      <c r="M147" s="7" t="s">
        <v>415</v>
      </c>
      <c r="N147" s="7" t="s">
        <v>615</v>
      </c>
      <c r="O147" s="7" t="s">
        <v>189</v>
      </c>
      <c r="P147" s="7" t="s">
        <v>190</v>
      </c>
      <c r="Q147" s="7" t="s">
        <v>616</v>
      </c>
      <c r="R147" s="7" t="s">
        <v>617</v>
      </c>
      <c r="S147" s="7" t="s">
        <v>454</v>
      </c>
      <c r="T147" s="7" t="s">
        <v>618</v>
      </c>
      <c r="U147" s="18" t="n">
        <v>19</v>
      </c>
      <c r="V147" s="7"/>
      <c r="W147" s="7"/>
      <c r="X147" s="7" t="s">
        <v>195</v>
      </c>
      <c r="Y147" s="22" t="n">
        <v>7.12E-006</v>
      </c>
      <c r="Z147" s="22" t="n">
        <v>3.094E-005</v>
      </c>
      <c r="AA147" s="22" t="n">
        <v>3</v>
      </c>
      <c r="AB147" s="7" t="s">
        <v>450</v>
      </c>
      <c r="AC147" s="7" t="s">
        <v>508</v>
      </c>
      <c r="AD147" s="22" t="s">
        <v>197</v>
      </c>
      <c r="AE147" s="22" t="s">
        <v>197</v>
      </c>
      <c r="AF147" s="22" t="s">
        <v>197</v>
      </c>
      <c r="AG147" s="22" t="s">
        <v>197</v>
      </c>
      <c r="AH147" s="22" t="s">
        <v>197</v>
      </c>
      <c r="AI147" s="22" t="s">
        <v>197</v>
      </c>
      <c r="AJ147" s="22" t="s">
        <v>197</v>
      </c>
      <c r="AK147" s="22" t="s">
        <v>197</v>
      </c>
      <c r="AL147" s="22" t="s">
        <v>197</v>
      </c>
      <c r="AM147" s="7" t="s">
        <v>197</v>
      </c>
      <c r="AN147" s="22" t="s">
        <v>197</v>
      </c>
      <c r="AO147" s="22" t="s">
        <v>197</v>
      </c>
      <c r="AP147" s="22" t="s">
        <v>197</v>
      </c>
    </row>
    <row r="148" customFormat="false" ht="21.75" hidden="false" customHeight="true" outlineLevel="0" collapsed="false">
      <c r="B148" s="15" t="n">
        <v>144</v>
      </c>
      <c r="C148" s="9" t="s">
        <v>42</v>
      </c>
      <c r="D148" s="9" t="s">
        <v>20</v>
      </c>
      <c r="E148" s="9" t="s">
        <v>117</v>
      </c>
      <c r="F148" s="9" t="s">
        <v>74</v>
      </c>
      <c r="G148" s="9" t="s">
        <v>619</v>
      </c>
      <c r="H148" s="9" t="s">
        <v>421</v>
      </c>
      <c r="I148" s="9" t="s">
        <v>612</v>
      </c>
      <c r="J148" s="9" t="s">
        <v>613</v>
      </c>
      <c r="K148" s="9" t="s">
        <v>614</v>
      </c>
      <c r="L148" s="9" t="s">
        <v>450</v>
      </c>
      <c r="M148" s="9" t="s">
        <v>415</v>
      </c>
      <c r="N148" s="9" t="s">
        <v>615</v>
      </c>
      <c r="O148" s="9" t="s">
        <v>189</v>
      </c>
      <c r="P148" s="9" t="s">
        <v>190</v>
      </c>
      <c r="Q148" s="9" t="s">
        <v>616</v>
      </c>
      <c r="R148" s="9" t="s">
        <v>617</v>
      </c>
      <c r="S148" s="9" t="s">
        <v>454</v>
      </c>
      <c r="T148" s="9" t="s">
        <v>618</v>
      </c>
      <c r="U148" s="19" t="n">
        <v>25</v>
      </c>
      <c r="V148" s="9"/>
      <c r="W148" s="9"/>
      <c r="X148" s="9" t="s">
        <v>199</v>
      </c>
      <c r="Y148" s="23" t="n">
        <v>3.45E-006</v>
      </c>
      <c r="Z148" s="23" t="n">
        <v>1.409E-005</v>
      </c>
      <c r="AA148" s="23" t="n">
        <v>3</v>
      </c>
      <c r="AB148" s="9" t="s">
        <v>450</v>
      </c>
      <c r="AC148" s="9" t="s">
        <v>508</v>
      </c>
      <c r="AD148" s="23" t="s">
        <v>197</v>
      </c>
      <c r="AE148" s="23" t="s">
        <v>197</v>
      </c>
      <c r="AF148" s="23" t="s">
        <v>197</v>
      </c>
      <c r="AG148" s="23" t="s">
        <v>197</v>
      </c>
      <c r="AH148" s="23" t="s">
        <v>197</v>
      </c>
      <c r="AI148" s="23" t="s">
        <v>197</v>
      </c>
      <c r="AJ148" s="23" t="s">
        <v>197</v>
      </c>
      <c r="AK148" s="23" t="s">
        <v>197</v>
      </c>
      <c r="AL148" s="23" t="s">
        <v>197</v>
      </c>
      <c r="AM148" s="9" t="s">
        <v>197</v>
      </c>
      <c r="AN148" s="23" t="s">
        <v>197</v>
      </c>
      <c r="AO148" s="23" t="s">
        <v>197</v>
      </c>
      <c r="AP148" s="23" t="s">
        <v>197</v>
      </c>
    </row>
    <row r="149" customFormat="false" ht="21.75" hidden="false" customHeight="true" outlineLevel="0" collapsed="false">
      <c r="B149" s="14" t="n">
        <v>145</v>
      </c>
      <c r="C149" s="7" t="s">
        <v>42</v>
      </c>
      <c r="D149" s="7" t="s">
        <v>20</v>
      </c>
      <c r="E149" s="7" t="s">
        <v>117</v>
      </c>
      <c r="F149" s="7" t="s">
        <v>74</v>
      </c>
      <c r="G149" s="7" t="s">
        <v>620</v>
      </c>
      <c r="H149" s="7" t="s">
        <v>423</v>
      </c>
      <c r="I149" s="7" t="s">
        <v>612</v>
      </c>
      <c r="J149" s="7" t="s">
        <v>613</v>
      </c>
      <c r="K149" s="7" t="s">
        <v>614</v>
      </c>
      <c r="L149" s="7" t="s">
        <v>450</v>
      </c>
      <c r="M149" s="7" t="s">
        <v>415</v>
      </c>
      <c r="N149" s="7" t="s">
        <v>615</v>
      </c>
      <c r="O149" s="7" t="s">
        <v>189</v>
      </c>
      <c r="P149" s="7" t="s">
        <v>190</v>
      </c>
      <c r="Q149" s="7" t="s">
        <v>616</v>
      </c>
      <c r="R149" s="7" t="s">
        <v>617</v>
      </c>
      <c r="S149" s="7" t="s">
        <v>454</v>
      </c>
      <c r="T149" s="7" t="s">
        <v>618</v>
      </c>
      <c r="U149" s="18" t="n">
        <v>35</v>
      </c>
      <c r="V149" s="7"/>
      <c r="W149" s="7"/>
      <c r="X149" s="7" t="s">
        <v>621</v>
      </c>
      <c r="Y149" s="22" t="n">
        <v>0</v>
      </c>
      <c r="Z149" s="22" t="n">
        <v>0</v>
      </c>
      <c r="AA149" s="22" t="s">
        <v>197</v>
      </c>
      <c r="AB149" s="7" t="s">
        <v>450</v>
      </c>
      <c r="AC149" s="7" t="s">
        <v>508</v>
      </c>
      <c r="AD149" s="22" t="s">
        <v>197</v>
      </c>
      <c r="AE149" s="22" t="s">
        <v>197</v>
      </c>
      <c r="AF149" s="22" t="s">
        <v>197</v>
      </c>
      <c r="AG149" s="22" t="s">
        <v>197</v>
      </c>
      <c r="AH149" s="22" t="s">
        <v>197</v>
      </c>
      <c r="AI149" s="22" t="s">
        <v>197</v>
      </c>
      <c r="AJ149" s="22" t="s">
        <v>197</v>
      </c>
      <c r="AK149" s="22" t="s">
        <v>197</v>
      </c>
      <c r="AL149" s="22" t="s">
        <v>197</v>
      </c>
      <c r="AM149" s="7" t="s">
        <v>197</v>
      </c>
      <c r="AN149" s="22" t="s">
        <v>197</v>
      </c>
      <c r="AO149" s="22" t="n">
        <v>1.1</v>
      </c>
      <c r="AP149" s="22" t="n">
        <v>1.5</v>
      </c>
    </row>
    <row r="150" customFormat="false" ht="21.75" hidden="false" customHeight="true" outlineLevel="0" collapsed="false">
      <c r="B150" s="15" t="n">
        <v>146</v>
      </c>
      <c r="C150" s="9" t="s">
        <v>42</v>
      </c>
      <c r="D150" s="9" t="s">
        <v>20</v>
      </c>
      <c r="E150" s="9" t="s">
        <v>117</v>
      </c>
      <c r="F150" s="9" t="s">
        <v>74</v>
      </c>
      <c r="G150" s="9" t="s">
        <v>622</v>
      </c>
      <c r="H150" s="9" t="s">
        <v>426</v>
      </c>
      <c r="I150" s="9" t="s">
        <v>612</v>
      </c>
      <c r="J150" s="9" t="s">
        <v>613</v>
      </c>
      <c r="K150" s="9" t="s">
        <v>614</v>
      </c>
      <c r="L150" s="9" t="s">
        <v>450</v>
      </c>
      <c r="M150" s="9" t="s">
        <v>415</v>
      </c>
      <c r="N150" s="9" t="s">
        <v>615</v>
      </c>
      <c r="O150" s="9" t="s">
        <v>189</v>
      </c>
      <c r="P150" s="9" t="s">
        <v>190</v>
      </c>
      <c r="Q150" s="9" t="s">
        <v>616</v>
      </c>
      <c r="R150" s="9" t="s">
        <v>617</v>
      </c>
      <c r="S150" s="9" t="s">
        <v>454</v>
      </c>
      <c r="T150" s="9" t="s">
        <v>618</v>
      </c>
      <c r="U150" s="19" t="n">
        <v>55</v>
      </c>
      <c r="V150" s="9"/>
      <c r="W150" s="9"/>
      <c r="X150" s="9" t="s">
        <v>203</v>
      </c>
      <c r="Y150" s="23" t="n">
        <v>0</v>
      </c>
      <c r="Z150" s="23" t="n">
        <v>0</v>
      </c>
      <c r="AA150" s="23" t="s">
        <v>197</v>
      </c>
      <c r="AB150" s="9" t="s">
        <v>450</v>
      </c>
      <c r="AC150" s="9" t="s">
        <v>508</v>
      </c>
      <c r="AD150" s="23" t="s">
        <v>197</v>
      </c>
      <c r="AE150" s="23" t="s">
        <v>197</v>
      </c>
      <c r="AF150" s="23" t="s">
        <v>197</v>
      </c>
      <c r="AG150" s="23" t="s">
        <v>197</v>
      </c>
      <c r="AH150" s="23" t="s">
        <v>197</v>
      </c>
      <c r="AI150" s="23" t="s">
        <v>197</v>
      </c>
      <c r="AJ150" s="23" t="s">
        <v>197</v>
      </c>
      <c r="AK150" s="23" t="s">
        <v>197</v>
      </c>
      <c r="AL150" s="23" t="s">
        <v>197</v>
      </c>
      <c r="AM150" s="9" t="s">
        <v>197</v>
      </c>
      <c r="AN150" s="23" t="s">
        <v>197</v>
      </c>
      <c r="AO150" s="23" t="n">
        <v>1.1</v>
      </c>
      <c r="AP150" s="23" t="n">
        <v>1.5</v>
      </c>
    </row>
    <row r="151" customFormat="false" ht="21.75" hidden="false" customHeight="true" outlineLevel="0" collapsed="false">
      <c r="B151" s="14" t="n">
        <v>147</v>
      </c>
      <c r="C151" s="7" t="s">
        <v>42</v>
      </c>
      <c r="D151" s="7" t="s">
        <v>20</v>
      </c>
      <c r="E151" s="7" t="s">
        <v>117</v>
      </c>
      <c r="F151" s="7" t="s">
        <v>74</v>
      </c>
      <c r="G151" s="7" t="s">
        <v>623</v>
      </c>
      <c r="H151" s="7" t="s">
        <v>428</v>
      </c>
      <c r="I151" s="7" t="s">
        <v>612</v>
      </c>
      <c r="J151" s="7" t="s">
        <v>613</v>
      </c>
      <c r="K151" s="7" t="s">
        <v>614</v>
      </c>
      <c r="L151" s="7" t="s">
        <v>450</v>
      </c>
      <c r="M151" s="7" t="s">
        <v>415</v>
      </c>
      <c r="N151" s="7" t="s">
        <v>615</v>
      </c>
      <c r="O151" s="7" t="s">
        <v>189</v>
      </c>
      <c r="P151" s="7" t="s">
        <v>190</v>
      </c>
      <c r="Q151" s="7" t="s">
        <v>616</v>
      </c>
      <c r="R151" s="7" t="s">
        <v>617</v>
      </c>
      <c r="S151" s="7" t="s">
        <v>454</v>
      </c>
      <c r="T151" s="7" t="s">
        <v>618</v>
      </c>
      <c r="U151" s="18" t="n">
        <v>80</v>
      </c>
      <c r="V151" s="7"/>
      <c r="W151" s="7"/>
      <c r="X151" s="7" t="s">
        <v>205</v>
      </c>
      <c r="Y151" s="22" t="n">
        <v>0</v>
      </c>
      <c r="Z151" s="22" t="n">
        <v>0</v>
      </c>
      <c r="AA151" s="22" t="s">
        <v>197</v>
      </c>
      <c r="AB151" s="7" t="s">
        <v>450</v>
      </c>
      <c r="AC151" s="7" t="s">
        <v>508</v>
      </c>
      <c r="AD151" s="22" t="s">
        <v>197</v>
      </c>
      <c r="AE151" s="22" t="s">
        <v>197</v>
      </c>
      <c r="AF151" s="22" t="s">
        <v>197</v>
      </c>
      <c r="AG151" s="22" t="s">
        <v>197</v>
      </c>
      <c r="AH151" s="22" t="s">
        <v>197</v>
      </c>
      <c r="AI151" s="22" t="s">
        <v>197</v>
      </c>
      <c r="AJ151" s="22" t="s">
        <v>197</v>
      </c>
      <c r="AK151" s="22" t="s">
        <v>197</v>
      </c>
      <c r="AL151" s="22" t="s">
        <v>197</v>
      </c>
      <c r="AM151" s="7" t="s">
        <v>197</v>
      </c>
      <c r="AN151" s="22" t="s">
        <v>197</v>
      </c>
      <c r="AO151" s="22" t="n">
        <v>1.1</v>
      </c>
      <c r="AP151" s="22" t="n">
        <v>1.5</v>
      </c>
    </row>
    <row r="152" customFormat="false" ht="21.75" hidden="false" customHeight="true" outlineLevel="0" collapsed="false">
      <c r="B152" s="15" t="n">
        <v>148</v>
      </c>
      <c r="C152" s="9" t="s">
        <v>42</v>
      </c>
      <c r="D152" s="9" t="s">
        <v>20</v>
      </c>
      <c r="E152" s="9" t="s">
        <v>117</v>
      </c>
      <c r="F152" s="9" t="s">
        <v>75</v>
      </c>
      <c r="G152" s="9" t="s">
        <v>624</v>
      </c>
      <c r="H152" s="9" t="s">
        <v>430</v>
      </c>
      <c r="I152" s="9" t="s">
        <v>625</v>
      </c>
      <c r="J152" s="9" t="s">
        <v>626</v>
      </c>
      <c r="K152" s="9" t="s">
        <v>614</v>
      </c>
      <c r="L152" s="9" t="s">
        <v>450</v>
      </c>
      <c r="M152" s="9" t="s">
        <v>415</v>
      </c>
      <c r="N152" s="9" t="s">
        <v>433</v>
      </c>
      <c r="O152" s="9" t="s">
        <v>189</v>
      </c>
      <c r="P152" s="9" t="s">
        <v>190</v>
      </c>
      <c r="Q152" s="9" t="s">
        <v>627</v>
      </c>
      <c r="R152" s="9" t="s">
        <v>628</v>
      </c>
      <c r="S152" s="9" t="s">
        <v>454</v>
      </c>
      <c r="T152" s="9" t="s">
        <v>436</v>
      </c>
      <c r="U152" s="19" t="n">
        <v>14</v>
      </c>
      <c r="V152" s="9"/>
      <c r="W152" s="9"/>
      <c r="X152" s="9" t="s">
        <v>195</v>
      </c>
      <c r="Y152" s="23" t="n">
        <v>2.37E-006</v>
      </c>
      <c r="Z152" s="23" t="n">
        <v>1.186E-005</v>
      </c>
      <c r="AA152" s="23" t="n">
        <v>3</v>
      </c>
      <c r="AB152" s="9" t="s">
        <v>450</v>
      </c>
      <c r="AC152" s="9" t="s">
        <v>522</v>
      </c>
      <c r="AD152" s="23" t="s">
        <v>197</v>
      </c>
      <c r="AE152" s="23" t="s">
        <v>197</v>
      </c>
      <c r="AF152" s="23" t="s">
        <v>197</v>
      </c>
      <c r="AG152" s="23" t="s">
        <v>197</v>
      </c>
      <c r="AH152" s="23" t="s">
        <v>197</v>
      </c>
      <c r="AI152" s="23" t="s">
        <v>197</v>
      </c>
      <c r="AJ152" s="23" t="s">
        <v>197</v>
      </c>
      <c r="AK152" s="23" t="s">
        <v>197</v>
      </c>
      <c r="AL152" s="23" t="s">
        <v>197</v>
      </c>
      <c r="AM152" s="9" t="s">
        <v>197</v>
      </c>
      <c r="AN152" s="23" t="s">
        <v>197</v>
      </c>
      <c r="AO152" s="23" t="s">
        <v>197</v>
      </c>
      <c r="AP152" s="23" t="s">
        <v>197</v>
      </c>
    </row>
    <row r="153" customFormat="false" ht="21.75" hidden="false" customHeight="true" outlineLevel="0" collapsed="false">
      <c r="B153" s="14" t="n">
        <v>149</v>
      </c>
      <c r="C153" s="7" t="s">
        <v>42</v>
      </c>
      <c r="D153" s="7" t="s">
        <v>20</v>
      </c>
      <c r="E153" s="7" t="s">
        <v>117</v>
      </c>
      <c r="F153" s="7" t="s">
        <v>75</v>
      </c>
      <c r="G153" s="7" t="s">
        <v>629</v>
      </c>
      <c r="H153" s="7" t="s">
        <v>438</v>
      </c>
      <c r="I153" s="7" t="s">
        <v>625</v>
      </c>
      <c r="J153" s="7" t="s">
        <v>626</v>
      </c>
      <c r="K153" s="7" t="s">
        <v>614</v>
      </c>
      <c r="L153" s="7" t="s">
        <v>450</v>
      </c>
      <c r="M153" s="7" t="s">
        <v>415</v>
      </c>
      <c r="N153" s="7" t="s">
        <v>433</v>
      </c>
      <c r="O153" s="7" t="s">
        <v>189</v>
      </c>
      <c r="P153" s="7" t="s">
        <v>190</v>
      </c>
      <c r="Q153" s="7" t="s">
        <v>627</v>
      </c>
      <c r="R153" s="7" t="s">
        <v>628</v>
      </c>
      <c r="S153" s="7" t="s">
        <v>454</v>
      </c>
      <c r="T153" s="7" t="s">
        <v>436</v>
      </c>
      <c r="U153" s="18" t="n">
        <v>20</v>
      </c>
      <c r="V153" s="7"/>
      <c r="W153" s="7"/>
      <c r="X153" s="7" t="s">
        <v>199</v>
      </c>
      <c r="Y153" s="22" t="n">
        <v>5.52E-006</v>
      </c>
      <c r="Z153" s="22" t="n">
        <v>2.758E-005</v>
      </c>
      <c r="AA153" s="22" t="n">
        <v>3</v>
      </c>
      <c r="AB153" s="7" t="s">
        <v>450</v>
      </c>
      <c r="AC153" s="7" t="s">
        <v>522</v>
      </c>
      <c r="AD153" s="22" t="s">
        <v>197</v>
      </c>
      <c r="AE153" s="22" t="s">
        <v>197</v>
      </c>
      <c r="AF153" s="22" t="s">
        <v>197</v>
      </c>
      <c r="AG153" s="22" t="s">
        <v>197</v>
      </c>
      <c r="AH153" s="22" t="s">
        <v>197</v>
      </c>
      <c r="AI153" s="22" t="s">
        <v>197</v>
      </c>
      <c r="AJ153" s="22" t="s">
        <v>197</v>
      </c>
      <c r="AK153" s="22" t="s">
        <v>197</v>
      </c>
      <c r="AL153" s="22" t="s">
        <v>197</v>
      </c>
      <c r="AM153" s="7" t="s">
        <v>197</v>
      </c>
      <c r="AN153" s="22" t="s">
        <v>197</v>
      </c>
      <c r="AO153" s="22" t="s">
        <v>197</v>
      </c>
      <c r="AP153" s="22" t="s">
        <v>197</v>
      </c>
    </row>
    <row r="154" customFormat="false" ht="21.75" hidden="false" customHeight="true" outlineLevel="0" collapsed="false">
      <c r="B154" s="15" t="n">
        <v>150</v>
      </c>
      <c r="C154" s="9" t="s">
        <v>42</v>
      </c>
      <c r="D154" s="9" t="s">
        <v>20</v>
      </c>
      <c r="E154" s="9" t="s">
        <v>117</v>
      </c>
      <c r="F154" s="9" t="s">
        <v>75</v>
      </c>
      <c r="G154" s="9" t="s">
        <v>630</v>
      </c>
      <c r="H154" s="9" t="s">
        <v>440</v>
      </c>
      <c r="I154" s="9" t="s">
        <v>625</v>
      </c>
      <c r="J154" s="9" t="s">
        <v>626</v>
      </c>
      <c r="K154" s="9" t="s">
        <v>614</v>
      </c>
      <c r="L154" s="9" t="s">
        <v>450</v>
      </c>
      <c r="M154" s="9" t="s">
        <v>415</v>
      </c>
      <c r="N154" s="9" t="s">
        <v>433</v>
      </c>
      <c r="O154" s="9" t="s">
        <v>189</v>
      </c>
      <c r="P154" s="9" t="s">
        <v>190</v>
      </c>
      <c r="Q154" s="9" t="s">
        <v>627</v>
      </c>
      <c r="R154" s="9" t="s">
        <v>628</v>
      </c>
      <c r="S154" s="9" t="s">
        <v>454</v>
      </c>
      <c r="T154" s="9" t="s">
        <v>436</v>
      </c>
      <c r="U154" s="19" t="n">
        <v>25</v>
      </c>
      <c r="V154" s="9"/>
      <c r="W154" s="9"/>
      <c r="X154" s="9" t="s">
        <v>631</v>
      </c>
      <c r="Y154" s="23" t="n">
        <v>2.6E-006</v>
      </c>
      <c r="Z154" s="23" t="n">
        <v>1.301E-005</v>
      </c>
      <c r="AA154" s="23" t="n">
        <v>3</v>
      </c>
      <c r="AB154" s="9" t="s">
        <v>450</v>
      </c>
      <c r="AC154" s="9" t="s">
        <v>522</v>
      </c>
      <c r="AD154" s="23" t="s">
        <v>197</v>
      </c>
      <c r="AE154" s="23" t="s">
        <v>197</v>
      </c>
      <c r="AF154" s="23" t="s">
        <v>197</v>
      </c>
      <c r="AG154" s="23" t="s">
        <v>197</v>
      </c>
      <c r="AH154" s="23" t="s">
        <v>197</v>
      </c>
      <c r="AI154" s="23" t="s">
        <v>197</v>
      </c>
      <c r="AJ154" s="23" t="s">
        <v>197</v>
      </c>
      <c r="AK154" s="23" t="s">
        <v>197</v>
      </c>
      <c r="AL154" s="23" t="s">
        <v>197</v>
      </c>
      <c r="AM154" s="9" t="s">
        <v>197</v>
      </c>
      <c r="AN154" s="23" t="s">
        <v>197</v>
      </c>
      <c r="AO154" s="23" t="s">
        <v>197</v>
      </c>
      <c r="AP154" s="23" t="s">
        <v>197</v>
      </c>
    </row>
    <row r="155" customFormat="false" ht="21.75" hidden="false" customHeight="true" outlineLevel="0" collapsed="false">
      <c r="B155" s="14" t="n">
        <v>151</v>
      </c>
      <c r="C155" s="7" t="s">
        <v>42</v>
      </c>
      <c r="D155" s="7" t="s">
        <v>20</v>
      </c>
      <c r="E155" s="7" t="s">
        <v>117</v>
      </c>
      <c r="F155" s="7" t="s">
        <v>75</v>
      </c>
      <c r="G155" s="7" t="s">
        <v>632</v>
      </c>
      <c r="H155" s="7" t="s">
        <v>443</v>
      </c>
      <c r="I155" s="7" t="s">
        <v>625</v>
      </c>
      <c r="J155" s="7" t="s">
        <v>626</v>
      </c>
      <c r="K155" s="7" t="s">
        <v>614</v>
      </c>
      <c r="L155" s="7" t="s">
        <v>450</v>
      </c>
      <c r="M155" s="7" t="s">
        <v>415</v>
      </c>
      <c r="N155" s="7" t="s">
        <v>433</v>
      </c>
      <c r="O155" s="7" t="s">
        <v>189</v>
      </c>
      <c r="P155" s="7" t="s">
        <v>190</v>
      </c>
      <c r="Q155" s="7" t="s">
        <v>627</v>
      </c>
      <c r="R155" s="7" t="s">
        <v>628</v>
      </c>
      <c r="S155" s="7" t="s">
        <v>454</v>
      </c>
      <c r="T155" s="7" t="s">
        <v>436</v>
      </c>
      <c r="U155" s="18" t="n">
        <v>40</v>
      </c>
      <c r="V155" s="7"/>
      <c r="W155" s="7"/>
      <c r="X155" s="7" t="s">
        <v>203</v>
      </c>
      <c r="Y155" s="22" t="n">
        <v>5.58E-006</v>
      </c>
      <c r="Z155" s="22" t="n">
        <v>2.791E-005</v>
      </c>
      <c r="AA155" s="22" t="n">
        <v>3</v>
      </c>
      <c r="AB155" s="7" t="s">
        <v>450</v>
      </c>
      <c r="AC155" s="7" t="s">
        <v>522</v>
      </c>
      <c r="AD155" s="22" t="s">
        <v>197</v>
      </c>
      <c r="AE155" s="22" t="s">
        <v>197</v>
      </c>
      <c r="AF155" s="22" t="s">
        <v>197</v>
      </c>
      <c r="AG155" s="22" t="s">
        <v>197</v>
      </c>
      <c r="AH155" s="22" t="s">
        <v>197</v>
      </c>
      <c r="AI155" s="22" t="s">
        <v>197</v>
      </c>
      <c r="AJ155" s="22" t="s">
        <v>197</v>
      </c>
      <c r="AK155" s="22" t="s">
        <v>197</v>
      </c>
      <c r="AL155" s="22" t="s">
        <v>197</v>
      </c>
      <c r="AM155" s="7" t="s">
        <v>197</v>
      </c>
      <c r="AN155" s="22" t="s">
        <v>197</v>
      </c>
      <c r="AO155" s="22" t="s">
        <v>197</v>
      </c>
      <c r="AP155" s="22" t="s">
        <v>197</v>
      </c>
    </row>
    <row r="156" customFormat="false" ht="21.75" hidden="false" customHeight="true" outlineLevel="0" collapsed="false">
      <c r="B156" s="15" t="n">
        <v>152</v>
      </c>
      <c r="C156" s="9" t="s">
        <v>42</v>
      </c>
      <c r="D156" s="9" t="s">
        <v>20</v>
      </c>
      <c r="E156" s="9" t="s">
        <v>117</v>
      </c>
      <c r="F156" s="9" t="s">
        <v>75</v>
      </c>
      <c r="G156" s="9" t="s">
        <v>633</v>
      </c>
      <c r="H156" s="9" t="s">
        <v>444</v>
      </c>
      <c r="I156" s="9" t="s">
        <v>625</v>
      </c>
      <c r="J156" s="9" t="s">
        <v>626</v>
      </c>
      <c r="K156" s="9" t="s">
        <v>614</v>
      </c>
      <c r="L156" s="9" t="s">
        <v>450</v>
      </c>
      <c r="M156" s="9" t="s">
        <v>415</v>
      </c>
      <c r="N156" s="9" t="s">
        <v>433</v>
      </c>
      <c r="O156" s="9" t="s">
        <v>189</v>
      </c>
      <c r="P156" s="9" t="s">
        <v>190</v>
      </c>
      <c r="Q156" s="9" t="s">
        <v>627</v>
      </c>
      <c r="R156" s="9" t="s">
        <v>628</v>
      </c>
      <c r="S156" s="9" t="s">
        <v>454</v>
      </c>
      <c r="T156" s="9" t="s">
        <v>436</v>
      </c>
      <c r="U156" s="19" t="n">
        <v>60</v>
      </c>
      <c r="V156" s="9"/>
      <c r="W156" s="9"/>
      <c r="X156" s="9" t="s">
        <v>205</v>
      </c>
      <c r="Y156" s="23" t="n">
        <v>5.57E-006</v>
      </c>
      <c r="Z156" s="23" t="n">
        <v>2.783E-005</v>
      </c>
      <c r="AA156" s="23" t="n">
        <v>3</v>
      </c>
      <c r="AB156" s="9" t="s">
        <v>450</v>
      </c>
      <c r="AC156" s="9" t="s">
        <v>522</v>
      </c>
      <c r="AD156" s="23" t="s">
        <v>197</v>
      </c>
      <c r="AE156" s="23" t="s">
        <v>197</v>
      </c>
      <c r="AF156" s="23" t="s">
        <v>197</v>
      </c>
      <c r="AG156" s="23" t="s">
        <v>197</v>
      </c>
      <c r="AH156" s="23" t="s">
        <v>197</v>
      </c>
      <c r="AI156" s="23" t="s">
        <v>197</v>
      </c>
      <c r="AJ156" s="23" t="s">
        <v>197</v>
      </c>
      <c r="AK156" s="23" t="s">
        <v>197</v>
      </c>
      <c r="AL156" s="23" t="s">
        <v>197</v>
      </c>
      <c r="AM156" s="9" t="s">
        <v>197</v>
      </c>
      <c r="AN156" s="23" t="s">
        <v>197</v>
      </c>
      <c r="AO156" s="23" t="s">
        <v>197</v>
      </c>
      <c r="AP156" s="23" t="s">
        <v>197</v>
      </c>
    </row>
    <row r="157" customFormat="false" ht="21.75" hidden="false" customHeight="true" outlineLevel="0" collapsed="false">
      <c r="B157" s="14" t="n">
        <v>153</v>
      </c>
      <c r="C157" s="7" t="s">
        <v>43</v>
      </c>
      <c r="D157" s="7" t="s">
        <v>20</v>
      </c>
      <c r="E157" s="7" t="s">
        <v>117</v>
      </c>
      <c r="F157" s="7" t="s">
        <v>60</v>
      </c>
      <c r="G157" s="7" t="s">
        <v>634</v>
      </c>
      <c r="H157" s="7" t="s">
        <v>635</v>
      </c>
      <c r="I157" s="7" t="s">
        <v>636</v>
      </c>
      <c r="J157" s="7" t="s">
        <v>637</v>
      </c>
      <c r="K157" s="7" t="s">
        <v>638</v>
      </c>
      <c r="L157" s="7" t="s">
        <v>639</v>
      </c>
      <c r="M157" s="7" t="s">
        <v>187</v>
      </c>
      <c r="N157" s="7" t="s">
        <v>210</v>
      </c>
      <c r="O157" s="7" t="s">
        <v>189</v>
      </c>
      <c r="P157" s="7" t="s">
        <v>640</v>
      </c>
      <c r="Q157" s="7" t="s">
        <v>641</v>
      </c>
      <c r="R157" s="7" t="s">
        <v>642</v>
      </c>
      <c r="S157" s="7" t="s">
        <v>643</v>
      </c>
      <c r="T157" s="7" t="s">
        <v>644</v>
      </c>
      <c r="U157" s="18" t="n">
        <v>140</v>
      </c>
      <c r="V157" s="7"/>
      <c r="W157" s="7"/>
      <c r="X157" s="7" t="s">
        <v>195</v>
      </c>
      <c r="Y157" s="22" t="n">
        <v>0.099</v>
      </c>
      <c r="Z157" s="22" t="n">
        <v>0.6</v>
      </c>
      <c r="AA157" s="22" t="n">
        <v>12</v>
      </c>
      <c r="AB157" s="7" t="s">
        <v>639</v>
      </c>
      <c r="AC157" s="7" t="s">
        <v>645</v>
      </c>
      <c r="AD157" s="22" t="n">
        <v>0.099</v>
      </c>
      <c r="AE157" s="22" t="n">
        <v>0.6</v>
      </c>
      <c r="AF157" s="22" t="n">
        <v>2.5</v>
      </c>
      <c r="AG157" s="22" t="n">
        <v>32</v>
      </c>
      <c r="AH157" s="22" t="n">
        <v>4</v>
      </c>
      <c r="AI157" s="22" t="s">
        <v>197</v>
      </c>
      <c r="AJ157" s="22" t="s">
        <v>197</v>
      </c>
      <c r="AK157" s="22" t="s">
        <v>197</v>
      </c>
      <c r="AL157" s="22" t="s">
        <v>197</v>
      </c>
      <c r="AM157" s="7" t="s">
        <v>197</v>
      </c>
      <c r="AN157" s="22" t="s">
        <v>197</v>
      </c>
      <c r="AO157" s="22" t="s">
        <v>197</v>
      </c>
      <c r="AP157" s="22" t="s">
        <v>197</v>
      </c>
    </row>
    <row r="158" customFormat="false" ht="21.75" hidden="false" customHeight="true" outlineLevel="0" collapsed="false">
      <c r="B158" s="15" t="n">
        <v>154</v>
      </c>
      <c r="C158" s="9" t="s">
        <v>43</v>
      </c>
      <c r="D158" s="9" t="s">
        <v>20</v>
      </c>
      <c r="E158" s="9" t="s">
        <v>117</v>
      </c>
      <c r="F158" s="9" t="s">
        <v>60</v>
      </c>
      <c r="G158" s="9" t="s">
        <v>646</v>
      </c>
      <c r="H158" s="9" t="s">
        <v>635</v>
      </c>
      <c r="I158" s="9" t="s">
        <v>636</v>
      </c>
      <c r="J158" s="9" t="s">
        <v>637</v>
      </c>
      <c r="K158" s="9" t="s">
        <v>638</v>
      </c>
      <c r="L158" s="9" t="s">
        <v>639</v>
      </c>
      <c r="M158" s="9" t="s">
        <v>187</v>
      </c>
      <c r="N158" s="9" t="s">
        <v>210</v>
      </c>
      <c r="O158" s="9" t="s">
        <v>189</v>
      </c>
      <c r="P158" s="9" t="s">
        <v>640</v>
      </c>
      <c r="Q158" s="9" t="s">
        <v>641</v>
      </c>
      <c r="R158" s="9" t="s">
        <v>642</v>
      </c>
      <c r="S158" s="9" t="s">
        <v>643</v>
      </c>
      <c r="T158" s="9" t="s">
        <v>644</v>
      </c>
      <c r="U158" s="19" t="n">
        <v>210</v>
      </c>
      <c r="V158" s="9"/>
      <c r="W158" s="9"/>
      <c r="X158" s="9" t="s">
        <v>199</v>
      </c>
      <c r="Y158" s="23" t="n">
        <v>0.099</v>
      </c>
      <c r="Z158" s="23" t="n">
        <v>0.6</v>
      </c>
      <c r="AA158" s="23" t="n">
        <v>12</v>
      </c>
      <c r="AB158" s="9" t="s">
        <v>639</v>
      </c>
      <c r="AC158" s="9" t="s">
        <v>645</v>
      </c>
      <c r="AD158" s="23" t="n">
        <v>0.099</v>
      </c>
      <c r="AE158" s="23" t="n">
        <v>0.6</v>
      </c>
      <c r="AF158" s="23" t="n">
        <v>2.5</v>
      </c>
      <c r="AG158" s="23" t="n">
        <v>32</v>
      </c>
      <c r="AH158" s="23" t="n">
        <v>4</v>
      </c>
      <c r="AI158" s="23" t="s">
        <v>197</v>
      </c>
      <c r="AJ158" s="23" t="s">
        <v>197</v>
      </c>
      <c r="AK158" s="23" t="s">
        <v>197</v>
      </c>
      <c r="AL158" s="23" t="s">
        <v>197</v>
      </c>
      <c r="AM158" s="9" t="s">
        <v>197</v>
      </c>
      <c r="AN158" s="23" t="s">
        <v>197</v>
      </c>
      <c r="AO158" s="23" t="s">
        <v>197</v>
      </c>
      <c r="AP158" s="23" t="s">
        <v>197</v>
      </c>
    </row>
    <row r="159" customFormat="false" ht="21.75" hidden="false" customHeight="true" outlineLevel="0" collapsed="false">
      <c r="B159" s="14" t="n">
        <v>155</v>
      </c>
      <c r="C159" s="7" t="s">
        <v>43</v>
      </c>
      <c r="D159" s="7" t="s">
        <v>20</v>
      </c>
      <c r="E159" s="7" t="s">
        <v>117</v>
      </c>
      <c r="F159" s="7" t="s">
        <v>60</v>
      </c>
      <c r="G159" s="7" t="s">
        <v>647</v>
      </c>
      <c r="H159" s="7" t="s">
        <v>635</v>
      </c>
      <c r="I159" s="7" t="s">
        <v>636</v>
      </c>
      <c r="J159" s="7" t="s">
        <v>637</v>
      </c>
      <c r="K159" s="7" t="s">
        <v>638</v>
      </c>
      <c r="L159" s="7" t="s">
        <v>639</v>
      </c>
      <c r="M159" s="7" t="s">
        <v>187</v>
      </c>
      <c r="N159" s="7" t="s">
        <v>210</v>
      </c>
      <c r="O159" s="7" t="s">
        <v>189</v>
      </c>
      <c r="P159" s="7" t="s">
        <v>640</v>
      </c>
      <c r="Q159" s="7" t="s">
        <v>641</v>
      </c>
      <c r="R159" s="7" t="s">
        <v>642</v>
      </c>
      <c r="S159" s="7" t="s">
        <v>643</v>
      </c>
      <c r="T159" s="7" t="s">
        <v>644</v>
      </c>
      <c r="U159" s="18" t="n">
        <v>285</v>
      </c>
      <c r="V159" s="7"/>
      <c r="W159" s="7"/>
      <c r="X159" s="7" t="s">
        <v>648</v>
      </c>
      <c r="Y159" s="22" t="n">
        <v>0.094</v>
      </c>
      <c r="Z159" s="22" t="n">
        <v>0.6</v>
      </c>
      <c r="AA159" s="22" t="n">
        <v>12</v>
      </c>
      <c r="AB159" s="7" t="s">
        <v>639</v>
      </c>
      <c r="AC159" s="7" t="s">
        <v>645</v>
      </c>
      <c r="AD159" s="22" t="n">
        <v>0.094</v>
      </c>
      <c r="AE159" s="22" t="n">
        <v>0.6</v>
      </c>
      <c r="AF159" s="22" t="n">
        <v>2.5</v>
      </c>
      <c r="AG159" s="22" t="n">
        <v>32</v>
      </c>
      <c r="AH159" s="22" t="n">
        <v>8</v>
      </c>
      <c r="AI159" s="22" t="s">
        <v>197</v>
      </c>
      <c r="AJ159" s="22" t="s">
        <v>197</v>
      </c>
      <c r="AK159" s="22" t="s">
        <v>197</v>
      </c>
      <c r="AL159" s="22" t="s">
        <v>197</v>
      </c>
      <c r="AM159" s="7" t="s">
        <v>197</v>
      </c>
      <c r="AN159" s="22" t="s">
        <v>197</v>
      </c>
      <c r="AO159" s="22" t="s">
        <v>197</v>
      </c>
      <c r="AP159" s="22" t="s">
        <v>197</v>
      </c>
    </row>
    <row r="160" customFormat="false" ht="21.75" hidden="false" customHeight="true" outlineLevel="0" collapsed="false">
      <c r="B160" s="15" t="n">
        <v>156</v>
      </c>
      <c r="C160" s="9" t="s">
        <v>43</v>
      </c>
      <c r="D160" s="9" t="s">
        <v>20</v>
      </c>
      <c r="E160" s="9" t="s">
        <v>117</v>
      </c>
      <c r="F160" s="9" t="s">
        <v>60</v>
      </c>
      <c r="G160" s="9" t="s">
        <v>649</v>
      </c>
      <c r="H160" s="9" t="s">
        <v>635</v>
      </c>
      <c r="I160" s="9" t="s">
        <v>636</v>
      </c>
      <c r="J160" s="9" t="s">
        <v>637</v>
      </c>
      <c r="K160" s="9" t="s">
        <v>638</v>
      </c>
      <c r="L160" s="9" t="s">
        <v>639</v>
      </c>
      <c r="M160" s="9" t="s">
        <v>187</v>
      </c>
      <c r="N160" s="9" t="s">
        <v>210</v>
      </c>
      <c r="O160" s="9" t="s">
        <v>189</v>
      </c>
      <c r="P160" s="9" t="s">
        <v>640</v>
      </c>
      <c r="Q160" s="9" t="s">
        <v>641</v>
      </c>
      <c r="R160" s="9" t="s">
        <v>642</v>
      </c>
      <c r="S160" s="9" t="s">
        <v>643</v>
      </c>
      <c r="T160" s="9" t="s">
        <v>644</v>
      </c>
      <c r="U160" s="19" t="n">
        <v>425</v>
      </c>
      <c r="V160" s="9"/>
      <c r="W160" s="9"/>
      <c r="X160" s="9" t="s">
        <v>203</v>
      </c>
      <c r="Y160" s="23" t="n">
        <v>0.117</v>
      </c>
      <c r="Z160" s="23" t="n">
        <v>0.6</v>
      </c>
      <c r="AA160" s="23" t="n">
        <v>12</v>
      </c>
      <c r="AB160" s="9" t="s">
        <v>639</v>
      </c>
      <c r="AC160" s="9" t="s">
        <v>645</v>
      </c>
      <c r="AD160" s="23" t="n">
        <v>0.117</v>
      </c>
      <c r="AE160" s="23" t="n">
        <v>0.6</v>
      </c>
      <c r="AF160" s="23" t="n">
        <v>3</v>
      </c>
      <c r="AG160" s="23" t="n">
        <v>64</v>
      </c>
      <c r="AH160" s="23" t="n">
        <v>8</v>
      </c>
      <c r="AI160" s="23" t="s">
        <v>197</v>
      </c>
      <c r="AJ160" s="23" t="s">
        <v>197</v>
      </c>
      <c r="AK160" s="23" t="s">
        <v>197</v>
      </c>
      <c r="AL160" s="23" t="s">
        <v>197</v>
      </c>
      <c r="AM160" s="9" t="s">
        <v>197</v>
      </c>
      <c r="AN160" s="23" t="s">
        <v>197</v>
      </c>
      <c r="AO160" s="23" t="s">
        <v>197</v>
      </c>
      <c r="AP160" s="23" t="s">
        <v>197</v>
      </c>
    </row>
    <row r="161" customFormat="false" ht="21.75" hidden="false" customHeight="true" outlineLevel="0" collapsed="false">
      <c r="B161" s="14" t="n">
        <v>157</v>
      </c>
      <c r="C161" s="7" t="s">
        <v>43</v>
      </c>
      <c r="D161" s="7" t="s">
        <v>20</v>
      </c>
      <c r="E161" s="7" t="s">
        <v>117</v>
      </c>
      <c r="F161" s="7" t="s">
        <v>60</v>
      </c>
      <c r="G161" s="7" t="s">
        <v>650</v>
      </c>
      <c r="H161" s="7" t="s">
        <v>635</v>
      </c>
      <c r="I161" s="7" t="s">
        <v>636</v>
      </c>
      <c r="J161" s="7" t="s">
        <v>637</v>
      </c>
      <c r="K161" s="7" t="s">
        <v>638</v>
      </c>
      <c r="L161" s="7" t="s">
        <v>639</v>
      </c>
      <c r="M161" s="7" t="s">
        <v>187</v>
      </c>
      <c r="N161" s="7" t="s">
        <v>210</v>
      </c>
      <c r="O161" s="7" t="s">
        <v>189</v>
      </c>
      <c r="P161" s="7" t="s">
        <v>640</v>
      </c>
      <c r="Q161" s="7" t="s">
        <v>641</v>
      </c>
      <c r="R161" s="7" t="s">
        <v>642</v>
      </c>
      <c r="S161" s="7" t="s">
        <v>643</v>
      </c>
      <c r="T161" s="7" t="s">
        <v>644</v>
      </c>
      <c r="U161" s="18" t="n">
        <v>625</v>
      </c>
      <c r="V161" s="7"/>
      <c r="W161" s="7"/>
      <c r="X161" s="7" t="s">
        <v>205</v>
      </c>
      <c r="Y161" s="22" t="n">
        <v>0.113</v>
      </c>
      <c r="Z161" s="22" t="n">
        <v>0.6</v>
      </c>
      <c r="AA161" s="22" t="n">
        <v>12</v>
      </c>
      <c r="AB161" s="7" t="s">
        <v>639</v>
      </c>
      <c r="AC161" s="7" t="s">
        <v>645</v>
      </c>
      <c r="AD161" s="22" t="n">
        <v>0.113</v>
      </c>
      <c r="AE161" s="22" t="n">
        <v>0.6</v>
      </c>
      <c r="AF161" s="22" t="n">
        <v>3.5</v>
      </c>
      <c r="AG161" s="22" t="n">
        <v>192</v>
      </c>
      <c r="AH161" s="22" t="n">
        <v>32</v>
      </c>
      <c r="AI161" s="22" t="s">
        <v>197</v>
      </c>
      <c r="AJ161" s="22" t="s">
        <v>197</v>
      </c>
      <c r="AK161" s="22" t="s">
        <v>197</v>
      </c>
      <c r="AL161" s="22" t="s">
        <v>197</v>
      </c>
      <c r="AM161" s="7" t="s">
        <v>197</v>
      </c>
      <c r="AN161" s="22" t="s">
        <v>197</v>
      </c>
      <c r="AO161" s="22" t="s">
        <v>197</v>
      </c>
      <c r="AP161" s="22" t="s">
        <v>197</v>
      </c>
    </row>
    <row r="162" customFormat="false" ht="21.75" hidden="false" customHeight="true" outlineLevel="0" collapsed="false">
      <c r="B162" s="15" t="n">
        <v>158</v>
      </c>
      <c r="C162" s="9" t="s">
        <v>43</v>
      </c>
      <c r="D162" s="9" t="s">
        <v>20</v>
      </c>
      <c r="E162" s="9" t="s">
        <v>117</v>
      </c>
      <c r="F162" s="9" t="s">
        <v>61</v>
      </c>
      <c r="G162" s="9" t="s">
        <v>634</v>
      </c>
      <c r="H162" s="9" t="s">
        <v>651</v>
      </c>
      <c r="I162" s="9" t="s">
        <v>652</v>
      </c>
      <c r="J162" s="9" t="s">
        <v>653</v>
      </c>
      <c r="K162" s="9" t="s">
        <v>465</v>
      </c>
      <c r="L162" s="9" t="s">
        <v>639</v>
      </c>
      <c r="M162" s="9" t="s">
        <v>654</v>
      </c>
      <c r="N162" s="9" t="s">
        <v>479</v>
      </c>
      <c r="O162" s="9" t="s">
        <v>189</v>
      </c>
      <c r="P162" s="9" t="s">
        <v>640</v>
      </c>
      <c r="Q162" s="9" t="s">
        <v>655</v>
      </c>
      <c r="R162" s="9" t="s">
        <v>347</v>
      </c>
      <c r="S162" s="9" t="s">
        <v>643</v>
      </c>
      <c r="T162" s="9" t="s">
        <v>213</v>
      </c>
      <c r="U162" s="19" t="n">
        <v>65</v>
      </c>
      <c r="V162" s="9"/>
      <c r="W162" s="9"/>
      <c r="X162" s="9" t="s">
        <v>195</v>
      </c>
      <c r="Y162" s="23" t="n">
        <v>0.099</v>
      </c>
      <c r="Z162" s="23" t="n">
        <v>0.4</v>
      </c>
      <c r="AA162" s="23" t="n">
        <v>12</v>
      </c>
      <c r="AB162" s="9" t="s">
        <v>639</v>
      </c>
      <c r="AC162" s="9" t="s">
        <v>645</v>
      </c>
      <c r="AD162" s="23" t="n">
        <v>0.099</v>
      </c>
      <c r="AE162" s="23" t="n">
        <v>0.4</v>
      </c>
      <c r="AF162" s="23" t="n">
        <v>2.5</v>
      </c>
      <c r="AG162" s="23" t="n">
        <v>32</v>
      </c>
      <c r="AH162" s="23" t="n">
        <v>4</v>
      </c>
      <c r="AI162" s="23" t="s">
        <v>197</v>
      </c>
      <c r="AJ162" s="23" t="s">
        <v>197</v>
      </c>
      <c r="AK162" s="23" t="s">
        <v>197</v>
      </c>
      <c r="AL162" s="23" t="s">
        <v>197</v>
      </c>
      <c r="AM162" s="9" t="s">
        <v>197</v>
      </c>
      <c r="AN162" s="23" t="s">
        <v>197</v>
      </c>
      <c r="AO162" s="23" t="s">
        <v>197</v>
      </c>
      <c r="AP162" s="23" t="s">
        <v>197</v>
      </c>
    </row>
    <row r="163" customFormat="false" ht="21.75" hidden="false" customHeight="true" outlineLevel="0" collapsed="false">
      <c r="B163" s="14" t="n">
        <v>159</v>
      </c>
      <c r="C163" s="7" t="s">
        <v>43</v>
      </c>
      <c r="D163" s="7" t="s">
        <v>20</v>
      </c>
      <c r="E163" s="7" t="s">
        <v>117</v>
      </c>
      <c r="F163" s="7" t="s">
        <v>61</v>
      </c>
      <c r="G163" s="7" t="s">
        <v>646</v>
      </c>
      <c r="H163" s="7" t="s">
        <v>651</v>
      </c>
      <c r="I163" s="7" t="s">
        <v>652</v>
      </c>
      <c r="J163" s="7" t="s">
        <v>653</v>
      </c>
      <c r="K163" s="7" t="s">
        <v>465</v>
      </c>
      <c r="L163" s="7" t="s">
        <v>639</v>
      </c>
      <c r="M163" s="7" t="s">
        <v>654</v>
      </c>
      <c r="N163" s="7" t="s">
        <v>479</v>
      </c>
      <c r="O163" s="7" t="s">
        <v>189</v>
      </c>
      <c r="P163" s="7" t="s">
        <v>640</v>
      </c>
      <c r="Q163" s="7" t="s">
        <v>655</v>
      </c>
      <c r="R163" s="7" t="s">
        <v>347</v>
      </c>
      <c r="S163" s="7" t="s">
        <v>643</v>
      </c>
      <c r="T163" s="7" t="s">
        <v>213</v>
      </c>
      <c r="U163" s="18" t="n">
        <v>100</v>
      </c>
      <c r="V163" s="7"/>
      <c r="W163" s="7"/>
      <c r="X163" s="7" t="s">
        <v>199</v>
      </c>
      <c r="Y163" s="22" t="n">
        <v>0.099</v>
      </c>
      <c r="Z163" s="22" t="n">
        <v>0.4</v>
      </c>
      <c r="AA163" s="22" t="n">
        <v>12</v>
      </c>
      <c r="AB163" s="7" t="s">
        <v>639</v>
      </c>
      <c r="AC163" s="7" t="s">
        <v>645</v>
      </c>
      <c r="AD163" s="22" t="n">
        <v>0.099</v>
      </c>
      <c r="AE163" s="22" t="n">
        <v>0.4</v>
      </c>
      <c r="AF163" s="22" t="n">
        <v>2.5</v>
      </c>
      <c r="AG163" s="22" t="n">
        <v>32</v>
      </c>
      <c r="AH163" s="22" t="n">
        <v>4</v>
      </c>
      <c r="AI163" s="22" t="s">
        <v>197</v>
      </c>
      <c r="AJ163" s="22" t="s">
        <v>197</v>
      </c>
      <c r="AK163" s="22" t="s">
        <v>197</v>
      </c>
      <c r="AL163" s="22" t="s">
        <v>197</v>
      </c>
      <c r="AM163" s="7" t="s">
        <v>197</v>
      </c>
      <c r="AN163" s="22" t="s">
        <v>197</v>
      </c>
      <c r="AO163" s="22" t="s">
        <v>197</v>
      </c>
      <c r="AP163" s="22" t="s">
        <v>197</v>
      </c>
    </row>
    <row r="164" customFormat="false" ht="21.75" hidden="false" customHeight="true" outlineLevel="0" collapsed="false">
      <c r="B164" s="15" t="n">
        <v>160</v>
      </c>
      <c r="C164" s="9" t="s">
        <v>43</v>
      </c>
      <c r="D164" s="9" t="s">
        <v>20</v>
      </c>
      <c r="E164" s="9" t="s">
        <v>117</v>
      </c>
      <c r="F164" s="9" t="s">
        <v>61</v>
      </c>
      <c r="G164" s="9" t="s">
        <v>647</v>
      </c>
      <c r="H164" s="9" t="s">
        <v>651</v>
      </c>
      <c r="I164" s="9" t="s">
        <v>652</v>
      </c>
      <c r="J164" s="9" t="s">
        <v>653</v>
      </c>
      <c r="K164" s="9" t="s">
        <v>465</v>
      </c>
      <c r="L164" s="9" t="s">
        <v>639</v>
      </c>
      <c r="M164" s="9" t="s">
        <v>654</v>
      </c>
      <c r="N164" s="9" t="s">
        <v>479</v>
      </c>
      <c r="O164" s="9" t="s">
        <v>189</v>
      </c>
      <c r="P164" s="9" t="s">
        <v>640</v>
      </c>
      <c r="Q164" s="9" t="s">
        <v>655</v>
      </c>
      <c r="R164" s="9" t="s">
        <v>347</v>
      </c>
      <c r="S164" s="9" t="s">
        <v>643</v>
      </c>
      <c r="T164" s="9" t="s">
        <v>213</v>
      </c>
      <c r="U164" s="19" t="n">
        <v>135</v>
      </c>
      <c r="V164" s="9"/>
      <c r="W164" s="9"/>
      <c r="X164" s="9" t="s">
        <v>656</v>
      </c>
      <c r="Y164" s="23" t="n">
        <v>0.094</v>
      </c>
      <c r="Z164" s="23" t="n">
        <v>0.4</v>
      </c>
      <c r="AA164" s="23" t="n">
        <v>12</v>
      </c>
      <c r="AB164" s="9" t="s">
        <v>639</v>
      </c>
      <c r="AC164" s="9" t="s">
        <v>645</v>
      </c>
      <c r="AD164" s="23" t="n">
        <v>0.094</v>
      </c>
      <c r="AE164" s="23" t="n">
        <v>0.4</v>
      </c>
      <c r="AF164" s="23" t="n">
        <v>2.5</v>
      </c>
      <c r="AG164" s="23" t="n">
        <v>32</v>
      </c>
      <c r="AH164" s="23" t="n">
        <v>8</v>
      </c>
      <c r="AI164" s="23" t="s">
        <v>197</v>
      </c>
      <c r="AJ164" s="23" t="s">
        <v>197</v>
      </c>
      <c r="AK164" s="23" t="s">
        <v>197</v>
      </c>
      <c r="AL164" s="23" t="s">
        <v>197</v>
      </c>
      <c r="AM164" s="9" t="s">
        <v>197</v>
      </c>
      <c r="AN164" s="23" t="s">
        <v>197</v>
      </c>
      <c r="AO164" s="23" t="s">
        <v>197</v>
      </c>
      <c r="AP164" s="23" t="s">
        <v>197</v>
      </c>
    </row>
    <row r="165" customFormat="false" ht="21.75" hidden="false" customHeight="true" outlineLevel="0" collapsed="false">
      <c r="B165" s="14" t="n">
        <v>161</v>
      </c>
      <c r="C165" s="7" t="s">
        <v>43</v>
      </c>
      <c r="D165" s="7" t="s">
        <v>20</v>
      </c>
      <c r="E165" s="7" t="s">
        <v>117</v>
      </c>
      <c r="F165" s="7" t="s">
        <v>61</v>
      </c>
      <c r="G165" s="7" t="s">
        <v>649</v>
      </c>
      <c r="H165" s="7" t="s">
        <v>651</v>
      </c>
      <c r="I165" s="7" t="s">
        <v>652</v>
      </c>
      <c r="J165" s="7" t="s">
        <v>653</v>
      </c>
      <c r="K165" s="7" t="s">
        <v>465</v>
      </c>
      <c r="L165" s="7" t="s">
        <v>639</v>
      </c>
      <c r="M165" s="7" t="s">
        <v>654</v>
      </c>
      <c r="N165" s="7" t="s">
        <v>479</v>
      </c>
      <c r="O165" s="7" t="s">
        <v>189</v>
      </c>
      <c r="P165" s="7" t="s">
        <v>640</v>
      </c>
      <c r="Q165" s="7" t="s">
        <v>655</v>
      </c>
      <c r="R165" s="7" t="s">
        <v>347</v>
      </c>
      <c r="S165" s="7" t="s">
        <v>643</v>
      </c>
      <c r="T165" s="7" t="s">
        <v>213</v>
      </c>
      <c r="U165" s="18" t="n">
        <v>200</v>
      </c>
      <c r="V165" s="7"/>
      <c r="W165" s="7"/>
      <c r="X165" s="7" t="s">
        <v>203</v>
      </c>
      <c r="Y165" s="22" t="n">
        <v>0.117</v>
      </c>
      <c r="Z165" s="22" t="n">
        <v>0.4</v>
      </c>
      <c r="AA165" s="22" t="n">
        <v>12</v>
      </c>
      <c r="AB165" s="7" t="s">
        <v>639</v>
      </c>
      <c r="AC165" s="7" t="s">
        <v>645</v>
      </c>
      <c r="AD165" s="22" t="n">
        <v>0.117</v>
      </c>
      <c r="AE165" s="22" t="n">
        <v>0.4</v>
      </c>
      <c r="AF165" s="22" t="n">
        <v>3</v>
      </c>
      <c r="AG165" s="22" t="n">
        <v>64</v>
      </c>
      <c r="AH165" s="22" t="n">
        <v>8</v>
      </c>
      <c r="AI165" s="22" t="s">
        <v>197</v>
      </c>
      <c r="AJ165" s="22" t="s">
        <v>197</v>
      </c>
      <c r="AK165" s="22" t="s">
        <v>197</v>
      </c>
      <c r="AL165" s="22" t="s">
        <v>197</v>
      </c>
      <c r="AM165" s="7" t="s">
        <v>197</v>
      </c>
      <c r="AN165" s="22" t="s">
        <v>197</v>
      </c>
      <c r="AO165" s="22" t="s">
        <v>197</v>
      </c>
      <c r="AP165" s="22" t="s">
        <v>197</v>
      </c>
    </row>
    <row r="166" customFormat="false" ht="21.75" hidden="false" customHeight="true" outlineLevel="0" collapsed="false">
      <c r="B166" s="15" t="n">
        <v>162</v>
      </c>
      <c r="C166" s="9" t="s">
        <v>43</v>
      </c>
      <c r="D166" s="9" t="s">
        <v>20</v>
      </c>
      <c r="E166" s="9" t="s">
        <v>117</v>
      </c>
      <c r="F166" s="9" t="s">
        <v>61</v>
      </c>
      <c r="G166" s="9" t="s">
        <v>650</v>
      </c>
      <c r="H166" s="9" t="s">
        <v>651</v>
      </c>
      <c r="I166" s="9" t="s">
        <v>652</v>
      </c>
      <c r="J166" s="9" t="s">
        <v>653</v>
      </c>
      <c r="K166" s="9" t="s">
        <v>465</v>
      </c>
      <c r="L166" s="9" t="s">
        <v>639</v>
      </c>
      <c r="M166" s="9" t="s">
        <v>654</v>
      </c>
      <c r="N166" s="9" t="s">
        <v>479</v>
      </c>
      <c r="O166" s="9" t="s">
        <v>189</v>
      </c>
      <c r="P166" s="9" t="s">
        <v>640</v>
      </c>
      <c r="Q166" s="9" t="s">
        <v>655</v>
      </c>
      <c r="R166" s="9" t="s">
        <v>347</v>
      </c>
      <c r="S166" s="9" t="s">
        <v>643</v>
      </c>
      <c r="T166" s="9" t="s">
        <v>213</v>
      </c>
      <c r="U166" s="19" t="n">
        <v>295</v>
      </c>
      <c r="V166" s="9"/>
      <c r="W166" s="9"/>
      <c r="X166" s="9" t="s">
        <v>205</v>
      </c>
      <c r="Y166" s="23" t="n">
        <v>0.113</v>
      </c>
      <c r="Z166" s="23" t="n">
        <v>0.4</v>
      </c>
      <c r="AA166" s="23" t="n">
        <v>12</v>
      </c>
      <c r="AB166" s="9" t="s">
        <v>639</v>
      </c>
      <c r="AC166" s="9" t="s">
        <v>645</v>
      </c>
      <c r="AD166" s="23" t="n">
        <v>0.113</v>
      </c>
      <c r="AE166" s="23" t="n">
        <v>0.4</v>
      </c>
      <c r="AF166" s="23" t="n">
        <v>3.5</v>
      </c>
      <c r="AG166" s="23" t="n">
        <v>192</v>
      </c>
      <c r="AH166" s="23" t="n">
        <v>32</v>
      </c>
      <c r="AI166" s="23" t="s">
        <v>197</v>
      </c>
      <c r="AJ166" s="23" t="s">
        <v>197</v>
      </c>
      <c r="AK166" s="23" t="s">
        <v>197</v>
      </c>
      <c r="AL166" s="23" t="s">
        <v>197</v>
      </c>
      <c r="AM166" s="9" t="s">
        <v>197</v>
      </c>
      <c r="AN166" s="23" t="s">
        <v>197</v>
      </c>
      <c r="AO166" s="23" t="s">
        <v>197</v>
      </c>
      <c r="AP166" s="23" t="s">
        <v>197</v>
      </c>
    </row>
    <row r="167" customFormat="false" ht="21.75" hidden="false" customHeight="true" outlineLevel="0" collapsed="false">
      <c r="B167" s="14" t="n">
        <v>163</v>
      </c>
      <c r="C167" s="7" t="s">
        <v>43</v>
      </c>
      <c r="D167" s="7" t="s">
        <v>20</v>
      </c>
      <c r="E167" s="7" t="s">
        <v>117</v>
      </c>
      <c r="F167" s="7" t="s">
        <v>62</v>
      </c>
      <c r="G167" s="7" t="s">
        <v>657</v>
      </c>
      <c r="H167" s="7" t="s">
        <v>658</v>
      </c>
      <c r="I167" s="7" t="s">
        <v>659</v>
      </c>
      <c r="J167" s="7" t="s">
        <v>660</v>
      </c>
      <c r="K167" s="7" t="s">
        <v>661</v>
      </c>
      <c r="L167" s="7" t="s">
        <v>639</v>
      </c>
      <c r="M167" s="7" t="s">
        <v>478</v>
      </c>
      <c r="N167" s="7" t="s">
        <v>662</v>
      </c>
      <c r="O167" s="7" t="s">
        <v>189</v>
      </c>
      <c r="P167" s="7" t="s">
        <v>640</v>
      </c>
      <c r="Q167" s="7" t="s">
        <v>663</v>
      </c>
      <c r="R167" s="7" t="s">
        <v>664</v>
      </c>
      <c r="S167" s="7" t="s">
        <v>643</v>
      </c>
      <c r="T167" s="7" t="s">
        <v>482</v>
      </c>
      <c r="U167" s="18" t="n">
        <v>80</v>
      </c>
      <c r="V167" s="7"/>
      <c r="W167" s="7"/>
      <c r="X167" s="7" t="s">
        <v>195</v>
      </c>
      <c r="Y167" s="22" t="n">
        <v>0.118</v>
      </c>
      <c r="Z167" s="22" t="n">
        <v>0.35</v>
      </c>
      <c r="AA167" s="22" t="n">
        <v>12</v>
      </c>
      <c r="AB167" s="7" t="s">
        <v>639</v>
      </c>
      <c r="AC167" s="7" t="s">
        <v>645</v>
      </c>
      <c r="AD167" s="22" t="n">
        <v>0.118</v>
      </c>
      <c r="AE167" s="22" t="n">
        <v>0.35</v>
      </c>
      <c r="AF167" s="22" t="n">
        <v>2</v>
      </c>
      <c r="AG167" s="22" t="n">
        <v>32</v>
      </c>
      <c r="AH167" s="22" t="n">
        <v>4</v>
      </c>
      <c r="AI167" s="22" t="s">
        <v>197</v>
      </c>
      <c r="AJ167" s="22" t="s">
        <v>197</v>
      </c>
      <c r="AK167" s="22" t="s">
        <v>197</v>
      </c>
      <c r="AL167" s="22" t="s">
        <v>197</v>
      </c>
      <c r="AM167" s="7" t="s">
        <v>197</v>
      </c>
      <c r="AN167" s="22" t="s">
        <v>197</v>
      </c>
      <c r="AO167" s="22" t="s">
        <v>197</v>
      </c>
      <c r="AP167" s="22" t="s">
        <v>197</v>
      </c>
    </row>
    <row r="168" customFormat="false" ht="21.75" hidden="false" customHeight="true" outlineLevel="0" collapsed="false">
      <c r="B168" s="15" t="n">
        <v>164</v>
      </c>
      <c r="C168" s="9" t="s">
        <v>43</v>
      </c>
      <c r="D168" s="9" t="s">
        <v>20</v>
      </c>
      <c r="E168" s="9" t="s">
        <v>117</v>
      </c>
      <c r="F168" s="9" t="s">
        <v>62</v>
      </c>
      <c r="G168" s="9" t="s">
        <v>665</v>
      </c>
      <c r="H168" s="9" t="s">
        <v>658</v>
      </c>
      <c r="I168" s="9" t="s">
        <v>659</v>
      </c>
      <c r="J168" s="9" t="s">
        <v>660</v>
      </c>
      <c r="K168" s="9" t="s">
        <v>661</v>
      </c>
      <c r="L168" s="9" t="s">
        <v>639</v>
      </c>
      <c r="M168" s="9" t="s">
        <v>478</v>
      </c>
      <c r="N168" s="9" t="s">
        <v>662</v>
      </c>
      <c r="O168" s="9" t="s">
        <v>189</v>
      </c>
      <c r="P168" s="9" t="s">
        <v>640</v>
      </c>
      <c r="Q168" s="9" t="s">
        <v>663</v>
      </c>
      <c r="R168" s="9" t="s">
        <v>664</v>
      </c>
      <c r="S168" s="9" t="s">
        <v>643</v>
      </c>
      <c r="T168" s="9" t="s">
        <v>482</v>
      </c>
      <c r="U168" s="19" t="n">
        <v>125</v>
      </c>
      <c r="V168" s="9"/>
      <c r="W168" s="9"/>
      <c r="X168" s="9" t="s">
        <v>199</v>
      </c>
      <c r="Y168" s="23" t="n">
        <v>0.077</v>
      </c>
      <c r="Z168" s="23" t="n">
        <v>0.35</v>
      </c>
      <c r="AA168" s="23" t="n">
        <v>12</v>
      </c>
      <c r="AB168" s="9" t="s">
        <v>639</v>
      </c>
      <c r="AC168" s="9" t="s">
        <v>645</v>
      </c>
      <c r="AD168" s="23" t="n">
        <v>0.077</v>
      </c>
      <c r="AE168" s="23" t="n">
        <v>0.35</v>
      </c>
      <c r="AF168" s="23" t="n">
        <v>2</v>
      </c>
      <c r="AG168" s="23" t="n">
        <v>32</v>
      </c>
      <c r="AH168" s="23" t="n">
        <v>4</v>
      </c>
      <c r="AI168" s="23" t="s">
        <v>197</v>
      </c>
      <c r="AJ168" s="23" t="s">
        <v>197</v>
      </c>
      <c r="AK168" s="23" t="s">
        <v>197</v>
      </c>
      <c r="AL168" s="23" t="s">
        <v>197</v>
      </c>
      <c r="AM168" s="9" t="s">
        <v>197</v>
      </c>
      <c r="AN168" s="23" t="s">
        <v>197</v>
      </c>
      <c r="AO168" s="23" t="s">
        <v>197</v>
      </c>
      <c r="AP168" s="23" t="s">
        <v>197</v>
      </c>
    </row>
    <row r="169" customFormat="false" ht="21.75" hidden="false" customHeight="true" outlineLevel="0" collapsed="false">
      <c r="B169" s="14" t="n">
        <v>165</v>
      </c>
      <c r="C169" s="7" t="s">
        <v>43</v>
      </c>
      <c r="D169" s="7" t="s">
        <v>20</v>
      </c>
      <c r="E169" s="7" t="s">
        <v>117</v>
      </c>
      <c r="F169" s="7" t="s">
        <v>62</v>
      </c>
      <c r="G169" s="7" t="s">
        <v>666</v>
      </c>
      <c r="H169" s="7" t="s">
        <v>658</v>
      </c>
      <c r="I169" s="7" t="s">
        <v>659</v>
      </c>
      <c r="J169" s="7" t="s">
        <v>660</v>
      </c>
      <c r="K169" s="7" t="s">
        <v>661</v>
      </c>
      <c r="L169" s="7" t="s">
        <v>639</v>
      </c>
      <c r="M169" s="7" t="s">
        <v>478</v>
      </c>
      <c r="N169" s="7" t="s">
        <v>662</v>
      </c>
      <c r="O169" s="7" t="s">
        <v>189</v>
      </c>
      <c r="P169" s="7" t="s">
        <v>640</v>
      </c>
      <c r="Q169" s="7" t="s">
        <v>663</v>
      </c>
      <c r="R169" s="7" t="s">
        <v>664</v>
      </c>
      <c r="S169" s="7" t="s">
        <v>643</v>
      </c>
      <c r="T169" s="7" t="s">
        <v>482</v>
      </c>
      <c r="U169" s="18" t="n">
        <v>165</v>
      </c>
      <c r="V169" s="7"/>
      <c r="W169" s="7"/>
      <c r="X169" s="7" t="s">
        <v>667</v>
      </c>
      <c r="Y169" s="22" t="n">
        <v>0.086</v>
      </c>
      <c r="Z169" s="22" t="n">
        <v>0.35</v>
      </c>
      <c r="AA169" s="22" t="n">
        <v>12</v>
      </c>
      <c r="AB169" s="7" t="s">
        <v>639</v>
      </c>
      <c r="AC169" s="7" t="s">
        <v>645</v>
      </c>
      <c r="AD169" s="22" t="n">
        <v>0.086</v>
      </c>
      <c r="AE169" s="22" t="n">
        <v>0.35</v>
      </c>
      <c r="AF169" s="22" t="n">
        <v>2</v>
      </c>
      <c r="AG169" s="22" t="n">
        <v>32</v>
      </c>
      <c r="AH169" s="22" t="n">
        <v>4</v>
      </c>
      <c r="AI169" s="22" t="s">
        <v>197</v>
      </c>
      <c r="AJ169" s="22" t="s">
        <v>197</v>
      </c>
      <c r="AK169" s="22" t="s">
        <v>197</v>
      </c>
      <c r="AL169" s="22" t="s">
        <v>197</v>
      </c>
      <c r="AM169" s="7" t="s">
        <v>197</v>
      </c>
      <c r="AN169" s="22" t="s">
        <v>197</v>
      </c>
      <c r="AO169" s="22" t="s">
        <v>197</v>
      </c>
      <c r="AP169" s="22" t="s">
        <v>197</v>
      </c>
    </row>
    <row r="170" customFormat="false" ht="21.75" hidden="false" customHeight="true" outlineLevel="0" collapsed="false">
      <c r="B170" s="15" t="n">
        <v>166</v>
      </c>
      <c r="C170" s="9" t="s">
        <v>43</v>
      </c>
      <c r="D170" s="9" t="s">
        <v>20</v>
      </c>
      <c r="E170" s="9" t="s">
        <v>117</v>
      </c>
      <c r="F170" s="9" t="s">
        <v>62</v>
      </c>
      <c r="G170" s="9" t="s">
        <v>668</v>
      </c>
      <c r="H170" s="9" t="s">
        <v>658</v>
      </c>
      <c r="I170" s="9" t="s">
        <v>659</v>
      </c>
      <c r="J170" s="9" t="s">
        <v>660</v>
      </c>
      <c r="K170" s="9" t="s">
        <v>661</v>
      </c>
      <c r="L170" s="9" t="s">
        <v>639</v>
      </c>
      <c r="M170" s="9" t="s">
        <v>478</v>
      </c>
      <c r="N170" s="9" t="s">
        <v>662</v>
      </c>
      <c r="O170" s="9" t="s">
        <v>189</v>
      </c>
      <c r="P170" s="9" t="s">
        <v>640</v>
      </c>
      <c r="Q170" s="9" t="s">
        <v>663</v>
      </c>
      <c r="R170" s="9" t="s">
        <v>664</v>
      </c>
      <c r="S170" s="9" t="s">
        <v>643</v>
      </c>
      <c r="T170" s="9" t="s">
        <v>482</v>
      </c>
      <c r="U170" s="19" t="n">
        <v>250</v>
      </c>
      <c r="V170" s="9"/>
      <c r="W170" s="9"/>
      <c r="X170" s="9" t="s">
        <v>203</v>
      </c>
      <c r="Y170" s="23" t="n">
        <v>0.105</v>
      </c>
      <c r="Z170" s="23" t="n">
        <v>0.35</v>
      </c>
      <c r="AA170" s="23" t="n">
        <v>12</v>
      </c>
      <c r="AB170" s="9" t="s">
        <v>639</v>
      </c>
      <c r="AC170" s="9" t="s">
        <v>645</v>
      </c>
      <c r="AD170" s="23" t="n">
        <v>0.105</v>
      </c>
      <c r="AE170" s="23" t="n">
        <v>0.35</v>
      </c>
      <c r="AF170" s="23" t="n">
        <v>2.5</v>
      </c>
      <c r="AG170" s="23" t="n">
        <v>192</v>
      </c>
      <c r="AH170" s="23" t="n">
        <v>32</v>
      </c>
      <c r="AI170" s="23" t="s">
        <v>197</v>
      </c>
      <c r="AJ170" s="23" t="s">
        <v>197</v>
      </c>
      <c r="AK170" s="23" t="s">
        <v>197</v>
      </c>
      <c r="AL170" s="23" t="s">
        <v>197</v>
      </c>
      <c r="AM170" s="9" t="s">
        <v>197</v>
      </c>
      <c r="AN170" s="23" t="s">
        <v>197</v>
      </c>
      <c r="AO170" s="23" t="s">
        <v>197</v>
      </c>
      <c r="AP170" s="23" t="s">
        <v>197</v>
      </c>
    </row>
    <row r="171" customFormat="false" ht="21.75" hidden="false" customHeight="true" outlineLevel="0" collapsed="false">
      <c r="B171" s="14" t="n">
        <v>167</v>
      </c>
      <c r="C171" s="7" t="s">
        <v>43</v>
      </c>
      <c r="D171" s="7" t="s">
        <v>20</v>
      </c>
      <c r="E171" s="7" t="s">
        <v>117</v>
      </c>
      <c r="F171" s="7" t="s">
        <v>62</v>
      </c>
      <c r="G171" s="7" t="s">
        <v>669</v>
      </c>
      <c r="H171" s="7" t="s">
        <v>658</v>
      </c>
      <c r="I171" s="7" t="s">
        <v>659</v>
      </c>
      <c r="J171" s="7" t="s">
        <v>660</v>
      </c>
      <c r="K171" s="7" t="s">
        <v>661</v>
      </c>
      <c r="L171" s="7" t="s">
        <v>639</v>
      </c>
      <c r="M171" s="7" t="s">
        <v>478</v>
      </c>
      <c r="N171" s="7" t="s">
        <v>662</v>
      </c>
      <c r="O171" s="7" t="s">
        <v>189</v>
      </c>
      <c r="P171" s="7" t="s">
        <v>640</v>
      </c>
      <c r="Q171" s="7" t="s">
        <v>663</v>
      </c>
      <c r="R171" s="7" t="s">
        <v>664</v>
      </c>
      <c r="S171" s="7" t="s">
        <v>643</v>
      </c>
      <c r="T171" s="7" t="s">
        <v>482</v>
      </c>
      <c r="U171" s="18" t="n">
        <v>365</v>
      </c>
      <c r="V171" s="7"/>
      <c r="W171" s="7"/>
      <c r="X171" s="7" t="s">
        <v>205</v>
      </c>
      <c r="Y171" s="22" t="n">
        <v>0.076</v>
      </c>
      <c r="Z171" s="22" t="n">
        <v>0.35</v>
      </c>
      <c r="AA171" s="22" t="n">
        <v>12</v>
      </c>
      <c r="AB171" s="7" t="s">
        <v>639</v>
      </c>
      <c r="AC171" s="7" t="s">
        <v>645</v>
      </c>
      <c r="AD171" s="22" t="n">
        <v>0.076</v>
      </c>
      <c r="AE171" s="22" t="n">
        <v>0.35</v>
      </c>
      <c r="AF171" s="22" t="n">
        <v>2</v>
      </c>
      <c r="AG171" s="22" t="n">
        <v>32</v>
      </c>
      <c r="AH171" s="22" t="n">
        <v>4</v>
      </c>
      <c r="AI171" s="22" t="s">
        <v>197</v>
      </c>
      <c r="AJ171" s="22" t="s">
        <v>197</v>
      </c>
      <c r="AK171" s="22" t="s">
        <v>197</v>
      </c>
      <c r="AL171" s="22" t="s">
        <v>197</v>
      </c>
      <c r="AM171" s="7" t="s">
        <v>197</v>
      </c>
      <c r="AN171" s="22" t="s">
        <v>197</v>
      </c>
      <c r="AO171" s="22" t="s">
        <v>197</v>
      </c>
      <c r="AP171" s="22" t="s">
        <v>197</v>
      </c>
    </row>
    <row r="172" customFormat="false" ht="21.75" hidden="false" customHeight="true" outlineLevel="0" collapsed="false">
      <c r="B172" s="15" t="n">
        <v>168</v>
      </c>
      <c r="C172" s="9" t="s">
        <v>43</v>
      </c>
      <c r="D172" s="9" t="s">
        <v>20</v>
      </c>
      <c r="E172" s="9" t="s">
        <v>117</v>
      </c>
      <c r="F172" s="9" t="s">
        <v>63</v>
      </c>
      <c r="G172" s="9" t="s">
        <v>670</v>
      </c>
      <c r="H172" s="9" t="s">
        <v>671</v>
      </c>
      <c r="I172" s="9" t="s">
        <v>672</v>
      </c>
      <c r="J172" s="9" t="s">
        <v>673</v>
      </c>
      <c r="K172" s="9" t="s">
        <v>674</v>
      </c>
      <c r="L172" s="9" t="s">
        <v>639</v>
      </c>
      <c r="M172" s="9" t="s">
        <v>235</v>
      </c>
      <c r="N172" s="9" t="s">
        <v>236</v>
      </c>
      <c r="O172" s="9" t="s">
        <v>189</v>
      </c>
      <c r="P172" s="9" t="s">
        <v>640</v>
      </c>
      <c r="Q172" s="9" t="s">
        <v>675</v>
      </c>
      <c r="R172" s="9" t="s">
        <v>676</v>
      </c>
      <c r="S172" s="9" t="s">
        <v>643</v>
      </c>
      <c r="T172" s="9" t="s">
        <v>677</v>
      </c>
      <c r="U172" s="19" t="n">
        <v>35</v>
      </c>
      <c r="V172" s="9"/>
      <c r="W172" s="9"/>
      <c r="X172" s="9" t="s">
        <v>195</v>
      </c>
      <c r="Y172" s="23" t="n">
        <v>0.041</v>
      </c>
      <c r="Z172" s="23" t="n">
        <v>0.078</v>
      </c>
      <c r="AA172" s="23" t="n">
        <v>12</v>
      </c>
      <c r="AB172" s="9" t="s">
        <v>639</v>
      </c>
      <c r="AC172" s="9" t="s">
        <v>678</v>
      </c>
      <c r="AD172" s="23" t="s">
        <v>197</v>
      </c>
      <c r="AE172" s="23" t="s">
        <v>197</v>
      </c>
      <c r="AF172" s="23" t="s">
        <v>197</v>
      </c>
      <c r="AG172" s="23" t="s">
        <v>197</v>
      </c>
      <c r="AH172" s="23" t="s">
        <v>197</v>
      </c>
      <c r="AI172" s="23" t="s">
        <v>197</v>
      </c>
      <c r="AJ172" s="23" t="s">
        <v>197</v>
      </c>
      <c r="AK172" s="23" t="s">
        <v>197</v>
      </c>
      <c r="AL172" s="23" t="s">
        <v>197</v>
      </c>
      <c r="AM172" s="9" t="s">
        <v>197</v>
      </c>
      <c r="AN172" s="23" t="s">
        <v>197</v>
      </c>
      <c r="AO172" s="23" t="n">
        <v>1.2</v>
      </c>
      <c r="AP172" s="23" t="n">
        <v>1.6</v>
      </c>
    </row>
    <row r="173" customFormat="false" ht="21.75" hidden="false" customHeight="true" outlineLevel="0" collapsed="false">
      <c r="B173" s="14" t="n">
        <v>169</v>
      </c>
      <c r="C173" s="7" t="s">
        <v>43</v>
      </c>
      <c r="D173" s="7" t="s">
        <v>20</v>
      </c>
      <c r="E173" s="7" t="s">
        <v>117</v>
      </c>
      <c r="F173" s="7" t="s">
        <v>63</v>
      </c>
      <c r="G173" s="7" t="s">
        <v>679</v>
      </c>
      <c r="H173" s="7" t="s">
        <v>671</v>
      </c>
      <c r="I173" s="7" t="s">
        <v>672</v>
      </c>
      <c r="J173" s="7" t="s">
        <v>673</v>
      </c>
      <c r="K173" s="7" t="s">
        <v>674</v>
      </c>
      <c r="L173" s="7" t="s">
        <v>639</v>
      </c>
      <c r="M173" s="7" t="s">
        <v>235</v>
      </c>
      <c r="N173" s="7" t="s">
        <v>236</v>
      </c>
      <c r="O173" s="7" t="s">
        <v>189</v>
      </c>
      <c r="P173" s="7" t="s">
        <v>640</v>
      </c>
      <c r="Q173" s="7" t="s">
        <v>675</v>
      </c>
      <c r="R173" s="7" t="s">
        <v>676</v>
      </c>
      <c r="S173" s="7" t="s">
        <v>643</v>
      </c>
      <c r="T173" s="7" t="s">
        <v>677</v>
      </c>
      <c r="U173" s="18" t="n">
        <v>55</v>
      </c>
      <c r="V173" s="7"/>
      <c r="W173" s="7"/>
      <c r="X173" s="7" t="s">
        <v>199</v>
      </c>
      <c r="Y173" s="22" t="n">
        <v>0.045</v>
      </c>
      <c r="Z173" s="22" t="n">
        <v>0.084</v>
      </c>
      <c r="AA173" s="22" t="n">
        <v>12</v>
      </c>
      <c r="AB173" s="7" t="s">
        <v>639</v>
      </c>
      <c r="AC173" s="7" t="s">
        <v>678</v>
      </c>
      <c r="AD173" s="22" t="s">
        <v>197</v>
      </c>
      <c r="AE173" s="22" t="s">
        <v>197</v>
      </c>
      <c r="AF173" s="22" t="s">
        <v>197</v>
      </c>
      <c r="AG173" s="22" t="s">
        <v>197</v>
      </c>
      <c r="AH173" s="22" t="s">
        <v>197</v>
      </c>
      <c r="AI173" s="22" t="s">
        <v>197</v>
      </c>
      <c r="AJ173" s="22" t="s">
        <v>197</v>
      </c>
      <c r="AK173" s="22" t="s">
        <v>197</v>
      </c>
      <c r="AL173" s="22" t="s">
        <v>197</v>
      </c>
      <c r="AM173" s="7" t="s">
        <v>197</v>
      </c>
      <c r="AN173" s="22" t="s">
        <v>197</v>
      </c>
      <c r="AO173" s="22" t="n">
        <v>1.2</v>
      </c>
      <c r="AP173" s="22" t="n">
        <v>1.6</v>
      </c>
    </row>
    <row r="174" customFormat="false" ht="21.75" hidden="false" customHeight="true" outlineLevel="0" collapsed="false">
      <c r="B174" s="15" t="n">
        <v>170</v>
      </c>
      <c r="C174" s="9" t="s">
        <v>43</v>
      </c>
      <c r="D174" s="9" t="s">
        <v>20</v>
      </c>
      <c r="E174" s="9" t="s">
        <v>117</v>
      </c>
      <c r="F174" s="9" t="s">
        <v>63</v>
      </c>
      <c r="G174" s="9" t="s">
        <v>680</v>
      </c>
      <c r="H174" s="9" t="s">
        <v>671</v>
      </c>
      <c r="I174" s="9" t="s">
        <v>672</v>
      </c>
      <c r="J174" s="9" t="s">
        <v>673</v>
      </c>
      <c r="K174" s="9" t="s">
        <v>674</v>
      </c>
      <c r="L174" s="9" t="s">
        <v>639</v>
      </c>
      <c r="M174" s="9" t="s">
        <v>235</v>
      </c>
      <c r="N174" s="9" t="s">
        <v>236</v>
      </c>
      <c r="O174" s="9" t="s">
        <v>189</v>
      </c>
      <c r="P174" s="9" t="s">
        <v>640</v>
      </c>
      <c r="Q174" s="9" t="s">
        <v>675</v>
      </c>
      <c r="R174" s="9" t="s">
        <v>676</v>
      </c>
      <c r="S174" s="9" t="s">
        <v>643</v>
      </c>
      <c r="T174" s="9" t="s">
        <v>677</v>
      </c>
      <c r="U174" s="19" t="n">
        <v>75</v>
      </c>
      <c r="V174" s="9"/>
      <c r="W174" s="9"/>
      <c r="X174" s="9" t="s">
        <v>681</v>
      </c>
      <c r="Y174" s="23" t="n">
        <v>0.057</v>
      </c>
      <c r="Z174" s="23" t="n">
        <v>0.104</v>
      </c>
      <c r="AA174" s="23" t="n">
        <v>12</v>
      </c>
      <c r="AB174" s="9" t="s">
        <v>639</v>
      </c>
      <c r="AC174" s="9" t="s">
        <v>678</v>
      </c>
      <c r="AD174" s="23" t="s">
        <v>197</v>
      </c>
      <c r="AE174" s="23" t="s">
        <v>197</v>
      </c>
      <c r="AF174" s="23" t="s">
        <v>197</v>
      </c>
      <c r="AG174" s="23" t="s">
        <v>197</v>
      </c>
      <c r="AH174" s="23" t="s">
        <v>197</v>
      </c>
      <c r="AI174" s="23" t="s">
        <v>197</v>
      </c>
      <c r="AJ174" s="23" t="s">
        <v>197</v>
      </c>
      <c r="AK174" s="23" t="s">
        <v>197</v>
      </c>
      <c r="AL174" s="23" t="s">
        <v>197</v>
      </c>
      <c r="AM174" s="9" t="s">
        <v>197</v>
      </c>
      <c r="AN174" s="23" t="s">
        <v>197</v>
      </c>
      <c r="AO174" s="23" t="n">
        <v>1.2</v>
      </c>
      <c r="AP174" s="23" t="n">
        <v>1.6</v>
      </c>
    </row>
    <row r="175" customFormat="false" ht="21.75" hidden="false" customHeight="true" outlineLevel="0" collapsed="false">
      <c r="B175" s="14" t="n">
        <v>171</v>
      </c>
      <c r="C175" s="7" t="s">
        <v>43</v>
      </c>
      <c r="D175" s="7" t="s">
        <v>20</v>
      </c>
      <c r="E175" s="7" t="s">
        <v>117</v>
      </c>
      <c r="F175" s="7" t="s">
        <v>63</v>
      </c>
      <c r="G175" s="7" t="s">
        <v>682</v>
      </c>
      <c r="H175" s="7" t="s">
        <v>671</v>
      </c>
      <c r="I175" s="7" t="s">
        <v>672</v>
      </c>
      <c r="J175" s="7" t="s">
        <v>673</v>
      </c>
      <c r="K175" s="7" t="s">
        <v>674</v>
      </c>
      <c r="L175" s="7" t="s">
        <v>639</v>
      </c>
      <c r="M175" s="7" t="s">
        <v>235</v>
      </c>
      <c r="N175" s="7" t="s">
        <v>236</v>
      </c>
      <c r="O175" s="7" t="s">
        <v>189</v>
      </c>
      <c r="P175" s="7" t="s">
        <v>640</v>
      </c>
      <c r="Q175" s="7" t="s">
        <v>675</v>
      </c>
      <c r="R175" s="7" t="s">
        <v>676</v>
      </c>
      <c r="S175" s="7" t="s">
        <v>643</v>
      </c>
      <c r="T175" s="7" t="s">
        <v>677</v>
      </c>
      <c r="U175" s="18" t="n">
        <v>115</v>
      </c>
      <c r="V175" s="7"/>
      <c r="W175" s="7"/>
      <c r="X175" s="7" t="s">
        <v>203</v>
      </c>
      <c r="Y175" s="22" t="n">
        <v>0.04</v>
      </c>
      <c r="Z175" s="22" t="n">
        <v>0.077</v>
      </c>
      <c r="AA175" s="22" t="n">
        <v>12</v>
      </c>
      <c r="AB175" s="7" t="s">
        <v>639</v>
      </c>
      <c r="AC175" s="7" t="s">
        <v>678</v>
      </c>
      <c r="AD175" s="22" t="s">
        <v>197</v>
      </c>
      <c r="AE175" s="22" t="s">
        <v>197</v>
      </c>
      <c r="AF175" s="22" t="s">
        <v>197</v>
      </c>
      <c r="AG175" s="22" t="s">
        <v>197</v>
      </c>
      <c r="AH175" s="22" t="s">
        <v>197</v>
      </c>
      <c r="AI175" s="22" t="s">
        <v>197</v>
      </c>
      <c r="AJ175" s="22" t="s">
        <v>197</v>
      </c>
      <c r="AK175" s="22" t="s">
        <v>197</v>
      </c>
      <c r="AL175" s="22" t="s">
        <v>197</v>
      </c>
      <c r="AM175" s="7" t="s">
        <v>197</v>
      </c>
      <c r="AN175" s="22" t="s">
        <v>197</v>
      </c>
      <c r="AO175" s="22" t="n">
        <v>1.2</v>
      </c>
      <c r="AP175" s="22" t="n">
        <v>1.6</v>
      </c>
    </row>
    <row r="176" customFormat="false" ht="21.75" hidden="false" customHeight="true" outlineLevel="0" collapsed="false">
      <c r="B176" s="15" t="n">
        <v>172</v>
      </c>
      <c r="C176" s="9" t="s">
        <v>43</v>
      </c>
      <c r="D176" s="9" t="s">
        <v>20</v>
      </c>
      <c r="E176" s="9" t="s">
        <v>117</v>
      </c>
      <c r="F176" s="9" t="s">
        <v>63</v>
      </c>
      <c r="G176" s="9" t="s">
        <v>683</v>
      </c>
      <c r="H176" s="9" t="s">
        <v>671</v>
      </c>
      <c r="I176" s="9" t="s">
        <v>672</v>
      </c>
      <c r="J176" s="9" t="s">
        <v>673</v>
      </c>
      <c r="K176" s="9" t="s">
        <v>674</v>
      </c>
      <c r="L176" s="9" t="s">
        <v>639</v>
      </c>
      <c r="M176" s="9" t="s">
        <v>235</v>
      </c>
      <c r="N176" s="9" t="s">
        <v>236</v>
      </c>
      <c r="O176" s="9" t="s">
        <v>189</v>
      </c>
      <c r="P176" s="9" t="s">
        <v>640</v>
      </c>
      <c r="Q176" s="9" t="s">
        <v>675</v>
      </c>
      <c r="R176" s="9" t="s">
        <v>676</v>
      </c>
      <c r="S176" s="9" t="s">
        <v>643</v>
      </c>
      <c r="T176" s="9" t="s">
        <v>677</v>
      </c>
      <c r="U176" s="19" t="n">
        <v>170</v>
      </c>
      <c r="V176" s="9"/>
      <c r="W176" s="9"/>
      <c r="X176" s="9" t="s">
        <v>205</v>
      </c>
      <c r="Y176" s="23" t="n">
        <v>0.051</v>
      </c>
      <c r="Z176" s="23" t="n">
        <v>0.095</v>
      </c>
      <c r="AA176" s="23" t="n">
        <v>12</v>
      </c>
      <c r="AB176" s="9" t="s">
        <v>639</v>
      </c>
      <c r="AC176" s="9" t="s">
        <v>678</v>
      </c>
      <c r="AD176" s="23" t="s">
        <v>197</v>
      </c>
      <c r="AE176" s="23" t="s">
        <v>197</v>
      </c>
      <c r="AF176" s="23" t="s">
        <v>197</v>
      </c>
      <c r="AG176" s="23" t="s">
        <v>197</v>
      </c>
      <c r="AH176" s="23" t="s">
        <v>197</v>
      </c>
      <c r="AI176" s="23" t="s">
        <v>197</v>
      </c>
      <c r="AJ176" s="23" t="s">
        <v>197</v>
      </c>
      <c r="AK176" s="23" t="s">
        <v>197</v>
      </c>
      <c r="AL176" s="23" t="s">
        <v>197</v>
      </c>
      <c r="AM176" s="9" t="s">
        <v>197</v>
      </c>
      <c r="AN176" s="23" t="s">
        <v>197</v>
      </c>
      <c r="AO176" s="23" t="n">
        <v>1.2</v>
      </c>
      <c r="AP176" s="23" t="n">
        <v>1.6</v>
      </c>
    </row>
    <row r="177" customFormat="false" ht="21.75" hidden="false" customHeight="true" outlineLevel="0" collapsed="false">
      <c r="B177" s="14" t="n">
        <v>173</v>
      </c>
      <c r="C177" s="7" t="s">
        <v>43</v>
      </c>
      <c r="D177" s="7" t="s">
        <v>20</v>
      </c>
      <c r="E177" s="7" t="s">
        <v>117</v>
      </c>
      <c r="F177" s="7" t="s">
        <v>64</v>
      </c>
      <c r="G177" s="7" t="s">
        <v>684</v>
      </c>
      <c r="H177" s="7" t="s">
        <v>247</v>
      </c>
      <c r="I177" s="7" t="s">
        <v>685</v>
      </c>
      <c r="J177" s="7" t="s">
        <v>686</v>
      </c>
      <c r="K177" s="7" t="s">
        <v>250</v>
      </c>
      <c r="L177" s="7" t="s">
        <v>639</v>
      </c>
      <c r="M177" s="7" t="s">
        <v>251</v>
      </c>
      <c r="N177" s="7" t="s">
        <v>687</v>
      </c>
      <c r="O177" s="7" t="s">
        <v>189</v>
      </c>
      <c r="P177" s="7" t="s">
        <v>640</v>
      </c>
      <c r="Q177" s="7" t="s">
        <v>688</v>
      </c>
      <c r="R177" s="7" t="s">
        <v>689</v>
      </c>
      <c r="S177" s="7" t="s">
        <v>643</v>
      </c>
      <c r="T177" s="7" t="s">
        <v>690</v>
      </c>
      <c r="U177" s="18" t="n">
        <v>13</v>
      </c>
      <c r="V177" s="7"/>
      <c r="W177" s="7"/>
      <c r="X177" s="7" t="s">
        <v>195</v>
      </c>
      <c r="Y177" s="22" t="n">
        <v>0.017</v>
      </c>
      <c r="Z177" s="22" t="n">
        <v>0.024</v>
      </c>
      <c r="AA177" s="22" t="n">
        <v>12</v>
      </c>
      <c r="AB177" s="7" t="s">
        <v>639</v>
      </c>
      <c r="AC177" s="7" t="s">
        <v>691</v>
      </c>
      <c r="AD177" s="22" t="s">
        <v>197</v>
      </c>
      <c r="AE177" s="22" t="s">
        <v>197</v>
      </c>
      <c r="AF177" s="22" t="s">
        <v>197</v>
      </c>
      <c r="AG177" s="22" t="s">
        <v>197</v>
      </c>
      <c r="AH177" s="22" t="s">
        <v>197</v>
      </c>
      <c r="AI177" s="22" t="s">
        <v>197</v>
      </c>
      <c r="AJ177" s="22" t="n">
        <v>8</v>
      </c>
      <c r="AK177" s="22" t="s">
        <v>197</v>
      </c>
      <c r="AL177" s="22" t="n">
        <v>90</v>
      </c>
      <c r="AM177" s="7" t="s">
        <v>257</v>
      </c>
      <c r="AN177" s="22" t="s">
        <v>197</v>
      </c>
      <c r="AO177" s="22" t="n">
        <v>2</v>
      </c>
      <c r="AP177" s="22" t="n">
        <v>2.7</v>
      </c>
    </row>
    <row r="178" customFormat="false" ht="21.75" hidden="false" customHeight="true" outlineLevel="0" collapsed="false">
      <c r="B178" s="15" t="n">
        <v>174</v>
      </c>
      <c r="C178" s="9" t="s">
        <v>43</v>
      </c>
      <c r="D178" s="9" t="s">
        <v>20</v>
      </c>
      <c r="E178" s="9" t="s">
        <v>117</v>
      </c>
      <c r="F178" s="9" t="s">
        <v>64</v>
      </c>
      <c r="G178" s="9" t="s">
        <v>692</v>
      </c>
      <c r="H178" s="9" t="s">
        <v>259</v>
      </c>
      <c r="I178" s="9" t="s">
        <v>685</v>
      </c>
      <c r="J178" s="9" t="s">
        <v>686</v>
      </c>
      <c r="K178" s="9" t="s">
        <v>250</v>
      </c>
      <c r="L178" s="9" t="s">
        <v>639</v>
      </c>
      <c r="M178" s="9" t="s">
        <v>251</v>
      </c>
      <c r="N178" s="9" t="s">
        <v>687</v>
      </c>
      <c r="O178" s="9" t="s">
        <v>189</v>
      </c>
      <c r="P178" s="9" t="s">
        <v>640</v>
      </c>
      <c r="Q178" s="9" t="s">
        <v>688</v>
      </c>
      <c r="R178" s="9" t="s">
        <v>689</v>
      </c>
      <c r="S178" s="9" t="s">
        <v>643</v>
      </c>
      <c r="T178" s="9" t="s">
        <v>690</v>
      </c>
      <c r="U178" s="19" t="n">
        <v>20</v>
      </c>
      <c r="V178" s="9"/>
      <c r="W178" s="9"/>
      <c r="X178" s="9" t="s">
        <v>199</v>
      </c>
      <c r="Y178" s="23" t="n">
        <v>0.01</v>
      </c>
      <c r="Z178" s="23" t="n">
        <v>0.014</v>
      </c>
      <c r="AA178" s="23" t="n">
        <v>12</v>
      </c>
      <c r="AB178" s="9" t="s">
        <v>639</v>
      </c>
      <c r="AC178" s="9" t="s">
        <v>691</v>
      </c>
      <c r="AD178" s="23" t="s">
        <v>197</v>
      </c>
      <c r="AE178" s="23" t="s">
        <v>197</v>
      </c>
      <c r="AF178" s="23" t="s">
        <v>197</v>
      </c>
      <c r="AG178" s="23" t="s">
        <v>197</v>
      </c>
      <c r="AH178" s="23" t="s">
        <v>197</v>
      </c>
      <c r="AI178" s="23" t="s">
        <v>197</v>
      </c>
      <c r="AJ178" s="23" t="n">
        <v>10</v>
      </c>
      <c r="AK178" s="23" t="s">
        <v>197</v>
      </c>
      <c r="AL178" s="23" t="n">
        <v>90</v>
      </c>
      <c r="AM178" s="9" t="s">
        <v>257</v>
      </c>
      <c r="AN178" s="23" t="s">
        <v>197</v>
      </c>
      <c r="AO178" s="23" t="n">
        <v>2</v>
      </c>
      <c r="AP178" s="23" t="n">
        <v>2.7</v>
      </c>
    </row>
    <row r="179" customFormat="false" ht="21.75" hidden="false" customHeight="true" outlineLevel="0" collapsed="false">
      <c r="B179" s="14" t="n">
        <v>175</v>
      </c>
      <c r="C179" s="7" t="s">
        <v>43</v>
      </c>
      <c r="D179" s="7" t="s">
        <v>20</v>
      </c>
      <c r="E179" s="7" t="s">
        <v>117</v>
      </c>
      <c r="F179" s="7" t="s">
        <v>64</v>
      </c>
      <c r="G179" s="7" t="s">
        <v>693</v>
      </c>
      <c r="H179" s="7" t="s">
        <v>261</v>
      </c>
      <c r="I179" s="7" t="s">
        <v>685</v>
      </c>
      <c r="J179" s="7" t="s">
        <v>686</v>
      </c>
      <c r="K179" s="7" t="s">
        <v>250</v>
      </c>
      <c r="L179" s="7" t="s">
        <v>639</v>
      </c>
      <c r="M179" s="7" t="s">
        <v>251</v>
      </c>
      <c r="N179" s="7" t="s">
        <v>687</v>
      </c>
      <c r="O179" s="7" t="s">
        <v>189</v>
      </c>
      <c r="P179" s="7" t="s">
        <v>640</v>
      </c>
      <c r="Q179" s="7" t="s">
        <v>688</v>
      </c>
      <c r="R179" s="7" t="s">
        <v>689</v>
      </c>
      <c r="S179" s="7" t="s">
        <v>643</v>
      </c>
      <c r="T179" s="7" t="s">
        <v>690</v>
      </c>
      <c r="U179" s="18" t="n">
        <v>25</v>
      </c>
      <c r="V179" s="7"/>
      <c r="W179" s="7"/>
      <c r="X179" s="7" t="s">
        <v>694</v>
      </c>
      <c r="Y179" s="22" t="n">
        <v>0.009</v>
      </c>
      <c r="Z179" s="22" t="n">
        <v>0.013</v>
      </c>
      <c r="AA179" s="22" t="n">
        <v>12</v>
      </c>
      <c r="AB179" s="7" t="s">
        <v>639</v>
      </c>
      <c r="AC179" s="7" t="s">
        <v>691</v>
      </c>
      <c r="AD179" s="22" t="s">
        <v>197</v>
      </c>
      <c r="AE179" s="22" t="s">
        <v>197</v>
      </c>
      <c r="AF179" s="22" t="s">
        <v>197</v>
      </c>
      <c r="AG179" s="22" t="s">
        <v>197</v>
      </c>
      <c r="AH179" s="22" t="s">
        <v>197</v>
      </c>
      <c r="AI179" s="22" t="s">
        <v>197</v>
      </c>
      <c r="AJ179" s="22" t="n">
        <v>12</v>
      </c>
      <c r="AK179" s="22" t="s">
        <v>197</v>
      </c>
      <c r="AL179" s="22" t="n">
        <v>90</v>
      </c>
      <c r="AM179" s="7" t="s">
        <v>257</v>
      </c>
      <c r="AN179" s="22" t="s">
        <v>197</v>
      </c>
      <c r="AO179" s="22" t="n">
        <v>2</v>
      </c>
      <c r="AP179" s="22" t="n">
        <v>2.7</v>
      </c>
    </row>
    <row r="180" customFormat="false" ht="21.75" hidden="false" customHeight="true" outlineLevel="0" collapsed="false">
      <c r="B180" s="15" t="n">
        <v>176</v>
      </c>
      <c r="C180" s="9" t="s">
        <v>43</v>
      </c>
      <c r="D180" s="9" t="s">
        <v>20</v>
      </c>
      <c r="E180" s="9" t="s">
        <v>117</v>
      </c>
      <c r="F180" s="9" t="s">
        <v>64</v>
      </c>
      <c r="G180" s="9" t="s">
        <v>695</v>
      </c>
      <c r="H180" s="9" t="s">
        <v>264</v>
      </c>
      <c r="I180" s="9" t="s">
        <v>685</v>
      </c>
      <c r="J180" s="9" t="s">
        <v>686</v>
      </c>
      <c r="K180" s="9" t="s">
        <v>250</v>
      </c>
      <c r="L180" s="9" t="s">
        <v>639</v>
      </c>
      <c r="M180" s="9" t="s">
        <v>251</v>
      </c>
      <c r="N180" s="9" t="s">
        <v>687</v>
      </c>
      <c r="O180" s="9" t="s">
        <v>189</v>
      </c>
      <c r="P180" s="9" t="s">
        <v>640</v>
      </c>
      <c r="Q180" s="9" t="s">
        <v>688</v>
      </c>
      <c r="R180" s="9" t="s">
        <v>689</v>
      </c>
      <c r="S180" s="9" t="s">
        <v>643</v>
      </c>
      <c r="T180" s="9" t="s">
        <v>690</v>
      </c>
      <c r="U180" s="19" t="n">
        <v>35</v>
      </c>
      <c r="V180" s="9"/>
      <c r="W180" s="9"/>
      <c r="X180" s="9" t="s">
        <v>203</v>
      </c>
      <c r="Y180" s="23" t="n">
        <v>0.016</v>
      </c>
      <c r="Z180" s="23" t="n">
        <v>0.023</v>
      </c>
      <c r="AA180" s="23" t="n">
        <v>12</v>
      </c>
      <c r="AB180" s="9" t="s">
        <v>639</v>
      </c>
      <c r="AC180" s="9" t="s">
        <v>691</v>
      </c>
      <c r="AD180" s="23" t="s">
        <v>197</v>
      </c>
      <c r="AE180" s="23" t="s">
        <v>197</v>
      </c>
      <c r="AF180" s="23" t="s">
        <v>197</v>
      </c>
      <c r="AG180" s="23" t="s">
        <v>197</v>
      </c>
      <c r="AH180" s="23" t="s">
        <v>197</v>
      </c>
      <c r="AI180" s="23" t="s">
        <v>197</v>
      </c>
      <c r="AJ180" s="23" t="n">
        <v>12</v>
      </c>
      <c r="AK180" s="23" t="s">
        <v>197</v>
      </c>
      <c r="AL180" s="23" t="n">
        <v>110</v>
      </c>
      <c r="AM180" s="9" t="s">
        <v>257</v>
      </c>
      <c r="AN180" s="23" t="s">
        <v>197</v>
      </c>
      <c r="AO180" s="23" t="n">
        <v>2</v>
      </c>
      <c r="AP180" s="23" t="n">
        <v>2.7</v>
      </c>
    </row>
    <row r="181" customFormat="false" ht="21.75" hidden="false" customHeight="true" outlineLevel="0" collapsed="false">
      <c r="B181" s="14" t="n">
        <v>177</v>
      </c>
      <c r="C181" s="7" t="s">
        <v>43</v>
      </c>
      <c r="D181" s="7" t="s">
        <v>20</v>
      </c>
      <c r="E181" s="7" t="s">
        <v>117</v>
      </c>
      <c r="F181" s="7" t="s">
        <v>64</v>
      </c>
      <c r="G181" s="7" t="s">
        <v>696</v>
      </c>
      <c r="H181" s="7" t="s">
        <v>266</v>
      </c>
      <c r="I181" s="7" t="s">
        <v>685</v>
      </c>
      <c r="J181" s="7" t="s">
        <v>686</v>
      </c>
      <c r="K181" s="7" t="s">
        <v>250</v>
      </c>
      <c r="L181" s="7" t="s">
        <v>639</v>
      </c>
      <c r="M181" s="7" t="s">
        <v>251</v>
      </c>
      <c r="N181" s="7" t="s">
        <v>687</v>
      </c>
      <c r="O181" s="7" t="s">
        <v>189</v>
      </c>
      <c r="P181" s="7" t="s">
        <v>640</v>
      </c>
      <c r="Q181" s="7" t="s">
        <v>688</v>
      </c>
      <c r="R181" s="7" t="s">
        <v>689</v>
      </c>
      <c r="S181" s="7" t="s">
        <v>643</v>
      </c>
      <c r="T181" s="7" t="s">
        <v>690</v>
      </c>
      <c r="U181" s="18" t="n">
        <v>55</v>
      </c>
      <c r="V181" s="7"/>
      <c r="W181" s="7"/>
      <c r="X181" s="7" t="s">
        <v>205</v>
      </c>
      <c r="Y181" s="22" t="n">
        <v>0.013</v>
      </c>
      <c r="Z181" s="22" t="n">
        <v>0.018</v>
      </c>
      <c r="AA181" s="22" t="n">
        <v>12</v>
      </c>
      <c r="AB181" s="7" t="s">
        <v>639</v>
      </c>
      <c r="AC181" s="7" t="s">
        <v>691</v>
      </c>
      <c r="AD181" s="22" t="s">
        <v>197</v>
      </c>
      <c r="AE181" s="22" t="s">
        <v>197</v>
      </c>
      <c r="AF181" s="22" t="s">
        <v>197</v>
      </c>
      <c r="AG181" s="22" t="s">
        <v>197</v>
      </c>
      <c r="AH181" s="22" t="s">
        <v>197</v>
      </c>
      <c r="AI181" s="22" t="s">
        <v>197</v>
      </c>
      <c r="AJ181" s="22" t="n">
        <v>15</v>
      </c>
      <c r="AK181" s="22" t="s">
        <v>197</v>
      </c>
      <c r="AL181" s="22" t="n">
        <v>110</v>
      </c>
      <c r="AM181" s="7" t="s">
        <v>257</v>
      </c>
      <c r="AN181" s="22" t="s">
        <v>197</v>
      </c>
      <c r="AO181" s="22" t="n">
        <v>2</v>
      </c>
      <c r="AP181" s="22" t="n">
        <v>2.7</v>
      </c>
    </row>
    <row r="182" customFormat="false" ht="21.75" hidden="false" customHeight="true" outlineLevel="0" collapsed="false">
      <c r="B182" s="15" t="n">
        <v>178</v>
      </c>
      <c r="C182" s="9" t="s">
        <v>43</v>
      </c>
      <c r="D182" s="9" t="s">
        <v>20</v>
      </c>
      <c r="E182" s="9" t="s">
        <v>117</v>
      </c>
      <c r="F182" s="9" t="s">
        <v>65</v>
      </c>
      <c r="G182" s="9" t="s">
        <v>697</v>
      </c>
      <c r="H182" s="9" t="s">
        <v>247</v>
      </c>
      <c r="I182" s="9" t="s">
        <v>515</v>
      </c>
      <c r="J182" s="9" t="s">
        <v>698</v>
      </c>
      <c r="K182" s="9" t="s">
        <v>517</v>
      </c>
      <c r="L182" s="9" t="s">
        <v>639</v>
      </c>
      <c r="M182" s="9" t="s">
        <v>518</v>
      </c>
      <c r="N182" s="9" t="s">
        <v>699</v>
      </c>
      <c r="O182" s="9" t="s">
        <v>189</v>
      </c>
      <c r="P182" s="9" t="s">
        <v>640</v>
      </c>
      <c r="Q182" s="9" t="s">
        <v>700</v>
      </c>
      <c r="R182" s="9" t="s">
        <v>701</v>
      </c>
      <c r="S182" s="9" t="s">
        <v>643</v>
      </c>
      <c r="T182" s="9" t="s">
        <v>275</v>
      </c>
      <c r="U182" s="19" t="n">
        <v>20</v>
      </c>
      <c r="V182" s="9"/>
      <c r="W182" s="9"/>
      <c r="X182" s="9" t="s">
        <v>195</v>
      </c>
      <c r="Y182" s="23" t="n">
        <v>1.579E-005</v>
      </c>
      <c r="Z182" s="23" t="n">
        <v>3.892E-005</v>
      </c>
      <c r="AA182" s="23" t="n">
        <v>3</v>
      </c>
      <c r="AB182" s="9" t="s">
        <v>639</v>
      </c>
      <c r="AC182" s="9" t="s">
        <v>702</v>
      </c>
      <c r="AD182" s="23" t="s">
        <v>197</v>
      </c>
      <c r="AE182" s="23" t="s">
        <v>197</v>
      </c>
      <c r="AF182" s="23" t="s">
        <v>197</v>
      </c>
      <c r="AG182" s="23" t="s">
        <v>197</v>
      </c>
      <c r="AH182" s="23" t="s">
        <v>197</v>
      </c>
      <c r="AI182" s="23" t="s">
        <v>197</v>
      </c>
      <c r="AJ182" s="23" t="n">
        <v>8</v>
      </c>
      <c r="AK182" s="23" t="s">
        <v>197</v>
      </c>
      <c r="AL182" s="23" t="n">
        <v>90</v>
      </c>
      <c r="AM182" s="9" t="s">
        <v>257</v>
      </c>
      <c r="AN182" s="23" t="s">
        <v>197</v>
      </c>
      <c r="AO182" s="23" t="n">
        <v>2</v>
      </c>
      <c r="AP182" s="23" t="n">
        <v>2.7</v>
      </c>
    </row>
    <row r="183" customFormat="false" ht="21.75" hidden="false" customHeight="true" outlineLevel="0" collapsed="false">
      <c r="B183" s="14" t="n">
        <v>179</v>
      </c>
      <c r="C183" s="7" t="s">
        <v>43</v>
      </c>
      <c r="D183" s="7" t="s">
        <v>20</v>
      </c>
      <c r="E183" s="7" t="s">
        <v>117</v>
      </c>
      <c r="F183" s="7" t="s">
        <v>65</v>
      </c>
      <c r="G183" s="7" t="s">
        <v>703</v>
      </c>
      <c r="H183" s="7" t="s">
        <v>259</v>
      </c>
      <c r="I183" s="7" t="s">
        <v>515</v>
      </c>
      <c r="J183" s="7" t="s">
        <v>698</v>
      </c>
      <c r="K183" s="7" t="s">
        <v>517</v>
      </c>
      <c r="L183" s="7" t="s">
        <v>639</v>
      </c>
      <c r="M183" s="7" t="s">
        <v>518</v>
      </c>
      <c r="N183" s="7" t="s">
        <v>699</v>
      </c>
      <c r="O183" s="7" t="s">
        <v>189</v>
      </c>
      <c r="P183" s="7" t="s">
        <v>640</v>
      </c>
      <c r="Q183" s="7" t="s">
        <v>700</v>
      </c>
      <c r="R183" s="7" t="s">
        <v>701</v>
      </c>
      <c r="S183" s="7" t="s">
        <v>643</v>
      </c>
      <c r="T183" s="7" t="s">
        <v>275</v>
      </c>
      <c r="U183" s="18" t="n">
        <v>30</v>
      </c>
      <c r="V183" s="7"/>
      <c r="W183" s="7"/>
      <c r="X183" s="7" t="s">
        <v>199</v>
      </c>
      <c r="Y183" s="22" t="n">
        <v>1.27E-005</v>
      </c>
      <c r="Z183" s="22" t="n">
        <v>3.34E-005</v>
      </c>
      <c r="AA183" s="22" t="n">
        <v>3</v>
      </c>
      <c r="AB183" s="7" t="s">
        <v>639</v>
      </c>
      <c r="AC183" s="7" t="s">
        <v>702</v>
      </c>
      <c r="AD183" s="22" t="s">
        <v>197</v>
      </c>
      <c r="AE183" s="22" t="s">
        <v>197</v>
      </c>
      <c r="AF183" s="22" t="s">
        <v>197</v>
      </c>
      <c r="AG183" s="22" t="s">
        <v>197</v>
      </c>
      <c r="AH183" s="22" t="s">
        <v>197</v>
      </c>
      <c r="AI183" s="22" t="s">
        <v>197</v>
      </c>
      <c r="AJ183" s="22" t="n">
        <v>10</v>
      </c>
      <c r="AK183" s="22" t="s">
        <v>197</v>
      </c>
      <c r="AL183" s="22" t="n">
        <v>90</v>
      </c>
      <c r="AM183" s="7" t="s">
        <v>257</v>
      </c>
      <c r="AN183" s="22" t="s">
        <v>197</v>
      </c>
      <c r="AO183" s="22" t="n">
        <v>2</v>
      </c>
      <c r="AP183" s="22" t="n">
        <v>2.7</v>
      </c>
    </row>
    <row r="184" customFormat="false" ht="21.75" hidden="false" customHeight="true" outlineLevel="0" collapsed="false">
      <c r="B184" s="15" t="n">
        <v>180</v>
      </c>
      <c r="C184" s="9" t="s">
        <v>43</v>
      </c>
      <c r="D184" s="9" t="s">
        <v>20</v>
      </c>
      <c r="E184" s="9" t="s">
        <v>117</v>
      </c>
      <c r="F184" s="9" t="s">
        <v>65</v>
      </c>
      <c r="G184" s="9" t="s">
        <v>704</v>
      </c>
      <c r="H184" s="9" t="s">
        <v>261</v>
      </c>
      <c r="I184" s="9" t="s">
        <v>515</v>
      </c>
      <c r="J184" s="9" t="s">
        <v>698</v>
      </c>
      <c r="K184" s="9" t="s">
        <v>517</v>
      </c>
      <c r="L184" s="9" t="s">
        <v>639</v>
      </c>
      <c r="M184" s="9" t="s">
        <v>518</v>
      </c>
      <c r="N184" s="9" t="s">
        <v>699</v>
      </c>
      <c r="O184" s="9" t="s">
        <v>189</v>
      </c>
      <c r="P184" s="9" t="s">
        <v>640</v>
      </c>
      <c r="Q184" s="9" t="s">
        <v>700</v>
      </c>
      <c r="R184" s="9" t="s">
        <v>701</v>
      </c>
      <c r="S184" s="9" t="s">
        <v>643</v>
      </c>
      <c r="T184" s="9" t="s">
        <v>275</v>
      </c>
      <c r="U184" s="19" t="n">
        <v>40</v>
      </c>
      <c r="V184" s="9"/>
      <c r="W184" s="9"/>
      <c r="X184" s="9" t="s">
        <v>705</v>
      </c>
      <c r="Y184" s="23" t="n">
        <v>2.095E-005</v>
      </c>
      <c r="Z184" s="23" t="n">
        <v>4.813E-005</v>
      </c>
      <c r="AA184" s="23" t="n">
        <v>3</v>
      </c>
      <c r="AB184" s="9" t="s">
        <v>639</v>
      </c>
      <c r="AC184" s="9" t="s">
        <v>702</v>
      </c>
      <c r="AD184" s="23" t="s">
        <v>197</v>
      </c>
      <c r="AE184" s="23" t="s">
        <v>197</v>
      </c>
      <c r="AF184" s="23" t="s">
        <v>197</v>
      </c>
      <c r="AG184" s="23" t="s">
        <v>197</v>
      </c>
      <c r="AH184" s="23" t="s">
        <v>197</v>
      </c>
      <c r="AI184" s="23" t="s">
        <v>197</v>
      </c>
      <c r="AJ184" s="23" t="n">
        <v>12</v>
      </c>
      <c r="AK184" s="23" t="s">
        <v>197</v>
      </c>
      <c r="AL184" s="23" t="n">
        <v>90</v>
      </c>
      <c r="AM184" s="9" t="s">
        <v>257</v>
      </c>
      <c r="AN184" s="23" t="s">
        <v>197</v>
      </c>
      <c r="AO184" s="23" t="n">
        <v>2</v>
      </c>
      <c r="AP184" s="23" t="n">
        <v>2.7</v>
      </c>
    </row>
    <row r="185" customFormat="false" ht="21.75" hidden="false" customHeight="true" outlineLevel="0" collapsed="false">
      <c r="B185" s="14" t="n">
        <v>181</v>
      </c>
      <c r="C185" s="7" t="s">
        <v>43</v>
      </c>
      <c r="D185" s="7" t="s">
        <v>20</v>
      </c>
      <c r="E185" s="7" t="s">
        <v>117</v>
      </c>
      <c r="F185" s="7" t="s">
        <v>65</v>
      </c>
      <c r="G185" s="7" t="s">
        <v>706</v>
      </c>
      <c r="H185" s="7" t="s">
        <v>281</v>
      </c>
      <c r="I185" s="7" t="s">
        <v>515</v>
      </c>
      <c r="J185" s="7" t="s">
        <v>698</v>
      </c>
      <c r="K185" s="7" t="s">
        <v>517</v>
      </c>
      <c r="L185" s="7" t="s">
        <v>639</v>
      </c>
      <c r="M185" s="7" t="s">
        <v>518</v>
      </c>
      <c r="N185" s="7" t="s">
        <v>699</v>
      </c>
      <c r="O185" s="7" t="s">
        <v>189</v>
      </c>
      <c r="P185" s="7" t="s">
        <v>640</v>
      </c>
      <c r="Q185" s="7" t="s">
        <v>700</v>
      </c>
      <c r="R185" s="7" t="s">
        <v>701</v>
      </c>
      <c r="S185" s="7" t="s">
        <v>643</v>
      </c>
      <c r="T185" s="7" t="s">
        <v>275</v>
      </c>
      <c r="U185" s="18" t="n">
        <v>65</v>
      </c>
      <c r="V185" s="7"/>
      <c r="W185" s="7"/>
      <c r="X185" s="7" t="s">
        <v>203</v>
      </c>
      <c r="Y185" s="22" t="n">
        <v>1.424E-005</v>
      </c>
      <c r="Z185" s="22" t="n">
        <v>3.615E-005</v>
      </c>
      <c r="AA185" s="22" t="n">
        <v>3</v>
      </c>
      <c r="AB185" s="7" t="s">
        <v>639</v>
      </c>
      <c r="AC185" s="7" t="s">
        <v>702</v>
      </c>
      <c r="AD185" s="22" t="s">
        <v>197</v>
      </c>
      <c r="AE185" s="22" t="s">
        <v>197</v>
      </c>
      <c r="AF185" s="22" t="s">
        <v>197</v>
      </c>
      <c r="AG185" s="22" t="s">
        <v>197</v>
      </c>
      <c r="AH185" s="22" t="s">
        <v>197</v>
      </c>
      <c r="AI185" s="22" t="s">
        <v>197</v>
      </c>
      <c r="AJ185" s="22" t="n">
        <v>12</v>
      </c>
      <c r="AK185" s="22" t="s">
        <v>197</v>
      </c>
      <c r="AL185" s="22" t="n">
        <v>90</v>
      </c>
      <c r="AM185" s="7" t="s">
        <v>257</v>
      </c>
      <c r="AN185" s="22" t="s">
        <v>197</v>
      </c>
      <c r="AO185" s="22" t="n">
        <v>2</v>
      </c>
      <c r="AP185" s="22" t="n">
        <v>2.7</v>
      </c>
    </row>
    <row r="186" customFormat="false" ht="21.75" hidden="false" customHeight="true" outlineLevel="0" collapsed="false">
      <c r="B186" s="15" t="n">
        <v>182</v>
      </c>
      <c r="C186" s="9" t="s">
        <v>43</v>
      </c>
      <c r="D186" s="9" t="s">
        <v>20</v>
      </c>
      <c r="E186" s="9" t="s">
        <v>117</v>
      </c>
      <c r="F186" s="9" t="s">
        <v>65</v>
      </c>
      <c r="G186" s="9" t="s">
        <v>707</v>
      </c>
      <c r="H186" s="9" t="s">
        <v>283</v>
      </c>
      <c r="I186" s="9" t="s">
        <v>515</v>
      </c>
      <c r="J186" s="9" t="s">
        <v>698</v>
      </c>
      <c r="K186" s="9" t="s">
        <v>517</v>
      </c>
      <c r="L186" s="9" t="s">
        <v>639</v>
      </c>
      <c r="M186" s="9" t="s">
        <v>518</v>
      </c>
      <c r="N186" s="9" t="s">
        <v>699</v>
      </c>
      <c r="O186" s="9" t="s">
        <v>189</v>
      </c>
      <c r="P186" s="9" t="s">
        <v>640</v>
      </c>
      <c r="Q186" s="9" t="s">
        <v>700</v>
      </c>
      <c r="R186" s="9" t="s">
        <v>701</v>
      </c>
      <c r="S186" s="9" t="s">
        <v>643</v>
      </c>
      <c r="T186" s="9" t="s">
        <v>275</v>
      </c>
      <c r="U186" s="19" t="n">
        <v>95</v>
      </c>
      <c r="V186" s="9"/>
      <c r="W186" s="9"/>
      <c r="X186" s="9" t="s">
        <v>205</v>
      </c>
      <c r="Y186" s="23" t="n">
        <v>2.176E-005</v>
      </c>
      <c r="Z186" s="23" t="n">
        <v>4.958E-005</v>
      </c>
      <c r="AA186" s="23" t="n">
        <v>3</v>
      </c>
      <c r="AB186" s="9" t="s">
        <v>639</v>
      </c>
      <c r="AC186" s="9" t="s">
        <v>702</v>
      </c>
      <c r="AD186" s="23" t="s">
        <v>197</v>
      </c>
      <c r="AE186" s="23" t="s">
        <v>197</v>
      </c>
      <c r="AF186" s="23" t="s">
        <v>197</v>
      </c>
      <c r="AG186" s="23" t="s">
        <v>197</v>
      </c>
      <c r="AH186" s="23" t="s">
        <v>197</v>
      </c>
      <c r="AI186" s="23" t="s">
        <v>197</v>
      </c>
      <c r="AJ186" s="23" t="n">
        <v>15</v>
      </c>
      <c r="AK186" s="23" t="s">
        <v>197</v>
      </c>
      <c r="AL186" s="23" t="n">
        <v>90</v>
      </c>
      <c r="AM186" s="9" t="s">
        <v>257</v>
      </c>
      <c r="AN186" s="23" t="s">
        <v>197</v>
      </c>
      <c r="AO186" s="23" t="n">
        <v>2</v>
      </c>
      <c r="AP186" s="23" t="n">
        <v>2.7</v>
      </c>
    </row>
    <row r="187" customFormat="false" ht="21.75" hidden="false" customHeight="true" outlineLevel="0" collapsed="false">
      <c r="B187" s="14" t="n">
        <v>183</v>
      </c>
      <c r="C187" s="7" t="s">
        <v>43</v>
      </c>
      <c r="D187" s="7" t="s">
        <v>20</v>
      </c>
      <c r="E187" s="7" t="s">
        <v>117</v>
      </c>
      <c r="F187" s="7" t="s">
        <v>66</v>
      </c>
      <c r="G187" s="7" t="s">
        <v>707</v>
      </c>
      <c r="H187" s="7" t="s">
        <v>285</v>
      </c>
      <c r="I187" s="7" t="s">
        <v>708</v>
      </c>
      <c r="J187" s="7" t="s">
        <v>709</v>
      </c>
      <c r="K187" s="7" t="s">
        <v>250</v>
      </c>
      <c r="L187" s="7" t="s">
        <v>639</v>
      </c>
      <c r="M187" s="7" t="s">
        <v>251</v>
      </c>
      <c r="N187" s="7" t="s">
        <v>710</v>
      </c>
      <c r="O187" s="7" t="s">
        <v>711</v>
      </c>
      <c r="P187" s="7" t="s">
        <v>640</v>
      </c>
      <c r="Q187" s="7" t="s">
        <v>712</v>
      </c>
      <c r="R187" s="7" t="s">
        <v>713</v>
      </c>
      <c r="S187" s="7" t="s">
        <v>643</v>
      </c>
      <c r="T187" s="7" t="s">
        <v>714</v>
      </c>
      <c r="U187" s="18" t="n">
        <v>30</v>
      </c>
      <c r="V187" s="7"/>
      <c r="W187" s="7"/>
      <c r="X187" s="7" t="s">
        <v>195</v>
      </c>
      <c r="Y187" s="22" t="n">
        <v>0.03</v>
      </c>
      <c r="Z187" s="22" t="n">
        <v>0.04</v>
      </c>
      <c r="AA187" s="22" t="n">
        <v>12</v>
      </c>
      <c r="AB187" s="7" t="s">
        <v>639</v>
      </c>
      <c r="AC187" s="7" t="s">
        <v>691</v>
      </c>
      <c r="AD187" s="22" t="s">
        <v>197</v>
      </c>
      <c r="AE187" s="22" t="s">
        <v>197</v>
      </c>
      <c r="AF187" s="22" t="s">
        <v>197</v>
      </c>
      <c r="AG187" s="22" t="s">
        <v>197</v>
      </c>
      <c r="AH187" s="22" t="s">
        <v>197</v>
      </c>
      <c r="AI187" s="22" t="s">
        <v>197</v>
      </c>
      <c r="AJ187" s="22" t="s">
        <v>197</v>
      </c>
      <c r="AK187" s="22" t="n">
        <v>10</v>
      </c>
      <c r="AL187" s="22" t="n">
        <v>90</v>
      </c>
      <c r="AM187" s="7" t="s">
        <v>292</v>
      </c>
      <c r="AN187" s="22" t="s">
        <v>197</v>
      </c>
      <c r="AO187" s="22" t="n">
        <v>2</v>
      </c>
      <c r="AP187" s="22" t="n">
        <v>3</v>
      </c>
    </row>
    <row r="188" customFormat="false" ht="21.75" hidden="false" customHeight="true" outlineLevel="0" collapsed="false">
      <c r="B188" s="15" t="n">
        <v>184</v>
      </c>
      <c r="C188" s="9" t="s">
        <v>43</v>
      </c>
      <c r="D188" s="9" t="s">
        <v>20</v>
      </c>
      <c r="E188" s="9" t="s">
        <v>117</v>
      </c>
      <c r="F188" s="9" t="s">
        <v>66</v>
      </c>
      <c r="G188" s="9" t="s">
        <v>715</v>
      </c>
      <c r="H188" s="9" t="s">
        <v>294</v>
      </c>
      <c r="I188" s="9" t="s">
        <v>708</v>
      </c>
      <c r="J188" s="9" t="s">
        <v>709</v>
      </c>
      <c r="K188" s="9" t="s">
        <v>250</v>
      </c>
      <c r="L188" s="9" t="s">
        <v>639</v>
      </c>
      <c r="M188" s="9" t="s">
        <v>251</v>
      </c>
      <c r="N188" s="9" t="s">
        <v>710</v>
      </c>
      <c r="O188" s="9" t="s">
        <v>711</v>
      </c>
      <c r="P188" s="9" t="s">
        <v>640</v>
      </c>
      <c r="Q188" s="9" t="s">
        <v>712</v>
      </c>
      <c r="R188" s="9" t="s">
        <v>713</v>
      </c>
      <c r="S188" s="9" t="s">
        <v>643</v>
      </c>
      <c r="T188" s="9" t="s">
        <v>714</v>
      </c>
      <c r="U188" s="19" t="n">
        <v>50</v>
      </c>
      <c r="V188" s="9"/>
      <c r="W188" s="9"/>
      <c r="X188" s="9" t="s">
        <v>199</v>
      </c>
      <c r="Y188" s="23" t="n">
        <v>0.023</v>
      </c>
      <c r="Z188" s="23" t="n">
        <v>0.033</v>
      </c>
      <c r="AA188" s="23" t="n">
        <v>12</v>
      </c>
      <c r="AB188" s="9" t="s">
        <v>639</v>
      </c>
      <c r="AC188" s="9" t="s">
        <v>691</v>
      </c>
      <c r="AD188" s="23" t="s">
        <v>197</v>
      </c>
      <c r="AE188" s="23" t="s">
        <v>197</v>
      </c>
      <c r="AF188" s="23" t="s">
        <v>197</v>
      </c>
      <c r="AG188" s="23" t="s">
        <v>197</v>
      </c>
      <c r="AH188" s="23" t="s">
        <v>197</v>
      </c>
      <c r="AI188" s="23" t="s">
        <v>197</v>
      </c>
      <c r="AJ188" s="23" t="s">
        <v>197</v>
      </c>
      <c r="AK188" s="23" t="n">
        <v>12</v>
      </c>
      <c r="AL188" s="23" t="n">
        <v>90</v>
      </c>
      <c r="AM188" s="9" t="s">
        <v>292</v>
      </c>
      <c r="AN188" s="23" t="s">
        <v>197</v>
      </c>
      <c r="AO188" s="23" t="n">
        <v>2</v>
      </c>
      <c r="AP188" s="23" t="n">
        <v>3</v>
      </c>
    </row>
    <row r="189" customFormat="false" ht="21.75" hidden="false" customHeight="true" outlineLevel="0" collapsed="false">
      <c r="B189" s="14" t="n">
        <v>185</v>
      </c>
      <c r="C189" s="7" t="s">
        <v>43</v>
      </c>
      <c r="D189" s="7" t="s">
        <v>20</v>
      </c>
      <c r="E189" s="7" t="s">
        <v>117</v>
      </c>
      <c r="F189" s="7" t="s">
        <v>66</v>
      </c>
      <c r="G189" s="7" t="s">
        <v>716</v>
      </c>
      <c r="H189" s="7" t="s">
        <v>296</v>
      </c>
      <c r="I189" s="7" t="s">
        <v>708</v>
      </c>
      <c r="J189" s="7" t="s">
        <v>709</v>
      </c>
      <c r="K189" s="7" t="s">
        <v>250</v>
      </c>
      <c r="L189" s="7" t="s">
        <v>639</v>
      </c>
      <c r="M189" s="7" t="s">
        <v>251</v>
      </c>
      <c r="N189" s="7" t="s">
        <v>710</v>
      </c>
      <c r="O189" s="7" t="s">
        <v>711</v>
      </c>
      <c r="P189" s="7" t="s">
        <v>640</v>
      </c>
      <c r="Q189" s="7" t="s">
        <v>712</v>
      </c>
      <c r="R189" s="7" t="s">
        <v>713</v>
      </c>
      <c r="S189" s="7" t="s">
        <v>643</v>
      </c>
      <c r="T189" s="7" t="s">
        <v>714</v>
      </c>
      <c r="U189" s="18" t="n">
        <v>65</v>
      </c>
      <c r="V189" s="7"/>
      <c r="W189" s="7"/>
      <c r="X189" s="7" t="s">
        <v>717</v>
      </c>
      <c r="Y189" s="22" t="n">
        <v>0.02</v>
      </c>
      <c r="Z189" s="22" t="n">
        <v>0.03</v>
      </c>
      <c r="AA189" s="22" t="n">
        <v>12</v>
      </c>
      <c r="AB189" s="7" t="s">
        <v>639</v>
      </c>
      <c r="AC189" s="7" t="s">
        <v>691</v>
      </c>
      <c r="AD189" s="22" t="s">
        <v>197</v>
      </c>
      <c r="AE189" s="22" t="s">
        <v>197</v>
      </c>
      <c r="AF189" s="22" t="s">
        <v>197</v>
      </c>
      <c r="AG189" s="22" t="s">
        <v>197</v>
      </c>
      <c r="AH189" s="22" t="s">
        <v>197</v>
      </c>
      <c r="AI189" s="22" t="s">
        <v>197</v>
      </c>
      <c r="AJ189" s="22" t="s">
        <v>197</v>
      </c>
      <c r="AK189" s="22" t="n">
        <v>12</v>
      </c>
      <c r="AL189" s="22" t="n">
        <v>90</v>
      </c>
      <c r="AM189" s="7" t="s">
        <v>292</v>
      </c>
      <c r="AN189" s="22" t="s">
        <v>197</v>
      </c>
      <c r="AO189" s="22" t="n">
        <v>2</v>
      </c>
      <c r="AP189" s="22" t="n">
        <v>3</v>
      </c>
    </row>
    <row r="190" customFormat="false" ht="21.75" hidden="false" customHeight="true" outlineLevel="0" collapsed="false">
      <c r="B190" s="15" t="n">
        <v>186</v>
      </c>
      <c r="C190" s="9" t="s">
        <v>43</v>
      </c>
      <c r="D190" s="9" t="s">
        <v>20</v>
      </c>
      <c r="E190" s="9" t="s">
        <v>117</v>
      </c>
      <c r="F190" s="9" t="s">
        <v>66</v>
      </c>
      <c r="G190" s="9" t="s">
        <v>718</v>
      </c>
      <c r="H190" s="9" t="s">
        <v>299</v>
      </c>
      <c r="I190" s="9" t="s">
        <v>708</v>
      </c>
      <c r="J190" s="9" t="s">
        <v>709</v>
      </c>
      <c r="K190" s="9" t="s">
        <v>250</v>
      </c>
      <c r="L190" s="9" t="s">
        <v>639</v>
      </c>
      <c r="M190" s="9" t="s">
        <v>251</v>
      </c>
      <c r="N190" s="9" t="s">
        <v>710</v>
      </c>
      <c r="O190" s="9" t="s">
        <v>711</v>
      </c>
      <c r="P190" s="9" t="s">
        <v>640</v>
      </c>
      <c r="Q190" s="9" t="s">
        <v>712</v>
      </c>
      <c r="R190" s="9" t="s">
        <v>713</v>
      </c>
      <c r="S190" s="9" t="s">
        <v>643</v>
      </c>
      <c r="T190" s="9" t="s">
        <v>714</v>
      </c>
      <c r="U190" s="19" t="n">
        <v>100</v>
      </c>
      <c r="V190" s="9"/>
      <c r="W190" s="9"/>
      <c r="X190" s="9" t="s">
        <v>203</v>
      </c>
      <c r="Y190" s="23" t="n">
        <v>0.017</v>
      </c>
      <c r="Z190" s="23" t="n">
        <v>0.027</v>
      </c>
      <c r="AA190" s="23" t="n">
        <v>12</v>
      </c>
      <c r="AB190" s="9" t="s">
        <v>639</v>
      </c>
      <c r="AC190" s="9" t="s">
        <v>691</v>
      </c>
      <c r="AD190" s="23" t="s">
        <v>197</v>
      </c>
      <c r="AE190" s="23" t="s">
        <v>197</v>
      </c>
      <c r="AF190" s="23" t="s">
        <v>197</v>
      </c>
      <c r="AG190" s="23" t="s">
        <v>197</v>
      </c>
      <c r="AH190" s="23" t="s">
        <v>197</v>
      </c>
      <c r="AI190" s="23" t="s">
        <v>197</v>
      </c>
      <c r="AJ190" s="23" t="s">
        <v>197</v>
      </c>
      <c r="AK190" s="23" t="n">
        <v>15</v>
      </c>
      <c r="AL190" s="23" t="n">
        <v>90</v>
      </c>
      <c r="AM190" s="9" t="s">
        <v>292</v>
      </c>
      <c r="AN190" s="23" t="s">
        <v>197</v>
      </c>
      <c r="AO190" s="23" t="n">
        <v>2</v>
      </c>
      <c r="AP190" s="23" t="n">
        <v>3</v>
      </c>
    </row>
    <row r="191" customFormat="false" ht="21.75" hidden="false" customHeight="true" outlineLevel="0" collapsed="false">
      <c r="B191" s="14" t="n">
        <v>187</v>
      </c>
      <c r="C191" s="7" t="s">
        <v>43</v>
      </c>
      <c r="D191" s="7" t="s">
        <v>20</v>
      </c>
      <c r="E191" s="7" t="s">
        <v>117</v>
      </c>
      <c r="F191" s="7" t="s">
        <v>66</v>
      </c>
      <c r="G191" s="7" t="s">
        <v>719</v>
      </c>
      <c r="H191" s="7" t="s">
        <v>301</v>
      </c>
      <c r="I191" s="7" t="s">
        <v>708</v>
      </c>
      <c r="J191" s="7" t="s">
        <v>709</v>
      </c>
      <c r="K191" s="7" t="s">
        <v>250</v>
      </c>
      <c r="L191" s="7" t="s">
        <v>639</v>
      </c>
      <c r="M191" s="7" t="s">
        <v>251</v>
      </c>
      <c r="N191" s="7" t="s">
        <v>710</v>
      </c>
      <c r="O191" s="7" t="s">
        <v>711</v>
      </c>
      <c r="P191" s="7" t="s">
        <v>640</v>
      </c>
      <c r="Q191" s="7" t="s">
        <v>712</v>
      </c>
      <c r="R191" s="7" t="s">
        <v>713</v>
      </c>
      <c r="S191" s="7" t="s">
        <v>643</v>
      </c>
      <c r="T191" s="7" t="s">
        <v>714</v>
      </c>
      <c r="U191" s="18" t="n">
        <v>145</v>
      </c>
      <c r="V191" s="7"/>
      <c r="W191" s="7"/>
      <c r="X191" s="7" t="s">
        <v>205</v>
      </c>
      <c r="Y191" s="22" t="n">
        <v>0.023</v>
      </c>
      <c r="Z191" s="22" t="n">
        <v>0.033</v>
      </c>
      <c r="AA191" s="22" t="n">
        <v>12</v>
      </c>
      <c r="AB191" s="7" t="s">
        <v>639</v>
      </c>
      <c r="AC191" s="7" t="s">
        <v>691</v>
      </c>
      <c r="AD191" s="22" t="s">
        <v>197</v>
      </c>
      <c r="AE191" s="22" t="s">
        <v>197</v>
      </c>
      <c r="AF191" s="22" t="s">
        <v>197</v>
      </c>
      <c r="AG191" s="22" t="s">
        <v>197</v>
      </c>
      <c r="AH191" s="22" t="s">
        <v>197</v>
      </c>
      <c r="AI191" s="22" t="s">
        <v>197</v>
      </c>
      <c r="AJ191" s="22" t="s">
        <v>197</v>
      </c>
      <c r="AK191" s="22" t="n">
        <v>20</v>
      </c>
      <c r="AL191" s="22" t="n">
        <v>90</v>
      </c>
      <c r="AM191" s="7" t="s">
        <v>292</v>
      </c>
      <c r="AN191" s="22" t="s">
        <v>197</v>
      </c>
      <c r="AO191" s="22" t="n">
        <v>2</v>
      </c>
      <c r="AP191" s="22" t="n">
        <v>3</v>
      </c>
    </row>
    <row r="192" customFormat="false" ht="21.75" hidden="false" customHeight="true" outlineLevel="0" collapsed="false">
      <c r="B192" s="15" t="n">
        <v>188</v>
      </c>
      <c r="C192" s="9" t="s">
        <v>43</v>
      </c>
      <c r="D192" s="9" t="s">
        <v>20</v>
      </c>
      <c r="E192" s="9" t="s">
        <v>117</v>
      </c>
      <c r="F192" s="9" t="s">
        <v>67</v>
      </c>
      <c r="G192" s="9" t="s">
        <v>720</v>
      </c>
      <c r="H192" s="9" t="s">
        <v>303</v>
      </c>
      <c r="I192" s="9" t="s">
        <v>721</v>
      </c>
      <c r="J192" s="9" t="s">
        <v>722</v>
      </c>
      <c r="K192" s="9" t="s">
        <v>517</v>
      </c>
      <c r="L192" s="9" t="s">
        <v>639</v>
      </c>
      <c r="M192" s="9" t="s">
        <v>542</v>
      </c>
      <c r="N192" s="9" t="s">
        <v>723</v>
      </c>
      <c r="O192" s="9" t="s">
        <v>189</v>
      </c>
      <c r="P192" s="9" t="s">
        <v>640</v>
      </c>
      <c r="Q192" s="9" t="s">
        <v>724</v>
      </c>
      <c r="R192" s="9" t="s">
        <v>725</v>
      </c>
      <c r="S192" s="9" t="s">
        <v>643</v>
      </c>
      <c r="T192" s="9" t="s">
        <v>309</v>
      </c>
      <c r="U192" s="19" t="n">
        <v>15</v>
      </c>
      <c r="V192" s="9"/>
      <c r="W192" s="9"/>
      <c r="X192" s="9" t="s">
        <v>195</v>
      </c>
      <c r="Y192" s="23" t="n">
        <v>0</v>
      </c>
      <c r="Z192" s="23" t="n">
        <v>0</v>
      </c>
      <c r="AA192" s="23" t="s">
        <v>197</v>
      </c>
      <c r="AB192" s="9" t="s">
        <v>639</v>
      </c>
      <c r="AC192" s="9" t="s">
        <v>691</v>
      </c>
      <c r="AD192" s="23" t="s">
        <v>197</v>
      </c>
      <c r="AE192" s="23" t="s">
        <v>197</v>
      </c>
      <c r="AF192" s="23" t="s">
        <v>197</v>
      </c>
      <c r="AG192" s="23" t="s">
        <v>197</v>
      </c>
      <c r="AH192" s="23" t="s">
        <v>197</v>
      </c>
      <c r="AI192" s="23" t="s">
        <v>197</v>
      </c>
      <c r="AJ192" s="23" t="s">
        <v>197</v>
      </c>
      <c r="AK192" s="23" t="s">
        <v>197</v>
      </c>
      <c r="AL192" s="23" t="s">
        <v>197</v>
      </c>
      <c r="AM192" s="9" t="s">
        <v>310</v>
      </c>
      <c r="AN192" s="23" t="s">
        <v>197</v>
      </c>
      <c r="AO192" s="23" t="s">
        <v>197</v>
      </c>
      <c r="AP192" s="23" t="s">
        <v>197</v>
      </c>
    </row>
    <row r="193" customFormat="false" ht="21.75" hidden="false" customHeight="true" outlineLevel="0" collapsed="false">
      <c r="B193" s="14" t="n">
        <v>189</v>
      </c>
      <c r="C193" s="7" t="s">
        <v>43</v>
      </c>
      <c r="D193" s="7" t="s">
        <v>20</v>
      </c>
      <c r="E193" s="7" t="s">
        <v>117</v>
      </c>
      <c r="F193" s="7" t="s">
        <v>67</v>
      </c>
      <c r="G193" s="7" t="s">
        <v>726</v>
      </c>
      <c r="H193" s="7" t="s">
        <v>312</v>
      </c>
      <c r="I193" s="7" t="s">
        <v>721</v>
      </c>
      <c r="J193" s="7" t="s">
        <v>722</v>
      </c>
      <c r="K193" s="7" t="s">
        <v>517</v>
      </c>
      <c r="L193" s="7" t="s">
        <v>639</v>
      </c>
      <c r="M193" s="7" t="s">
        <v>542</v>
      </c>
      <c r="N193" s="7" t="s">
        <v>723</v>
      </c>
      <c r="O193" s="7" t="s">
        <v>189</v>
      </c>
      <c r="P193" s="7" t="s">
        <v>640</v>
      </c>
      <c r="Q193" s="7" t="s">
        <v>724</v>
      </c>
      <c r="R193" s="7" t="s">
        <v>725</v>
      </c>
      <c r="S193" s="7" t="s">
        <v>643</v>
      </c>
      <c r="T193" s="7" t="s">
        <v>309</v>
      </c>
      <c r="U193" s="18" t="n">
        <v>20</v>
      </c>
      <c r="V193" s="7"/>
      <c r="W193" s="7"/>
      <c r="X193" s="7" t="s">
        <v>199</v>
      </c>
      <c r="Y193" s="22" t="n">
        <v>0</v>
      </c>
      <c r="Z193" s="22" t="n">
        <v>0</v>
      </c>
      <c r="AA193" s="22" t="s">
        <v>197</v>
      </c>
      <c r="AB193" s="7" t="s">
        <v>639</v>
      </c>
      <c r="AC193" s="7" t="s">
        <v>691</v>
      </c>
      <c r="AD193" s="22" t="s">
        <v>197</v>
      </c>
      <c r="AE193" s="22" t="s">
        <v>197</v>
      </c>
      <c r="AF193" s="22" t="s">
        <v>197</v>
      </c>
      <c r="AG193" s="22" t="s">
        <v>197</v>
      </c>
      <c r="AH193" s="22" t="s">
        <v>197</v>
      </c>
      <c r="AI193" s="22" t="s">
        <v>197</v>
      </c>
      <c r="AJ193" s="22" t="s">
        <v>197</v>
      </c>
      <c r="AK193" s="22" t="s">
        <v>197</v>
      </c>
      <c r="AL193" s="22" t="s">
        <v>197</v>
      </c>
      <c r="AM193" s="7" t="s">
        <v>310</v>
      </c>
      <c r="AN193" s="22" t="s">
        <v>197</v>
      </c>
      <c r="AO193" s="22" t="s">
        <v>197</v>
      </c>
      <c r="AP193" s="22" t="s">
        <v>197</v>
      </c>
    </row>
    <row r="194" customFormat="false" ht="21.75" hidden="false" customHeight="true" outlineLevel="0" collapsed="false">
      <c r="B194" s="15" t="n">
        <v>190</v>
      </c>
      <c r="C194" s="9" t="s">
        <v>43</v>
      </c>
      <c r="D194" s="9" t="s">
        <v>20</v>
      </c>
      <c r="E194" s="9" t="s">
        <v>117</v>
      </c>
      <c r="F194" s="9" t="s">
        <v>67</v>
      </c>
      <c r="G194" s="9" t="s">
        <v>727</v>
      </c>
      <c r="H194" s="9" t="s">
        <v>314</v>
      </c>
      <c r="I194" s="9" t="s">
        <v>721</v>
      </c>
      <c r="J194" s="9" t="s">
        <v>722</v>
      </c>
      <c r="K194" s="9" t="s">
        <v>517</v>
      </c>
      <c r="L194" s="9" t="s">
        <v>639</v>
      </c>
      <c r="M194" s="9" t="s">
        <v>542</v>
      </c>
      <c r="N194" s="9" t="s">
        <v>723</v>
      </c>
      <c r="O194" s="9" t="s">
        <v>189</v>
      </c>
      <c r="P194" s="9" t="s">
        <v>640</v>
      </c>
      <c r="Q194" s="9" t="s">
        <v>724</v>
      </c>
      <c r="R194" s="9" t="s">
        <v>725</v>
      </c>
      <c r="S194" s="9" t="s">
        <v>643</v>
      </c>
      <c r="T194" s="9" t="s">
        <v>309</v>
      </c>
      <c r="U194" s="19" t="n">
        <v>30</v>
      </c>
      <c r="V194" s="9"/>
      <c r="W194" s="9"/>
      <c r="X194" s="9" t="s">
        <v>728</v>
      </c>
      <c r="Y194" s="23" t="n">
        <v>0</v>
      </c>
      <c r="Z194" s="23" t="n">
        <v>0</v>
      </c>
      <c r="AA194" s="23" t="s">
        <v>197</v>
      </c>
      <c r="AB194" s="9" t="s">
        <v>639</v>
      </c>
      <c r="AC194" s="9" t="s">
        <v>691</v>
      </c>
      <c r="AD194" s="23" t="s">
        <v>197</v>
      </c>
      <c r="AE194" s="23" t="s">
        <v>197</v>
      </c>
      <c r="AF194" s="23" t="s">
        <v>197</v>
      </c>
      <c r="AG194" s="23" t="s">
        <v>197</v>
      </c>
      <c r="AH194" s="23" t="s">
        <v>197</v>
      </c>
      <c r="AI194" s="23" t="s">
        <v>197</v>
      </c>
      <c r="AJ194" s="23" t="s">
        <v>197</v>
      </c>
      <c r="AK194" s="23" t="s">
        <v>197</v>
      </c>
      <c r="AL194" s="23" t="s">
        <v>197</v>
      </c>
      <c r="AM194" s="9" t="s">
        <v>310</v>
      </c>
      <c r="AN194" s="23" t="s">
        <v>197</v>
      </c>
      <c r="AO194" s="23" t="s">
        <v>197</v>
      </c>
      <c r="AP194" s="23" t="s">
        <v>197</v>
      </c>
    </row>
    <row r="195" customFormat="false" ht="21.75" hidden="false" customHeight="true" outlineLevel="0" collapsed="false">
      <c r="B195" s="14" t="n">
        <v>191</v>
      </c>
      <c r="C195" s="7" t="s">
        <v>43</v>
      </c>
      <c r="D195" s="7" t="s">
        <v>20</v>
      </c>
      <c r="E195" s="7" t="s">
        <v>117</v>
      </c>
      <c r="F195" s="7" t="s">
        <v>67</v>
      </c>
      <c r="G195" s="7" t="s">
        <v>704</v>
      </c>
      <c r="H195" s="7" t="s">
        <v>317</v>
      </c>
      <c r="I195" s="7" t="s">
        <v>721</v>
      </c>
      <c r="J195" s="7" t="s">
        <v>722</v>
      </c>
      <c r="K195" s="7" t="s">
        <v>517</v>
      </c>
      <c r="L195" s="7" t="s">
        <v>639</v>
      </c>
      <c r="M195" s="7" t="s">
        <v>542</v>
      </c>
      <c r="N195" s="7" t="s">
        <v>723</v>
      </c>
      <c r="O195" s="7" t="s">
        <v>189</v>
      </c>
      <c r="P195" s="7" t="s">
        <v>640</v>
      </c>
      <c r="Q195" s="7" t="s">
        <v>724</v>
      </c>
      <c r="R195" s="7" t="s">
        <v>725</v>
      </c>
      <c r="S195" s="7" t="s">
        <v>643</v>
      </c>
      <c r="T195" s="7" t="s">
        <v>309</v>
      </c>
      <c r="U195" s="18" t="n">
        <v>45</v>
      </c>
      <c r="V195" s="7"/>
      <c r="W195" s="7"/>
      <c r="X195" s="7" t="s">
        <v>203</v>
      </c>
      <c r="Y195" s="22" t="n">
        <v>0</v>
      </c>
      <c r="Z195" s="22" t="n">
        <v>0</v>
      </c>
      <c r="AA195" s="22" t="s">
        <v>197</v>
      </c>
      <c r="AB195" s="7" t="s">
        <v>639</v>
      </c>
      <c r="AC195" s="7" t="s">
        <v>691</v>
      </c>
      <c r="AD195" s="22" t="s">
        <v>197</v>
      </c>
      <c r="AE195" s="22" t="s">
        <v>197</v>
      </c>
      <c r="AF195" s="22" t="s">
        <v>197</v>
      </c>
      <c r="AG195" s="22" t="s">
        <v>197</v>
      </c>
      <c r="AH195" s="22" t="s">
        <v>197</v>
      </c>
      <c r="AI195" s="22" t="s">
        <v>197</v>
      </c>
      <c r="AJ195" s="22" t="s">
        <v>197</v>
      </c>
      <c r="AK195" s="22" t="s">
        <v>197</v>
      </c>
      <c r="AL195" s="22" t="s">
        <v>197</v>
      </c>
      <c r="AM195" s="7" t="s">
        <v>310</v>
      </c>
      <c r="AN195" s="22" t="s">
        <v>197</v>
      </c>
      <c r="AO195" s="22" t="s">
        <v>197</v>
      </c>
      <c r="AP195" s="22" t="s">
        <v>197</v>
      </c>
    </row>
    <row r="196" customFormat="false" ht="21.75" hidden="false" customHeight="true" outlineLevel="0" collapsed="false">
      <c r="B196" s="15" t="n">
        <v>192</v>
      </c>
      <c r="C196" s="9" t="s">
        <v>43</v>
      </c>
      <c r="D196" s="9" t="s">
        <v>20</v>
      </c>
      <c r="E196" s="9" t="s">
        <v>117</v>
      </c>
      <c r="F196" s="9" t="s">
        <v>67</v>
      </c>
      <c r="G196" s="9" t="s">
        <v>729</v>
      </c>
      <c r="H196" s="9" t="s">
        <v>319</v>
      </c>
      <c r="I196" s="9" t="s">
        <v>721</v>
      </c>
      <c r="J196" s="9" t="s">
        <v>722</v>
      </c>
      <c r="K196" s="9" t="s">
        <v>517</v>
      </c>
      <c r="L196" s="9" t="s">
        <v>639</v>
      </c>
      <c r="M196" s="9" t="s">
        <v>542</v>
      </c>
      <c r="N196" s="9" t="s">
        <v>723</v>
      </c>
      <c r="O196" s="9" t="s">
        <v>189</v>
      </c>
      <c r="P196" s="9" t="s">
        <v>640</v>
      </c>
      <c r="Q196" s="9" t="s">
        <v>724</v>
      </c>
      <c r="R196" s="9" t="s">
        <v>725</v>
      </c>
      <c r="S196" s="9" t="s">
        <v>643</v>
      </c>
      <c r="T196" s="9" t="s">
        <v>309</v>
      </c>
      <c r="U196" s="19" t="n">
        <v>65</v>
      </c>
      <c r="V196" s="9"/>
      <c r="W196" s="9"/>
      <c r="X196" s="9" t="s">
        <v>205</v>
      </c>
      <c r="Y196" s="23" t="n">
        <v>0</v>
      </c>
      <c r="Z196" s="23" t="n">
        <v>0</v>
      </c>
      <c r="AA196" s="23" t="s">
        <v>197</v>
      </c>
      <c r="AB196" s="9" t="s">
        <v>639</v>
      </c>
      <c r="AC196" s="9" t="s">
        <v>691</v>
      </c>
      <c r="AD196" s="23" t="s">
        <v>197</v>
      </c>
      <c r="AE196" s="23" t="s">
        <v>197</v>
      </c>
      <c r="AF196" s="23" t="s">
        <v>197</v>
      </c>
      <c r="AG196" s="23" t="s">
        <v>197</v>
      </c>
      <c r="AH196" s="23" t="s">
        <v>197</v>
      </c>
      <c r="AI196" s="23" t="s">
        <v>197</v>
      </c>
      <c r="AJ196" s="23" t="s">
        <v>197</v>
      </c>
      <c r="AK196" s="23" t="s">
        <v>197</v>
      </c>
      <c r="AL196" s="23" t="s">
        <v>197</v>
      </c>
      <c r="AM196" s="9" t="s">
        <v>310</v>
      </c>
      <c r="AN196" s="23" t="s">
        <v>197</v>
      </c>
      <c r="AO196" s="23" t="s">
        <v>197</v>
      </c>
      <c r="AP196" s="23" t="s">
        <v>197</v>
      </c>
    </row>
    <row r="197" customFormat="false" ht="21.75" hidden="false" customHeight="true" outlineLevel="0" collapsed="false">
      <c r="B197" s="14" t="n">
        <v>193</v>
      </c>
      <c r="C197" s="7" t="s">
        <v>43</v>
      </c>
      <c r="D197" s="7" t="s">
        <v>20</v>
      </c>
      <c r="E197" s="7" t="s">
        <v>117</v>
      </c>
      <c r="F197" s="7" t="s">
        <v>68</v>
      </c>
      <c r="G197" s="7" t="s">
        <v>730</v>
      </c>
      <c r="H197" s="7" t="s">
        <v>321</v>
      </c>
      <c r="I197" s="7" t="s">
        <v>731</v>
      </c>
      <c r="J197" s="7" t="s">
        <v>732</v>
      </c>
      <c r="K197" s="7" t="s">
        <v>250</v>
      </c>
      <c r="L197" s="7" t="s">
        <v>639</v>
      </c>
      <c r="M197" s="7" t="s">
        <v>251</v>
      </c>
      <c r="N197" s="7" t="s">
        <v>252</v>
      </c>
      <c r="O197" s="7" t="s">
        <v>189</v>
      </c>
      <c r="P197" s="7" t="s">
        <v>640</v>
      </c>
      <c r="Q197" s="7" t="s">
        <v>733</v>
      </c>
      <c r="R197" s="7" t="s">
        <v>734</v>
      </c>
      <c r="S197" s="7" t="s">
        <v>643</v>
      </c>
      <c r="T197" s="7" t="s">
        <v>735</v>
      </c>
      <c r="U197" s="18" t="n">
        <v>12</v>
      </c>
      <c r="V197" s="7"/>
      <c r="W197" s="7"/>
      <c r="X197" s="7" t="s">
        <v>195</v>
      </c>
      <c r="Y197" s="22" t="n">
        <v>0.014</v>
      </c>
      <c r="Z197" s="22" t="n">
        <v>0.023</v>
      </c>
      <c r="AA197" s="22" t="n">
        <v>12</v>
      </c>
      <c r="AB197" s="7" t="s">
        <v>639</v>
      </c>
      <c r="AC197" s="7" t="s">
        <v>691</v>
      </c>
      <c r="AD197" s="22" t="s">
        <v>197</v>
      </c>
      <c r="AE197" s="22" t="s">
        <v>197</v>
      </c>
      <c r="AF197" s="22" t="s">
        <v>197</v>
      </c>
      <c r="AG197" s="22" t="s">
        <v>197</v>
      </c>
      <c r="AH197" s="22" t="s">
        <v>197</v>
      </c>
      <c r="AI197" s="22" t="s">
        <v>197</v>
      </c>
      <c r="AJ197" s="22" t="n">
        <v>6</v>
      </c>
      <c r="AK197" s="22" t="s">
        <v>197</v>
      </c>
      <c r="AL197" s="22" t="s">
        <v>197</v>
      </c>
      <c r="AM197" s="7" t="s">
        <v>328</v>
      </c>
      <c r="AN197" s="22" t="s">
        <v>197</v>
      </c>
      <c r="AO197" s="22" t="n">
        <v>2</v>
      </c>
      <c r="AP197" s="22" t="n">
        <v>4.6</v>
      </c>
    </row>
    <row r="198" customFormat="false" ht="21.75" hidden="false" customHeight="true" outlineLevel="0" collapsed="false">
      <c r="B198" s="15" t="n">
        <v>194</v>
      </c>
      <c r="C198" s="9" t="s">
        <v>43</v>
      </c>
      <c r="D198" s="9" t="s">
        <v>20</v>
      </c>
      <c r="E198" s="9" t="s">
        <v>117</v>
      </c>
      <c r="F198" s="9" t="s">
        <v>68</v>
      </c>
      <c r="G198" s="9" t="s">
        <v>736</v>
      </c>
      <c r="H198" s="9" t="s">
        <v>330</v>
      </c>
      <c r="I198" s="9" t="s">
        <v>731</v>
      </c>
      <c r="J198" s="9" t="s">
        <v>732</v>
      </c>
      <c r="K198" s="9" t="s">
        <v>250</v>
      </c>
      <c r="L198" s="9" t="s">
        <v>639</v>
      </c>
      <c r="M198" s="9" t="s">
        <v>251</v>
      </c>
      <c r="N198" s="9" t="s">
        <v>252</v>
      </c>
      <c r="O198" s="9" t="s">
        <v>189</v>
      </c>
      <c r="P198" s="9" t="s">
        <v>640</v>
      </c>
      <c r="Q198" s="9" t="s">
        <v>733</v>
      </c>
      <c r="R198" s="9" t="s">
        <v>734</v>
      </c>
      <c r="S198" s="9" t="s">
        <v>643</v>
      </c>
      <c r="T198" s="9" t="s">
        <v>735</v>
      </c>
      <c r="U198" s="19" t="n">
        <v>19</v>
      </c>
      <c r="V198" s="9"/>
      <c r="W198" s="9"/>
      <c r="X198" s="9" t="s">
        <v>199</v>
      </c>
      <c r="Y198" s="23" t="n">
        <v>0.015</v>
      </c>
      <c r="Z198" s="23" t="n">
        <v>0.024</v>
      </c>
      <c r="AA198" s="23" t="n">
        <v>12</v>
      </c>
      <c r="AB198" s="9" t="s">
        <v>639</v>
      </c>
      <c r="AC198" s="9" t="s">
        <v>691</v>
      </c>
      <c r="AD198" s="23" t="s">
        <v>197</v>
      </c>
      <c r="AE198" s="23" t="s">
        <v>197</v>
      </c>
      <c r="AF198" s="23" t="s">
        <v>197</v>
      </c>
      <c r="AG198" s="23" t="s">
        <v>197</v>
      </c>
      <c r="AH198" s="23" t="s">
        <v>197</v>
      </c>
      <c r="AI198" s="23" t="s">
        <v>197</v>
      </c>
      <c r="AJ198" s="23" t="n">
        <v>7.6</v>
      </c>
      <c r="AK198" s="23" t="s">
        <v>197</v>
      </c>
      <c r="AL198" s="23" t="s">
        <v>197</v>
      </c>
      <c r="AM198" s="9" t="s">
        <v>328</v>
      </c>
      <c r="AN198" s="23" t="s">
        <v>197</v>
      </c>
      <c r="AO198" s="23" t="n">
        <v>2</v>
      </c>
      <c r="AP198" s="23" t="n">
        <v>4.6</v>
      </c>
    </row>
    <row r="199" customFormat="false" ht="21.75" hidden="false" customHeight="true" outlineLevel="0" collapsed="false">
      <c r="B199" s="14" t="n">
        <v>195</v>
      </c>
      <c r="C199" s="7" t="s">
        <v>43</v>
      </c>
      <c r="D199" s="7" t="s">
        <v>20</v>
      </c>
      <c r="E199" s="7" t="s">
        <v>117</v>
      </c>
      <c r="F199" s="7" t="s">
        <v>68</v>
      </c>
      <c r="G199" s="7" t="s">
        <v>737</v>
      </c>
      <c r="H199" s="7" t="s">
        <v>332</v>
      </c>
      <c r="I199" s="7" t="s">
        <v>731</v>
      </c>
      <c r="J199" s="7" t="s">
        <v>732</v>
      </c>
      <c r="K199" s="7" t="s">
        <v>250</v>
      </c>
      <c r="L199" s="7" t="s">
        <v>639</v>
      </c>
      <c r="M199" s="7" t="s">
        <v>251</v>
      </c>
      <c r="N199" s="7" t="s">
        <v>252</v>
      </c>
      <c r="O199" s="7" t="s">
        <v>189</v>
      </c>
      <c r="P199" s="7" t="s">
        <v>640</v>
      </c>
      <c r="Q199" s="7" t="s">
        <v>733</v>
      </c>
      <c r="R199" s="7" t="s">
        <v>734</v>
      </c>
      <c r="S199" s="7" t="s">
        <v>643</v>
      </c>
      <c r="T199" s="7" t="s">
        <v>735</v>
      </c>
      <c r="U199" s="18" t="n">
        <v>25</v>
      </c>
      <c r="V199" s="7"/>
      <c r="W199" s="7"/>
      <c r="X199" s="7" t="s">
        <v>738</v>
      </c>
      <c r="Y199" s="22" t="n">
        <v>0.015</v>
      </c>
      <c r="Z199" s="22" t="n">
        <v>0.024</v>
      </c>
      <c r="AA199" s="22" t="n">
        <v>12</v>
      </c>
      <c r="AB199" s="7" t="s">
        <v>639</v>
      </c>
      <c r="AC199" s="7" t="s">
        <v>691</v>
      </c>
      <c r="AD199" s="22" t="s">
        <v>197</v>
      </c>
      <c r="AE199" s="22" t="s">
        <v>197</v>
      </c>
      <c r="AF199" s="22" t="s">
        <v>197</v>
      </c>
      <c r="AG199" s="22" t="s">
        <v>197</v>
      </c>
      <c r="AH199" s="22" t="s">
        <v>197</v>
      </c>
      <c r="AI199" s="22" t="s">
        <v>197</v>
      </c>
      <c r="AJ199" s="22" t="n">
        <v>7.6</v>
      </c>
      <c r="AK199" s="22" t="s">
        <v>197</v>
      </c>
      <c r="AL199" s="22" t="s">
        <v>197</v>
      </c>
      <c r="AM199" s="7" t="s">
        <v>328</v>
      </c>
      <c r="AN199" s="22" t="s">
        <v>197</v>
      </c>
      <c r="AO199" s="22" t="n">
        <v>2</v>
      </c>
      <c r="AP199" s="22" t="n">
        <v>4.6</v>
      </c>
    </row>
    <row r="200" customFormat="false" ht="21.75" hidden="false" customHeight="true" outlineLevel="0" collapsed="false">
      <c r="B200" s="15" t="n">
        <v>196</v>
      </c>
      <c r="C200" s="9" t="s">
        <v>43</v>
      </c>
      <c r="D200" s="9" t="s">
        <v>20</v>
      </c>
      <c r="E200" s="9" t="s">
        <v>117</v>
      </c>
      <c r="F200" s="9" t="s">
        <v>68</v>
      </c>
      <c r="G200" s="9" t="s">
        <v>739</v>
      </c>
      <c r="H200" s="9" t="s">
        <v>335</v>
      </c>
      <c r="I200" s="9" t="s">
        <v>731</v>
      </c>
      <c r="J200" s="9" t="s">
        <v>732</v>
      </c>
      <c r="K200" s="9" t="s">
        <v>250</v>
      </c>
      <c r="L200" s="9" t="s">
        <v>639</v>
      </c>
      <c r="M200" s="9" t="s">
        <v>251</v>
      </c>
      <c r="N200" s="9" t="s">
        <v>252</v>
      </c>
      <c r="O200" s="9" t="s">
        <v>189</v>
      </c>
      <c r="P200" s="9" t="s">
        <v>640</v>
      </c>
      <c r="Q200" s="9" t="s">
        <v>733</v>
      </c>
      <c r="R200" s="9" t="s">
        <v>734</v>
      </c>
      <c r="S200" s="9" t="s">
        <v>643</v>
      </c>
      <c r="T200" s="9" t="s">
        <v>735</v>
      </c>
      <c r="U200" s="19" t="n">
        <v>35</v>
      </c>
      <c r="V200" s="9"/>
      <c r="W200" s="9"/>
      <c r="X200" s="9" t="s">
        <v>203</v>
      </c>
      <c r="Y200" s="23" t="n">
        <v>0.016</v>
      </c>
      <c r="Z200" s="23" t="n">
        <v>0.025</v>
      </c>
      <c r="AA200" s="23" t="n">
        <v>12</v>
      </c>
      <c r="AB200" s="9" t="s">
        <v>639</v>
      </c>
      <c r="AC200" s="9" t="s">
        <v>691</v>
      </c>
      <c r="AD200" s="23" t="s">
        <v>197</v>
      </c>
      <c r="AE200" s="23" t="s">
        <v>197</v>
      </c>
      <c r="AF200" s="23" t="s">
        <v>197</v>
      </c>
      <c r="AG200" s="23" t="s">
        <v>197</v>
      </c>
      <c r="AH200" s="23" t="s">
        <v>197</v>
      </c>
      <c r="AI200" s="23" t="s">
        <v>197</v>
      </c>
      <c r="AJ200" s="23" t="n">
        <v>9</v>
      </c>
      <c r="AK200" s="23" t="s">
        <v>197</v>
      </c>
      <c r="AL200" s="23" t="s">
        <v>197</v>
      </c>
      <c r="AM200" s="9" t="s">
        <v>328</v>
      </c>
      <c r="AN200" s="23" t="s">
        <v>197</v>
      </c>
      <c r="AO200" s="23" t="n">
        <v>2</v>
      </c>
      <c r="AP200" s="23" t="n">
        <v>4.6</v>
      </c>
    </row>
    <row r="201" customFormat="false" ht="21.75" hidden="false" customHeight="true" outlineLevel="0" collapsed="false">
      <c r="B201" s="14" t="n">
        <v>197</v>
      </c>
      <c r="C201" s="7" t="s">
        <v>43</v>
      </c>
      <c r="D201" s="7" t="s">
        <v>20</v>
      </c>
      <c r="E201" s="7" t="s">
        <v>117</v>
      </c>
      <c r="F201" s="7" t="s">
        <v>68</v>
      </c>
      <c r="G201" s="7" t="s">
        <v>740</v>
      </c>
      <c r="H201" s="7" t="s">
        <v>337</v>
      </c>
      <c r="I201" s="7" t="s">
        <v>731</v>
      </c>
      <c r="J201" s="7" t="s">
        <v>732</v>
      </c>
      <c r="K201" s="7" t="s">
        <v>250</v>
      </c>
      <c r="L201" s="7" t="s">
        <v>639</v>
      </c>
      <c r="M201" s="7" t="s">
        <v>251</v>
      </c>
      <c r="N201" s="7" t="s">
        <v>252</v>
      </c>
      <c r="O201" s="7" t="s">
        <v>189</v>
      </c>
      <c r="P201" s="7" t="s">
        <v>640</v>
      </c>
      <c r="Q201" s="7" t="s">
        <v>733</v>
      </c>
      <c r="R201" s="7" t="s">
        <v>734</v>
      </c>
      <c r="S201" s="7" t="s">
        <v>643</v>
      </c>
      <c r="T201" s="7" t="s">
        <v>735</v>
      </c>
      <c r="U201" s="18" t="n">
        <v>55</v>
      </c>
      <c r="V201" s="7"/>
      <c r="W201" s="7"/>
      <c r="X201" s="7" t="s">
        <v>205</v>
      </c>
      <c r="Y201" s="22" t="n">
        <v>0.02</v>
      </c>
      <c r="Z201" s="22" t="n">
        <v>0.03</v>
      </c>
      <c r="AA201" s="22" t="n">
        <v>12</v>
      </c>
      <c r="AB201" s="7" t="s">
        <v>639</v>
      </c>
      <c r="AC201" s="7" t="s">
        <v>691</v>
      </c>
      <c r="AD201" s="22" t="s">
        <v>197</v>
      </c>
      <c r="AE201" s="22" t="s">
        <v>197</v>
      </c>
      <c r="AF201" s="22" t="s">
        <v>197</v>
      </c>
      <c r="AG201" s="22" t="s">
        <v>197</v>
      </c>
      <c r="AH201" s="22" t="s">
        <v>197</v>
      </c>
      <c r="AI201" s="22" t="s">
        <v>197</v>
      </c>
      <c r="AJ201" s="22" t="n">
        <v>9</v>
      </c>
      <c r="AK201" s="22" t="s">
        <v>197</v>
      </c>
      <c r="AL201" s="22" t="s">
        <v>197</v>
      </c>
      <c r="AM201" s="7" t="s">
        <v>328</v>
      </c>
      <c r="AN201" s="22" t="s">
        <v>197</v>
      </c>
      <c r="AO201" s="22" t="n">
        <v>2</v>
      </c>
      <c r="AP201" s="22" t="n">
        <v>4.6</v>
      </c>
    </row>
    <row r="202" customFormat="false" ht="21.75" hidden="false" customHeight="true" outlineLevel="0" collapsed="false">
      <c r="B202" s="15" t="n">
        <v>198</v>
      </c>
      <c r="C202" s="9" t="s">
        <v>43</v>
      </c>
      <c r="D202" s="9" t="s">
        <v>20</v>
      </c>
      <c r="E202" s="9" t="s">
        <v>117</v>
      </c>
      <c r="F202" s="9" t="s">
        <v>69</v>
      </c>
      <c r="G202" s="9" t="s">
        <v>741</v>
      </c>
      <c r="H202" s="9" t="s">
        <v>339</v>
      </c>
      <c r="I202" s="9" t="s">
        <v>742</v>
      </c>
      <c r="J202" s="9" t="s">
        <v>743</v>
      </c>
      <c r="K202" s="9" t="s">
        <v>342</v>
      </c>
      <c r="L202" s="9" t="s">
        <v>639</v>
      </c>
      <c r="M202" s="9" t="s">
        <v>251</v>
      </c>
      <c r="N202" s="9" t="s">
        <v>744</v>
      </c>
      <c r="O202" s="9" t="s">
        <v>345</v>
      </c>
      <c r="P202" s="9" t="s">
        <v>640</v>
      </c>
      <c r="Q202" s="9" t="s">
        <v>745</v>
      </c>
      <c r="R202" s="9" t="s">
        <v>746</v>
      </c>
      <c r="S202" s="9" t="s">
        <v>643</v>
      </c>
      <c r="T202" s="9" t="s">
        <v>348</v>
      </c>
      <c r="U202" s="19" t="n">
        <v>25</v>
      </c>
      <c r="V202" s="9"/>
      <c r="W202" s="9"/>
      <c r="X202" s="9" t="s">
        <v>195</v>
      </c>
      <c r="Y202" s="23" t="n">
        <v>0.013</v>
      </c>
      <c r="Z202" s="23" t="n">
        <v>0.593</v>
      </c>
      <c r="AA202" s="23" t="n">
        <v>12</v>
      </c>
      <c r="AB202" s="9" t="s">
        <v>639</v>
      </c>
      <c r="AC202" s="9" t="s">
        <v>691</v>
      </c>
      <c r="AD202" s="23" t="s">
        <v>197</v>
      </c>
      <c r="AE202" s="23" t="s">
        <v>197</v>
      </c>
      <c r="AF202" s="23" t="s">
        <v>197</v>
      </c>
      <c r="AG202" s="23" t="s">
        <v>197</v>
      </c>
      <c r="AH202" s="23" t="s">
        <v>197</v>
      </c>
      <c r="AI202" s="23" t="s">
        <v>197</v>
      </c>
      <c r="AJ202" s="23" t="s">
        <v>197</v>
      </c>
      <c r="AK202" s="23" t="s">
        <v>197</v>
      </c>
      <c r="AL202" s="23" t="s">
        <v>197</v>
      </c>
      <c r="AM202" s="9" t="s">
        <v>197</v>
      </c>
      <c r="AN202" s="23" t="n">
        <v>27.7</v>
      </c>
      <c r="AO202" s="23" t="n">
        <v>2.5</v>
      </c>
      <c r="AP202" s="23" t="n">
        <v>4.5</v>
      </c>
    </row>
    <row r="203" customFormat="false" ht="21.75" hidden="false" customHeight="true" outlineLevel="0" collapsed="false">
      <c r="B203" s="14" t="n">
        <v>199</v>
      </c>
      <c r="C203" s="7" t="s">
        <v>43</v>
      </c>
      <c r="D203" s="7" t="s">
        <v>20</v>
      </c>
      <c r="E203" s="7" t="s">
        <v>117</v>
      </c>
      <c r="F203" s="7" t="s">
        <v>69</v>
      </c>
      <c r="G203" s="7" t="s">
        <v>747</v>
      </c>
      <c r="H203" s="7" t="s">
        <v>350</v>
      </c>
      <c r="I203" s="7" t="s">
        <v>742</v>
      </c>
      <c r="J203" s="7" t="s">
        <v>743</v>
      </c>
      <c r="K203" s="7" t="s">
        <v>342</v>
      </c>
      <c r="L203" s="7" t="s">
        <v>639</v>
      </c>
      <c r="M203" s="7" t="s">
        <v>251</v>
      </c>
      <c r="N203" s="7" t="s">
        <v>744</v>
      </c>
      <c r="O203" s="7" t="s">
        <v>345</v>
      </c>
      <c r="P203" s="7" t="s">
        <v>640</v>
      </c>
      <c r="Q203" s="7" t="s">
        <v>745</v>
      </c>
      <c r="R203" s="7" t="s">
        <v>746</v>
      </c>
      <c r="S203" s="7" t="s">
        <v>643</v>
      </c>
      <c r="T203" s="7" t="s">
        <v>348</v>
      </c>
      <c r="U203" s="18" t="n">
        <v>35</v>
      </c>
      <c r="V203" s="7"/>
      <c r="W203" s="7"/>
      <c r="X203" s="7" t="s">
        <v>199</v>
      </c>
      <c r="Y203" s="22" t="n">
        <v>0.01</v>
      </c>
      <c r="Z203" s="22" t="n">
        <v>0.454</v>
      </c>
      <c r="AA203" s="22" t="n">
        <v>12</v>
      </c>
      <c r="AB203" s="7" t="s">
        <v>639</v>
      </c>
      <c r="AC203" s="7" t="s">
        <v>691</v>
      </c>
      <c r="AD203" s="22" t="s">
        <v>197</v>
      </c>
      <c r="AE203" s="22" t="s">
        <v>197</v>
      </c>
      <c r="AF203" s="22" t="s">
        <v>197</v>
      </c>
      <c r="AG203" s="22" t="s">
        <v>197</v>
      </c>
      <c r="AH203" s="22" t="s">
        <v>197</v>
      </c>
      <c r="AI203" s="22" t="s">
        <v>197</v>
      </c>
      <c r="AJ203" s="22" t="s">
        <v>197</v>
      </c>
      <c r="AK203" s="22" t="s">
        <v>197</v>
      </c>
      <c r="AL203" s="22" t="s">
        <v>197</v>
      </c>
      <c r="AM203" s="7" t="s">
        <v>197</v>
      </c>
      <c r="AN203" s="22" t="n">
        <v>22.1</v>
      </c>
      <c r="AO203" s="22" t="n">
        <v>2.5</v>
      </c>
      <c r="AP203" s="22" t="n">
        <v>4.5</v>
      </c>
    </row>
    <row r="204" customFormat="false" ht="21.75" hidden="false" customHeight="true" outlineLevel="0" collapsed="false">
      <c r="B204" s="15" t="n">
        <v>200</v>
      </c>
      <c r="C204" s="9" t="s">
        <v>43</v>
      </c>
      <c r="D204" s="9" t="s">
        <v>20</v>
      </c>
      <c r="E204" s="9" t="s">
        <v>117</v>
      </c>
      <c r="F204" s="9" t="s">
        <v>69</v>
      </c>
      <c r="G204" s="9" t="s">
        <v>748</v>
      </c>
      <c r="H204" s="9" t="s">
        <v>352</v>
      </c>
      <c r="I204" s="9" t="s">
        <v>742</v>
      </c>
      <c r="J204" s="9" t="s">
        <v>743</v>
      </c>
      <c r="K204" s="9" t="s">
        <v>342</v>
      </c>
      <c r="L204" s="9" t="s">
        <v>639</v>
      </c>
      <c r="M204" s="9" t="s">
        <v>251</v>
      </c>
      <c r="N204" s="9" t="s">
        <v>744</v>
      </c>
      <c r="O204" s="9" t="s">
        <v>345</v>
      </c>
      <c r="P204" s="9" t="s">
        <v>640</v>
      </c>
      <c r="Q204" s="9" t="s">
        <v>745</v>
      </c>
      <c r="R204" s="9" t="s">
        <v>746</v>
      </c>
      <c r="S204" s="9" t="s">
        <v>643</v>
      </c>
      <c r="T204" s="9" t="s">
        <v>348</v>
      </c>
      <c r="U204" s="19" t="n">
        <v>50</v>
      </c>
      <c r="V204" s="9"/>
      <c r="W204" s="9"/>
      <c r="X204" s="9" t="s">
        <v>749</v>
      </c>
      <c r="Y204" s="23" t="n">
        <v>0.015</v>
      </c>
      <c r="Z204" s="23" t="n">
        <v>0.645</v>
      </c>
      <c r="AA204" s="23" t="n">
        <v>12</v>
      </c>
      <c r="AB204" s="9" t="s">
        <v>639</v>
      </c>
      <c r="AC204" s="9" t="s">
        <v>691</v>
      </c>
      <c r="AD204" s="23" t="s">
        <v>197</v>
      </c>
      <c r="AE204" s="23" t="s">
        <v>197</v>
      </c>
      <c r="AF204" s="23" t="s">
        <v>197</v>
      </c>
      <c r="AG204" s="23" t="s">
        <v>197</v>
      </c>
      <c r="AH204" s="23" t="s">
        <v>197</v>
      </c>
      <c r="AI204" s="23" t="s">
        <v>197</v>
      </c>
      <c r="AJ204" s="23" t="s">
        <v>197</v>
      </c>
      <c r="AK204" s="23" t="s">
        <v>197</v>
      </c>
      <c r="AL204" s="23" t="s">
        <v>197</v>
      </c>
      <c r="AM204" s="9" t="s">
        <v>197</v>
      </c>
      <c r="AN204" s="23" t="n">
        <v>29.8</v>
      </c>
      <c r="AO204" s="23" t="n">
        <v>2.5</v>
      </c>
      <c r="AP204" s="23" t="n">
        <v>4.5</v>
      </c>
    </row>
    <row r="205" customFormat="false" ht="21.75" hidden="false" customHeight="true" outlineLevel="0" collapsed="false">
      <c r="B205" s="14" t="n">
        <v>201</v>
      </c>
      <c r="C205" s="7" t="s">
        <v>43</v>
      </c>
      <c r="D205" s="7" t="s">
        <v>20</v>
      </c>
      <c r="E205" s="7" t="s">
        <v>117</v>
      </c>
      <c r="F205" s="7" t="s">
        <v>69</v>
      </c>
      <c r="G205" s="7" t="s">
        <v>750</v>
      </c>
      <c r="H205" s="7" t="s">
        <v>355</v>
      </c>
      <c r="I205" s="7" t="s">
        <v>742</v>
      </c>
      <c r="J205" s="7" t="s">
        <v>743</v>
      </c>
      <c r="K205" s="7" t="s">
        <v>342</v>
      </c>
      <c r="L205" s="7" t="s">
        <v>639</v>
      </c>
      <c r="M205" s="7" t="s">
        <v>251</v>
      </c>
      <c r="N205" s="7" t="s">
        <v>744</v>
      </c>
      <c r="O205" s="7" t="s">
        <v>345</v>
      </c>
      <c r="P205" s="7" t="s">
        <v>640</v>
      </c>
      <c r="Q205" s="7" t="s">
        <v>745</v>
      </c>
      <c r="R205" s="7" t="s">
        <v>746</v>
      </c>
      <c r="S205" s="7" t="s">
        <v>643</v>
      </c>
      <c r="T205" s="7" t="s">
        <v>348</v>
      </c>
      <c r="U205" s="18" t="n">
        <v>75</v>
      </c>
      <c r="V205" s="7"/>
      <c r="W205" s="7"/>
      <c r="X205" s="7" t="s">
        <v>203</v>
      </c>
      <c r="Y205" s="22" t="n">
        <v>0.005</v>
      </c>
      <c r="Z205" s="22" t="n">
        <v>0.29</v>
      </c>
      <c r="AA205" s="22" t="n">
        <v>12</v>
      </c>
      <c r="AB205" s="7" t="s">
        <v>639</v>
      </c>
      <c r="AC205" s="7" t="s">
        <v>691</v>
      </c>
      <c r="AD205" s="22" t="s">
        <v>197</v>
      </c>
      <c r="AE205" s="22" t="s">
        <v>197</v>
      </c>
      <c r="AF205" s="22" t="s">
        <v>197</v>
      </c>
      <c r="AG205" s="22" t="s">
        <v>197</v>
      </c>
      <c r="AH205" s="22" t="s">
        <v>197</v>
      </c>
      <c r="AI205" s="22" t="s">
        <v>197</v>
      </c>
      <c r="AJ205" s="22" t="s">
        <v>197</v>
      </c>
      <c r="AK205" s="22" t="s">
        <v>197</v>
      </c>
      <c r="AL205" s="22" t="s">
        <v>197</v>
      </c>
      <c r="AM205" s="7" t="s">
        <v>197</v>
      </c>
      <c r="AN205" s="22" t="n">
        <v>15.4</v>
      </c>
      <c r="AO205" s="22" t="n">
        <v>2.5</v>
      </c>
      <c r="AP205" s="22" t="n">
        <v>4.5</v>
      </c>
    </row>
    <row r="206" customFormat="false" ht="21.75" hidden="false" customHeight="true" outlineLevel="0" collapsed="false">
      <c r="B206" s="15" t="n">
        <v>202</v>
      </c>
      <c r="C206" s="9" t="s">
        <v>43</v>
      </c>
      <c r="D206" s="9" t="s">
        <v>20</v>
      </c>
      <c r="E206" s="9" t="s">
        <v>117</v>
      </c>
      <c r="F206" s="9" t="s">
        <v>69</v>
      </c>
      <c r="G206" s="9" t="s">
        <v>751</v>
      </c>
      <c r="H206" s="9" t="s">
        <v>357</v>
      </c>
      <c r="I206" s="9" t="s">
        <v>742</v>
      </c>
      <c r="J206" s="9" t="s">
        <v>743</v>
      </c>
      <c r="K206" s="9" t="s">
        <v>342</v>
      </c>
      <c r="L206" s="9" t="s">
        <v>639</v>
      </c>
      <c r="M206" s="9" t="s">
        <v>251</v>
      </c>
      <c r="N206" s="9" t="s">
        <v>744</v>
      </c>
      <c r="O206" s="9" t="s">
        <v>345</v>
      </c>
      <c r="P206" s="9" t="s">
        <v>640</v>
      </c>
      <c r="Q206" s="9" t="s">
        <v>745</v>
      </c>
      <c r="R206" s="9" t="s">
        <v>746</v>
      </c>
      <c r="S206" s="9" t="s">
        <v>643</v>
      </c>
      <c r="T206" s="9" t="s">
        <v>348</v>
      </c>
      <c r="U206" s="19" t="n">
        <v>110</v>
      </c>
      <c r="V206" s="9"/>
      <c r="W206" s="9"/>
      <c r="X206" s="9" t="s">
        <v>205</v>
      </c>
      <c r="Y206" s="23" t="n">
        <v>0.009</v>
      </c>
      <c r="Z206" s="23" t="n">
        <v>0.417</v>
      </c>
      <c r="AA206" s="23" t="n">
        <v>12</v>
      </c>
      <c r="AB206" s="9" t="s">
        <v>639</v>
      </c>
      <c r="AC206" s="9" t="s">
        <v>691</v>
      </c>
      <c r="AD206" s="23" t="s">
        <v>197</v>
      </c>
      <c r="AE206" s="23" t="s">
        <v>197</v>
      </c>
      <c r="AF206" s="23" t="s">
        <v>197</v>
      </c>
      <c r="AG206" s="23" t="s">
        <v>197</v>
      </c>
      <c r="AH206" s="23" t="s">
        <v>197</v>
      </c>
      <c r="AI206" s="23" t="s">
        <v>197</v>
      </c>
      <c r="AJ206" s="23" t="s">
        <v>197</v>
      </c>
      <c r="AK206" s="23" t="s">
        <v>197</v>
      </c>
      <c r="AL206" s="23" t="s">
        <v>197</v>
      </c>
      <c r="AM206" s="9" t="s">
        <v>197</v>
      </c>
      <c r="AN206" s="23" t="n">
        <v>20.5</v>
      </c>
      <c r="AO206" s="23" t="n">
        <v>2.5</v>
      </c>
      <c r="AP206" s="23" t="n">
        <v>4.5</v>
      </c>
    </row>
    <row r="207" customFormat="false" ht="21.75" hidden="false" customHeight="true" outlineLevel="0" collapsed="false">
      <c r="B207" s="14" t="n">
        <v>203</v>
      </c>
      <c r="C207" s="7" t="s">
        <v>43</v>
      </c>
      <c r="D207" s="7" t="s">
        <v>20</v>
      </c>
      <c r="E207" s="7" t="s">
        <v>117</v>
      </c>
      <c r="F207" s="7" t="s">
        <v>70</v>
      </c>
      <c r="G207" s="7" t="s">
        <v>741</v>
      </c>
      <c r="H207" s="7" t="s">
        <v>359</v>
      </c>
      <c r="I207" s="7" t="s">
        <v>752</v>
      </c>
      <c r="J207" s="7" t="s">
        <v>753</v>
      </c>
      <c r="K207" s="7" t="s">
        <v>342</v>
      </c>
      <c r="L207" s="7" t="s">
        <v>639</v>
      </c>
      <c r="M207" s="7" t="s">
        <v>251</v>
      </c>
      <c r="N207" s="7" t="s">
        <v>754</v>
      </c>
      <c r="O207" s="7" t="s">
        <v>189</v>
      </c>
      <c r="P207" s="7" t="s">
        <v>640</v>
      </c>
      <c r="Q207" s="7" t="s">
        <v>755</v>
      </c>
      <c r="R207" s="7" t="s">
        <v>676</v>
      </c>
      <c r="S207" s="7" t="s">
        <v>643</v>
      </c>
      <c r="T207" s="7" t="s">
        <v>275</v>
      </c>
      <c r="U207" s="18" t="n">
        <v>14</v>
      </c>
      <c r="V207" s="7"/>
      <c r="W207" s="7"/>
      <c r="X207" s="7" t="s">
        <v>195</v>
      </c>
      <c r="Y207" s="22" t="n">
        <v>0.009</v>
      </c>
      <c r="Z207" s="22" t="n">
        <v>0.361</v>
      </c>
      <c r="AA207" s="22" t="n">
        <v>12</v>
      </c>
      <c r="AB207" s="7" t="s">
        <v>639</v>
      </c>
      <c r="AC207" s="7" t="s">
        <v>691</v>
      </c>
      <c r="AD207" s="22" t="s">
        <v>197</v>
      </c>
      <c r="AE207" s="22" t="s">
        <v>197</v>
      </c>
      <c r="AF207" s="22" t="s">
        <v>197</v>
      </c>
      <c r="AG207" s="22" t="s">
        <v>197</v>
      </c>
      <c r="AH207" s="22" t="s">
        <v>197</v>
      </c>
      <c r="AI207" s="22" t="s">
        <v>197</v>
      </c>
      <c r="AJ207" s="22" t="s">
        <v>197</v>
      </c>
      <c r="AK207" s="22" t="s">
        <v>197</v>
      </c>
      <c r="AL207" s="22" t="s">
        <v>197</v>
      </c>
      <c r="AM207" s="7" t="s">
        <v>197</v>
      </c>
      <c r="AN207" s="22" t="n">
        <v>18.4</v>
      </c>
      <c r="AO207" s="22" t="n">
        <v>2</v>
      </c>
      <c r="AP207" s="22" t="n">
        <v>3</v>
      </c>
    </row>
    <row r="208" customFormat="false" ht="21.75" hidden="false" customHeight="true" outlineLevel="0" collapsed="false">
      <c r="B208" s="15" t="n">
        <v>204</v>
      </c>
      <c r="C208" s="9" t="s">
        <v>43</v>
      </c>
      <c r="D208" s="9" t="s">
        <v>20</v>
      </c>
      <c r="E208" s="9" t="s">
        <v>117</v>
      </c>
      <c r="F208" s="9" t="s">
        <v>70</v>
      </c>
      <c r="G208" s="9" t="s">
        <v>756</v>
      </c>
      <c r="H208" s="9" t="s">
        <v>367</v>
      </c>
      <c r="I208" s="9" t="s">
        <v>752</v>
      </c>
      <c r="J208" s="9" t="s">
        <v>753</v>
      </c>
      <c r="K208" s="9" t="s">
        <v>342</v>
      </c>
      <c r="L208" s="9" t="s">
        <v>639</v>
      </c>
      <c r="M208" s="9" t="s">
        <v>251</v>
      </c>
      <c r="N208" s="9" t="s">
        <v>754</v>
      </c>
      <c r="O208" s="9" t="s">
        <v>189</v>
      </c>
      <c r="P208" s="9" t="s">
        <v>640</v>
      </c>
      <c r="Q208" s="9" t="s">
        <v>755</v>
      </c>
      <c r="R208" s="9" t="s">
        <v>676</v>
      </c>
      <c r="S208" s="9" t="s">
        <v>643</v>
      </c>
      <c r="T208" s="9" t="s">
        <v>275</v>
      </c>
      <c r="U208" s="19" t="n">
        <v>20</v>
      </c>
      <c r="V208" s="9"/>
      <c r="W208" s="9"/>
      <c r="X208" s="9" t="s">
        <v>199</v>
      </c>
      <c r="Y208" s="23" t="n">
        <v>0.007</v>
      </c>
      <c r="Z208" s="23" t="n">
        <v>0.316</v>
      </c>
      <c r="AA208" s="23" t="n">
        <v>12</v>
      </c>
      <c r="AB208" s="9" t="s">
        <v>639</v>
      </c>
      <c r="AC208" s="9" t="s">
        <v>691</v>
      </c>
      <c r="AD208" s="23" t="s">
        <v>197</v>
      </c>
      <c r="AE208" s="23" t="s">
        <v>197</v>
      </c>
      <c r="AF208" s="23" t="s">
        <v>197</v>
      </c>
      <c r="AG208" s="23" t="s">
        <v>197</v>
      </c>
      <c r="AH208" s="23" t="s">
        <v>197</v>
      </c>
      <c r="AI208" s="23" t="s">
        <v>197</v>
      </c>
      <c r="AJ208" s="23" t="s">
        <v>197</v>
      </c>
      <c r="AK208" s="23" t="s">
        <v>197</v>
      </c>
      <c r="AL208" s="23" t="s">
        <v>197</v>
      </c>
      <c r="AM208" s="9" t="s">
        <v>197</v>
      </c>
      <c r="AN208" s="23" t="n">
        <v>16.6</v>
      </c>
      <c r="AO208" s="23" t="n">
        <v>2</v>
      </c>
      <c r="AP208" s="23" t="n">
        <v>3</v>
      </c>
    </row>
    <row r="209" customFormat="false" ht="21.75" hidden="false" customHeight="true" outlineLevel="0" collapsed="false">
      <c r="B209" s="14" t="n">
        <v>205</v>
      </c>
      <c r="C209" s="7" t="s">
        <v>43</v>
      </c>
      <c r="D209" s="7" t="s">
        <v>20</v>
      </c>
      <c r="E209" s="7" t="s">
        <v>117</v>
      </c>
      <c r="F209" s="7" t="s">
        <v>70</v>
      </c>
      <c r="G209" s="7" t="s">
        <v>757</v>
      </c>
      <c r="H209" s="7" t="s">
        <v>369</v>
      </c>
      <c r="I209" s="7" t="s">
        <v>752</v>
      </c>
      <c r="J209" s="7" t="s">
        <v>753</v>
      </c>
      <c r="K209" s="7" t="s">
        <v>342</v>
      </c>
      <c r="L209" s="7" t="s">
        <v>639</v>
      </c>
      <c r="M209" s="7" t="s">
        <v>251</v>
      </c>
      <c r="N209" s="7" t="s">
        <v>754</v>
      </c>
      <c r="O209" s="7" t="s">
        <v>189</v>
      </c>
      <c r="P209" s="7" t="s">
        <v>640</v>
      </c>
      <c r="Q209" s="7" t="s">
        <v>755</v>
      </c>
      <c r="R209" s="7" t="s">
        <v>676</v>
      </c>
      <c r="S209" s="7" t="s">
        <v>643</v>
      </c>
      <c r="T209" s="7" t="s">
        <v>275</v>
      </c>
      <c r="U209" s="18" t="n">
        <v>25</v>
      </c>
      <c r="V209" s="7"/>
      <c r="W209" s="7"/>
      <c r="X209" s="7" t="s">
        <v>758</v>
      </c>
      <c r="Y209" s="22" t="n">
        <v>0.005</v>
      </c>
      <c r="Z209" s="22" t="n">
        <v>0.252</v>
      </c>
      <c r="AA209" s="22" t="n">
        <v>12</v>
      </c>
      <c r="AB209" s="7" t="s">
        <v>639</v>
      </c>
      <c r="AC209" s="7" t="s">
        <v>691</v>
      </c>
      <c r="AD209" s="22" t="s">
        <v>197</v>
      </c>
      <c r="AE209" s="22" t="s">
        <v>197</v>
      </c>
      <c r="AF209" s="22" t="s">
        <v>197</v>
      </c>
      <c r="AG209" s="22" t="s">
        <v>197</v>
      </c>
      <c r="AH209" s="22" t="s">
        <v>197</v>
      </c>
      <c r="AI209" s="22" t="s">
        <v>197</v>
      </c>
      <c r="AJ209" s="22" t="s">
        <v>197</v>
      </c>
      <c r="AK209" s="22" t="s">
        <v>197</v>
      </c>
      <c r="AL209" s="22" t="s">
        <v>197</v>
      </c>
      <c r="AM209" s="7" t="s">
        <v>197</v>
      </c>
      <c r="AN209" s="22" t="n">
        <v>14.1</v>
      </c>
      <c r="AO209" s="22" t="n">
        <v>2</v>
      </c>
      <c r="AP209" s="22" t="n">
        <v>3</v>
      </c>
    </row>
    <row r="210" customFormat="false" ht="21.75" hidden="false" customHeight="true" outlineLevel="0" collapsed="false">
      <c r="B210" s="15" t="n">
        <v>206</v>
      </c>
      <c r="C210" s="9" t="s">
        <v>43</v>
      </c>
      <c r="D210" s="9" t="s">
        <v>20</v>
      </c>
      <c r="E210" s="9" t="s">
        <v>117</v>
      </c>
      <c r="F210" s="9" t="s">
        <v>70</v>
      </c>
      <c r="G210" s="9" t="s">
        <v>759</v>
      </c>
      <c r="H210" s="9" t="s">
        <v>339</v>
      </c>
      <c r="I210" s="9" t="s">
        <v>752</v>
      </c>
      <c r="J210" s="9" t="s">
        <v>753</v>
      </c>
      <c r="K210" s="9" t="s">
        <v>342</v>
      </c>
      <c r="L210" s="9" t="s">
        <v>639</v>
      </c>
      <c r="M210" s="9" t="s">
        <v>251</v>
      </c>
      <c r="N210" s="9" t="s">
        <v>754</v>
      </c>
      <c r="O210" s="9" t="s">
        <v>189</v>
      </c>
      <c r="P210" s="9" t="s">
        <v>640</v>
      </c>
      <c r="Q210" s="9" t="s">
        <v>755</v>
      </c>
      <c r="R210" s="9" t="s">
        <v>676</v>
      </c>
      <c r="S210" s="9" t="s">
        <v>643</v>
      </c>
      <c r="T210" s="9" t="s">
        <v>275</v>
      </c>
      <c r="U210" s="19" t="n">
        <v>40</v>
      </c>
      <c r="V210" s="9"/>
      <c r="W210" s="9"/>
      <c r="X210" s="9" t="s">
        <v>203</v>
      </c>
      <c r="Y210" s="23" t="n">
        <v>0.005</v>
      </c>
      <c r="Z210" s="23" t="n">
        <v>0.263</v>
      </c>
      <c r="AA210" s="23" t="n">
        <v>12</v>
      </c>
      <c r="AB210" s="9" t="s">
        <v>639</v>
      </c>
      <c r="AC210" s="9" t="s">
        <v>691</v>
      </c>
      <c r="AD210" s="23" t="s">
        <v>197</v>
      </c>
      <c r="AE210" s="23" t="s">
        <v>197</v>
      </c>
      <c r="AF210" s="23" t="s">
        <v>197</v>
      </c>
      <c r="AG210" s="23" t="s">
        <v>197</v>
      </c>
      <c r="AH210" s="23" t="s">
        <v>197</v>
      </c>
      <c r="AI210" s="23" t="s">
        <v>197</v>
      </c>
      <c r="AJ210" s="23" t="s">
        <v>197</v>
      </c>
      <c r="AK210" s="23" t="s">
        <v>197</v>
      </c>
      <c r="AL210" s="23" t="s">
        <v>197</v>
      </c>
      <c r="AM210" s="9" t="s">
        <v>197</v>
      </c>
      <c r="AN210" s="23" t="n">
        <v>14.5</v>
      </c>
      <c r="AO210" s="23" t="n">
        <v>2</v>
      </c>
      <c r="AP210" s="23" t="n">
        <v>3</v>
      </c>
    </row>
    <row r="211" customFormat="false" ht="21.75" hidden="false" customHeight="true" outlineLevel="0" collapsed="false">
      <c r="B211" s="14" t="n">
        <v>207</v>
      </c>
      <c r="C211" s="7" t="s">
        <v>43</v>
      </c>
      <c r="D211" s="7" t="s">
        <v>20</v>
      </c>
      <c r="E211" s="7" t="s">
        <v>117</v>
      </c>
      <c r="F211" s="7" t="s">
        <v>70</v>
      </c>
      <c r="G211" s="7" t="s">
        <v>760</v>
      </c>
      <c r="H211" s="7" t="s">
        <v>352</v>
      </c>
      <c r="I211" s="7" t="s">
        <v>752</v>
      </c>
      <c r="J211" s="7" t="s">
        <v>753</v>
      </c>
      <c r="K211" s="7" t="s">
        <v>342</v>
      </c>
      <c r="L211" s="7" t="s">
        <v>639</v>
      </c>
      <c r="M211" s="7" t="s">
        <v>251</v>
      </c>
      <c r="N211" s="7" t="s">
        <v>754</v>
      </c>
      <c r="O211" s="7" t="s">
        <v>189</v>
      </c>
      <c r="P211" s="7" t="s">
        <v>640</v>
      </c>
      <c r="Q211" s="7" t="s">
        <v>755</v>
      </c>
      <c r="R211" s="7" t="s">
        <v>676</v>
      </c>
      <c r="S211" s="7" t="s">
        <v>643</v>
      </c>
      <c r="T211" s="7" t="s">
        <v>275</v>
      </c>
      <c r="U211" s="18" t="n">
        <v>60</v>
      </c>
      <c r="V211" s="7"/>
      <c r="W211" s="7"/>
      <c r="X211" s="7" t="s">
        <v>205</v>
      </c>
      <c r="Y211" s="22" t="n">
        <v>0.002</v>
      </c>
      <c r="Z211" s="22" t="n">
        <v>0.189</v>
      </c>
      <c r="AA211" s="22" t="n">
        <v>12</v>
      </c>
      <c r="AB211" s="7" t="s">
        <v>639</v>
      </c>
      <c r="AC211" s="7" t="s">
        <v>691</v>
      </c>
      <c r="AD211" s="22" t="s">
        <v>197</v>
      </c>
      <c r="AE211" s="22" t="s">
        <v>197</v>
      </c>
      <c r="AF211" s="22" t="s">
        <v>197</v>
      </c>
      <c r="AG211" s="22" t="s">
        <v>197</v>
      </c>
      <c r="AH211" s="22" t="s">
        <v>197</v>
      </c>
      <c r="AI211" s="22" t="s">
        <v>197</v>
      </c>
      <c r="AJ211" s="22" t="s">
        <v>197</v>
      </c>
      <c r="AK211" s="22" t="s">
        <v>197</v>
      </c>
      <c r="AL211" s="22" t="s">
        <v>197</v>
      </c>
      <c r="AM211" s="7" t="s">
        <v>197</v>
      </c>
      <c r="AN211" s="22" t="n">
        <v>11.5</v>
      </c>
      <c r="AO211" s="22" t="n">
        <v>2</v>
      </c>
      <c r="AP211" s="22" t="n">
        <v>3</v>
      </c>
    </row>
    <row r="212" customFormat="false" ht="21.75" hidden="false" customHeight="true" outlineLevel="0" collapsed="false">
      <c r="B212" s="15" t="n">
        <v>208</v>
      </c>
      <c r="C212" s="9" t="s">
        <v>43</v>
      </c>
      <c r="D212" s="9" t="s">
        <v>20</v>
      </c>
      <c r="E212" s="9" t="s">
        <v>117</v>
      </c>
      <c r="F212" s="9" t="s">
        <v>71</v>
      </c>
      <c r="G212" s="9" t="s">
        <v>761</v>
      </c>
      <c r="H212" s="9" t="s">
        <v>374</v>
      </c>
      <c r="I212" s="9" t="s">
        <v>762</v>
      </c>
      <c r="J212" s="9" t="s">
        <v>763</v>
      </c>
      <c r="K212" s="9" t="s">
        <v>764</v>
      </c>
      <c r="L212" s="9" t="s">
        <v>639</v>
      </c>
      <c r="M212" s="9" t="s">
        <v>235</v>
      </c>
      <c r="N212" s="9" t="s">
        <v>765</v>
      </c>
      <c r="O212" s="9" t="s">
        <v>189</v>
      </c>
      <c r="P212" s="9" t="s">
        <v>640</v>
      </c>
      <c r="Q212" s="9" t="s">
        <v>766</v>
      </c>
      <c r="R212" s="9" t="s">
        <v>604</v>
      </c>
      <c r="S212" s="9" t="s">
        <v>643</v>
      </c>
      <c r="T212" s="9" t="s">
        <v>767</v>
      </c>
      <c r="U212" s="19" t="n">
        <v>45</v>
      </c>
      <c r="V212" s="9"/>
      <c r="W212" s="9"/>
      <c r="X212" s="9" t="s">
        <v>195</v>
      </c>
      <c r="Y212" s="23" t="n">
        <v>0.069</v>
      </c>
      <c r="Z212" s="23" t="n">
        <v>0.271</v>
      </c>
      <c r="AA212" s="23" t="n">
        <v>12</v>
      </c>
      <c r="AB212" s="9" t="s">
        <v>639</v>
      </c>
      <c r="AC212" s="9" t="s">
        <v>678</v>
      </c>
      <c r="AD212" s="23" t="s">
        <v>197</v>
      </c>
      <c r="AE212" s="23" t="s">
        <v>197</v>
      </c>
      <c r="AF212" s="23" t="s">
        <v>197</v>
      </c>
      <c r="AG212" s="23" t="s">
        <v>197</v>
      </c>
      <c r="AH212" s="23" t="s">
        <v>197</v>
      </c>
      <c r="AI212" s="23" t="s">
        <v>197</v>
      </c>
      <c r="AJ212" s="23" t="s">
        <v>197</v>
      </c>
      <c r="AK212" s="23" t="s">
        <v>197</v>
      </c>
      <c r="AL212" s="23" t="s">
        <v>197</v>
      </c>
      <c r="AM212" s="9" t="s">
        <v>197</v>
      </c>
      <c r="AN212" s="23" t="s">
        <v>197</v>
      </c>
      <c r="AO212" s="23" t="s">
        <v>197</v>
      </c>
      <c r="AP212" s="23" t="s">
        <v>197</v>
      </c>
    </row>
    <row r="213" customFormat="false" ht="21.75" hidden="false" customHeight="true" outlineLevel="0" collapsed="false">
      <c r="B213" s="14" t="n">
        <v>209</v>
      </c>
      <c r="C213" s="7" t="s">
        <v>43</v>
      </c>
      <c r="D213" s="7" t="s">
        <v>20</v>
      </c>
      <c r="E213" s="7" t="s">
        <v>117</v>
      </c>
      <c r="F213" s="7" t="s">
        <v>71</v>
      </c>
      <c r="G213" s="7" t="s">
        <v>768</v>
      </c>
      <c r="H213" s="7" t="s">
        <v>383</v>
      </c>
      <c r="I213" s="7" t="s">
        <v>762</v>
      </c>
      <c r="J213" s="7" t="s">
        <v>763</v>
      </c>
      <c r="K213" s="7" t="s">
        <v>764</v>
      </c>
      <c r="L213" s="7" t="s">
        <v>639</v>
      </c>
      <c r="M213" s="7" t="s">
        <v>235</v>
      </c>
      <c r="N213" s="7" t="s">
        <v>765</v>
      </c>
      <c r="O213" s="7" t="s">
        <v>189</v>
      </c>
      <c r="P213" s="7" t="s">
        <v>640</v>
      </c>
      <c r="Q213" s="7" t="s">
        <v>766</v>
      </c>
      <c r="R213" s="7" t="s">
        <v>604</v>
      </c>
      <c r="S213" s="7" t="s">
        <v>643</v>
      </c>
      <c r="T213" s="7" t="s">
        <v>767</v>
      </c>
      <c r="U213" s="18" t="n">
        <v>70</v>
      </c>
      <c r="V213" s="7"/>
      <c r="W213" s="7"/>
      <c r="X213" s="7" t="s">
        <v>199</v>
      </c>
      <c r="Y213" s="22" t="n">
        <v>0.078</v>
      </c>
      <c r="Z213" s="22" t="n">
        <v>0.294</v>
      </c>
      <c r="AA213" s="22" t="n">
        <v>12</v>
      </c>
      <c r="AB213" s="7" t="s">
        <v>639</v>
      </c>
      <c r="AC213" s="7" t="s">
        <v>678</v>
      </c>
      <c r="AD213" s="22" t="s">
        <v>197</v>
      </c>
      <c r="AE213" s="22" t="s">
        <v>197</v>
      </c>
      <c r="AF213" s="22" t="s">
        <v>197</v>
      </c>
      <c r="AG213" s="22" t="s">
        <v>197</v>
      </c>
      <c r="AH213" s="22" t="s">
        <v>197</v>
      </c>
      <c r="AI213" s="22" t="s">
        <v>197</v>
      </c>
      <c r="AJ213" s="22" t="s">
        <v>197</v>
      </c>
      <c r="AK213" s="22" t="s">
        <v>197</v>
      </c>
      <c r="AL213" s="22" t="s">
        <v>197</v>
      </c>
      <c r="AM213" s="7" t="s">
        <v>197</v>
      </c>
      <c r="AN213" s="22" t="s">
        <v>197</v>
      </c>
      <c r="AO213" s="22" t="s">
        <v>197</v>
      </c>
      <c r="AP213" s="22" t="s">
        <v>197</v>
      </c>
    </row>
    <row r="214" customFormat="false" ht="21.75" hidden="false" customHeight="true" outlineLevel="0" collapsed="false">
      <c r="B214" s="15" t="n">
        <v>210</v>
      </c>
      <c r="C214" s="9" t="s">
        <v>43</v>
      </c>
      <c r="D214" s="9" t="s">
        <v>20</v>
      </c>
      <c r="E214" s="9" t="s">
        <v>117</v>
      </c>
      <c r="F214" s="9" t="s">
        <v>71</v>
      </c>
      <c r="G214" s="9" t="s">
        <v>769</v>
      </c>
      <c r="H214" s="9" t="s">
        <v>385</v>
      </c>
      <c r="I214" s="9" t="s">
        <v>762</v>
      </c>
      <c r="J214" s="9" t="s">
        <v>763</v>
      </c>
      <c r="K214" s="9" t="s">
        <v>764</v>
      </c>
      <c r="L214" s="9" t="s">
        <v>639</v>
      </c>
      <c r="M214" s="9" t="s">
        <v>235</v>
      </c>
      <c r="N214" s="9" t="s">
        <v>765</v>
      </c>
      <c r="O214" s="9" t="s">
        <v>189</v>
      </c>
      <c r="P214" s="9" t="s">
        <v>640</v>
      </c>
      <c r="Q214" s="9" t="s">
        <v>766</v>
      </c>
      <c r="R214" s="9" t="s">
        <v>604</v>
      </c>
      <c r="S214" s="9" t="s">
        <v>643</v>
      </c>
      <c r="T214" s="9" t="s">
        <v>767</v>
      </c>
      <c r="U214" s="19" t="n">
        <v>95</v>
      </c>
      <c r="V214" s="9"/>
      <c r="W214" s="9"/>
      <c r="X214" s="9" t="s">
        <v>770</v>
      </c>
      <c r="Y214" s="23" t="n">
        <v>0.075</v>
      </c>
      <c r="Z214" s="23" t="n">
        <v>0.288</v>
      </c>
      <c r="AA214" s="23" t="n">
        <v>12</v>
      </c>
      <c r="AB214" s="9" t="s">
        <v>639</v>
      </c>
      <c r="AC214" s="9" t="s">
        <v>678</v>
      </c>
      <c r="AD214" s="23" t="s">
        <v>197</v>
      </c>
      <c r="AE214" s="23" t="s">
        <v>197</v>
      </c>
      <c r="AF214" s="23" t="s">
        <v>197</v>
      </c>
      <c r="AG214" s="23" t="s">
        <v>197</v>
      </c>
      <c r="AH214" s="23" t="s">
        <v>197</v>
      </c>
      <c r="AI214" s="23" t="s">
        <v>197</v>
      </c>
      <c r="AJ214" s="23" t="s">
        <v>197</v>
      </c>
      <c r="AK214" s="23" t="s">
        <v>197</v>
      </c>
      <c r="AL214" s="23" t="s">
        <v>197</v>
      </c>
      <c r="AM214" s="9" t="s">
        <v>197</v>
      </c>
      <c r="AN214" s="23" t="s">
        <v>197</v>
      </c>
      <c r="AO214" s="23" t="s">
        <v>197</v>
      </c>
      <c r="AP214" s="23" t="s">
        <v>197</v>
      </c>
    </row>
    <row r="215" customFormat="false" ht="21.75" hidden="false" customHeight="true" outlineLevel="0" collapsed="false">
      <c r="B215" s="14" t="n">
        <v>211</v>
      </c>
      <c r="C215" s="7" t="s">
        <v>43</v>
      </c>
      <c r="D215" s="7" t="s">
        <v>20</v>
      </c>
      <c r="E215" s="7" t="s">
        <v>117</v>
      </c>
      <c r="F215" s="7" t="s">
        <v>71</v>
      </c>
      <c r="G215" s="7" t="s">
        <v>771</v>
      </c>
      <c r="H215" s="7" t="s">
        <v>388</v>
      </c>
      <c r="I215" s="7" t="s">
        <v>762</v>
      </c>
      <c r="J215" s="7" t="s">
        <v>763</v>
      </c>
      <c r="K215" s="7" t="s">
        <v>764</v>
      </c>
      <c r="L215" s="7" t="s">
        <v>639</v>
      </c>
      <c r="M215" s="7" t="s">
        <v>235</v>
      </c>
      <c r="N215" s="7" t="s">
        <v>765</v>
      </c>
      <c r="O215" s="7" t="s">
        <v>189</v>
      </c>
      <c r="P215" s="7" t="s">
        <v>640</v>
      </c>
      <c r="Q215" s="7" t="s">
        <v>766</v>
      </c>
      <c r="R215" s="7" t="s">
        <v>604</v>
      </c>
      <c r="S215" s="7" t="s">
        <v>643</v>
      </c>
      <c r="T215" s="7" t="s">
        <v>767</v>
      </c>
      <c r="U215" s="18" t="n">
        <v>140</v>
      </c>
      <c r="V215" s="7"/>
      <c r="W215" s="7"/>
      <c r="X215" s="7" t="s">
        <v>203</v>
      </c>
      <c r="Y215" s="22" t="n">
        <v>0.07</v>
      </c>
      <c r="Z215" s="22" t="n">
        <v>0.276</v>
      </c>
      <c r="AA215" s="22" t="n">
        <v>12</v>
      </c>
      <c r="AB215" s="7" t="s">
        <v>639</v>
      </c>
      <c r="AC215" s="7" t="s">
        <v>678</v>
      </c>
      <c r="AD215" s="22" t="s">
        <v>197</v>
      </c>
      <c r="AE215" s="22" t="s">
        <v>197</v>
      </c>
      <c r="AF215" s="22" t="s">
        <v>197</v>
      </c>
      <c r="AG215" s="22" t="s">
        <v>197</v>
      </c>
      <c r="AH215" s="22" t="s">
        <v>197</v>
      </c>
      <c r="AI215" s="22" t="s">
        <v>197</v>
      </c>
      <c r="AJ215" s="22" t="s">
        <v>197</v>
      </c>
      <c r="AK215" s="22" t="s">
        <v>197</v>
      </c>
      <c r="AL215" s="22" t="s">
        <v>197</v>
      </c>
      <c r="AM215" s="7" t="s">
        <v>197</v>
      </c>
      <c r="AN215" s="22" t="s">
        <v>197</v>
      </c>
      <c r="AO215" s="22" t="s">
        <v>197</v>
      </c>
      <c r="AP215" s="22" t="s">
        <v>197</v>
      </c>
    </row>
    <row r="216" customFormat="false" ht="21.75" hidden="false" customHeight="true" outlineLevel="0" collapsed="false">
      <c r="B216" s="15" t="n">
        <v>212</v>
      </c>
      <c r="C216" s="9" t="s">
        <v>43</v>
      </c>
      <c r="D216" s="9" t="s">
        <v>20</v>
      </c>
      <c r="E216" s="9" t="s">
        <v>117</v>
      </c>
      <c r="F216" s="9" t="s">
        <v>71</v>
      </c>
      <c r="G216" s="9" t="s">
        <v>772</v>
      </c>
      <c r="H216" s="9" t="s">
        <v>390</v>
      </c>
      <c r="I216" s="9" t="s">
        <v>762</v>
      </c>
      <c r="J216" s="9" t="s">
        <v>763</v>
      </c>
      <c r="K216" s="9" t="s">
        <v>764</v>
      </c>
      <c r="L216" s="9" t="s">
        <v>639</v>
      </c>
      <c r="M216" s="9" t="s">
        <v>235</v>
      </c>
      <c r="N216" s="9" t="s">
        <v>765</v>
      </c>
      <c r="O216" s="9" t="s">
        <v>189</v>
      </c>
      <c r="P216" s="9" t="s">
        <v>640</v>
      </c>
      <c r="Q216" s="9" t="s">
        <v>766</v>
      </c>
      <c r="R216" s="9" t="s">
        <v>604</v>
      </c>
      <c r="S216" s="9" t="s">
        <v>643</v>
      </c>
      <c r="T216" s="9" t="s">
        <v>767</v>
      </c>
      <c r="U216" s="19" t="n">
        <v>205</v>
      </c>
      <c r="V216" s="9"/>
      <c r="W216" s="9"/>
      <c r="X216" s="9" t="s">
        <v>205</v>
      </c>
      <c r="Y216" s="23" t="n">
        <v>0.067</v>
      </c>
      <c r="Z216" s="23" t="n">
        <v>0.268</v>
      </c>
      <c r="AA216" s="23" t="n">
        <v>12</v>
      </c>
      <c r="AB216" s="9" t="s">
        <v>639</v>
      </c>
      <c r="AC216" s="9" t="s">
        <v>678</v>
      </c>
      <c r="AD216" s="23" t="s">
        <v>197</v>
      </c>
      <c r="AE216" s="23" t="s">
        <v>197</v>
      </c>
      <c r="AF216" s="23" t="s">
        <v>197</v>
      </c>
      <c r="AG216" s="23" t="s">
        <v>197</v>
      </c>
      <c r="AH216" s="23" t="s">
        <v>197</v>
      </c>
      <c r="AI216" s="23" t="s">
        <v>197</v>
      </c>
      <c r="AJ216" s="23" t="s">
        <v>197</v>
      </c>
      <c r="AK216" s="23" t="s">
        <v>197</v>
      </c>
      <c r="AL216" s="23" t="s">
        <v>197</v>
      </c>
      <c r="AM216" s="9" t="s">
        <v>197</v>
      </c>
      <c r="AN216" s="23" t="s">
        <v>197</v>
      </c>
      <c r="AO216" s="23" t="s">
        <v>197</v>
      </c>
      <c r="AP216" s="23" t="s">
        <v>197</v>
      </c>
    </row>
    <row r="217" customFormat="false" ht="21.75" hidden="false" customHeight="true" outlineLevel="0" collapsed="false">
      <c r="B217" s="14" t="n">
        <v>213</v>
      </c>
      <c r="C217" s="7" t="s">
        <v>43</v>
      </c>
      <c r="D217" s="7" t="s">
        <v>20</v>
      </c>
      <c r="E217" s="7" t="s">
        <v>117</v>
      </c>
      <c r="F217" s="7" t="s">
        <v>72</v>
      </c>
      <c r="G217" s="7" t="s">
        <v>391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18"/>
      <c r="V217" s="7"/>
      <c r="W217" s="7"/>
      <c r="X217" s="7" t="s">
        <v>773</v>
      </c>
      <c r="Y217" s="22" t="s">
        <v>197</v>
      </c>
      <c r="Z217" s="22" t="s">
        <v>197</v>
      </c>
      <c r="AA217" s="22" t="s">
        <v>197</v>
      </c>
      <c r="AB217" s="7" t="s">
        <v>197</v>
      </c>
      <c r="AC217" s="7" t="s">
        <v>197</v>
      </c>
      <c r="AD217" s="22" t="s">
        <v>197</v>
      </c>
      <c r="AE217" s="22" t="s">
        <v>197</v>
      </c>
      <c r="AF217" s="22" t="s">
        <v>197</v>
      </c>
      <c r="AG217" s="22" t="s">
        <v>197</v>
      </c>
      <c r="AH217" s="22" t="s">
        <v>197</v>
      </c>
      <c r="AI217" s="22" t="s">
        <v>197</v>
      </c>
      <c r="AJ217" s="22" t="s">
        <v>197</v>
      </c>
      <c r="AK217" s="22" t="s">
        <v>197</v>
      </c>
      <c r="AL217" s="22" t="s">
        <v>197</v>
      </c>
      <c r="AM217" s="7" t="s">
        <v>197</v>
      </c>
      <c r="AN217" s="22" t="s">
        <v>197</v>
      </c>
      <c r="AO217" s="22" t="s">
        <v>197</v>
      </c>
      <c r="AP217" s="22" t="s">
        <v>197</v>
      </c>
    </row>
    <row r="218" customFormat="false" ht="21.75" hidden="false" customHeight="true" outlineLevel="0" collapsed="false">
      <c r="B218" s="15" t="n">
        <v>214</v>
      </c>
      <c r="C218" s="9" t="s">
        <v>43</v>
      </c>
      <c r="D218" s="9" t="s">
        <v>20</v>
      </c>
      <c r="E218" s="9" t="s">
        <v>117</v>
      </c>
      <c r="F218" s="9" t="s">
        <v>73</v>
      </c>
      <c r="G218" s="9" t="s">
        <v>774</v>
      </c>
      <c r="H218" s="9" t="s">
        <v>394</v>
      </c>
      <c r="I218" s="9" t="s">
        <v>775</v>
      </c>
      <c r="J218" s="9" t="s">
        <v>776</v>
      </c>
      <c r="K218" s="9" t="s">
        <v>777</v>
      </c>
      <c r="L218" s="9" t="s">
        <v>639</v>
      </c>
      <c r="M218" s="9" t="s">
        <v>235</v>
      </c>
      <c r="N218" s="9" t="s">
        <v>778</v>
      </c>
      <c r="O218" s="9" t="s">
        <v>189</v>
      </c>
      <c r="P218" s="9" t="s">
        <v>640</v>
      </c>
      <c r="Q218" s="9" t="s">
        <v>779</v>
      </c>
      <c r="R218" s="9" t="s">
        <v>780</v>
      </c>
      <c r="S218" s="9" t="s">
        <v>643</v>
      </c>
      <c r="T218" s="9" t="s">
        <v>781</v>
      </c>
      <c r="U218" s="19" t="n">
        <v>30</v>
      </c>
      <c r="V218" s="9"/>
      <c r="W218" s="9"/>
      <c r="X218" s="9" t="s">
        <v>195</v>
      </c>
      <c r="Y218" s="23" t="n">
        <v>0.038</v>
      </c>
      <c r="Z218" s="23" t="n">
        <v>0.061</v>
      </c>
      <c r="AA218" s="23" t="n">
        <v>12</v>
      </c>
      <c r="AB218" s="9" t="s">
        <v>639</v>
      </c>
      <c r="AC218" s="9" t="s">
        <v>678</v>
      </c>
      <c r="AD218" s="23" t="s">
        <v>197</v>
      </c>
      <c r="AE218" s="23" t="s">
        <v>197</v>
      </c>
      <c r="AF218" s="23" t="s">
        <v>197</v>
      </c>
      <c r="AG218" s="23" t="n">
        <v>4</v>
      </c>
      <c r="AH218" s="23" t="s">
        <v>197</v>
      </c>
      <c r="AI218" s="23" t="s">
        <v>197</v>
      </c>
      <c r="AJ218" s="23" t="s">
        <v>197</v>
      </c>
      <c r="AK218" s="23" t="s">
        <v>197</v>
      </c>
      <c r="AL218" s="23" t="s">
        <v>197</v>
      </c>
      <c r="AM218" s="9" t="s">
        <v>197</v>
      </c>
      <c r="AN218" s="23" t="s">
        <v>197</v>
      </c>
      <c r="AO218" s="23" t="s">
        <v>197</v>
      </c>
      <c r="AP218" s="23" t="s">
        <v>197</v>
      </c>
    </row>
    <row r="219" customFormat="false" ht="21.75" hidden="false" customHeight="true" outlineLevel="0" collapsed="false">
      <c r="B219" s="14" t="n">
        <v>215</v>
      </c>
      <c r="C219" s="7" t="s">
        <v>43</v>
      </c>
      <c r="D219" s="7" t="s">
        <v>20</v>
      </c>
      <c r="E219" s="7" t="s">
        <v>117</v>
      </c>
      <c r="F219" s="7" t="s">
        <v>73</v>
      </c>
      <c r="G219" s="7" t="s">
        <v>782</v>
      </c>
      <c r="H219" s="7" t="s">
        <v>402</v>
      </c>
      <c r="I219" s="7" t="s">
        <v>775</v>
      </c>
      <c r="J219" s="7" t="s">
        <v>776</v>
      </c>
      <c r="K219" s="7" t="s">
        <v>777</v>
      </c>
      <c r="L219" s="7" t="s">
        <v>639</v>
      </c>
      <c r="M219" s="7" t="s">
        <v>235</v>
      </c>
      <c r="N219" s="7" t="s">
        <v>778</v>
      </c>
      <c r="O219" s="7" t="s">
        <v>189</v>
      </c>
      <c r="P219" s="7" t="s">
        <v>640</v>
      </c>
      <c r="Q219" s="7" t="s">
        <v>779</v>
      </c>
      <c r="R219" s="7" t="s">
        <v>780</v>
      </c>
      <c r="S219" s="7" t="s">
        <v>643</v>
      </c>
      <c r="T219" s="7" t="s">
        <v>781</v>
      </c>
      <c r="U219" s="18" t="n">
        <v>45</v>
      </c>
      <c r="V219" s="7"/>
      <c r="W219" s="7"/>
      <c r="X219" s="7" t="s">
        <v>199</v>
      </c>
      <c r="Y219" s="22" t="n">
        <v>0.055</v>
      </c>
      <c r="Z219" s="22" t="n">
        <v>0.084</v>
      </c>
      <c r="AA219" s="22" t="n">
        <v>12</v>
      </c>
      <c r="AB219" s="7" t="s">
        <v>639</v>
      </c>
      <c r="AC219" s="7" t="s">
        <v>678</v>
      </c>
      <c r="AD219" s="22" t="s">
        <v>197</v>
      </c>
      <c r="AE219" s="22" t="s">
        <v>197</v>
      </c>
      <c r="AF219" s="22" t="s">
        <v>197</v>
      </c>
      <c r="AG219" s="22" t="n">
        <v>8</v>
      </c>
      <c r="AH219" s="22" t="s">
        <v>197</v>
      </c>
      <c r="AI219" s="22" t="s">
        <v>197</v>
      </c>
      <c r="AJ219" s="22" t="s">
        <v>197</v>
      </c>
      <c r="AK219" s="22" t="s">
        <v>197</v>
      </c>
      <c r="AL219" s="22" t="s">
        <v>197</v>
      </c>
      <c r="AM219" s="7" t="s">
        <v>197</v>
      </c>
      <c r="AN219" s="22" t="s">
        <v>197</v>
      </c>
      <c r="AO219" s="22" t="s">
        <v>197</v>
      </c>
      <c r="AP219" s="22" t="s">
        <v>197</v>
      </c>
    </row>
    <row r="220" customFormat="false" ht="21.75" hidden="false" customHeight="true" outlineLevel="0" collapsed="false">
      <c r="B220" s="15" t="n">
        <v>216</v>
      </c>
      <c r="C220" s="9" t="s">
        <v>43</v>
      </c>
      <c r="D220" s="9" t="s">
        <v>20</v>
      </c>
      <c r="E220" s="9" t="s">
        <v>117</v>
      </c>
      <c r="F220" s="9" t="s">
        <v>73</v>
      </c>
      <c r="G220" s="9" t="s">
        <v>783</v>
      </c>
      <c r="H220" s="9" t="s">
        <v>404</v>
      </c>
      <c r="I220" s="9" t="s">
        <v>775</v>
      </c>
      <c r="J220" s="9" t="s">
        <v>776</v>
      </c>
      <c r="K220" s="9" t="s">
        <v>777</v>
      </c>
      <c r="L220" s="9" t="s">
        <v>639</v>
      </c>
      <c r="M220" s="9" t="s">
        <v>235</v>
      </c>
      <c r="N220" s="9" t="s">
        <v>778</v>
      </c>
      <c r="O220" s="9" t="s">
        <v>189</v>
      </c>
      <c r="P220" s="9" t="s">
        <v>640</v>
      </c>
      <c r="Q220" s="9" t="s">
        <v>779</v>
      </c>
      <c r="R220" s="9" t="s">
        <v>780</v>
      </c>
      <c r="S220" s="9" t="s">
        <v>643</v>
      </c>
      <c r="T220" s="9" t="s">
        <v>781</v>
      </c>
      <c r="U220" s="19" t="n">
        <v>60</v>
      </c>
      <c r="V220" s="9"/>
      <c r="W220" s="9"/>
      <c r="X220" s="9" t="s">
        <v>784</v>
      </c>
      <c r="Y220" s="23" t="n">
        <v>0.036</v>
      </c>
      <c r="Z220" s="23" t="n">
        <v>0.058</v>
      </c>
      <c r="AA220" s="23" t="n">
        <v>12</v>
      </c>
      <c r="AB220" s="9" t="s">
        <v>639</v>
      </c>
      <c r="AC220" s="9" t="s">
        <v>678</v>
      </c>
      <c r="AD220" s="23" t="s">
        <v>197</v>
      </c>
      <c r="AE220" s="23" t="s">
        <v>197</v>
      </c>
      <c r="AF220" s="23" t="s">
        <v>197</v>
      </c>
      <c r="AG220" s="23" t="n">
        <v>8</v>
      </c>
      <c r="AH220" s="23" t="s">
        <v>197</v>
      </c>
      <c r="AI220" s="23" t="s">
        <v>197</v>
      </c>
      <c r="AJ220" s="23" t="s">
        <v>197</v>
      </c>
      <c r="AK220" s="23" t="s">
        <v>197</v>
      </c>
      <c r="AL220" s="23" t="s">
        <v>197</v>
      </c>
      <c r="AM220" s="9" t="s">
        <v>197</v>
      </c>
      <c r="AN220" s="23" t="s">
        <v>197</v>
      </c>
      <c r="AO220" s="23" t="s">
        <v>197</v>
      </c>
      <c r="AP220" s="23" t="s">
        <v>197</v>
      </c>
    </row>
    <row r="221" customFormat="false" ht="21.75" hidden="false" customHeight="true" outlineLevel="0" collapsed="false">
      <c r="B221" s="14" t="n">
        <v>217</v>
      </c>
      <c r="C221" s="7" t="s">
        <v>43</v>
      </c>
      <c r="D221" s="7" t="s">
        <v>20</v>
      </c>
      <c r="E221" s="7" t="s">
        <v>117</v>
      </c>
      <c r="F221" s="7" t="s">
        <v>73</v>
      </c>
      <c r="G221" s="7" t="s">
        <v>785</v>
      </c>
      <c r="H221" s="7" t="s">
        <v>407</v>
      </c>
      <c r="I221" s="7" t="s">
        <v>775</v>
      </c>
      <c r="J221" s="7" t="s">
        <v>776</v>
      </c>
      <c r="K221" s="7" t="s">
        <v>777</v>
      </c>
      <c r="L221" s="7" t="s">
        <v>639</v>
      </c>
      <c r="M221" s="7" t="s">
        <v>235</v>
      </c>
      <c r="N221" s="7" t="s">
        <v>778</v>
      </c>
      <c r="O221" s="7" t="s">
        <v>189</v>
      </c>
      <c r="P221" s="7" t="s">
        <v>640</v>
      </c>
      <c r="Q221" s="7" t="s">
        <v>779</v>
      </c>
      <c r="R221" s="7" t="s">
        <v>780</v>
      </c>
      <c r="S221" s="7" t="s">
        <v>643</v>
      </c>
      <c r="T221" s="7" t="s">
        <v>781</v>
      </c>
      <c r="U221" s="18" t="n">
        <v>90</v>
      </c>
      <c r="V221" s="7"/>
      <c r="W221" s="7"/>
      <c r="X221" s="7" t="s">
        <v>203</v>
      </c>
      <c r="Y221" s="22" t="n">
        <v>0.037</v>
      </c>
      <c r="Z221" s="22" t="n">
        <v>0.06</v>
      </c>
      <c r="AA221" s="22" t="n">
        <v>12</v>
      </c>
      <c r="AB221" s="7" t="s">
        <v>639</v>
      </c>
      <c r="AC221" s="7" t="s">
        <v>678</v>
      </c>
      <c r="AD221" s="22" t="s">
        <v>197</v>
      </c>
      <c r="AE221" s="22" t="s">
        <v>197</v>
      </c>
      <c r="AF221" s="22" t="s">
        <v>197</v>
      </c>
      <c r="AG221" s="22" t="n">
        <v>16</v>
      </c>
      <c r="AH221" s="22" t="s">
        <v>197</v>
      </c>
      <c r="AI221" s="22" t="s">
        <v>197</v>
      </c>
      <c r="AJ221" s="22" t="s">
        <v>197</v>
      </c>
      <c r="AK221" s="22" t="s">
        <v>197</v>
      </c>
      <c r="AL221" s="22" t="s">
        <v>197</v>
      </c>
      <c r="AM221" s="7" t="s">
        <v>197</v>
      </c>
      <c r="AN221" s="22" t="s">
        <v>197</v>
      </c>
      <c r="AO221" s="22" t="s">
        <v>197</v>
      </c>
      <c r="AP221" s="22" t="s">
        <v>197</v>
      </c>
    </row>
    <row r="222" customFormat="false" ht="21.75" hidden="false" customHeight="true" outlineLevel="0" collapsed="false">
      <c r="B222" s="15" t="n">
        <v>218</v>
      </c>
      <c r="C222" s="9" t="s">
        <v>43</v>
      </c>
      <c r="D222" s="9" t="s">
        <v>20</v>
      </c>
      <c r="E222" s="9" t="s">
        <v>117</v>
      </c>
      <c r="F222" s="9" t="s">
        <v>73</v>
      </c>
      <c r="G222" s="9" t="s">
        <v>786</v>
      </c>
      <c r="H222" s="9" t="s">
        <v>409</v>
      </c>
      <c r="I222" s="9" t="s">
        <v>775</v>
      </c>
      <c r="J222" s="9" t="s">
        <v>776</v>
      </c>
      <c r="K222" s="9" t="s">
        <v>777</v>
      </c>
      <c r="L222" s="9" t="s">
        <v>639</v>
      </c>
      <c r="M222" s="9" t="s">
        <v>235</v>
      </c>
      <c r="N222" s="9" t="s">
        <v>778</v>
      </c>
      <c r="O222" s="9" t="s">
        <v>189</v>
      </c>
      <c r="P222" s="9" t="s">
        <v>640</v>
      </c>
      <c r="Q222" s="9" t="s">
        <v>779</v>
      </c>
      <c r="R222" s="9" t="s">
        <v>780</v>
      </c>
      <c r="S222" s="9" t="s">
        <v>643</v>
      </c>
      <c r="T222" s="9" t="s">
        <v>781</v>
      </c>
      <c r="U222" s="19" t="n">
        <v>135</v>
      </c>
      <c r="V222" s="9"/>
      <c r="W222" s="9"/>
      <c r="X222" s="9" t="s">
        <v>205</v>
      </c>
      <c r="Y222" s="23" t="n">
        <v>0.035</v>
      </c>
      <c r="Z222" s="23" t="n">
        <v>0.056</v>
      </c>
      <c r="AA222" s="23" t="n">
        <v>12</v>
      </c>
      <c r="AB222" s="9" t="s">
        <v>639</v>
      </c>
      <c r="AC222" s="9" t="s">
        <v>678</v>
      </c>
      <c r="AD222" s="23" t="s">
        <v>197</v>
      </c>
      <c r="AE222" s="23" t="s">
        <v>197</v>
      </c>
      <c r="AF222" s="23" t="s">
        <v>197</v>
      </c>
      <c r="AG222" s="23" t="n">
        <v>16</v>
      </c>
      <c r="AH222" s="23" t="s">
        <v>197</v>
      </c>
      <c r="AI222" s="23" t="s">
        <v>197</v>
      </c>
      <c r="AJ222" s="23" t="s">
        <v>197</v>
      </c>
      <c r="AK222" s="23" t="s">
        <v>197</v>
      </c>
      <c r="AL222" s="23" t="s">
        <v>197</v>
      </c>
      <c r="AM222" s="9" t="s">
        <v>197</v>
      </c>
      <c r="AN222" s="23" t="s">
        <v>197</v>
      </c>
      <c r="AO222" s="23" t="s">
        <v>197</v>
      </c>
      <c r="AP222" s="23" t="s">
        <v>197</v>
      </c>
    </row>
    <row r="223" customFormat="false" ht="21.75" hidden="false" customHeight="true" outlineLevel="0" collapsed="false">
      <c r="B223" s="14" t="n">
        <v>219</v>
      </c>
      <c r="C223" s="7" t="s">
        <v>43</v>
      </c>
      <c r="D223" s="7" t="s">
        <v>20</v>
      </c>
      <c r="E223" s="7" t="s">
        <v>117</v>
      </c>
      <c r="F223" s="7" t="s">
        <v>74</v>
      </c>
      <c r="G223" s="7" t="s">
        <v>391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18"/>
      <c r="V223" s="7"/>
      <c r="W223" s="7"/>
      <c r="X223" s="7" t="s">
        <v>787</v>
      </c>
      <c r="Y223" s="22" t="s">
        <v>197</v>
      </c>
      <c r="Z223" s="22" t="s">
        <v>197</v>
      </c>
      <c r="AA223" s="22" t="s">
        <v>197</v>
      </c>
      <c r="AB223" s="7" t="s">
        <v>197</v>
      </c>
      <c r="AC223" s="7" t="s">
        <v>197</v>
      </c>
      <c r="AD223" s="22" t="s">
        <v>197</v>
      </c>
      <c r="AE223" s="22" t="s">
        <v>197</v>
      </c>
      <c r="AF223" s="22" t="s">
        <v>197</v>
      </c>
      <c r="AG223" s="22" t="s">
        <v>197</v>
      </c>
      <c r="AH223" s="22" t="s">
        <v>197</v>
      </c>
      <c r="AI223" s="22" t="s">
        <v>197</v>
      </c>
      <c r="AJ223" s="22" t="s">
        <v>197</v>
      </c>
      <c r="AK223" s="22" t="s">
        <v>197</v>
      </c>
      <c r="AL223" s="22" t="s">
        <v>197</v>
      </c>
      <c r="AM223" s="7" t="s">
        <v>197</v>
      </c>
      <c r="AN223" s="22" t="s">
        <v>197</v>
      </c>
      <c r="AO223" s="22" t="s">
        <v>197</v>
      </c>
      <c r="AP223" s="22" t="s">
        <v>197</v>
      </c>
    </row>
    <row r="224" customFormat="false" ht="21.75" hidden="false" customHeight="true" outlineLevel="0" collapsed="false">
      <c r="B224" s="15" t="n">
        <v>220</v>
      </c>
      <c r="C224" s="9" t="s">
        <v>43</v>
      </c>
      <c r="D224" s="9" t="s">
        <v>20</v>
      </c>
      <c r="E224" s="9" t="s">
        <v>117</v>
      </c>
      <c r="F224" s="9" t="s">
        <v>75</v>
      </c>
      <c r="G224" s="9" t="s">
        <v>788</v>
      </c>
      <c r="H224" s="9" t="s">
        <v>430</v>
      </c>
      <c r="I224" s="9" t="s">
        <v>789</v>
      </c>
      <c r="J224" s="9" t="s">
        <v>626</v>
      </c>
      <c r="K224" s="9" t="s">
        <v>790</v>
      </c>
      <c r="L224" s="9" t="s">
        <v>639</v>
      </c>
      <c r="M224" s="9" t="s">
        <v>791</v>
      </c>
      <c r="N224" s="9" t="s">
        <v>189</v>
      </c>
      <c r="O224" s="9" t="s">
        <v>189</v>
      </c>
      <c r="P224" s="9" t="s">
        <v>640</v>
      </c>
      <c r="Q224" s="9" t="s">
        <v>792</v>
      </c>
      <c r="R224" s="9" t="s">
        <v>628</v>
      </c>
      <c r="S224" s="9" t="s">
        <v>643</v>
      </c>
      <c r="T224" s="9" t="s">
        <v>436</v>
      </c>
      <c r="U224" s="19" t="n">
        <v>14</v>
      </c>
      <c r="V224" s="9"/>
      <c r="W224" s="9"/>
      <c r="X224" s="9" t="s">
        <v>195</v>
      </c>
      <c r="Y224" s="23" t="n">
        <v>3.73E-006</v>
      </c>
      <c r="Z224" s="23" t="n">
        <v>1.866E-005</v>
      </c>
      <c r="AA224" s="23" t="n">
        <v>3</v>
      </c>
      <c r="AB224" s="9" t="s">
        <v>639</v>
      </c>
      <c r="AC224" s="9" t="s">
        <v>691</v>
      </c>
      <c r="AD224" s="23" t="s">
        <v>197</v>
      </c>
      <c r="AE224" s="23" t="s">
        <v>197</v>
      </c>
      <c r="AF224" s="23" t="s">
        <v>197</v>
      </c>
      <c r="AG224" s="23" t="s">
        <v>197</v>
      </c>
      <c r="AH224" s="23" t="s">
        <v>197</v>
      </c>
      <c r="AI224" s="23" t="s">
        <v>197</v>
      </c>
      <c r="AJ224" s="23" t="s">
        <v>197</v>
      </c>
      <c r="AK224" s="23" t="s">
        <v>197</v>
      </c>
      <c r="AL224" s="23" t="s">
        <v>197</v>
      </c>
      <c r="AM224" s="9" t="s">
        <v>197</v>
      </c>
      <c r="AN224" s="23" t="s">
        <v>197</v>
      </c>
      <c r="AO224" s="23" t="s">
        <v>197</v>
      </c>
      <c r="AP224" s="23" t="s">
        <v>197</v>
      </c>
    </row>
    <row r="225" customFormat="false" ht="21.75" hidden="false" customHeight="true" outlineLevel="0" collapsed="false">
      <c r="B225" s="14" t="n">
        <v>221</v>
      </c>
      <c r="C225" s="7" t="s">
        <v>43</v>
      </c>
      <c r="D225" s="7" t="s">
        <v>20</v>
      </c>
      <c r="E225" s="7" t="s">
        <v>117</v>
      </c>
      <c r="F225" s="7" t="s">
        <v>75</v>
      </c>
      <c r="G225" s="7" t="s">
        <v>793</v>
      </c>
      <c r="H225" s="7" t="s">
        <v>438</v>
      </c>
      <c r="I225" s="7" t="s">
        <v>789</v>
      </c>
      <c r="J225" s="7" t="s">
        <v>626</v>
      </c>
      <c r="K225" s="7" t="s">
        <v>790</v>
      </c>
      <c r="L225" s="7" t="s">
        <v>639</v>
      </c>
      <c r="M225" s="7" t="s">
        <v>791</v>
      </c>
      <c r="N225" s="7" t="s">
        <v>189</v>
      </c>
      <c r="O225" s="7" t="s">
        <v>189</v>
      </c>
      <c r="P225" s="7" t="s">
        <v>640</v>
      </c>
      <c r="Q225" s="7" t="s">
        <v>792</v>
      </c>
      <c r="R225" s="7" t="s">
        <v>628</v>
      </c>
      <c r="S225" s="7" t="s">
        <v>643</v>
      </c>
      <c r="T225" s="7" t="s">
        <v>436</v>
      </c>
      <c r="U225" s="18" t="n">
        <v>20</v>
      </c>
      <c r="V225" s="7"/>
      <c r="W225" s="7"/>
      <c r="X225" s="7" t="s">
        <v>199</v>
      </c>
      <c r="Y225" s="22" t="n">
        <v>2.92E-006</v>
      </c>
      <c r="Z225" s="22" t="n">
        <v>1.461E-005</v>
      </c>
      <c r="AA225" s="22" t="n">
        <v>3</v>
      </c>
      <c r="AB225" s="7" t="s">
        <v>639</v>
      </c>
      <c r="AC225" s="7" t="s">
        <v>691</v>
      </c>
      <c r="AD225" s="22" t="s">
        <v>197</v>
      </c>
      <c r="AE225" s="22" t="s">
        <v>197</v>
      </c>
      <c r="AF225" s="22" t="s">
        <v>197</v>
      </c>
      <c r="AG225" s="22" t="s">
        <v>197</v>
      </c>
      <c r="AH225" s="22" t="s">
        <v>197</v>
      </c>
      <c r="AI225" s="22" t="s">
        <v>197</v>
      </c>
      <c r="AJ225" s="22" t="s">
        <v>197</v>
      </c>
      <c r="AK225" s="22" t="s">
        <v>197</v>
      </c>
      <c r="AL225" s="22" t="s">
        <v>197</v>
      </c>
      <c r="AM225" s="7" t="s">
        <v>197</v>
      </c>
      <c r="AN225" s="22" t="s">
        <v>197</v>
      </c>
      <c r="AO225" s="22" t="s">
        <v>197</v>
      </c>
      <c r="AP225" s="22" t="s">
        <v>197</v>
      </c>
    </row>
    <row r="226" customFormat="false" ht="21.75" hidden="false" customHeight="true" outlineLevel="0" collapsed="false">
      <c r="B226" s="15" t="n">
        <v>222</v>
      </c>
      <c r="C226" s="9" t="s">
        <v>43</v>
      </c>
      <c r="D226" s="9" t="s">
        <v>20</v>
      </c>
      <c r="E226" s="9" t="s">
        <v>117</v>
      </c>
      <c r="F226" s="9" t="s">
        <v>75</v>
      </c>
      <c r="G226" s="9" t="s">
        <v>794</v>
      </c>
      <c r="H226" s="9" t="s">
        <v>440</v>
      </c>
      <c r="I226" s="9" t="s">
        <v>789</v>
      </c>
      <c r="J226" s="9" t="s">
        <v>626</v>
      </c>
      <c r="K226" s="9" t="s">
        <v>790</v>
      </c>
      <c r="L226" s="9" t="s">
        <v>639</v>
      </c>
      <c r="M226" s="9" t="s">
        <v>791</v>
      </c>
      <c r="N226" s="9" t="s">
        <v>189</v>
      </c>
      <c r="O226" s="9" t="s">
        <v>189</v>
      </c>
      <c r="P226" s="9" t="s">
        <v>640</v>
      </c>
      <c r="Q226" s="9" t="s">
        <v>792</v>
      </c>
      <c r="R226" s="9" t="s">
        <v>628</v>
      </c>
      <c r="S226" s="9" t="s">
        <v>643</v>
      </c>
      <c r="T226" s="9" t="s">
        <v>436</v>
      </c>
      <c r="U226" s="19" t="n">
        <v>25</v>
      </c>
      <c r="V226" s="9"/>
      <c r="W226" s="9"/>
      <c r="X226" s="9" t="s">
        <v>795</v>
      </c>
      <c r="Y226" s="23" t="n">
        <v>4.13E-006</v>
      </c>
      <c r="Z226" s="23" t="n">
        <v>2.066E-005</v>
      </c>
      <c r="AA226" s="23" t="n">
        <v>3</v>
      </c>
      <c r="AB226" s="9" t="s">
        <v>639</v>
      </c>
      <c r="AC226" s="9" t="s">
        <v>691</v>
      </c>
      <c r="AD226" s="23" t="s">
        <v>197</v>
      </c>
      <c r="AE226" s="23" t="s">
        <v>197</v>
      </c>
      <c r="AF226" s="23" t="s">
        <v>197</v>
      </c>
      <c r="AG226" s="23" t="s">
        <v>197</v>
      </c>
      <c r="AH226" s="23" t="s">
        <v>197</v>
      </c>
      <c r="AI226" s="23" t="s">
        <v>197</v>
      </c>
      <c r="AJ226" s="23" t="s">
        <v>197</v>
      </c>
      <c r="AK226" s="23" t="s">
        <v>197</v>
      </c>
      <c r="AL226" s="23" t="s">
        <v>197</v>
      </c>
      <c r="AM226" s="9" t="s">
        <v>197</v>
      </c>
      <c r="AN226" s="23" t="s">
        <v>197</v>
      </c>
      <c r="AO226" s="23" t="s">
        <v>197</v>
      </c>
      <c r="AP226" s="23" t="s">
        <v>197</v>
      </c>
    </row>
    <row r="227" customFormat="false" ht="21.75" hidden="false" customHeight="true" outlineLevel="0" collapsed="false">
      <c r="B227" s="14" t="n">
        <v>223</v>
      </c>
      <c r="C227" s="7" t="s">
        <v>43</v>
      </c>
      <c r="D227" s="7" t="s">
        <v>20</v>
      </c>
      <c r="E227" s="7" t="s">
        <v>117</v>
      </c>
      <c r="F227" s="7" t="s">
        <v>75</v>
      </c>
      <c r="G227" s="7" t="s">
        <v>796</v>
      </c>
      <c r="H227" s="7" t="s">
        <v>443</v>
      </c>
      <c r="I227" s="7" t="s">
        <v>789</v>
      </c>
      <c r="J227" s="7" t="s">
        <v>626</v>
      </c>
      <c r="K227" s="7" t="s">
        <v>790</v>
      </c>
      <c r="L227" s="7" t="s">
        <v>639</v>
      </c>
      <c r="M227" s="7" t="s">
        <v>791</v>
      </c>
      <c r="N227" s="7" t="s">
        <v>189</v>
      </c>
      <c r="O227" s="7" t="s">
        <v>189</v>
      </c>
      <c r="P227" s="7" t="s">
        <v>640</v>
      </c>
      <c r="Q227" s="7" t="s">
        <v>792</v>
      </c>
      <c r="R227" s="7" t="s">
        <v>628</v>
      </c>
      <c r="S227" s="7" t="s">
        <v>643</v>
      </c>
      <c r="T227" s="7" t="s">
        <v>436</v>
      </c>
      <c r="U227" s="18" t="n">
        <v>40</v>
      </c>
      <c r="V227" s="7"/>
      <c r="W227" s="7"/>
      <c r="X227" s="7" t="s">
        <v>203</v>
      </c>
      <c r="Y227" s="22" t="n">
        <v>4.64E-006</v>
      </c>
      <c r="Z227" s="22" t="n">
        <v>2.322E-005</v>
      </c>
      <c r="AA227" s="22" t="n">
        <v>3</v>
      </c>
      <c r="AB227" s="7" t="s">
        <v>639</v>
      </c>
      <c r="AC227" s="7" t="s">
        <v>691</v>
      </c>
      <c r="AD227" s="22" t="s">
        <v>197</v>
      </c>
      <c r="AE227" s="22" t="s">
        <v>197</v>
      </c>
      <c r="AF227" s="22" t="s">
        <v>197</v>
      </c>
      <c r="AG227" s="22" t="s">
        <v>197</v>
      </c>
      <c r="AH227" s="22" t="s">
        <v>197</v>
      </c>
      <c r="AI227" s="22" t="s">
        <v>197</v>
      </c>
      <c r="AJ227" s="22" t="s">
        <v>197</v>
      </c>
      <c r="AK227" s="22" t="s">
        <v>197</v>
      </c>
      <c r="AL227" s="22" t="s">
        <v>197</v>
      </c>
      <c r="AM227" s="7" t="s">
        <v>197</v>
      </c>
      <c r="AN227" s="22" t="s">
        <v>197</v>
      </c>
      <c r="AO227" s="22" t="s">
        <v>197</v>
      </c>
      <c r="AP227" s="22" t="s">
        <v>197</v>
      </c>
    </row>
    <row r="228" customFormat="false" ht="21.75" hidden="false" customHeight="true" outlineLevel="0" collapsed="false">
      <c r="B228" s="15" t="n">
        <v>224</v>
      </c>
      <c r="C228" s="9" t="s">
        <v>43</v>
      </c>
      <c r="D228" s="9" t="s">
        <v>20</v>
      </c>
      <c r="E228" s="9" t="s">
        <v>117</v>
      </c>
      <c r="F228" s="9" t="s">
        <v>75</v>
      </c>
      <c r="G228" s="9" t="s">
        <v>797</v>
      </c>
      <c r="H228" s="9" t="s">
        <v>444</v>
      </c>
      <c r="I228" s="9" t="s">
        <v>789</v>
      </c>
      <c r="J228" s="9" t="s">
        <v>626</v>
      </c>
      <c r="K228" s="9" t="s">
        <v>790</v>
      </c>
      <c r="L228" s="9" t="s">
        <v>639</v>
      </c>
      <c r="M228" s="9" t="s">
        <v>791</v>
      </c>
      <c r="N228" s="9" t="s">
        <v>189</v>
      </c>
      <c r="O228" s="9" t="s">
        <v>189</v>
      </c>
      <c r="P228" s="9" t="s">
        <v>640</v>
      </c>
      <c r="Q228" s="9" t="s">
        <v>792</v>
      </c>
      <c r="R228" s="9" t="s">
        <v>628</v>
      </c>
      <c r="S228" s="9" t="s">
        <v>643</v>
      </c>
      <c r="T228" s="9" t="s">
        <v>436</v>
      </c>
      <c r="U228" s="19" t="n">
        <v>60</v>
      </c>
      <c r="V228" s="9"/>
      <c r="W228" s="9"/>
      <c r="X228" s="9" t="s">
        <v>205</v>
      </c>
      <c r="Y228" s="23" t="n">
        <v>4.03E-006</v>
      </c>
      <c r="Z228" s="23" t="n">
        <v>2.013E-005</v>
      </c>
      <c r="AA228" s="23" t="n">
        <v>3</v>
      </c>
      <c r="AB228" s="9" t="s">
        <v>639</v>
      </c>
      <c r="AC228" s="9" t="s">
        <v>691</v>
      </c>
      <c r="AD228" s="23" t="s">
        <v>197</v>
      </c>
      <c r="AE228" s="23" t="s">
        <v>197</v>
      </c>
      <c r="AF228" s="23" t="s">
        <v>197</v>
      </c>
      <c r="AG228" s="23" t="s">
        <v>197</v>
      </c>
      <c r="AH228" s="23" t="s">
        <v>197</v>
      </c>
      <c r="AI228" s="23" t="s">
        <v>197</v>
      </c>
      <c r="AJ228" s="23" t="s">
        <v>197</v>
      </c>
      <c r="AK228" s="23" t="s">
        <v>197</v>
      </c>
      <c r="AL228" s="23" t="s">
        <v>197</v>
      </c>
      <c r="AM228" s="9" t="s">
        <v>197</v>
      </c>
      <c r="AN228" s="23" t="s">
        <v>197</v>
      </c>
      <c r="AO228" s="23" t="s">
        <v>197</v>
      </c>
      <c r="AP228" s="23" t="s">
        <v>197</v>
      </c>
    </row>
    <row r="229" customFormat="false" ht="21.75" hidden="false" customHeight="true" outlineLevel="0" collapsed="false">
      <c r="B229" s="14" t="n">
        <v>225</v>
      </c>
      <c r="C229" s="7" t="s">
        <v>44</v>
      </c>
      <c r="D229" s="7" t="s">
        <v>20</v>
      </c>
      <c r="E229" s="7" t="s">
        <v>118</v>
      </c>
      <c r="F229" s="7" t="s">
        <v>60</v>
      </c>
      <c r="G229" s="7" t="s">
        <v>798</v>
      </c>
      <c r="H229" s="7" t="s">
        <v>651</v>
      </c>
      <c r="I229" s="7" t="s">
        <v>799</v>
      </c>
      <c r="J229" s="7" t="s">
        <v>800</v>
      </c>
      <c r="K229" s="7" t="s">
        <v>801</v>
      </c>
      <c r="L229" s="7" t="s">
        <v>802</v>
      </c>
      <c r="M229" s="7" t="s">
        <v>187</v>
      </c>
      <c r="N229" s="7" t="s">
        <v>466</v>
      </c>
      <c r="O229" s="7" t="s">
        <v>189</v>
      </c>
      <c r="P229" s="7" t="s">
        <v>190</v>
      </c>
      <c r="Q229" s="7" t="s">
        <v>803</v>
      </c>
      <c r="R229" s="7" t="s">
        <v>804</v>
      </c>
      <c r="S229" s="7" t="s">
        <v>454</v>
      </c>
      <c r="T229" s="7" t="s">
        <v>455</v>
      </c>
      <c r="U229" s="18" t="n">
        <v>130</v>
      </c>
      <c r="V229" s="7"/>
      <c r="W229" s="7"/>
      <c r="X229" s="7" t="s">
        <v>195</v>
      </c>
      <c r="Y229" s="22" t="n">
        <v>0.113</v>
      </c>
      <c r="Z229" s="22" t="n">
        <v>0.55</v>
      </c>
      <c r="AA229" s="22" t="n">
        <v>12</v>
      </c>
      <c r="AB229" s="7" t="s">
        <v>802</v>
      </c>
      <c r="AC229" s="7" t="s">
        <v>805</v>
      </c>
      <c r="AD229" s="22" t="n">
        <v>0.113</v>
      </c>
      <c r="AE229" s="22" t="n">
        <v>0.55</v>
      </c>
      <c r="AF229" s="22" t="n">
        <v>2.5</v>
      </c>
      <c r="AG229" s="22" t="n">
        <v>32</v>
      </c>
      <c r="AH229" s="22" t="n">
        <v>4</v>
      </c>
      <c r="AI229" s="22" t="s">
        <v>197</v>
      </c>
      <c r="AJ229" s="22" t="s">
        <v>197</v>
      </c>
      <c r="AK229" s="22" t="s">
        <v>197</v>
      </c>
      <c r="AL229" s="22" t="s">
        <v>197</v>
      </c>
      <c r="AM229" s="7" t="s">
        <v>197</v>
      </c>
      <c r="AN229" s="22" t="s">
        <v>197</v>
      </c>
      <c r="AO229" s="22" t="s">
        <v>197</v>
      </c>
      <c r="AP229" s="22" t="s">
        <v>197</v>
      </c>
    </row>
    <row r="230" customFormat="false" ht="21.75" hidden="false" customHeight="true" outlineLevel="0" collapsed="false">
      <c r="B230" s="15" t="n">
        <v>226</v>
      </c>
      <c r="C230" s="9" t="s">
        <v>44</v>
      </c>
      <c r="D230" s="9" t="s">
        <v>20</v>
      </c>
      <c r="E230" s="9" t="s">
        <v>118</v>
      </c>
      <c r="F230" s="9" t="s">
        <v>60</v>
      </c>
      <c r="G230" s="9" t="s">
        <v>806</v>
      </c>
      <c r="H230" s="9" t="s">
        <v>651</v>
      </c>
      <c r="I230" s="9" t="s">
        <v>799</v>
      </c>
      <c r="J230" s="9" t="s">
        <v>800</v>
      </c>
      <c r="K230" s="9" t="s">
        <v>801</v>
      </c>
      <c r="L230" s="9" t="s">
        <v>802</v>
      </c>
      <c r="M230" s="9" t="s">
        <v>187</v>
      </c>
      <c r="N230" s="9" t="s">
        <v>466</v>
      </c>
      <c r="O230" s="9" t="s">
        <v>189</v>
      </c>
      <c r="P230" s="9" t="s">
        <v>190</v>
      </c>
      <c r="Q230" s="9" t="s">
        <v>803</v>
      </c>
      <c r="R230" s="9" t="s">
        <v>804</v>
      </c>
      <c r="S230" s="9" t="s">
        <v>454</v>
      </c>
      <c r="T230" s="9" t="s">
        <v>455</v>
      </c>
      <c r="U230" s="19" t="n">
        <v>195</v>
      </c>
      <c r="V230" s="9"/>
      <c r="W230" s="9"/>
      <c r="X230" s="9" t="s">
        <v>199</v>
      </c>
      <c r="Y230" s="23" t="n">
        <v>0.106</v>
      </c>
      <c r="Z230" s="23" t="n">
        <v>0.55</v>
      </c>
      <c r="AA230" s="23" t="n">
        <v>12</v>
      </c>
      <c r="AB230" s="9" t="s">
        <v>802</v>
      </c>
      <c r="AC230" s="9" t="s">
        <v>805</v>
      </c>
      <c r="AD230" s="23" t="n">
        <v>0.106</v>
      </c>
      <c r="AE230" s="23" t="n">
        <v>0.55</v>
      </c>
      <c r="AF230" s="23" t="n">
        <v>2.5</v>
      </c>
      <c r="AG230" s="23" t="n">
        <v>32</v>
      </c>
      <c r="AH230" s="23" t="n">
        <v>4</v>
      </c>
      <c r="AI230" s="23" t="s">
        <v>197</v>
      </c>
      <c r="AJ230" s="23" t="s">
        <v>197</v>
      </c>
      <c r="AK230" s="23" t="s">
        <v>197</v>
      </c>
      <c r="AL230" s="23" t="s">
        <v>197</v>
      </c>
      <c r="AM230" s="9" t="s">
        <v>197</v>
      </c>
      <c r="AN230" s="23" t="s">
        <v>197</v>
      </c>
      <c r="AO230" s="23" t="s">
        <v>197</v>
      </c>
      <c r="AP230" s="23" t="s">
        <v>197</v>
      </c>
    </row>
    <row r="231" customFormat="false" ht="21.75" hidden="false" customHeight="true" outlineLevel="0" collapsed="false">
      <c r="B231" s="14" t="n">
        <v>227</v>
      </c>
      <c r="C231" s="7" t="s">
        <v>44</v>
      </c>
      <c r="D231" s="7" t="s">
        <v>20</v>
      </c>
      <c r="E231" s="7" t="s">
        <v>118</v>
      </c>
      <c r="F231" s="7" t="s">
        <v>60</v>
      </c>
      <c r="G231" s="7" t="s">
        <v>807</v>
      </c>
      <c r="H231" s="7" t="s">
        <v>651</v>
      </c>
      <c r="I231" s="7" t="s">
        <v>799</v>
      </c>
      <c r="J231" s="7" t="s">
        <v>800</v>
      </c>
      <c r="K231" s="7" t="s">
        <v>801</v>
      </c>
      <c r="L231" s="7" t="s">
        <v>802</v>
      </c>
      <c r="M231" s="7" t="s">
        <v>187</v>
      </c>
      <c r="N231" s="7" t="s">
        <v>466</v>
      </c>
      <c r="O231" s="7" t="s">
        <v>189</v>
      </c>
      <c r="P231" s="7" t="s">
        <v>190</v>
      </c>
      <c r="Q231" s="7" t="s">
        <v>803</v>
      </c>
      <c r="R231" s="7" t="s">
        <v>804</v>
      </c>
      <c r="S231" s="7" t="s">
        <v>454</v>
      </c>
      <c r="T231" s="7" t="s">
        <v>455</v>
      </c>
      <c r="U231" s="18" t="n">
        <v>265</v>
      </c>
      <c r="V231" s="7"/>
      <c r="W231" s="7"/>
      <c r="X231" s="7" t="s">
        <v>808</v>
      </c>
      <c r="Y231" s="22" t="n">
        <v>0.105</v>
      </c>
      <c r="Z231" s="22" t="n">
        <v>0.55</v>
      </c>
      <c r="AA231" s="22" t="n">
        <v>12</v>
      </c>
      <c r="AB231" s="7" t="s">
        <v>802</v>
      </c>
      <c r="AC231" s="7" t="s">
        <v>805</v>
      </c>
      <c r="AD231" s="22" t="n">
        <v>0.105</v>
      </c>
      <c r="AE231" s="22" t="n">
        <v>0.55</v>
      </c>
      <c r="AF231" s="22" t="n">
        <v>3</v>
      </c>
      <c r="AG231" s="22" t="n">
        <v>40</v>
      </c>
      <c r="AH231" s="22" t="n">
        <v>4</v>
      </c>
      <c r="AI231" s="22" t="s">
        <v>197</v>
      </c>
      <c r="AJ231" s="22" t="s">
        <v>197</v>
      </c>
      <c r="AK231" s="22" t="s">
        <v>197</v>
      </c>
      <c r="AL231" s="22" t="s">
        <v>197</v>
      </c>
      <c r="AM231" s="7" t="s">
        <v>197</v>
      </c>
      <c r="AN231" s="22" t="s">
        <v>197</v>
      </c>
      <c r="AO231" s="22" t="s">
        <v>197</v>
      </c>
      <c r="AP231" s="22" t="s">
        <v>197</v>
      </c>
    </row>
    <row r="232" customFormat="false" ht="21.75" hidden="false" customHeight="true" outlineLevel="0" collapsed="false">
      <c r="B232" s="15" t="n">
        <v>228</v>
      </c>
      <c r="C232" s="9" t="s">
        <v>44</v>
      </c>
      <c r="D232" s="9" t="s">
        <v>20</v>
      </c>
      <c r="E232" s="9" t="s">
        <v>118</v>
      </c>
      <c r="F232" s="9" t="s">
        <v>60</v>
      </c>
      <c r="G232" s="9" t="s">
        <v>809</v>
      </c>
      <c r="H232" s="9" t="s">
        <v>651</v>
      </c>
      <c r="I232" s="9" t="s">
        <v>799</v>
      </c>
      <c r="J232" s="9" t="s">
        <v>800</v>
      </c>
      <c r="K232" s="9" t="s">
        <v>801</v>
      </c>
      <c r="L232" s="9" t="s">
        <v>802</v>
      </c>
      <c r="M232" s="9" t="s">
        <v>187</v>
      </c>
      <c r="N232" s="9" t="s">
        <v>466</v>
      </c>
      <c r="O232" s="9" t="s">
        <v>189</v>
      </c>
      <c r="P232" s="9" t="s">
        <v>190</v>
      </c>
      <c r="Q232" s="9" t="s">
        <v>803</v>
      </c>
      <c r="R232" s="9" t="s">
        <v>804</v>
      </c>
      <c r="S232" s="9" t="s">
        <v>454</v>
      </c>
      <c r="T232" s="9" t="s">
        <v>455</v>
      </c>
      <c r="U232" s="19" t="n">
        <v>395</v>
      </c>
      <c r="V232" s="9"/>
      <c r="W232" s="9"/>
      <c r="X232" s="9" t="s">
        <v>203</v>
      </c>
      <c r="Y232" s="23" t="n">
        <v>0.083</v>
      </c>
      <c r="Z232" s="23" t="n">
        <v>0.55</v>
      </c>
      <c r="AA232" s="23" t="n">
        <v>12</v>
      </c>
      <c r="AB232" s="9" t="s">
        <v>802</v>
      </c>
      <c r="AC232" s="9" t="s">
        <v>805</v>
      </c>
      <c r="AD232" s="23" t="n">
        <v>0.083</v>
      </c>
      <c r="AE232" s="23" t="n">
        <v>0.55</v>
      </c>
      <c r="AF232" s="23" t="n">
        <v>3.5</v>
      </c>
      <c r="AG232" s="23" t="n">
        <v>246</v>
      </c>
      <c r="AH232" s="23" t="n">
        <v>32</v>
      </c>
      <c r="AI232" s="23" t="s">
        <v>197</v>
      </c>
      <c r="AJ232" s="23" t="s">
        <v>197</v>
      </c>
      <c r="AK232" s="23" t="s">
        <v>197</v>
      </c>
      <c r="AL232" s="23" t="s">
        <v>197</v>
      </c>
      <c r="AM232" s="9" t="s">
        <v>197</v>
      </c>
      <c r="AN232" s="23" t="s">
        <v>197</v>
      </c>
      <c r="AO232" s="23" t="s">
        <v>197</v>
      </c>
      <c r="AP232" s="23" t="s">
        <v>197</v>
      </c>
    </row>
    <row r="233" customFormat="false" ht="21.75" hidden="false" customHeight="true" outlineLevel="0" collapsed="false">
      <c r="B233" s="14" t="n">
        <v>229</v>
      </c>
      <c r="C233" s="7" t="s">
        <v>44</v>
      </c>
      <c r="D233" s="7" t="s">
        <v>20</v>
      </c>
      <c r="E233" s="7" t="s">
        <v>118</v>
      </c>
      <c r="F233" s="7" t="s">
        <v>60</v>
      </c>
      <c r="G233" s="7" t="s">
        <v>810</v>
      </c>
      <c r="H233" s="7" t="s">
        <v>651</v>
      </c>
      <c r="I233" s="7" t="s">
        <v>799</v>
      </c>
      <c r="J233" s="7" t="s">
        <v>800</v>
      </c>
      <c r="K233" s="7" t="s">
        <v>801</v>
      </c>
      <c r="L233" s="7" t="s">
        <v>802</v>
      </c>
      <c r="M233" s="7" t="s">
        <v>187</v>
      </c>
      <c r="N233" s="7" t="s">
        <v>466</v>
      </c>
      <c r="O233" s="7" t="s">
        <v>189</v>
      </c>
      <c r="P233" s="7" t="s">
        <v>190</v>
      </c>
      <c r="Q233" s="7" t="s">
        <v>803</v>
      </c>
      <c r="R233" s="7" t="s">
        <v>804</v>
      </c>
      <c r="S233" s="7" t="s">
        <v>454</v>
      </c>
      <c r="T233" s="7" t="s">
        <v>455</v>
      </c>
      <c r="U233" s="18" t="n">
        <v>580</v>
      </c>
      <c r="V233" s="7"/>
      <c r="W233" s="7"/>
      <c r="X233" s="7" t="s">
        <v>205</v>
      </c>
      <c r="Y233" s="22" t="n">
        <v>0.103</v>
      </c>
      <c r="Z233" s="22" t="n">
        <v>0.55</v>
      </c>
      <c r="AA233" s="22" t="n">
        <v>12</v>
      </c>
      <c r="AB233" s="7" t="s">
        <v>802</v>
      </c>
      <c r="AC233" s="7" t="s">
        <v>805</v>
      </c>
      <c r="AD233" s="22" t="n">
        <v>0.103</v>
      </c>
      <c r="AE233" s="22" t="n">
        <v>0.55</v>
      </c>
      <c r="AF233" s="22" t="n">
        <v>3</v>
      </c>
      <c r="AG233" s="22" t="n">
        <v>59</v>
      </c>
      <c r="AH233" s="22" t="n">
        <v>8</v>
      </c>
      <c r="AI233" s="22" t="s">
        <v>197</v>
      </c>
      <c r="AJ233" s="22" t="s">
        <v>197</v>
      </c>
      <c r="AK233" s="22" t="s">
        <v>197</v>
      </c>
      <c r="AL233" s="22" t="s">
        <v>197</v>
      </c>
      <c r="AM233" s="7" t="s">
        <v>197</v>
      </c>
      <c r="AN233" s="22" t="s">
        <v>197</v>
      </c>
      <c r="AO233" s="22" t="s">
        <v>197</v>
      </c>
      <c r="AP233" s="22" t="s">
        <v>197</v>
      </c>
    </row>
    <row r="234" customFormat="false" ht="21.75" hidden="false" customHeight="true" outlineLevel="0" collapsed="false">
      <c r="B234" s="15" t="n">
        <v>230</v>
      </c>
      <c r="C234" s="9" t="s">
        <v>44</v>
      </c>
      <c r="D234" s="9" t="s">
        <v>20</v>
      </c>
      <c r="E234" s="9" t="s">
        <v>118</v>
      </c>
      <c r="F234" s="9" t="s">
        <v>61</v>
      </c>
      <c r="G234" s="9" t="s">
        <v>798</v>
      </c>
      <c r="H234" s="9" t="s">
        <v>811</v>
      </c>
      <c r="I234" s="9" t="s">
        <v>812</v>
      </c>
      <c r="J234" s="9" t="s">
        <v>813</v>
      </c>
      <c r="K234" s="9" t="s">
        <v>465</v>
      </c>
      <c r="L234" s="9" t="s">
        <v>802</v>
      </c>
      <c r="M234" s="9" t="s">
        <v>814</v>
      </c>
      <c r="N234" s="9" t="s">
        <v>222</v>
      </c>
      <c r="O234" s="9" t="s">
        <v>189</v>
      </c>
      <c r="P234" s="9" t="s">
        <v>190</v>
      </c>
      <c r="Q234" s="9" t="s">
        <v>815</v>
      </c>
      <c r="R234" s="9" t="s">
        <v>816</v>
      </c>
      <c r="S234" s="9" t="s">
        <v>454</v>
      </c>
      <c r="T234" s="9" t="s">
        <v>213</v>
      </c>
      <c r="U234" s="19" t="n">
        <v>90</v>
      </c>
      <c r="V234" s="9"/>
      <c r="W234" s="9"/>
      <c r="X234" s="9" t="s">
        <v>195</v>
      </c>
      <c r="Y234" s="23" t="n">
        <v>0.113</v>
      </c>
      <c r="Z234" s="23" t="n">
        <v>0.45</v>
      </c>
      <c r="AA234" s="23" t="n">
        <v>12</v>
      </c>
      <c r="AB234" s="9" t="s">
        <v>802</v>
      </c>
      <c r="AC234" s="9" t="s">
        <v>805</v>
      </c>
      <c r="AD234" s="23" t="n">
        <v>0.113</v>
      </c>
      <c r="AE234" s="23" t="n">
        <v>0.45</v>
      </c>
      <c r="AF234" s="23" t="n">
        <v>2</v>
      </c>
      <c r="AG234" s="23" t="n">
        <v>16</v>
      </c>
      <c r="AH234" s="23" t="n">
        <v>2</v>
      </c>
      <c r="AI234" s="23" t="s">
        <v>197</v>
      </c>
      <c r="AJ234" s="23" t="s">
        <v>197</v>
      </c>
      <c r="AK234" s="23" t="s">
        <v>197</v>
      </c>
      <c r="AL234" s="23" t="s">
        <v>197</v>
      </c>
      <c r="AM234" s="9" t="s">
        <v>197</v>
      </c>
      <c r="AN234" s="23" t="s">
        <v>197</v>
      </c>
      <c r="AO234" s="23" t="s">
        <v>197</v>
      </c>
      <c r="AP234" s="23" t="s">
        <v>197</v>
      </c>
    </row>
    <row r="235" customFormat="false" ht="21.75" hidden="false" customHeight="true" outlineLevel="0" collapsed="false">
      <c r="B235" s="14" t="n">
        <v>231</v>
      </c>
      <c r="C235" s="7" t="s">
        <v>44</v>
      </c>
      <c r="D235" s="7" t="s">
        <v>20</v>
      </c>
      <c r="E235" s="7" t="s">
        <v>118</v>
      </c>
      <c r="F235" s="7" t="s">
        <v>61</v>
      </c>
      <c r="G235" s="7" t="s">
        <v>806</v>
      </c>
      <c r="H235" s="7" t="s">
        <v>811</v>
      </c>
      <c r="I235" s="7" t="s">
        <v>812</v>
      </c>
      <c r="J235" s="7" t="s">
        <v>813</v>
      </c>
      <c r="K235" s="7" t="s">
        <v>465</v>
      </c>
      <c r="L235" s="7" t="s">
        <v>802</v>
      </c>
      <c r="M235" s="7" t="s">
        <v>814</v>
      </c>
      <c r="N235" s="7" t="s">
        <v>222</v>
      </c>
      <c r="O235" s="7" t="s">
        <v>189</v>
      </c>
      <c r="P235" s="7" t="s">
        <v>190</v>
      </c>
      <c r="Q235" s="7" t="s">
        <v>815</v>
      </c>
      <c r="R235" s="7" t="s">
        <v>816</v>
      </c>
      <c r="S235" s="7" t="s">
        <v>454</v>
      </c>
      <c r="T235" s="7" t="s">
        <v>213</v>
      </c>
      <c r="U235" s="18" t="n">
        <v>135</v>
      </c>
      <c r="V235" s="7"/>
      <c r="W235" s="7"/>
      <c r="X235" s="7" t="s">
        <v>199</v>
      </c>
      <c r="Y235" s="22" t="n">
        <v>0.106</v>
      </c>
      <c r="Z235" s="22" t="n">
        <v>0.45</v>
      </c>
      <c r="AA235" s="22" t="n">
        <v>12</v>
      </c>
      <c r="AB235" s="7" t="s">
        <v>802</v>
      </c>
      <c r="AC235" s="7" t="s">
        <v>805</v>
      </c>
      <c r="AD235" s="22" t="n">
        <v>0.106</v>
      </c>
      <c r="AE235" s="22" t="n">
        <v>0.45</v>
      </c>
      <c r="AF235" s="22" t="n">
        <v>2</v>
      </c>
      <c r="AG235" s="22" t="n">
        <v>16</v>
      </c>
      <c r="AH235" s="22" t="n">
        <v>2</v>
      </c>
      <c r="AI235" s="22" t="s">
        <v>197</v>
      </c>
      <c r="AJ235" s="22" t="s">
        <v>197</v>
      </c>
      <c r="AK235" s="22" t="s">
        <v>197</v>
      </c>
      <c r="AL235" s="22" t="s">
        <v>197</v>
      </c>
      <c r="AM235" s="7" t="s">
        <v>197</v>
      </c>
      <c r="AN235" s="22" t="s">
        <v>197</v>
      </c>
      <c r="AO235" s="22" t="s">
        <v>197</v>
      </c>
      <c r="AP235" s="22" t="s">
        <v>197</v>
      </c>
    </row>
    <row r="236" customFormat="false" ht="21.75" hidden="false" customHeight="true" outlineLevel="0" collapsed="false">
      <c r="B236" s="15" t="n">
        <v>232</v>
      </c>
      <c r="C236" s="9" t="s">
        <v>44</v>
      </c>
      <c r="D236" s="9" t="s">
        <v>20</v>
      </c>
      <c r="E236" s="9" t="s">
        <v>118</v>
      </c>
      <c r="F236" s="9" t="s">
        <v>61</v>
      </c>
      <c r="G236" s="9" t="s">
        <v>809</v>
      </c>
      <c r="H236" s="9" t="s">
        <v>811</v>
      </c>
      <c r="I236" s="9" t="s">
        <v>812</v>
      </c>
      <c r="J236" s="9" t="s">
        <v>813</v>
      </c>
      <c r="K236" s="9" t="s">
        <v>465</v>
      </c>
      <c r="L236" s="9" t="s">
        <v>802</v>
      </c>
      <c r="M236" s="9" t="s">
        <v>814</v>
      </c>
      <c r="N236" s="9" t="s">
        <v>222</v>
      </c>
      <c r="O236" s="9" t="s">
        <v>189</v>
      </c>
      <c r="P236" s="9" t="s">
        <v>190</v>
      </c>
      <c r="Q236" s="9" t="s">
        <v>815</v>
      </c>
      <c r="R236" s="9" t="s">
        <v>816</v>
      </c>
      <c r="S236" s="9" t="s">
        <v>454</v>
      </c>
      <c r="T236" s="9" t="s">
        <v>213</v>
      </c>
      <c r="U236" s="19" t="n">
        <v>185</v>
      </c>
      <c r="V236" s="9"/>
      <c r="W236" s="9"/>
      <c r="X236" s="9" t="s">
        <v>817</v>
      </c>
      <c r="Y236" s="23" t="n">
        <v>0.083</v>
      </c>
      <c r="Z236" s="23" t="n">
        <v>0.45</v>
      </c>
      <c r="AA236" s="23" t="n">
        <v>12</v>
      </c>
      <c r="AB236" s="9" t="s">
        <v>802</v>
      </c>
      <c r="AC236" s="9" t="s">
        <v>805</v>
      </c>
      <c r="AD236" s="23" t="n">
        <v>0.083</v>
      </c>
      <c r="AE236" s="23" t="n">
        <v>0.45</v>
      </c>
      <c r="AF236" s="23" t="n">
        <v>3.5</v>
      </c>
      <c r="AG236" s="23" t="n">
        <v>246</v>
      </c>
      <c r="AH236" s="23" t="n">
        <v>32</v>
      </c>
      <c r="AI236" s="23" t="s">
        <v>197</v>
      </c>
      <c r="AJ236" s="23" t="s">
        <v>197</v>
      </c>
      <c r="AK236" s="23" t="s">
        <v>197</v>
      </c>
      <c r="AL236" s="23" t="s">
        <v>197</v>
      </c>
      <c r="AM236" s="9" t="s">
        <v>197</v>
      </c>
      <c r="AN236" s="23" t="s">
        <v>197</v>
      </c>
      <c r="AO236" s="23" t="s">
        <v>197</v>
      </c>
      <c r="AP236" s="23" t="s">
        <v>197</v>
      </c>
    </row>
    <row r="237" customFormat="false" ht="21.75" hidden="false" customHeight="true" outlineLevel="0" collapsed="false">
      <c r="B237" s="14" t="n">
        <v>233</v>
      </c>
      <c r="C237" s="7" t="s">
        <v>44</v>
      </c>
      <c r="D237" s="7" t="s">
        <v>20</v>
      </c>
      <c r="E237" s="7" t="s">
        <v>118</v>
      </c>
      <c r="F237" s="7" t="s">
        <v>61</v>
      </c>
      <c r="G237" s="7" t="s">
        <v>818</v>
      </c>
      <c r="H237" s="7" t="s">
        <v>811</v>
      </c>
      <c r="I237" s="7" t="s">
        <v>812</v>
      </c>
      <c r="J237" s="7" t="s">
        <v>813</v>
      </c>
      <c r="K237" s="7" t="s">
        <v>465</v>
      </c>
      <c r="L237" s="7" t="s">
        <v>802</v>
      </c>
      <c r="M237" s="7" t="s">
        <v>814</v>
      </c>
      <c r="N237" s="7" t="s">
        <v>222</v>
      </c>
      <c r="O237" s="7" t="s">
        <v>189</v>
      </c>
      <c r="P237" s="7" t="s">
        <v>190</v>
      </c>
      <c r="Q237" s="7" t="s">
        <v>815</v>
      </c>
      <c r="R237" s="7" t="s">
        <v>816</v>
      </c>
      <c r="S237" s="7" t="s">
        <v>454</v>
      </c>
      <c r="T237" s="7" t="s">
        <v>213</v>
      </c>
      <c r="U237" s="18" t="n">
        <v>275</v>
      </c>
      <c r="V237" s="7"/>
      <c r="W237" s="7"/>
      <c r="X237" s="7" t="s">
        <v>203</v>
      </c>
      <c r="Y237" s="22" t="n">
        <v>0.118</v>
      </c>
      <c r="Z237" s="22" t="n">
        <v>0.45</v>
      </c>
      <c r="AA237" s="22" t="n">
        <v>12</v>
      </c>
      <c r="AB237" s="7" t="s">
        <v>802</v>
      </c>
      <c r="AC237" s="7" t="s">
        <v>805</v>
      </c>
      <c r="AD237" s="22" t="n">
        <v>0.118</v>
      </c>
      <c r="AE237" s="22" t="n">
        <v>0.45</v>
      </c>
      <c r="AF237" s="22" t="n">
        <v>3.5</v>
      </c>
      <c r="AG237" s="22" t="n">
        <v>756</v>
      </c>
      <c r="AH237" s="22" t="n">
        <v>32</v>
      </c>
      <c r="AI237" s="22" t="s">
        <v>197</v>
      </c>
      <c r="AJ237" s="22" t="s">
        <v>197</v>
      </c>
      <c r="AK237" s="22" t="s">
        <v>197</v>
      </c>
      <c r="AL237" s="22" t="s">
        <v>197</v>
      </c>
      <c r="AM237" s="7" t="s">
        <v>197</v>
      </c>
      <c r="AN237" s="22" t="s">
        <v>197</v>
      </c>
      <c r="AO237" s="22" t="s">
        <v>197</v>
      </c>
      <c r="AP237" s="22" t="s">
        <v>197</v>
      </c>
    </row>
    <row r="238" customFormat="false" ht="21.75" hidden="false" customHeight="true" outlineLevel="0" collapsed="false">
      <c r="B238" s="15" t="n">
        <v>234</v>
      </c>
      <c r="C238" s="9" t="s">
        <v>44</v>
      </c>
      <c r="D238" s="9" t="s">
        <v>20</v>
      </c>
      <c r="E238" s="9" t="s">
        <v>118</v>
      </c>
      <c r="F238" s="9" t="s">
        <v>61</v>
      </c>
      <c r="G238" s="9" t="s">
        <v>819</v>
      </c>
      <c r="H238" s="9" t="s">
        <v>811</v>
      </c>
      <c r="I238" s="9" t="s">
        <v>812</v>
      </c>
      <c r="J238" s="9" t="s">
        <v>813</v>
      </c>
      <c r="K238" s="9" t="s">
        <v>465</v>
      </c>
      <c r="L238" s="9" t="s">
        <v>802</v>
      </c>
      <c r="M238" s="9" t="s">
        <v>814</v>
      </c>
      <c r="N238" s="9" t="s">
        <v>222</v>
      </c>
      <c r="O238" s="9" t="s">
        <v>189</v>
      </c>
      <c r="P238" s="9" t="s">
        <v>190</v>
      </c>
      <c r="Q238" s="9" t="s">
        <v>815</v>
      </c>
      <c r="R238" s="9" t="s">
        <v>816</v>
      </c>
      <c r="S238" s="9" t="s">
        <v>454</v>
      </c>
      <c r="T238" s="9" t="s">
        <v>213</v>
      </c>
      <c r="U238" s="19" t="n">
        <v>405</v>
      </c>
      <c r="V238" s="9"/>
      <c r="W238" s="9"/>
      <c r="X238" s="9" t="s">
        <v>205</v>
      </c>
      <c r="Y238" s="23" t="n">
        <v>0.064</v>
      </c>
      <c r="Z238" s="23" t="n">
        <v>0.45</v>
      </c>
      <c r="AA238" s="23" t="n">
        <v>12</v>
      </c>
      <c r="AB238" s="9" t="s">
        <v>802</v>
      </c>
      <c r="AC238" s="9" t="s">
        <v>805</v>
      </c>
      <c r="AD238" s="23" t="n">
        <v>0.064</v>
      </c>
      <c r="AE238" s="23" t="n">
        <v>0.45</v>
      </c>
      <c r="AF238" s="23" t="n">
        <v>2</v>
      </c>
      <c r="AG238" s="23" t="n">
        <v>16</v>
      </c>
      <c r="AH238" s="23" t="n">
        <v>2</v>
      </c>
      <c r="AI238" s="23" t="s">
        <v>197</v>
      </c>
      <c r="AJ238" s="23" t="s">
        <v>197</v>
      </c>
      <c r="AK238" s="23" t="s">
        <v>197</v>
      </c>
      <c r="AL238" s="23" t="s">
        <v>197</v>
      </c>
      <c r="AM238" s="9" t="s">
        <v>197</v>
      </c>
      <c r="AN238" s="23" t="s">
        <v>197</v>
      </c>
      <c r="AO238" s="23" t="s">
        <v>197</v>
      </c>
      <c r="AP238" s="23" t="s">
        <v>197</v>
      </c>
    </row>
    <row r="239" customFormat="false" ht="21.75" hidden="false" customHeight="true" outlineLevel="0" collapsed="false">
      <c r="B239" s="14" t="n">
        <v>235</v>
      </c>
      <c r="C239" s="7" t="s">
        <v>44</v>
      </c>
      <c r="D239" s="7" t="s">
        <v>20</v>
      </c>
      <c r="E239" s="7" t="s">
        <v>118</v>
      </c>
      <c r="F239" s="7" t="s">
        <v>62</v>
      </c>
      <c r="G239" s="7" t="s">
        <v>820</v>
      </c>
      <c r="H239" s="7" t="s">
        <v>821</v>
      </c>
      <c r="I239" s="7" t="s">
        <v>822</v>
      </c>
      <c r="J239" s="7" t="s">
        <v>823</v>
      </c>
      <c r="K239" s="7" t="s">
        <v>824</v>
      </c>
      <c r="L239" s="7" t="s">
        <v>802</v>
      </c>
      <c r="M239" s="7" t="s">
        <v>478</v>
      </c>
      <c r="N239" s="7" t="s">
        <v>825</v>
      </c>
      <c r="O239" s="7" t="s">
        <v>189</v>
      </c>
      <c r="P239" s="7" t="s">
        <v>190</v>
      </c>
      <c r="Q239" s="7" t="s">
        <v>826</v>
      </c>
      <c r="R239" s="7" t="s">
        <v>746</v>
      </c>
      <c r="S239" s="7" t="s">
        <v>454</v>
      </c>
      <c r="T239" s="7" t="s">
        <v>482</v>
      </c>
      <c r="U239" s="18" t="n">
        <v>115</v>
      </c>
      <c r="V239" s="7"/>
      <c r="W239" s="7"/>
      <c r="X239" s="7" t="s">
        <v>195</v>
      </c>
      <c r="Y239" s="22" t="n">
        <v>0.066</v>
      </c>
      <c r="Z239" s="22" t="n">
        <v>0.38</v>
      </c>
      <c r="AA239" s="22" t="n">
        <v>12</v>
      </c>
      <c r="AB239" s="7" t="s">
        <v>802</v>
      </c>
      <c r="AC239" s="7" t="s">
        <v>805</v>
      </c>
      <c r="AD239" s="22" t="n">
        <v>0.066</v>
      </c>
      <c r="AE239" s="22" t="n">
        <v>0.38</v>
      </c>
      <c r="AF239" s="22" t="n">
        <v>2</v>
      </c>
      <c r="AG239" s="22" t="n">
        <v>40</v>
      </c>
      <c r="AH239" s="22" t="n">
        <v>2</v>
      </c>
      <c r="AI239" s="22" t="s">
        <v>197</v>
      </c>
      <c r="AJ239" s="22" t="s">
        <v>197</v>
      </c>
      <c r="AK239" s="22" t="s">
        <v>197</v>
      </c>
      <c r="AL239" s="22" t="s">
        <v>197</v>
      </c>
      <c r="AM239" s="7" t="s">
        <v>197</v>
      </c>
      <c r="AN239" s="22" t="s">
        <v>197</v>
      </c>
      <c r="AO239" s="22" t="s">
        <v>197</v>
      </c>
      <c r="AP239" s="22" t="s">
        <v>197</v>
      </c>
    </row>
    <row r="240" customFormat="false" ht="21.75" hidden="false" customHeight="true" outlineLevel="0" collapsed="false">
      <c r="B240" s="15" t="n">
        <v>236</v>
      </c>
      <c r="C240" s="9" t="s">
        <v>44</v>
      </c>
      <c r="D240" s="9" t="s">
        <v>20</v>
      </c>
      <c r="E240" s="9" t="s">
        <v>118</v>
      </c>
      <c r="F240" s="9" t="s">
        <v>62</v>
      </c>
      <c r="G240" s="9" t="s">
        <v>827</v>
      </c>
      <c r="H240" s="9" t="s">
        <v>821</v>
      </c>
      <c r="I240" s="9" t="s">
        <v>822</v>
      </c>
      <c r="J240" s="9" t="s">
        <v>823</v>
      </c>
      <c r="K240" s="9" t="s">
        <v>824</v>
      </c>
      <c r="L240" s="9" t="s">
        <v>802</v>
      </c>
      <c r="M240" s="9" t="s">
        <v>478</v>
      </c>
      <c r="N240" s="9" t="s">
        <v>825</v>
      </c>
      <c r="O240" s="9" t="s">
        <v>189</v>
      </c>
      <c r="P240" s="9" t="s">
        <v>190</v>
      </c>
      <c r="Q240" s="9" t="s">
        <v>826</v>
      </c>
      <c r="R240" s="9" t="s">
        <v>746</v>
      </c>
      <c r="S240" s="9" t="s">
        <v>454</v>
      </c>
      <c r="T240" s="9" t="s">
        <v>482</v>
      </c>
      <c r="U240" s="19" t="n">
        <v>175</v>
      </c>
      <c r="V240" s="9"/>
      <c r="W240" s="9"/>
      <c r="X240" s="9" t="s">
        <v>199</v>
      </c>
      <c r="Y240" s="23" t="n">
        <v>0.114</v>
      </c>
      <c r="Z240" s="23" t="n">
        <v>0.38</v>
      </c>
      <c r="AA240" s="23" t="n">
        <v>12</v>
      </c>
      <c r="AB240" s="9" t="s">
        <v>802</v>
      </c>
      <c r="AC240" s="9" t="s">
        <v>805</v>
      </c>
      <c r="AD240" s="23" t="n">
        <v>0.114</v>
      </c>
      <c r="AE240" s="23" t="n">
        <v>0.38</v>
      </c>
      <c r="AF240" s="23" t="n">
        <v>2</v>
      </c>
      <c r="AG240" s="23" t="n">
        <v>40</v>
      </c>
      <c r="AH240" s="23" t="n">
        <v>2</v>
      </c>
      <c r="AI240" s="23" t="s">
        <v>197</v>
      </c>
      <c r="AJ240" s="23" t="s">
        <v>197</v>
      </c>
      <c r="AK240" s="23" t="s">
        <v>197</v>
      </c>
      <c r="AL240" s="23" t="s">
        <v>197</v>
      </c>
      <c r="AM240" s="9" t="s">
        <v>197</v>
      </c>
      <c r="AN240" s="23" t="s">
        <v>197</v>
      </c>
      <c r="AO240" s="23" t="s">
        <v>197</v>
      </c>
      <c r="AP240" s="23" t="s">
        <v>197</v>
      </c>
    </row>
    <row r="241" customFormat="false" ht="21.75" hidden="false" customHeight="true" outlineLevel="0" collapsed="false">
      <c r="B241" s="14" t="n">
        <v>237</v>
      </c>
      <c r="C241" s="7" t="s">
        <v>44</v>
      </c>
      <c r="D241" s="7" t="s">
        <v>20</v>
      </c>
      <c r="E241" s="7" t="s">
        <v>118</v>
      </c>
      <c r="F241" s="7" t="s">
        <v>62</v>
      </c>
      <c r="G241" s="7" t="s">
        <v>807</v>
      </c>
      <c r="H241" s="7" t="s">
        <v>821</v>
      </c>
      <c r="I241" s="7" t="s">
        <v>822</v>
      </c>
      <c r="J241" s="7" t="s">
        <v>823</v>
      </c>
      <c r="K241" s="7" t="s">
        <v>824</v>
      </c>
      <c r="L241" s="7" t="s">
        <v>802</v>
      </c>
      <c r="M241" s="7" t="s">
        <v>478</v>
      </c>
      <c r="N241" s="7" t="s">
        <v>825</v>
      </c>
      <c r="O241" s="7" t="s">
        <v>189</v>
      </c>
      <c r="P241" s="7" t="s">
        <v>190</v>
      </c>
      <c r="Q241" s="7" t="s">
        <v>826</v>
      </c>
      <c r="R241" s="7" t="s">
        <v>746</v>
      </c>
      <c r="S241" s="7" t="s">
        <v>454</v>
      </c>
      <c r="T241" s="7" t="s">
        <v>482</v>
      </c>
      <c r="U241" s="18" t="n">
        <v>235</v>
      </c>
      <c r="V241" s="7"/>
      <c r="W241" s="7"/>
      <c r="X241" s="7" t="s">
        <v>828</v>
      </c>
      <c r="Y241" s="22" t="n">
        <v>0.105</v>
      </c>
      <c r="Z241" s="22" t="n">
        <v>0.38</v>
      </c>
      <c r="AA241" s="22" t="n">
        <v>12</v>
      </c>
      <c r="AB241" s="7" t="s">
        <v>802</v>
      </c>
      <c r="AC241" s="7" t="s">
        <v>805</v>
      </c>
      <c r="AD241" s="22" t="n">
        <v>0.105</v>
      </c>
      <c r="AE241" s="22" t="n">
        <v>0.38</v>
      </c>
      <c r="AF241" s="22" t="n">
        <v>2</v>
      </c>
      <c r="AG241" s="22" t="n">
        <v>40</v>
      </c>
      <c r="AH241" s="22" t="n">
        <v>4</v>
      </c>
      <c r="AI241" s="22" t="s">
        <v>197</v>
      </c>
      <c r="AJ241" s="22" t="s">
        <v>197</v>
      </c>
      <c r="AK241" s="22" t="s">
        <v>197</v>
      </c>
      <c r="AL241" s="22" t="s">
        <v>197</v>
      </c>
      <c r="AM241" s="7" t="s">
        <v>197</v>
      </c>
      <c r="AN241" s="22" t="s">
        <v>197</v>
      </c>
      <c r="AO241" s="22" t="s">
        <v>197</v>
      </c>
      <c r="AP241" s="22" t="s">
        <v>197</v>
      </c>
    </row>
    <row r="242" customFormat="false" ht="21.75" hidden="false" customHeight="true" outlineLevel="0" collapsed="false">
      <c r="B242" s="15" t="n">
        <v>238</v>
      </c>
      <c r="C242" s="9" t="s">
        <v>44</v>
      </c>
      <c r="D242" s="9" t="s">
        <v>20</v>
      </c>
      <c r="E242" s="9" t="s">
        <v>118</v>
      </c>
      <c r="F242" s="9" t="s">
        <v>62</v>
      </c>
      <c r="G242" s="9" t="s">
        <v>829</v>
      </c>
      <c r="H242" s="9" t="s">
        <v>821</v>
      </c>
      <c r="I242" s="9" t="s">
        <v>822</v>
      </c>
      <c r="J242" s="9" t="s">
        <v>823</v>
      </c>
      <c r="K242" s="9" t="s">
        <v>824</v>
      </c>
      <c r="L242" s="9" t="s">
        <v>802</v>
      </c>
      <c r="M242" s="9" t="s">
        <v>478</v>
      </c>
      <c r="N242" s="9" t="s">
        <v>825</v>
      </c>
      <c r="O242" s="9" t="s">
        <v>189</v>
      </c>
      <c r="P242" s="9" t="s">
        <v>190</v>
      </c>
      <c r="Q242" s="9" t="s">
        <v>826</v>
      </c>
      <c r="R242" s="9" t="s">
        <v>746</v>
      </c>
      <c r="S242" s="9" t="s">
        <v>454</v>
      </c>
      <c r="T242" s="9" t="s">
        <v>482</v>
      </c>
      <c r="U242" s="19" t="n">
        <v>355</v>
      </c>
      <c r="V242" s="9"/>
      <c r="W242" s="9"/>
      <c r="X242" s="9" t="s">
        <v>203</v>
      </c>
      <c r="Y242" s="23" t="n">
        <v>0.101</v>
      </c>
      <c r="Z242" s="23" t="n">
        <v>0.38</v>
      </c>
      <c r="AA242" s="23" t="n">
        <v>12</v>
      </c>
      <c r="AB242" s="9" t="s">
        <v>802</v>
      </c>
      <c r="AC242" s="9" t="s">
        <v>805</v>
      </c>
      <c r="AD242" s="23" t="n">
        <v>0.101</v>
      </c>
      <c r="AE242" s="23" t="n">
        <v>0.38</v>
      </c>
      <c r="AF242" s="23" t="n">
        <v>2</v>
      </c>
      <c r="AG242" s="23" t="n">
        <v>40</v>
      </c>
      <c r="AH242" s="23" t="n">
        <v>2</v>
      </c>
      <c r="AI242" s="23" t="s">
        <v>197</v>
      </c>
      <c r="AJ242" s="23" t="s">
        <v>197</v>
      </c>
      <c r="AK242" s="23" t="s">
        <v>197</v>
      </c>
      <c r="AL242" s="23" t="s">
        <v>197</v>
      </c>
      <c r="AM242" s="9" t="s">
        <v>197</v>
      </c>
      <c r="AN242" s="23" t="s">
        <v>197</v>
      </c>
      <c r="AO242" s="23" t="s">
        <v>197</v>
      </c>
      <c r="AP242" s="23" t="s">
        <v>197</v>
      </c>
    </row>
    <row r="243" customFormat="false" ht="21.75" hidden="false" customHeight="true" outlineLevel="0" collapsed="false">
      <c r="B243" s="14" t="n">
        <v>239</v>
      </c>
      <c r="C243" s="7" t="s">
        <v>44</v>
      </c>
      <c r="D243" s="7" t="s">
        <v>20</v>
      </c>
      <c r="E243" s="7" t="s">
        <v>118</v>
      </c>
      <c r="F243" s="7" t="s">
        <v>62</v>
      </c>
      <c r="G243" s="7" t="s">
        <v>830</v>
      </c>
      <c r="H243" s="7" t="s">
        <v>821</v>
      </c>
      <c r="I243" s="7" t="s">
        <v>822</v>
      </c>
      <c r="J243" s="7" t="s">
        <v>823</v>
      </c>
      <c r="K243" s="7" t="s">
        <v>824</v>
      </c>
      <c r="L243" s="7" t="s">
        <v>802</v>
      </c>
      <c r="M243" s="7" t="s">
        <v>478</v>
      </c>
      <c r="N243" s="7" t="s">
        <v>825</v>
      </c>
      <c r="O243" s="7" t="s">
        <v>189</v>
      </c>
      <c r="P243" s="7" t="s">
        <v>190</v>
      </c>
      <c r="Q243" s="7" t="s">
        <v>826</v>
      </c>
      <c r="R243" s="7" t="s">
        <v>746</v>
      </c>
      <c r="S243" s="7" t="s">
        <v>454</v>
      </c>
      <c r="T243" s="7" t="s">
        <v>482</v>
      </c>
      <c r="U243" s="18" t="n">
        <v>520</v>
      </c>
      <c r="V243" s="7"/>
      <c r="W243" s="7"/>
      <c r="X243" s="7" t="s">
        <v>205</v>
      </c>
      <c r="Y243" s="22" t="n">
        <v>0.067</v>
      </c>
      <c r="Z243" s="22" t="n">
        <v>0.38</v>
      </c>
      <c r="AA243" s="22" t="n">
        <v>12</v>
      </c>
      <c r="AB243" s="7" t="s">
        <v>802</v>
      </c>
      <c r="AC243" s="7" t="s">
        <v>805</v>
      </c>
      <c r="AD243" s="22" t="n">
        <v>0.067</v>
      </c>
      <c r="AE243" s="22" t="n">
        <v>0.38</v>
      </c>
      <c r="AF243" s="22" t="n">
        <v>2</v>
      </c>
      <c r="AG243" s="22" t="n">
        <v>40</v>
      </c>
      <c r="AH243" s="22" t="n">
        <v>2</v>
      </c>
      <c r="AI243" s="22" t="s">
        <v>197</v>
      </c>
      <c r="AJ243" s="22" t="s">
        <v>197</v>
      </c>
      <c r="AK243" s="22" t="s">
        <v>197</v>
      </c>
      <c r="AL243" s="22" t="s">
        <v>197</v>
      </c>
      <c r="AM243" s="7" t="s">
        <v>197</v>
      </c>
      <c r="AN243" s="22" t="s">
        <v>197</v>
      </c>
      <c r="AO243" s="22" t="s">
        <v>197</v>
      </c>
      <c r="AP243" s="22" t="s">
        <v>197</v>
      </c>
    </row>
    <row r="244" customFormat="false" ht="21.75" hidden="false" customHeight="true" outlineLevel="0" collapsed="false">
      <c r="B244" s="15" t="n">
        <v>240</v>
      </c>
      <c r="C244" s="9" t="s">
        <v>44</v>
      </c>
      <c r="D244" s="9" t="s">
        <v>20</v>
      </c>
      <c r="E244" s="9" t="s">
        <v>118</v>
      </c>
      <c r="F244" s="9" t="s">
        <v>63</v>
      </c>
      <c r="G244" s="9" t="s">
        <v>831</v>
      </c>
      <c r="H244" s="9" t="s">
        <v>832</v>
      </c>
      <c r="I244" s="9" t="s">
        <v>833</v>
      </c>
      <c r="J244" s="9" t="s">
        <v>834</v>
      </c>
      <c r="K244" s="9" t="s">
        <v>835</v>
      </c>
      <c r="L244" s="9" t="s">
        <v>802</v>
      </c>
      <c r="M244" s="9" t="s">
        <v>235</v>
      </c>
      <c r="N244" s="9" t="s">
        <v>836</v>
      </c>
      <c r="O244" s="9" t="s">
        <v>189</v>
      </c>
      <c r="P244" s="9" t="s">
        <v>190</v>
      </c>
      <c r="Q244" s="9" t="s">
        <v>837</v>
      </c>
      <c r="R244" s="9" t="s">
        <v>838</v>
      </c>
      <c r="S244" s="9" t="s">
        <v>454</v>
      </c>
      <c r="T244" s="9" t="s">
        <v>239</v>
      </c>
      <c r="U244" s="19" t="n">
        <v>40</v>
      </c>
      <c r="V244" s="9"/>
      <c r="W244" s="9"/>
      <c r="X244" s="9" t="s">
        <v>195</v>
      </c>
      <c r="Y244" s="23" t="n">
        <v>0.048</v>
      </c>
      <c r="Z244" s="23" t="n">
        <v>0.089</v>
      </c>
      <c r="AA244" s="23" t="n">
        <v>12</v>
      </c>
      <c r="AB244" s="9" t="s">
        <v>802</v>
      </c>
      <c r="AC244" s="9" t="s">
        <v>839</v>
      </c>
      <c r="AD244" s="23" t="s">
        <v>197</v>
      </c>
      <c r="AE244" s="23" t="s">
        <v>197</v>
      </c>
      <c r="AF244" s="23" t="s">
        <v>197</v>
      </c>
      <c r="AG244" s="23" t="s">
        <v>197</v>
      </c>
      <c r="AH244" s="23" t="s">
        <v>197</v>
      </c>
      <c r="AI244" s="23" t="s">
        <v>197</v>
      </c>
      <c r="AJ244" s="23" t="s">
        <v>197</v>
      </c>
      <c r="AK244" s="23" t="s">
        <v>197</v>
      </c>
      <c r="AL244" s="23" t="s">
        <v>197</v>
      </c>
      <c r="AM244" s="9" t="s">
        <v>197</v>
      </c>
      <c r="AN244" s="23" t="s">
        <v>197</v>
      </c>
      <c r="AO244" s="23" t="n">
        <v>1.2</v>
      </c>
      <c r="AP244" s="23" t="n">
        <v>1.6</v>
      </c>
    </row>
    <row r="245" customFormat="false" ht="21.75" hidden="false" customHeight="true" outlineLevel="0" collapsed="false">
      <c r="B245" s="14" t="n">
        <v>241</v>
      </c>
      <c r="C245" s="7" t="s">
        <v>44</v>
      </c>
      <c r="D245" s="7" t="s">
        <v>20</v>
      </c>
      <c r="E245" s="7" t="s">
        <v>118</v>
      </c>
      <c r="F245" s="7" t="s">
        <v>63</v>
      </c>
      <c r="G245" s="7" t="s">
        <v>840</v>
      </c>
      <c r="H245" s="7" t="s">
        <v>832</v>
      </c>
      <c r="I245" s="7" t="s">
        <v>833</v>
      </c>
      <c r="J245" s="7" t="s">
        <v>834</v>
      </c>
      <c r="K245" s="7" t="s">
        <v>835</v>
      </c>
      <c r="L245" s="7" t="s">
        <v>802</v>
      </c>
      <c r="M245" s="7" t="s">
        <v>235</v>
      </c>
      <c r="N245" s="7" t="s">
        <v>836</v>
      </c>
      <c r="O245" s="7" t="s">
        <v>189</v>
      </c>
      <c r="P245" s="7" t="s">
        <v>190</v>
      </c>
      <c r="Q245" s="7" t="s">
        <v>837</v>
      </c>
      <c r="R245" s="7" t="s">
        <v>838</v>
      </c>
      <c r="S245" s="7" t="s">
        <v>454</v>
      </c>
      <c r="T245" s="7" t="s">
        <v>239</v>
      </c>
      <c r="U245" s="18" t="n">
        <v>65</v>
      </c>
      <c r="V245" s="7"/>
      <c r="W245" s="7"/>
      <c r="X245" s="7" t="s">
        <v>199</v>
      </c>
      <c r="Y245" s="22" t="n">
        <v>0.053</v>
      </c>
      <c r="Z245" s="22" t="n">
        <v>0.099</v>
      </c>
      <c r="AA245" s="22" t="n">
        <v>12</v>
      </c>
      <c r="AB245" s="7" t="s">
        <v>802</v>
      </c>
      <c r="AC245" s="7" t="s">
        <v>839</v>
      </c>
      <c r="AD245" s="22" t="s">
        <v>197</v>
      </c>
      <c r="AE245" s="22" t="s">
        <v>197</v>
      </c>
      <c r="AF245" s="22" t="s">
        <v>197</v>
      </c>
      <c r="AG245" s="22" t="s">
        <v>197</v>
      </c>
      <c r="AH245" s="22" t="s">
        <v>197</v>
      </c>
      <c r="AI245" s="22" t="s">
        <v>197</v>
      </c>
      <c r="AJ245" s="22" t="s">
        <v>197</v>
      </c>
      <c r="AK245" s="22" t="s">
        <v>197</v>
      </c>
      <c r="AL245" s="22" t="s">
        <v>197</v>
      </c>
      <c r="AM245" s="7" t="s">
        <v>197</v>
      </c>
      <c r="AN245" s="22" t="s">
        <v>197</v>
      </c>
      <c r="AO245" s="22" t="n">
        <v>1.2</v>
      </c>
      <c r="AP245" s="22" t="n">
        <v>1.6</v>
      </c>
    </row>
    <row r="246" customFormat="false" ht="21.75" hidden="false" customHeight="true" outlineLevel="0" collapsed="false">
      <c r="B246" s="15" t="n">
        <v>242</v>
      </c>
      <c r="C246" s="9" t="s">
        <v>44</v>
      </c>
      <c r="D246" s="9" t="s">
        <v>20</v>
      </c>
      <c r="E246" s="9" t="s">
        <v>118</v>
      </c>
      <c r="F246" s="9" t="s">
        <v>63</v>
      </c>
      <c r="G246" s="9" t="s">
        <v>841</v>
      </c>
      <c r="H246" s="9" t="s">
        <v>832</v>
      </c>
      <c r="I246" s="9" t="s">
        <v>833</v>
      </c>
      <c r="J246" s="9" t="s">
        <v>834</v>
      </c>
      <c r="K246" s="9" t="s">
        <v>835</v>
      </c>
      <c r="L246" s="9" t="s">
        <v>802</v>
      </c>
      <c r="M246" s="9" t="s">
        <v>235</v>
      </c>
      <c r="N246" s="9" t="s">
        <v>836</v>
      </c>
      <c r="O246" s="9" t="s">
        <v>189</v>
      </c>
      <c r="P246" s="9" t="s">
        <v>190</v>
      </c>
      <c r="Q246" s="9" t="s">
        <v>837</v>
      </c>
      <c r="R246" s="9" t="s">
        <v>838</v>
      </c>
      <c r="S246" s="9" t="s">
        <v>454</v>
      </c>
      <c r="T246" s="9" t="s">
        <v>239</v>
      </c>
      <c r="U246" s="19" t="n">
        <v>85</v>
      </c>
      <c r="V246" s="9"/>
      <c r="W246" s="9"/>
      <c r="X246" s="9" t="s">
        <v>842</v>
      </c>
      <c r="Y246" s="23" t="n">
        <v>0.038</v>
      </c>
      <c r="Z246" s="23" t="n">
        <v>0.073</v>
      </c>
      <c r="AA246" s="23" t="n">
        <v>12</v>
      </c>
      <c r="AB246" s="9" t="s">
        <v>802</v>
      </c>
      <c r="AC246" s="9" t="s">
        <v>839</v>
      </c>
      <c r="AD246" s="23" t="s">
        <v>197</v>
      </c>
      <c r="AE246" s="23" t="s">
        <v>197</v>
      </c>
      <c r="AF246" s="23" t="s">
        <v>197</v>
      </c>
      <c r="AG246" s="23" t="s">
        <v>197</v>
      </c>
      <c r="AH246" s="23" t="s">
        <v>197</v>
      </c>
      <c r="AI246" s="23" t="s">
        <v>197</v>
      </c>
      <c r="AJ246" s="23" t="s">
        <v>197</v>
      </c>
      <c r="AK246" s="23" t="s">
        <v>197</v>
      </c>
      <c r="AL246" s="23" t="s">
        <v>197</v>
      </c>
      <c r="AM246" s="9" t="s">
        <v>197</v>
      </c>
      <c r="AN246" s="23" t="s">
        <v>197</v>
      </c>
      <c r="AO246" s="23" t="n">
        <v>1.2</v>
      </c>
      <c r="AP246" s="23" t="n">
        <v>1.6</v>
      </c>
    </row>
    <row r="247" customFormat="false" ht="21.75" hidden="false" customHeight="true" outlineLevel="0" collapsed="false">
      <c r="B247" s="14" t="n">
        <v>243</v>
      </c>
      <c r="C247" s="7" t="s">
        <v>44</v>
      </c>
      <c r="D247" s="7" t="s">
        <v>20</v>
      </c>
      <c r="E247" s="7" t="s">
        <v>118</v>
      </c>
      <c r="F247" s="7" t="s">
        <v>63</v>
      </c>
      <c r="G247" s="7" t="s">
        <v>843</v>
      </c>
      <c r="H247" s="7" t="s">
        <v>832</v>
      </c>
      <c r="I247" s="7" t="s">
        <v>833</v>
      </c>
      <c r="J247" s="7" t="s">
        <v>834</v>
      </c>
      <c r="K247" s="7" t="s">
        <v>835</v>
      </c>
      <c r="L247" s="7" t="s">
        <v>802</v>
      </c>
      <c r="M247" s="7" t="s">
        <v>235</v>
      </c>
      <c r="N247" s="7" t="s">
        <v>836</v>
      </c>
      <c r="O247" s="7" t="s">
        <v>189</v>
      </c>
      <c r="P247" s="7" t="s">
        <v>190</v>
      </c>
      <c r="Q247" s="7" t="s">
        <v>837</v>
      </c>
      <c r="R247" s="7" t="s">
        <v>838</v>
      </c>
      <c r="S247" s="7" t="s">
        <v>454</v>
      </c>
      <c r="T247" s="7" t="s">
        <v>239</v>
      </c>
      <c r="U247" s="18" t="n">
        <v>130</v>
      </c>
      <c r="V247" s="7"/>
      <c r="W247" s="7"/>
      <c r="X247" s="7" t="s">
        <v>203</v>
      </c>
      <c r="Y247" s="22" t="n">
        <v>0.049</v>
      </c>
      <c r="Z247" s="22" t="n">
        <v>0.092</v>
      </c>
      <c r="AA247" s="22" t="n">
        <v>12</v>
      </c>
      <c r="AB247" s="7" t="s">
        <v>802</v>
      </c>
      <c r="AC247" s="7" t="s">
        <v>839</v>
      </c>
      <c r="AD247" s="22" t="s">
        <v>197</v>
      </c>
      <c r="AE247" s="22" t="s">
        <v>197</v>
      </c>
      <c r="AF247" s="22" t="s">
        <v>197</v>
      </c>
      <c r="AG247" s="22" t="s">
        <v>197</v>
      </c>
      <c r="AH247" s="22" t="s">
        <v>197</v>
      </c>
      <c r="AI247" s="22" t="s">
        <v>197</v>
      </c>
      <c r="AJ247" s="22" t="s">
        <v>197</v>
      </c>
      <c r="AK247" s="22" t="s">
        <v>197</v>
      </c>
      <c r="AL247" s="22" t="s">
        <v>197</v>
      </c>
      <c r="AM247" s="7" t="s">
        <v>197</v>
      </c>
      <c r="AN247" s="22" t="s">
        <v>197</v>
      </c>
      <c r="AO247" s="22" t="n">
        <v>1.2</v>
      </c>
      <c r="AP247" s="22" t="n">
        <v>1.6</v>
      </c>
    </row>
    <row r="248" customFormat="false" ht="21.75" hidden="false" customHeight="true" outlineLevel="0" collapsed="false">
      <c r="B248" s="15" t="n">
        <v>244</v>
      </c>
      <c r="C248" s="9" t="s">
        <v>44</v>
      </c>
      <c r="D248" s="9" t="s">
        <v>20</v>
      </c>
      <c r="E248" s="9" t="s">
        <v>118</v>
      </c>
      <c r="F248" s="9" t="s">
        <v>63</v>
      </c>
      <c r="G248" s="9" t="s">
        <v>844</v>
      </c>
      <c r="H248" s="9" t="s">
        <v>832</v>
      </c>
      <c r="I248" s="9" t="s">
        <v>833</v>
      </c>
      <c r="J248" s="9" t="s">
        <v>834</v>
      </c>
      <c r="K248" s="9" t="s">
        <v>835</v>
      </c>
      <c r="L248" s="9" t="s">
        <v>802</v>
      </c>
      <c r="M248" s="9" t="s">
        <v>235</v>
      </c>
      <c r="N248" s="9" t="s">
        <v>836</v>
      </c>
      <c r="O248" s="9" t="s">
        <v>189</v>
      </c>
      <c r="P248" s="9" t="s">
        <v>190</v>
      </c>
      <c r="Q248" s="9" t="s">
        <v>837</v>
      </c>
      <c r="R248" s="9" t="s">
        <v>838</v>
      </c>
      <c r="S248" s="9" t="s">
        <v>454</v>
      </c>
      <c r="T248" s="9" t="s">
        <v>239</v>
      </c>
      <c r="U248" s="19" t="n">
        <v>190</v>
      </c>
      <c r="V248" s="9"/>
      <c r="W248" s="9"/>
      <c r="X248" s="9" t="s">
        <v>205</v>
      </c>
      <c r="Y248" s="23" t="n">
        <v>0.043</v>
      </c>
      <c r="Z248" s="23" t="n">
        <v>0.082</v>
      </c>
      <c r="AA248" s="23" t="n">
        <v>12</v>
      </c>
      <c r="AB248" s="9" t="s">
        <v>802</v>
      </c>
      <c r="AC248" s="9" t="s">
        <v>839</v>
      </c>
      <c r="AD248" s="23" t="s">
        <v>197</v>
      </c>
      <c r="AE248" s="23" t="s">
        <v>197</v>
      </c>
      <c r="AF248" s="23" t="s">
        <v>197</v>
      </c>
      <c r="AG248" s="23" t="s">
        <v>197</v>
      </c>
      <c r="AH248" s="23" t="s">
        <v>197</v>
      </c>
      <c r="AI248" s="23" t="s">
        <v>197</v>
      </c>
      <c r="AJ248" s="23" t="s">
        <v>197</v>
      </c>
      <c r="AK248" s="23" t="s">
        <v>197</v>
      </c>
      <c r="AL248" s="23" t="s">
        <v>197</v>
      </c>
      <c r="AM248" s="9" t="s">
        <v>197</v>
      </c>
      <c r="AN248" s="23" t="s">
        <v>197</v>
      </c>
      <c r="AO248" s="23" t="n">
        <v>1.2</v>
      </c>
      <c r="AP248" s="23" t="n">
        <v>1.6</v>
      </c>
    </row>
    <row r="249" customFormat="false" ht="21.75" hidden="false" customHeight="true" outlineLevel="0" collapsed="false">
      <c r="B249" s="14" t="n">
        <v>245</v>
      </c>
      <c r="C249" s="7" t="s">
        <v>44</v>
      </c>
      <c r="D249" s="7" t="s">
        <v>20</v>
      </c>
      <c r="E249" s="7" t="s">
        <v>118</v>
      </c>
      <c r="F249" s="7" t="s">
        <v>64</v>
      </c>
      <c r="G249" s="7" t="s">
        <v>845</v>
      </c>
      <c r="H249" s="7" t="s">
        <v>247</v>
      </c>
      <c r="I249" s="7" t="s">
        <v>846</v>
      </c>
      <c r="J249" s="7" t="s">
        <v>847</v>
      </c>
      <c r="K249" s="7" t="s">
        <v>250</v>
      </c>
      <c r="L249" s="7" t="s">
        <v>802</v>
      </c>
      <c r="M249" s="7" t="s">
        <v>251</v>
      </c>
      <c r="N249" s="7" t="s">
        <v>504</v>
      </c>
      <c r="O249" s="7" t="s">
        <v>189</v>
      </c>
      <c r="P249" s="7" t="s">
        <v>190</v>
      </c>
      <c r="Q249" s="7" t="s">
        <v>848</v>
      </c>
      <c r="R249" s="7" t="s">
        <v>849</v>
      </c>
      <c r="S249" s="7" t="s">
        <v>454</v>
      </c>
      <c r="T249" s="7" t="s">
        <v>690</v>
      </c>
      <c r="U249" s="18" t="n">
        <v>19</v>
      </c>
      <c r="V249" s="7"/>
      <c r="W249" s="7"/>
      <c r="X249" s="7" t="s">
        <v>195</v>
      </c>
      <c r="Y249" s="22" t="n">
        <v>0.012</v>
      </c>
      <c r="Z249" s="22" t="n">
        <v>0.017</v>
      </c>
      <c r="AA249" s="22" t="n">
        <v>12</v>
      </c>
      <c r="AB249" s="7" t="s">
        <v>802</v>
      </c>
      <c r="AC249" s="7" t="s">
        <v>850</v>
      </c>
      <c r="AD249" s="22" t="s">
        <v>197</v>
      </c>
      <c r="AE249" s="22" t="s">
        <v>197</v>
      </c>
      <c r="AF249" s="22" t="s">
        <v>197</v>
      </c>
      <c r="AG249" s="22" t="s">
        <v>197</v>
      </c>
      <c r="AH249" s="22" t="s">
        <v>197</v>
      </c>
      <c r="AI249" s="22" t="s">
        <v>197</v>
      </c>
      <c r="AJ249" s="22" t="n">
        <v>8</v>
      </c>
      <c r="AK249" s="22" t="s">
        <v>197</v>
      </c>
      <c r="AL249" s="22" t="n">
        <v>90</v>
      </c>
      <c r="AM249" s="7" t="s">
        <v>257</v>
      </c>
      <c r="AN249" s="22" t="s">
        <v>197</v>
      </c>
      <c r="AO249" s="22" t="n">
        <v>2</v>
      </c>
      <c r="AP249" s="22" t="n">
        <v>2.7</v>
      </c>
    </row>
    <row r="250" customFormat="false" ht="21.75" hidden="false" customHeight="true" outlineLevel="0" collapsed="false">
      <c r="B250" s="15" t="n">
        <v>246</v>
      </c>
      <c r="C250" s="9" t="s">
        <v>44</v>
      </c>
      <c r="D250" s="9" t="s">
        <v>20</v>
      </c>
      <c r="E250" s="9" t="s">
        <v>118</v>
      </c>
      <c r="F250" s="9" t="s">
        <v>64</v>
      </c>
      <c r="G250" s="9" t="s">
        <v>851</v>
      </c>
      <c r="H250" s="9" t="s">
        <v>259</v>
      </c>
      <c r="I250" s="9" t="s">
        <v>846</v>
      </c>
      <c r="J250" s="9" t="s">
        <v>847</v>
      </c>
      <c r="K250" s="9" t="s">
        <v>250</v>
      </c>
      <c r="L250" s="9" t="s">
        <v>802</v>
      </c>
      <c r="M250" s="9" t="s">
        <v>251</v>
      </c>
      <c r="N250" s="9" t="s">
        <v>504</v>
      </c>
      <c r="O250" s="9" t="s">
        <v>189</v>
      </c>
      <c r="P250" s="9" t="s">
        <v>190</v>
      </c>
      <c r="Q250" s="9" t="s">
        <v>848</v>
      </c>
      <c r="R250" s="9" t="s">
        <v>849</v>
      </c>
      <c r="S250" s="9" t="s">
        <v>454</v>
      </c>
      <c r="T250" s="9" t="s">
        <v>690</v>
      </c>
      <c r="U250" s="19" t="n">
        <v>25</v>
      </c>
      <c r="V250" s="9"/>
      <c r="W250" s="9"/>
      <c r="X250" s="9" t="s">
        <v>199</v>
      </c>
      <c r="Y250" s="23" t="n">
        <v>0.013</v>
      </c>
      <c r="Z250" s="23" t="n">
        <v>0.018</v>
      </c>
      <c r="AA250" s="23" t="n">
        <v>12</v>
      </c>
      <c r="AB250" s="9" t="s">
        <v>802</v>
      </c>
      <c r="AC250" s="9" t="s">
        <v>850</v>
      </c>
      <c r="AD250" s="23" t="s">
        <v>197</v>
      </c>
      <c r="AE250" s="23" t="s">
        <v>197</v>
      </c>
      <c r="AF250" s="23" t="s">
        <v>197</v>
      </c>
      <c r="AG250" s="23" t="s">
        <v>197</v>
      </c>
      <c r="AH250" s="23" t="s">
        <v>197</v>
      </c>
      <c r="AI250" s="23" t="s">
        <v>197</v>
      </c>
      <c r="AJ250" s="23" t="n">
        <v>10</v>
      </c>
      <c r="AK250" s="23" t="s">
        <v>197</v>
      </c>
      <c r="AL250" s="23" t="n">
        <v>90</v>
      </c>
      <c r="AM250" s="9" t="s">
        <v>257</v>
      </c>
      <c r="AN250" s="23" t="s">
        <v>197</v>
      </c>
      <c r="AO250" s="23" t="n">
        <v>2</v>
      </c>
      <c r="AP250" s="23" t="n">
        <v>2.7</v>
      </c>
    </row>
    <row r="251" customFormat="false" ht="21.75" hidden="false" customHeight="true" outlineLevel="0" collapsed="false">
      <c r="B251" s="14" t="n">
        <v>247</v>
      </c>
      <c r="C251" s="7" t="s">
        <v>44</v>
      </c>
      <c r="D251" s="7" t="s">
        <v>20</v>
      </c>
      <c r="E251" s="7" t="s">
        <v>118</v>
      </c>
      <c r="F251" s="7" t="s">
        <v>64</v>
      </c>
      <c r="G251" s="7" t="s">
        <v>852</v>
      </c>
      <c r="H251" s="7" t="s">
        <v>261</v>
      </c>
      <c r="I251" s="7" t="s">
        <v>846</v>
      </c>
      <c r="J251" s="7" t="s">
        <v>847</v>
      </c>
      <c r="K251" s="7" t="s">
        <v>250</v>
      </c>
      <c r="L251" s="7" t="s">
        <v>802</v>
      </c>
      <c r="M251" s="7" t="s">
        <v>251</v>
      </c>
      <c r="N251" s="7" t="s">
        <v>504</v>
      </c>
      <c r="O251" s="7" t="s">
        <v>189</v>
      </c>
      <c r="P251" s="7" t="s">
        <v>190</v>
      </c>
      <c r="Q251" s="7" t="s">
        <v>848</v>
      </c>
      <c r="R251" s="7" t="s">
        <v>849</v>
      </c>
      <c r="S251" s="7" t="s">
        <v>454</v>
      </c>
      <c r="T251" s="7" t="s">
        <v>690</v>
      </c>
      <c r="U251" s="18" t="n">
        <v>35</v>
      </c>
      <c r="V251" s="7"/>
      <c r="W251" s="7"/>
      <c r="X251" s="7" t="s">
        <v>853</v>
      </c>
      <c r="Y251" s="22" t="n">
        <v>0.01</v>
      </c>
      <c r="Z251" s="22" t="n">
        <v>0.014</v>
      </c>
      <c r="AA251" s="22" t="n">
        <v>12</v>
      </c>
      <c r="AB251" s="7" t="s">
        <v>802</v>
      </c>
      <c r="AC251" s="7" t="s">
        <v>850</v>
      </c>
      <c r="AD251" s="22" t="s">
        <v>197</v>
      </c>
      <c r="AE251" s="22" t="s">
        <v>197</v>
      </c>
      <c r="AF251" s="22" t="s">
        <v>197</v>
      </c>
      <c r="AG251" s="22" t="s">
        <v>197</v>
      </c>
      <c r="AH251" s="22" t="s">
        <v>197</v>
      </c>
      <c r="AI251" s="22" t="s">
        <v>197</v>
      </c>
      <c r="AJ251" s="22" t="n">
        <v>12</v>
      </c>
      <c r="AK251" s="22" t="s">
        <v>197</v>
      </c>
      <c r="AL251" s="22" t="n">
        <v>90</v>
      </c>
      <c r="AM251" s="7" t="s">
        <v>257</v>
      </c>
      <c r="AN251" s="22" t="s">
        <v>197</v>
      </c>
      <c r="AO251" s="22" t="n">
        <v>2</v>
      </c>
      <c r="AP251" s="22" t="n">
        <v>2.7</v>
      </c>
    </row>
    <row r="252" customFormat="false" ht="21.75" hidden="false" customHeight="true" outlineLevel="0" collapsed="false">
      <c r="B252" s="15" t="n">
        <v>248</v>
      </c>
      <c r="C252" s="9" t="s">
        <v>44</v>
      </c>
      <c r="D252" s="9" t="s">
        <v>20</v>
      </c>
      <c r="E252" s="9" t="s">
        <v>118</v>
      </c>
      <c r="F252" s="9" t="s">
        <v>64</v>
      </c>
      <c r="G252" s="9" t="s">
        <v>854</v>
      </c>
      <c r="H252" s="9" t="s">
        <v>264</v>
      </c>
      <c r="I252" s="9" t="s">
        <v>846</v>
      </c>
      <c r="J252" s="9" t="s">
        <v>847</v>
      </c>
      <c r="K252" s="9" t="s">
        <v>250</v>
      </c>
      <c r="L252" s="9" t="s">
        <v>802</v>
      </c>
      <c r="M252" s="9" t="s">
        <v>251</v>
      </c>
      <c r="N252" s="9" t="s">
        <v>504</v>
      </c>
      <c r="O252" s="9" t="s">
        <v>189</v>
      </c>
      <c r="P252" s="9" t="s">
        <v>190</v>
      </c>
      <c r="Q252" s="9" t="s">
        <v>848</v>
      </c>
      <c r="R252" s="9" t="s">
        <v>849</v>
      </c>
      <c r="S252" s="9" t="s">
        <v>454</v>
      </c>
      <c r="T252" s="9" t="s">
        <v>690</v>
      </c>
      <c r="U252" s="19" t="n">
        <v>55</v>
      </c>
      <c r="V252" s="9"/>
      <c r="W252" s="9"/>
      <c r="X252" s="9" t="s">
        <v>203</v>
      </c>
      <c r="Y252" s="23" t="n">
        <v>0.013</v>
      </c>
      <c r="Z252" s="23" t="n">
        <v>0.019</v>
      </c>
      <c r="AA252" s="23" t="n">
        <v>12</v>
      </c>
      <c r="AB252" s="9" t="s">
        <v>802</v>
      </c>
      <c r="AC252" s="9" t="s">
        <v>850</v>
      </c>
      <c r="AD252" s="23" t="s">
        <v>197</v>
      </c>
      <c r="AE252" s="23" t="s">
        <v>197</v>
      </c>
      <c r="AF252" s="23" t="s">
        <v>197</v>
      </c>
      <c r="AG252" s="23" t="s">
        <v>197</v>
      </c>
      <c r="AH252" s="23" t="s">
        <v>197</v>
      </c>
      <c r="AI252" s="23" t="s">
        <v>197</v>
      </c>
      <c r="AJ252" s="23" t="n">
        <v>12</v>
      </c>
      <c r="AK252" s="23" t="s">
        <v>197</v>
      </c>
      <c r="AL252" s="23" t="n">
        <v>110</v>
      </c>
      <c r="AM252" s="9" t="s">
        <v>257</v>
      </c>
      <c r="AN252" s="23" t="s">
        <v>197</v>
      </c>
      <c r="AO252" s="23" t="n">
        <v>2</v>
      </c>
      <c r="AP252" s="23" t="n">
        <v>2.7</v>
      </c>
    </row>
    <row r="253" customFormat="false" ht="21.75" hidden="false" customHeight="true" outlineLevel="0" collapsed="false">
      <c r="B253" s="14" t="n">
        <v>249</v>
      </c>
      <c r="C253" s="7" t="s">
        <v>44</v>
      </c>
      <c r="D253" s="7" t="s">
        <v>20</v>
      </c>
      <c r="E253" s="7" t="s">
        <v>118</v>
      </c>
      <c r="F253" s="7" t="s">
        <v>64</v>
      </c>
      <c r="G253" s="7" t="s">
        <v>855</v>
      </c>
      <c r="H253" s="7" t="s">
        <v>266</v>
      </c>
      <c r="I253" s="7" t="s">
        <v>846</v>
      </c>
      <c r="J253" s="7" t="s">
        <v>847</v>
      </c>
      <c r="K253" s="7" t="s">
        <v>250</v>
      </c>
      <c r="L253" s="7" t="s">
        <v>802</v>
      </c>
      <c r="M253" s="7" t="s">
        <v>251</v>
      </c>
      <c r="N253" s="7" t="s">
        <v>504</v>
      </c>
      <c r="O253" s="7" t="s">
        <v>189</v>
      </c>
      <c r="P253" s="7" t="s">
        <v>190</v>
      </c>
      <c r="Q253" s="7" t="s">
        <v>848</v>
      </c>
      <c r="R253" s="7" t="s">
        <v>849</v>
      </c>
      <c r="S253" s="7" t="s">
        <v>454</v>
      </c>
      <c r="T253" s="7" t="s">
        <v>690</v>
      </c>
      <c r="U253" s="18" t="n">
        <v>80</v>
      </c>
      <c r="V253" s="7"/>
      <c r="W253" s="7"/>
      <c r="X253" s="7" t="s">
        <v>205</v>
      </c>
      <c r="Y253" s="22" t="n">
        <v>0.013</v>
      </c>
      <c r="Z253" s="22" t="n">
        <v>0.019</v>
      </c>
      <c r="AA253" s="22" t="n">
        <v>12</v>
      </c>
      <c r="AB253" s="7" t="s">
        <v>802</v>
      </c>
      <c r="AC253" s="7" t="s">
        <v>850</v>
      </c>
      <c r="AD253" s="22" t="s">
        <v>197</v>
      </c>
      <c r="AE253" s="22" t="s">
        <v>197</v>
      </c>
      <c r="AF253" s="22" t="s">
        <v>197</v>
      </c>
      <c r="AG253" s="22" t="s">
        <v>197</v>
      </c>
      <c r="AH253" s="22" t="s">
        <v>197</v>
      </c>
      <c r="AI253" s="22" t="s">
        <v>197</v>
      </c>
      <c r="AJ253" s="22" t="n">
        <v>15</v>
      </c>
      <c r="AK253" s="22" t="s">
        <v>197</v>
      </c>
      <c r="AL253" s="22" t="n">
        <v>110</v>
      </c>
      <c r="AM253" s="7" t="s">
        <v>257</v>
      </c>
      <c r="AN253" s="22" t="s">
        <v>197</v>
      </c>
      <c r="AO253" s="22" t="n">
        <v>2</v>
      </c>
      <c r="AP253" s="22" t="n">
        <v>2.7</v>
      </c>
    </row>
    <row r="254" customFormat="false" ht="21.75" hidden="false" customHeight="true" outlineLevel="0" collapsed="false">
      <c r="B254" s="15" t="n">
        <v>250</v>
      </c>
      <c r="C254" s="9" t="s">
        <v>44</v>
      </c>
      <c r="D254" s="9" t="s">
        <v>20</v>
      </c>
      <c r="E254" s="9" t="s">
        <v>118</v>
      </c>
      <c r="F254" s="9" t="s">
        <v>65</v>
      </c>
      <c r="G254" s="9" t="s">
        <v>856</v>
      </c>
      <c r="H254" s="9" t="s">
        <v>247</v>
      </c>
      <c r="I254" s="9" t="s">
        <v>857</v>
      </c>
      <c r="J254" s="9" t="s">
        <v>858</v>
      </c>
      <c r="K254" s="9" t="s">
        <v>859</v>
      </c>
      <c r="L254" s="9" t="s">
        <v>802</v>
      </c>
      <c r="M254" s="9" t="s">
        <v>518</v>
      </c>
      <c r="N254" s="9" t="s">
        <v>860</v>
      </c>
      <c r="O254" s="9" t="s">
        <v>189</v>
      </c>
      <c r="P254" s="9" t="s">
        <v>190</v>
      </c>
      <c r="Q254" s="9" t="s">
        <v>861</v>
      </c>
      <c r="R254" s="9" t="s">
        <v>556</v>
      </c>
      <c r="S254" s="9" t="s">
        <v>454</v>
      </c>
      <c r="T254" s="9" t="s">
        <v>275</v>
      </c>
      <c r="U254" s="19" t="n">
        <v>20</v>
      </c>
      <c r="V254" s="9"/>
      <c r="W254" s="9"/>
      <c r="X254" s="9" t="s">
        <v>195</v>
      </c>
      <c r="Y254" s="23" t="n">
        <v>1.042E-005</v>
      </c>
      <c r="Z254" s="23" t="n">
        <v>2.933E-005</v>
      </c>
      <c r="AA254" s="23" t="n">
        <v>3</v>
      </c>
      <c r="AB254" s="9" t="s">
        <v>802</v>
      </c>
      <c r="AC254" s="9" t="s">
        <v>862</v>
      </c>
      <c r="AD254" s="23" t="s">
        <v>197</v>
      </c>
      <c r="AE254" s="23" t="s">
        <v>197</v>
      </c>
      <c r="AF254" s="23" t="s">
        <v>197</v>
      </c>
      <c r="AG254" s="23" t="s">
        <v>197</v>
      </c>
      <c r="AH254" s="23" t="s">
        <v>197</v>
      </c>
      <c r="AI254" s="23" t="s">
        <v>197</v>
      </c>
      <c r="AJ254" s="23" t="n">
        <v>8</v>
      </c>
      <c r="AK254" s="23" t="s">
        <v>197</v>
      </c>
      <c r="AL254" s="23" t="n">
        <v>90</v>
      </c>
      <c r="AM254" s="9" t="s">
        <v>257</v>
      </c>
      <c r="AN254" s="23" t="s">
        <v>197</v>
      </c>
      <c r="AO254" s="23" t="n">
        <v>2</v>
      </c>
      <c r="AP254" s="23" t="n">
        <v>2.7</v>
      </c>
    </row>
    <row r="255" customFormat="false" ht="21.75" hidden="false" customHeight="true" outlineLevel="0" collapsed="false">
      <c r="B255" s="14" t="n">
        <v>251</v>
      </c>
      <c r="C255" s="7" t="s">
        <v>44</v>
      </c>
      <c r="D255" s="7" t="s">
        <v>20</v>
      </c>
      <c r="E255" s="7" t="s">
        <v>118</v>
      </c>
      <c r="F255" s="7" t="s">
        <v>65</v>
      </c>
      <c r="G255" s="7" t="s">
        <v>863</v>
      </c>
      <c r="H255" s="7" t="s">
        <v>259</v>
      </c>
      <c r="I255" s="7" t="s">
        <v>857</v>
      </c>
      <c r="J255" s="7" t="s">
        <v>858</v>
      </c>
      <c r="K255" s="7" t="s">
        <v>859</v>
      </c>
      <c r="L255" s="7" t="s">
        <v>802</v>
      </c>
      <c r="M255" s="7" t="s">
        <v>518</v>
      </c>
      <c r="N255" s="7" t="s">
        <v>860</v>
      </c>
      <c r="O255" s="7" t="s">
        <v>189</v>
      </c>
      <c r="P255" s="7" t="s">
        <v>190</v>
      </c>
      <c r="Q255" s="7" t="s">
        <v>861</v>
      </c>
      <c r="R255" s="7" t="s">
        <v>556</v>
      </c>
      <c r="S255" s="7" t="s">
        <v>454</v>
      </c>
      <c r="T255" s="7" t="s">
        <v>275</v>
      </c>
      <c r="U255" s="18" t="n">
        <v>30</v>
      </c>
      <c r="V255" s="7"/>
      <c r="W255" s="7"/>
      <c r="X255" s="7" t="s">
        <v>199</v>
      </c>
      <c r="Y255" s="22" t="n">
        <v>1.273E-005</v>
      </c>
      <c r="Z255" s="22" t="n">
        <v>3.344E-005</v>
      </c>
      <c r="AA255" s="22" t="n">
        <v>3</v>
      </c>
      <c r="AB255" s="7" t="s">
        <v>802</v>
      </c>
      <c r="AC255" s="7" t="s">
        <v>862</v>
      </c>
      <c r="AD255" s="22" t="s">
        <v>197</v>
      </c>
      <c r="AE255" s="22" t="s">
        <v>197</v>
      </c>
      <c r="AF255" s="22" t="s">
        <v>197</v>
      </c>
      <c r="AG255" s="22" t="s">
        <v>197</v>
      </c>
      <c r="AH255" s="22" t="s">
        <v>197</v>
      </c>
      <c r="AI255" s="22" t="s">
        <v>197</v>
      </c>
      <c r="AJ255" s="22" t="n">
        <v>10</v>
      </c>
      <c r="AK255" s="22" t="s">
        <v>197</v>
      </c>
      <c r="AL255" s="22" t="n">
        <v>90</v>
      </c>
      <c r="AM255" s="7" t="s">
        <v>257</v>
      </c>
      <c r="AN255" s="22" t="s">
        <v>197</v>
      </c>
      <c r="AO255" s="22" t="n">
        <v>2</v>
      </c>
      <c r="AP255" s="22" t="n">
        <v>2.7</v>
      </c>
    </row>
    <row r="256" customFormat="false" ht="21.75" hidden="false" customHeight="true" outlineLevel="0" collapsed="false">
      <c r="B256" s="15" t="n">
        <v>252</v>
      </c>
      <c r="C256" s="9" t="s">
        <v>44</v>
      </c>
      <c r="D256" s="9" t="s">
        <v>20</v>
      </c>
      <c r="E256" s="9" t="s">
        <v>118</v>
      </c>
      <c r="F256" s="9" t="s">
        <v>65</v>
      </c>
      <c r="G256" s="9" t="s">
        <v>864</v>
      </c>
      <c r="H256" s="9" t="s">
        <v>261</v>
      </c>
      <c r="I256" s="9" t="s">
        <v>857</v>
      </c>
      <c r="J256" s="9" t="s">
        <v>858</v>
      </c>
      <c r="K256" s="9" t="s">
        <v>859</v>
      </c>
      <c r="L256" s="9" t="s">
        <v>802</v>
      </c>
      <c r="M256" s="9" t="s">
        <v>518</v>
      </c>
      <c r="N256" s="9" t="s">
        <v>860</v>
      </c>
      <c r="O256" s="9" t="s">
        <v>189</v>
      </c>
      <c r="P256" s="9" t="s">
        <v>190</v>
      </c>
      <c r="Q256" s="9" t="s">
        <v>861</v>
      </c>
      <c r="R256" s="9" t="s">
        <v>556</v>
      </c>
      <c r="S256" s="9" t="s">
        <v>454</v>
      </c>
      <c r="T256" s="9" t="s">
        <v>275</v>
      </c>
      <c r="U256" s="19" t="n">
        <v>45</v>
      </c>
      <c r="V256" s="9"/>
      <c r="W256" s="9"/>
      <c r="X256" s="9" t="s">
        <v>865</v>
      </c>
      <c r="Y256" s="23" t="n">
        <v>1.244E-005</v>
      </c>
      <c r="Z256" s="23" t="n">
        <v>3.294E-005</v>
      </c>
      <c r="AA256" s="23" t="n">
        <v>3</v>
      </c>
      <c r="AB256" s="9" t="s">
        <v>802</v>
      </c>
      <c r="AC256" s="9" t="s">
        <v>862</v>
      </c>
      <c r="AD256" s="23" t="s">
        <v>197</v>
      </c>
      <c r="AE256" s="23" t="s">
        <v>197</v>
      </c>
      <c r="AF256" s="23" t="s">
        <v>197</v>
      </c>
      <c r="AG256" s="23" t="s">
        <v>197</v>
      </c>
      <c r="AH256" s="23" t="s">
        <v>197</v>
      </c>
      <c r="AI256" s="23" t="s">
        <v>197</v>
      </c>
      <c r="AJ256" s="23" t="n">
        <v>12</v>
      </c>
      <c r="AK256" s="23" t="s">
        <v>197</v>
      </c>
      <c r="AL256" s="23" t="n">
        <v>90</v>
      </c>
      <c r="AM256" s="9" t="s">
        <v>257</v>
      </c>
      <c r="AN256" s="23" t="s">
        <v>197</v>
      </c>
      <c r="AO256" s="23" t="n">
        <v>2</v>
      </c>
      <c r="AP256" s="23" t="n">
        <v>2.7</v>
      </c>
    </row>
    <row r="257" customFormat="false" ht="21.75" hidden="false" customHeight="true" outlineLevel="0" collapsed="false">
      <c r="B257" s="14" t="n">
        <v>253</v>
      </c>
      <c r="C257" s="7" t="s">
        <v>44</v>
      </c>
      <c r="D257" s="7" t="s">
        <v>20</v>
      </c>
      <c r="E257" s="7" t="s">
        <v>118</v>
      </c>
      <c r="F257" s="7" t="s">
        <v>65</v>
      </c>
      <c r="G257" s="7" t="s">
        <v>866</v>
      </c>
      <c r="H257" s="7" t="s">
        <v>281</v>
      </c>
      <c r="I257" s="7" t="s">
        <v>857</v>
      </c>
      <c r="J257" s="7" t="s">
        <v>858</v>
      </c>
      <c r="K257" s="7" t="s">
        <v>859</v>
      </c>
      <c r="L257" s="7" t="s">
        <v>802</v>
      </c>
      <c r="M257" s="7" t="s">
        <v>518</v>
      </c>
      <c r="N257" s="7" t="s">
        <v>860</v>
      </c>
      <c r="O257" s="7" t="s">
        <v>189</v>
      </c>
      <c r="P257" s="7" t="s">
        <v>190</v>
      </c>
      <c r="Q257" s="7" t="s">
        <v>861</v>
      </c>
      <c r="R257" s="7" t="s">
        <v>556</v>
      </c>
      <c r="S257" s="7" t="s">
        <v>454</v>
      </c>
      <c r="T257" s="7" t="s">
        <v>275</v>
      </c>
      <c r="U257" s="18" t="n">
        <v>65</v>
      </c>
      <c r="V257" s="7"/>
      <c r="W257" s="7"/>
      <c r="X257" s="7" t="s">
        <v>203</v>
      </c>
      <c r="Y257" s="22" t="n">
        <v>1.74E-005</v>
      </c>
      <c r="Z257" s="22" t="n">
        <v>4.179E-005</v>
      </c>
      <c r="AA257" s="22" t="n">
        <v>3</v>
      </c>
      <c r="AB257" s="7" t="s">
        <v>802</v>
      </c>
      <c r="AC257" s="7" t="s">
        <v>862</v>
      </c>
      <c r="AD257" s="22" t="s">
        <v>197</v>
      </c>
      <c r="AE257" s="22" t="s">
        <v>197</v>
      </c>
      <c r="AF257" s="22" t="s">
        <v>197</v>
      </c>
      <c r="AG257" s="22" t="s">
        <v>197</v>
      </c>
      <c r="AH257" s="22" t="s">
        <v>197</v>
      </c>
      <c r="AI257" s="22" t="s">
        <v>197</v>
      </c>
      <c r="AJ257" s="22" t="n">
        <v>12</v>
      </c>
      <c r="AK257" s="22" t="s">
        <v>197</v>
      </c>
      <c r="AL257" s="22" t="n">
        <v>90</v>
      </c>
      <c r="AM257" s="7" t="s">
        <v>257</v>
      </c>
      <c r="AN257" s="22" t="s">
        <v>197</v>
      </c>
      <c r="AO257" s="22" t="n">
        <v>2</v>
      </c>
      <c r="AP257" s="22" t="n">
        <v>2.7</v>
      </c>
    </row>
    <row r="258" customFormat="false" ht="21.75" hidden="false" customHeight="true" outlineLevel="0" collapsed="false">
      <c r="B258" s="15" t="n">
        <v>254</v>
      </c>
      <c r="C258" s="9" t="s">
        <v>44</v>
      </c>
      <c r="D258" s="9" t="s">
        <v>20</v>
      </c>
      <c r="E258" s="9" t="s">
        <v>118</v>
      </c>
      <c r="F258" s="9" t="s">
        <v>65</v>
      </c>
      <c r="G258" s="9" t="s">
        <v>867</v>
      </c>
      <c r="H258" s="9" t="s">
        <v>283</v>
      </c>
      <c r="I258" s="9" t="s">
        <v>857</v>
      </c>
      <c r="J258" s="9" t="s">
        <v>858</v>
      </c>
      <c r="K258" s="9" t="s">
        <v>859</v>
      </c>
      <c r="L258" s="9" t="s">
        <v>802</v>
      </c>
      <c r="M258" s="9" t="s">
        <v>518</v>
      </c>
      <c r="N258" s="9" t="s">
        <v>860</v>
      </c>
      <c r="O258" s="9" t="s">
        <v>189</v>
      </c>
      <c r="P258" s="9" t="s">
        <v>190</v>
      </c>
      <c r="Q258" s="9" t="s">
        <v>861</v>
      </c>
      <c r="R258" s="9" t="s">
        <v>556</v>
      </c>
      <c r="S258" s="9" t="s">
        <v>454</v>
      </c>
      <c r="T258" s="9" t="s">
        <v>275</v>
      </c>
      <c r="U258" s="19" t="n">
        <v>95</v>
      </c>
      <c r="V258" s="9"/>
      <c r="W258" s="9"/>
      <c r="X258" s="9" t="s">
        <v>205</v>
      </c>
      <c r="Y258" s="23" t="n">
        <v>1.784E-005</v>
      </c>
      <c r="Z258" s="23" t="n">
        <v>4.258E-005</v>
      </c>
      <c r="AA258" s="23" t="n">
        <v>3</v>
      </c>
      <c r="AB258" s="9" t="s">
        <v>802</v>
      </c>
      <c r="AC258" s="9" t="s">
        <v>862</v>
      </c>
      <c r="AD258" s="23" t="s">
        <v>197</v>
      </c>
      <c r="AE258" s="23" t="s">
        <v>197</v>
      </c>
      <c r="AF258" s="23" t="s">
        <v>197</v>
      </c>
      <c r="AG258" s="23" t="s">
        <v>197</v>
      </c>
      <c r="AH258" s="23" t="s">
        <v>197</v>
      </c>
      <c r="AI258" s="23" t="s">
        <v>197</v>
      </c>
      <c r="AJ258" s="23" t="n">
        <v>15</v>
      </c>
      <c r="AK258" s="23" t="s">
        <v>197</v>
      </c>
      <c r="AL258" s="23" t="n">
        <v>90</v>
      </c>
      <c r="AM258" s="9" t="s">
        <v>257</v>
      </c>
      <c r="AN258" s="23" t="s">
        <v>197</v>
      </c>
      <c r="AO258" s="23" t="n">
        <v>2</v>
      </c>
      <c r="AP258" s="23" t="n">
        <v>2.7</v>
      </c>
    </row>
    <row r="259" customFormat="false" ht="21.75" hidden="false" customHeight="true" outlineLevel="0" collapsed="false">
      <c r="B259" s="14" t="n">
        <v>255</v>
      </c>
      <c r="C259" s="7" t="s">
        <v>44</v>
      </c>
      <c r="D259" s="7" t="s">
        <v>20</v>
      </c>
      <c r="E259" s="7" t="s">
        <v>118</v>
      </c>
      <c r="F259" s="7" t="s">
        <v>66</v>
      </c>
      <c r="G259" s="7" t="s">
        <v>868</v>
      </c>
      <c r="H259" s="7" t="s">
        <v>285</v>
      </c>
      <c r="I259" s="7" t="s">
        <v>869</v>
      </c>
      <c r="J259" s="7" t="s">
        <v>870</v>
      </c>
      <c r="K259" s="7" t="s">
        <v>250</v>
      </c>
      <c r="L259" s="7" t="s">
        <v>802</v>
      </c>
      <c r="M259" s="7" t="s">
        <v>251</v>
      </c>
      <c r="N259" s="7" t="s">
        <v>710</v>
      </c>
      <c r="O259" s="7" t="s">
        <v>189</v>
      </c>
      <c r="P259" s="7" t="s">
        <v>190</v>
      </c>
      <c r="Q259" s="7" t="s">
        <v>871</v>
      </c>
      <c r="R259" s="7" t="s">
        <v>872</v>
      </c>
      <c r="S259" s="7" t="s">
        <v>454</v>
      </c>
      <c r="T259" s="7" t="s">
        <v>873</v>
      </c>
      <c r="U259" s="18" t="n">
        <v>30</v>
      </c>
      <c r="V259" s="7"/>
      <c r="W259" s="7"/>
      <c r="X259" s="7" t="s">
        <v>195</v>
      </c>
      <c r="Y259" s="22" t="n">
        <v>0.022</v>
      </c>
      <c r="Z259" s="22" t="n">
        <v>0.032</v>
      </c>
      <c r="AA259" s="22" t="n">
        <v>12</v>
      </c>
      <c r="AB259" s="7" t="s">
        <v>802</v>
      </c>
      <c r="AC259" s="7" t="s">
        <v>850</v>
      </c>
      <c r="AD259" s="22" t="s">
        <v>197</v>
      </c>
      <c r="AE259" s="22" t="s">
        <v>197</v>
      </c>
      <c r="AF259" s="22" t="s">
        <v>197</v>
      </c>
      <c r="AG259" s="22" t="s">
        <v>197</v>
      </c>
      <c r="AH259" s="22" t="s">
        <v>197</v>
      </c>
      <c r="AI259" s="22" t="s">
        <v>197</v>
      </c>
      <c r="AJ259" s="22" t="s">
        <v>197</v>
      </c>
      <c r="AK259" s="22" t="n">
        <v>10</v>
      </c>
      <c r="AL259" s="22" t="n">
        <v>90</v>
      </c>
      <c r="AM259" s="7" t="s">
        <v>292</v>
      </c>
      <c r="AN259" s="22" t="s">
        <v>197</v>
      </c>
      <c r="AO259" s="22" t="n">
        <v>2</v>
      </c>
      <c r="AP259" s="22" t="n">
        <v>3</v>
      </c>
    </row>
    <row r="260" customFormat="false" ht="21.75" hidden="false" customHeight="true" outlineLevel="0" collapsed="false">
      <c r="B260" s="15" t="n">
        <v>256</v>
      </c>
      <c r="C260" s="9" t="s">
        <v>44</v>
      </c>
      <c r="D260" s="9" t="s">
        <v>20</v>
      </c>
      <c r="E260" s="9" t="s">
        <v>118</v>
      </c>
      <c r="F260" s="9" t="s">
        <v>66</v>
      </c>
      <c r="G260" s="9" t="s">
        <v>874</v>
      </c>
      <c r="H260" s="9" t="s">
        <v>294</v>
      </c>
      <c r="I260" s="9" t="s">
        <v>869</v>
      </c>
      <c r="J260" s="9" t="s">
        <v>870</v>
      </c>
      <c r="K260" s="9" t="s">
        <v>250</v>
      </c>
      <c r="L260" s="9" t="s">
        <v>802</v>
      </c>
      <c r="M260" s="9" t="s">
        <v>251</v>
      </c>
      <c r="N260" s="9" t="s">
        <v>710</v>
      </c>
      <c r="O260" s="9" t="s">
        <v>189</v>
      </c>
      <c r="P260" s="9" t="s">
        <v>190</v>
      </c>
      <c r="Q260" s="9" t="s">
        <v>871</v>
      </c>
      <c r="R260" s="9" t="s">
        <v>872</v>
      </c>
      <c r="S260" s="9" t="s">
        <v>454</v>
      </c>
      <c r="T260" s="9" t="s">
        <v>873</v>
      </c>
      <c r="U260" s="19" t="n">
        <v>50</v>
      </c>
      <c r="V260" s="9"/>
      <c r="W260" s="9"/>
      <c r="X260" s="9" t="s">
        <v>199</v>
      </c>
      <c r="Y260" s="23" t="n">
        <v>0.017</v>
      </c>
      <c r="Z260" s="23" t="n">
        <v>0.027</v>
      </c>
      <c r="AA260" s="23" t="n">
        <v>12</v>
      </c>
      <c r="AB260" s="9" t="s">
        <v>802</v>
      </c>
      <c r="AC260" s="9" t="s">
        <v>850</v>
      </c>
      <c r="AD260" s="23" t="s">
        <v>197</v>
      </c>
      <c r="AE260" s="23" t="s">
        <v>197</v>
      </c>
      <c r="AF260" s="23" t="s">
        <v>197</v>
      </c>
      <c r="AG260" s="23" t="s">
        <v>197</v>
      </c>
      <c r="AH260" s="23" t="s">
        <v>197</v>
      </c>
      <c r="AI260" s="23" t="s">
        <v>197</v>
      </c>
      <c r="AJ260" s="23" t="s">
        <v>197</v>
      </c>
      <c r="AK260" s="23" t="n">
        <v>12</v>
      </c>
      <c r="AL260" s="23" t="n">
        <v>90</v>
      </c>
      <c r="AM260" s="9" t="s">
        <v>292</v>
      </c>
      <c r="AN260" s="23" t="s">
        <v>197</v>
      </c>
      <c r="AO260" s="23" t="n">
        <v>2</v>
      </c>
      <c r="AP260" s="23" t="n">
        <v>3</v>
      </c>
    </row>
    <row r="261" customFormat="false" ht="21.75" hidden="false" customHeight="true" outlineLevel="0" collapsed="false">
      <c r="B261" s="14" t="n">
        <v>257</v>
      </c>
      <c r="C261" s="7" t="s">
        <v>44</v>
      </c>
      <c r="D261" s="7" t="s">
        <v>20</v>
      </c>
      <c r="E261" s="7" t="s">
        <v>118</v>
      </c>
      <c r="F261" s="7" t="s">
        <v>66</v>
      </c>
      <c r="G261" s="7" t="s">
        <v>875</v>
      </c>
      <c r="H261" s="7" t="s">
        <v>296</v>
      </c>
      <c r="I261" s="7" t="s">
        <v>869</v>
      </c>
      <c r="J261" s="7" t="s">
        <v>870</v>
      </c>
      <c r="K261" s="7" t="s">
        <v>250</v>
      </c>
      <c r="L261" s="7" t="s">
        <v>802</v>
      </c>
      <c r="M261" s="7" t="s">
        <v>251</v>
      </c>
      <c r="N261" s="7" t="s">
        <v>710</v>
      </c>
      <c r="O261" s="7" t="s">
        <v>189</v>
      </c>
      <c r="P261" s="7" t="s">
        <v>190</v>
      </c>
      <c r="Q261" s="7" t="s">
        <v>871</v>
      </c>
      <c r="R261" s="7" t="s">
        <v>872</v>
      </c>
      <c r="S261" s="7" t="s">
        <v>454</v>
      </c>
      <c r="T261" s="7" t="s">
        <v>873</v>
      </c>
      <c r="U261" s="18" t="n">
        <v>65</v>
      </c>
      <c r="V261" s="7"/>
      <c r="W261" s="7"/>
      <c r="X261" s="7" t="s">
        <v>876</v>
      </c>
      <c r="Y261" s="22" t="n">
        <v>0.03</v>
      </c>
      <c r="Z261" s="22" t="n">
        <v>0.04</v>
      </c>
      <c r="AA261" s="22" t="n">
        <v>12</v>
      </c>
      <c r="AB261" s="7" t="s">
        <v>802</v>
      </c>
      <c r="AC261" s="7" t="s">
        <v>850</v>
      </c>
      <c r="AD261" s="22" t="s">
        <v>197</v>
      </c>
      <c r="AE261" s="22" t="s">
        <v>197</v>
      </c>
      <c r="AF261" s="22" t="s">
        <v>197</v>
      </c>
      <c r="AG261" s="22" t="s">
        <v>197</v>
      </c>
      <c r="AH261" s="22" t="s">
        <v>197</v>
      </c>
      <c r="AI261" s="22" t="s">
        <v>197</v>
      </c>
      <c r="AJ261" s="22" t="s">
        <v>197</v>
      </c>
      <c r="AK261" s="22" t="n">
        <v>12</v>
      </c>
      <c r="AL261" s="22" t="n">
        <v>90</v>
      </c>
      <c r="AM261" s="7" t="s">
        <v>292</v>
      </c>
      <c r="AN261" s="22" t="s">
        <v>197</v>
      </c>
      <c r="AO261" s="22" t="n">
        <v>2</v>
      </c>
      <c r="AP261" s="22" t="n">
        <v>3</v>
      </c>
    </row>
    <row r="262" customFormat="false" ht="21.75" hidden="false" customHeight="true" outlineLevel="0" collapsed="false">
      <c r="B262" s="15" t="n">
        <v>258</v>
      </c>
      <c r="C262" s="9" t="s">
        <v>44</v>
      </c>
      <c r="D262" s="9" t="s">
        <v>20</v>
      </c>
      <c r="E262" s="9" t="s">
        <v>118</v>
      </c>
      <c r="F262" s="9" t="s">
        <v>66</v>
      </c>
      <c r="G262" s="9" t="s">
        <v>877</v>
      </c>
      <c r="H262" s="9" t="s">
        <v>299</v>
      </c>
      <c r="I262" s="9" t="s">
        <v>869</v>
      </c>
      <c r="J262" s="9" t="s">
        <v>870</v>
      </c>
      <c r="K262" s="9" t="s">
        <v>250</v>
      </c>
      <c r="L262" s="9" t="s">
        <v>802</v>
      </c>
      <c r="M262" s="9" t="s">
        <v>251</v>
      </c>
      <c r="N262" s="9" t="s">
        <v>710</v>
      </c>
      <c r="O262" s="9" t="s">
        <v>189</v>
      </c>
      <c r="P262" s="9" t="s">
        <v>190</v>
      </c>
      <c r="Q262" s="9" t="s">
        <v>871</v>
      </c>
      <c r="R262" s="9" t="s">
        <v>872</v>
      </c>
      <c r="S262" s="9" t="s">
        <v>454</v>
      </c>
      <c r="T262" s="9" t="s">
        <v>873</v>
      </c>
      <c r="U262" s="19" t="n">
        <v>100</v>
      </c>
      <c r="V262" s="9"/>
      <c r="W262" s="9"/>
      <c r="X262" s="9" t="s">
        <v>203</v>
      </c>
      <c r="Y262" s="23" t="n">
        <v>0.027</v>
      </c>
      <c r="Z262" s="23" t="n">
        <v>0.037</v>
      </c>
      <c r="AA262" s="23" t="n">
        <v>12</v>
      </c>
      <c r="AB262" s="9" t="s">
        <v>802</v>
      </c>
      <c r="AC262" s="9" t="s">
        <v>850</v>
      </c>
      <c r="AD262" s="23" t="s">
        <v>197</v>
      </c>
      <c r="AE262" s="23" t="s">
        <v>197</v>
      </c>
      <c r="AF262" s="23" t="s">
        <v>197</v>
      </c>
      <c r="AG262" s="23" t="s">
        <v>197</v>
      </c>
      <c r="AH262" s="23" t="s">
        <v>197</v>
      </c>
      <c r="AI262" s="23" t="s">
        <v>197</v>
      </c>
      <c r="AJ262" s="23" t="s">
        <v>197</v>
      </c>
      <c r="AK262" s="23" t="n">
        <v>15</v>
      </c>
      <c r="AL262" s="23" t="n">
        <v>90</v>
      </c>
      <c r="AM262" s="9" t="s">
        <v>292</v>
      </c>
      <c r="AN262" s="23" t="s">
        <v>197</v>
      </c>
      <c r="AO262" s="23" t="n">
        <v>2</v>
      </c>
      <c r="AP262" s="23" t="n">
        <v>3</v>
      </c>
    </row>
    <row r="263" customFormat="false" ht="21.75" hidden="false" customHeight="true" outlineLevel="0" collapsed="false">
      <c r="B263" s="14" t="n">
        <v>259</v>
      </c>
      <c r="C263" s="7" t="s">
        <v>44</v>
      </c>
      <c r="D263" s="7" t="s">
        <v>20</v>
      </c>
      <c r="E263" s="7" t="s">
        <v>118</v>
      </c>
      <c r="F263" s="7" t="s">
        <v>66</v>
      </c>
      <c r="G263" s="7" t="s">
        <v>878</v>
      </c>
      <c r="H263" s="7" t="s">
        <v>301</v>
      </c>
      <c r="I263" s="7" t="s">
        <v>869</v>
      </c>
      <c r="J263" s="7" t="s">
        <v>870</v>
      </c>
      <c r="K263" s="7" t="s">
        <v>250</v>
      </c>
      <c r="L263" s="7" t="s">
        <v>802</v>
      </c>
      <c r="M263" s="7" t="s">
        <v>251</v>
      </c>
      <c r="N263" s="7" t="s">
        <v>710</v>
      </c>
      <c r="O263" s="7" t="s">
        <v>189</v>
      </c>
      <c r="P263" s="7" t="s">
        <v>190</v>
      </c>
      <c r="Q263" s="7" t="s">
        <v>871</v>
      </c>
      <c r="R263" s="7" t="s">
        <v>872</v>
      </c>
      <c r="S263" s="7" t="s">
        <v>454</v>
      </c>
      <c r="T263" s="7" t="s">
        <v>873</v>
      </c>
      <c r="U263" s="18" t="n">
        <v>145</v>
      </c>
      <c r="V263" s="7"/>
      <c r="W263" s="7"/>
      <c r="X263" s="7" t="s">
        <v>205</v>
      </c>
      <c r="Y263" s="22" t="n">
        <v>0.025</v>
      </c>
      <c r="Z263" s="22" t="n">
        <v>0.035</v>
      </c>
      <c r="AA263" s="22" t="n">
        <v>12</v>
      </c>
      <c r="AB263" s="7" t="s">
        <v>802</v>
      </c>
      <c r="AC263" s="7" t="s">
        <v>850</v>
      </c>
      <c r="AD263" s="22" t="s">
        <v>197</v>
      </c>
      <c r="AE263" s="22" t="s">
        <v>197</v>
      </c>
      <c r="AF263" s="22" t="s">
        <v>197</v>
      </c>
      <c r="AG263" s="22" t="s">
        <v>197</v>
      </c>
      <c r="AH263" s="22" t="s">
        <v>197</v>
      </c>
      <c r="AI263" s="22" t="s">
        <v>197</v>
      </c>
      <c r="AJ263" s="22" t="s">
        <v>197</v>
      </c>
      <c r="AK263" s="22" t="n">
        <v>20</v>
      </c>
      <c r="AL263" s="22" t="n">
        <v>90</v>
      </c>
      <c r="AM263" s="7" t="s">
        <v>292</v>
      </c>
      <c r="AN263" s="22" t="s">
        <v>197</v>
      </c>
      <c r="AO263" s="22" t="n">
        <v>2</v>
      </c>
      <c r="AP263" s="22" t="n">
        <v>3</v>
      </c>
    </row>
    <row r="264" customFormat="false" ht="21.75" hidden="false" customHeight="true" outlineLevel="0" collapsed="false">
      <c r="B264" s="15" t="n">
        <v>260</v>
      </c>
      <c r="C264" s="9" t="s">
        <v>44</v>
      </c>
      <c r="D264" s="9" t="s">
        <v>20</v>
      </c>
      <c r="E264" s="9" t="s">
        <v>118</v>
      </c>
      <c r="F264" s="9" t="s">
        <v>67</v>
      </c>
      <c r="G264" s="9" t="s">
        <v>879</v>
      </c>
      <c r="H264" s="9" t="s">
        <v>303</v>
      </c>
      <c r="I264" s="9" t="s">
        <v>880</v>
      </c>
      <c r="J264" s="9" t="s">
        <v>881</v>
      </c>
      <c r="K264" s="9" t="s">
        <v>859</v>
      </c>
      <c r="L264" s="9" t="s">
        <v>802</v>
      </c>
      <c r="M264" s="9" t="s">
        <v>542</v>
      </c>
      <c r="N264" s="9" t="s">
        <v>543</v>
      </c>
      <c r="O264" s="9" t="s">
        <v>189</v>
      </c>
      <c r="P264" s="9" t="s">
        <v>190</v>
      </c>
      <c r="Q264" s="9" t="s">
        <v>882</v>
      </c>
      <c r="R264" s="9" t="s">
        <v>883</v>
      </c>
      <c r="S264" s="9" t="s">
        <v>454</v>
      </c>
      <c r="T264" s="9" t="s">
        <v>309</v>
      </c>
      <c r="U264" s="19" t="n">
        <v>19</v>
      </c>
      <c r="V264" s="9"/>
      <c r="W264" s="9"/>
      <c r="X264" s="9" t="s">
        <v>195</v>
      </c>
      <c r="Y264" s="23" t="n">
        <v>8.12E-006</v>
      </c>
      <c r="Z264" s="23" t="n">
        <v>1.897E-005</v>
      </c>
      <c r="AA264" s="23" t="n">
        <v>3</v>
      </c>
      <c r="AB264" s="9" t="s">
        <v>802</v>
      </c>
      <c r="AC264" s="9" t="s">
        <v>862</v>
      </c>
      <c r="AD264" s="23" t="s">
        <v>197</v>
      </c>
      <c r="AE264" s="23" t="s">
        <v>197</v>
      </c>
      <c r="AF264" s="23" t="s">
        <v>197</v>
      </c>
      <c r="AG264" s="23" t="s">
        <v>197</v>
      </c>
      <c r="AH264" s="23" t="s">
        <v>197</v>
      </c>
      <c r="AI264" s="23" t="s">
        <v>197</v>
      </c>
      <c r="AJ264" s="23" t="s">
        <v>197</v>
      </c>
      <c r="AK264" s="23" t="s">
        <v>197</v>
      </c>
      <c r="AL264" s="23" t="s">
        <v>197</v>
      </c>
      <c r="AM264" s="9" t="s">
        <v>310</v>
      </c>
      <c r="AN264" s="23" t="s">
        <v>197</v>
      </c>
      <c r="AO264" s="23" t="s">
        <v>197</v>
      </c>
      <c r="AP264" s="23" t="s">
        <v>197</v>
      </c>
    </row>
    <row r="265" customFormat="false" ht="21.75" hidden="false" customHeight="true" outlineLevel="0" collapsed="false">
      <c r="B265" s="14" t="n">
        <v>261</v>
      </c>
      <c r="C265" s="7" t="s">
        <v>44</v>
      </c>
      <c r="D265" s="7" t="s">
        <v>20</v>
      </c>
      <c r="E265" s="7" t="s">
        <v>118</v>
      </c>
      <c r="F265" s="7" t="s">
        <v>67</v>
      </c>
      <c r="G265" s="7" t="s">
        <v>884</v>
      </c>
      <c r="H265" s="7" t="s">
        <v>312</v>
      </c>
      <c r="I265" s="7" t="s">
        <v>880</v>
      </c>
      <c r="J265" s="7" t="s">
        <v>881</v>
      </c>
      <c r="K265" s="7" t="s">
        <v>859</v>
      </c>
      <c r="L265" s="7" t="s">
        <v>802</v>
      </c>
      <c r="M265" s="7" t="s">
        <v>542</v>
      </c>
      <c r="N265" s="7" t="s">
        <v>543</v>
      </c>
      <c r="O265" s="7" t="s">
        <v>189</v>
      </c>
      <c r="P265" s="7" t="s">
        <v>190</v>
      </c>
      <c r="Q265" s="7" t="s">
        <v>882</v>
      </c>
      <c r="R265" s="7" t="s">
        <v>883</v>
      </c>
      <c r="S265" s="7" t="s">
        <v>454</v>
      </c>
      <c r="T265" s="7" t="s">
        <v>309</v>
      </c>
      <c r="U265" s="18" t="n">
        <v>25</v>
      </c>
      <c r="V265" s="7"/>
      <c r="W265" s="7"/>
      <c r="X265" s="7" t="s">
        <v>199</v>
      </c>
      <c r="Y265" s="22" t="n">
        <v>1.198E-005</v>
      </c>
      <c r="Z265" s="22" t="n">
        <v>2.62E-005</v>
      </c>
      <c r="AA265" s="22" t="n">
        <v>3</v>
      </c>
      <c r="AB265" s="7" t="s">
        <v>802</v>
      </c>
      <c r="AC265" s="7" t="s">
        <v>862</v>
      </c>
      <c r="AD265" s="22" t="s">
        <v>197</v>
      </c>
      <c r="AE265" s="22" t="s">
        <v>197</v>
      </c>
      <c r="AF265" s="22" t="s">
        <v>197</v>
      </c>
      <c r="AG265" s="22" t="s">
        <v>197</v>
      </c>
      <c r="AH265" s="22" t="s">
        <v>197</v>
      </c>
      <c r="AI265" s="22" t="s">
        <v>197</v>
      </c>
      <c r="AJ265" s="22" t="s">
        <v>197</v>
      </c>
      <c r="AK265" s="22" t="s">
        <v>197</v>
      </c>
      <c r="AL265" s="22" t="s">
        <v>197</v>
      </c>
      <c r="AM265" s="7" t="s">
        <v>310</v>
      </c>
      <c r="AN265" s="22" t="s">
        <v>197</v>
      </c>
      <c r="AO265" s="22" t="s">
        <v>197</v>
      </c>
      <c r="AP265" s="22" t="s">
        <v>197</v>
      </c>
    </row>
    <row r="266" customFormat="false" ht="21.75" hidden="false" customHeight="true" outlineLevel="0" collapsed="false">
      <c r="B266" s="15" t="n">
        <v>262</v>
      </c>
      <c r="C266" s="9" t="s">
        <v>44</v>
      </c>
      <c r="D266" s="9" t="s">
        <v>20</v>
      </c>
      <c r="E266" s="9" t="s">
        <v>118</v>
      </c>
      <c r="F266" s="9" t="s">
        <v>67</v>
      </c>
      <c r="G266" s="9" t="s">
        <v>885</v>
      </c>
      <c r="H266" s="9" t="s">
        <v>314</v>
      </c>
      <c r="I266" s="9" t="s">
        <v>880</v>
      </c>
      <c r="J266" s="9" t="s">
        <v>881</v>
      </c>
      <c r="K266" s="9" t="s">
        <v>859</v>
      </c>
      <c r="L266" s="9" t="s">
        <v>802</v>
      </c>
      <c r="M266" s="9" t="s">
        <v>542</v>
      </c>
      <c r="N266" s="9" t="s">
        <v>543</v>
      </c>
      <c r="O266" s="9" t="s">
        <v>189</v>
      </c>
      <c r="P266" s="9" t="s">
        <v>190</v>
      </c>
      <c r="Q266" s="9" t="s">
        <v>882</v>
      </c>
      <c r="R266" s="9" t="s">
        <v>883</v>
      </c>
      <c r="S266" s="9" t="s">
        <v>454</v>
      </c>
      <c r="T266" s="9" t="s">
        <v>309</v>
      </c>
      <c r="U266" s="19" t="n">
        <v>35</v>
      </c>
      <c r="V266" s="9"/>
      <c r="W266" s="9"/>
      <c r="X266" s="9" t="s">
        <v>728</v>
      </c>
      <c r="Y266" s="23" t="n">
        <v>1.142E-005</v>
      </c>
      <c r="Z266" s="23" t="n">
        <v>2.517E-005</v>
      </c>
      <c r="AA266" s="23" t="n">
        <v>3</v>
      </c>
      <c r="AB266" s="9" t="s">
        <v>802</v>
      </c>
      <c r="AC266" s="9" t="s">
        <v>862</v>
      </c>
      <c r="AD266" s="23" t="s">
        <v>197</v>
      </c>
      <c r="AE266" s="23" t="s">
        <v>197</v>
      </c>
      <c r="AF266" s="23" t="s">
        <v>197</v>
      </c>
      <c r="AG266" s="23" t="s">
        <v>197</v>
      </c>
      <c r="AH266" s="23" t="s">
        <v>197</v>
      </c>
      <c r="AI266" s="23" t="s">
        <v>197</v>
      </c>
      <c r="AJ266" s="23" t="s">
        <v>197</v>
      </c>
      <c r="AK266" s="23" t="s">
        <v>197</v>
      </c>
      <c r="AL266" s="23" t="s">
        <v>197</v>
      </c>
      <c r="AM266" s="9" t="s">
        <v>310</v>
      </c>
      <c r="AN266" s="23" t="s">
        <v>197</v>
      </c>
      <c r="AO266" s="23" t="s">
        <v>197</v>
      </c>
      <c r="AP266" s="23" t="s">
        <v>197</v>
      </c>
    </row>
    <row r="267" customFormat="false" ht="21.75" hidden="false" customHeight="true" outlineLevel="0" collapsed="false">
      <c r="B267" s="14" t="n">
        <v>263</v>
      </c>
      <c r="C267" s="7" t="s">
        <v>44</v>
      </c>
      <c r="D267" s="7" t="s">
        <v>20</v>
      </c>
      <c r="E267" s="7" t="s">
        <v>118</v>
      </c>
      <c r="F267" s="7" t="s">
        <v>67</v>
      </c>
      <c r="G267" s="7" t="s">
        <v>886</v>
      </c>
      <c r="H267" s="7" t="s">
        <v>317</v>
      </c>
      <c r="I267" s="7" t="s">
        <v>880</v>
      </c>
      <c r="J267" s="7" t="s">
        <v>881</v>
      </c>
      <c r="K267" s="7" t="s">
        <v>859</v>
      </c>
      <c r="L267" s="7" t="s">
        <v>802</v>
      </c>
      <c r="M267" s="7" t="s">
        <v>542</v>
      </c>
      <c r="N267" s="7" t="s">
        <v>543</v>
      </c>
      <c r="O267" s="7" t="s">
        <v>189</v>
      </c>
      <c r="P267" s="7" t="s">
        <v>190</v>
      </c>
      <c r="Q267" s="7" t="s">
        <v>882</v>
      </c>
      <c r="R267" s="7" t="s">
        <v>883</v>
      </c>
      <c r="S267" s="7" t="s">
        <v>454</v>
      </c>
      <c r="T267" s="7" t="s">
        <v>309</v>
      </c>
      <c r="U267" s="18" t="n">
        <v>55</v>
      </c>
      <c r="V267" s="7"/>
      <c r="W267" s="7"/>
      <c r="X267" s="7" t="s">
        <v>203</v>
      </c>
      <c r="Y267" s="22" t="n">
        <v>7.22E-006</v>
      </c>
      <c r="Z267" s="22" t="n">
        <v>1.729E-005</v>
      </c>
      <c r="AA267" s="22" t="n">
        <v>3</v>
      </c>
      <c r="AB267" s="7" t="s">
        <v>802</v>
      </c>
      <c r="AC267" s="7" t="s">
        <v>862</v>
      </c>
      <c r="AD267" s="22" t="s">
        <v>197</v>
      </c>
      <c r="AE267" s="22" t="s">
        <v>197</v>
      </c>
      <c r="AF267" s="22" t="s">
        <v>197</v>
      </c>
      <c r="AG267" s="22" t="s">
        <v>197</v>
      </c>
      <c r="AH267" s="22" t="s">
        <v>197</v>
      </c>
      <c r="AI267" s="22" t="s">
        <v>197</v>
      </c>
      <c r="AJ267" s="22" t="s">
        <v>197</v>
      </c>
      <c r="AK267" s="22" t="s">
        <v>197</v>
      </c>
      <c r="AL267" s="22" t="s">
        <v>197</v>
      </c>
      <c r="AM267" s="7" t="s">
        <v>310</v>
      </c>
      <c r="AN267" s="22" t="s">
        <v>197</v>
      </c>
      <c r="AO267" s="22" t="s">
        <v>197</v>
      </c>
      <c r="AP267" s="22" t="s">
        <v>197</v>
      </c>
    </row>
    <row r="268" customFormat="false" ht="21.75" hidden="false" customHeight="true" outlineLevel="0" collapsed="false">
      <c r="B268" s="15" t="n">
        <v>264</v>
      </c>
      <c r="C268" s="9" t="s">
        <v>44</v>
      </c>
      <c r="D268" s="9" t="s">
        <v>20</v>
      </c>
      <c r="E268" s="9" t="s">
        <v>118</v>
      </c>
      <c r="F268" s="9" t="s">
        <v>67</v>
      </c>
      <c r="G268" s="9" t="s">
        <v>887</v>
      </c>
      <c r="H268" s="9" t="s">
        <v>319</v>
      </c>
      <c r="I268" s="9" t="s">
        <v>880</v>
      </c>
      <c r="J268" s="9" t="s">
        <v>881</v>
      </c>
      <c r="K268" s="9" t="s">
        <v>859</v>
      </c>
      <c r="L268" s="9" t="s">
        <v>802</v>
      </c>
      <c r="M268" s="9" t="s">
        <v>542</v>
      </c>
      <c r="N268" s="9" t="s">
        <v>543</v>
      </c>
      <c r="O268" s="9" t="s">
        <v>189</v>
      </c>
      <c r="P268" s="9" t="s">
        <v>190</v>
      </c>
      <c r="Q268" s="9" t="s">
        <v>882</v>
      </c>
      <c r="R268" s="9" t="s">
        <v>883</v>
      </c>
      <c r="S268" s="9" t="s">
        <v>454</v>
      </c>
      <c r="T268" s="9" t="s">
        <v>309</v>
      </c>
      <c r="U268" s="19" t="n">
        <v>80</v>
      </c>
      <c r="V268" s="9"/>
      <c r="W268" s="9"/>
      <c r="X268" s="9" t="s">
        <v>205</v>
      </c>
      <c r="Y268" s="23" t="n">
        <v>1.365E-005</v>
      </c>
      <c r="Z268" s="23" t="n">
        <v>2.934E-005</v>
      </c>
      <c r="AA268" s="23" t="n">
        <v>3</v>
      </c>
      <c r="AB268" s="9" t="s">
        <v>802</v>
      </c>
      <c r="AC268" s="9" t="s">
        <v>862</v>
      </c>
      <c r="AD268" s="23" t="s">
        <v>197</v>
      </c>
      <c r="AE268" s="23" t="s">
        <v>197</v>
      </c>
      <c r="AF268" s="23" t="s">
        <v>197</v>
      </c>
      <c r="AG268" s="23" t="s">
        <v>197</v>
      </c>
      <c r="AH268" s="23" t="s">
        <v>197</v>
      </c>
      <c r="AI268" s="23" t="s">
        <v>197</v>
      </c>
      <c r="AJ268" s="23" t="s">
        <v>197</v>
      </c>
      <c r="AK268" s="23" t="s">
        <v>197</v>
      </c>
      <c r="AL268" s="23" t="s">
        <v>197</v>
      </c>
      <c r="AM268" s="9" t="s">
        <v>310</v>
      </c>
      <c r="AN268" s="23" t="s">
        <v>197</v>
      </c>
      <c r="AO268" s="23" t="s">
        <v>197</v>
      </c>
      <c r="AP268" s="23" t="s">
        <v>197</v>
      </c>
    </row>
    <row r="269" customFormat="false" ht="21.75" hidden="false" customHeight="true" outlineLevel="0" collapsed="false">
      <c r="B269" s="14" t="n">
        <v>265</v>
      </c>
      <c r="C269" s="7" t="s">
        <v>44</v>
      </c>
      <c r="D269" s="7" t="s">
        <v>20</v>
      </c>
      <c r="E269" s="7" t="s">
        <v>118</v>
      </c>
      <c r="F269" s="7" t="s">
        <v>68</v>
      </c>
      <c r="G269" s="7" t="s">
        <v>888</v>
      </c>
      <c r="H269" s="7" t="s">
        <v>321</v>
      </c>
      <c r="I269" s="7" t="s">
        <v>889</v>
      </c>
      <c r="J269" s="7" t="s">
        <v>890</v>
      </c>
      <c r="K269" s="7" t="s">
        <v>250</v>
      </c>
      <c r="L269" s="7" t="s">
        <v>802</v>
      </c>
      <c r="M269" s="7" t="s">
        <v>251</v>
      </c>
      <c r="N269" s="7" t="s">
        <v>687</v>
      </c>
      <c r="O269" s="7" t="s">
        <v>189</v>
      </c>
      <c r="P269" s="7" t="s">
        <v>190</v>
      </c>
      <c r="Q269" s="7" t="s">
        <v>891</v>
      </c>
      <c r="R269" s="7" t="s">
        <v>892</v>
      </c>
      <c r="S269" s="7" t="s">
        <v>454</v>
      </c>
      <c r="T269" s="7" t="s">
        <v>893</v>
      </c>
      <c r="U269" s="18" t="n">
        <v>20</v>
      </c>
      <c r="V269" s="7"/>
      <c r="W269" s="7"/>
      <c r="X269" s="7" t="s">
        <v>195</v>
      </c>
      <c r="Y269" s="22" t="n">
        <v>0.018</v>
      </c>
      <c r="Z269" s="22" t="n">
        <v>0.028</v>
      </c>
      <c r="AA269" s="22" t="n">
        <v>12</v>
      </c>
      <c r="AB269" s="7" t="s">
        <v>802</v>
      </c>
      <c r="AC269" s="7" t="s">
        <v>850</v>
      </c>
      <c r="AD269" s="22" t="s">
        <v>197</v>
      </c>
      <c r="AE269" s="22" t="s">
        <v>197</v>
      </c>
      <c r="AF269" s="22" t="s">
        <v>197</v>
      </c>
      <c r="AG269" s="22" t="s">
        <v>197</v>
      </c>
      <c r="AH269" s="22" t="s">
        <v>197</v>
      </c>
      <c r="AI269" s="22" t="s">
        <v>197</v>
      </c>
      <c r="AJ269" s="22" t="n">
        <v>6</v>
      </c>
      <c r="AK269" s="22" t="s">
        <v>197</v>
      </c>
      <c r="AL269" s="22" t="s">
        <v>197</v>
      </c>
      <c r="AM269" s="7" t="s">
        <v>328</v>
      </c>
      <c r="AN269" s="22" t="s">
        <v>197</v>
      </c>
      <c r="AO269" s="22" t="n">
        <v>2</v>
      </c>
      <c r="AP269" s="22" t="n">
        <v>4.6</v>
      </c>
    </row>
    <row r="270" customFormat="false" ht="21.75" hidden="false" customHeight="true" outlineLevel="0" collapsed="false">
      <c r="B270" s="15" t="n">
        <v>266</v>
      </c>
      <c r="C270" s="9" t="s">
        <v>44</v>
      </c>
      <c r="D270" s="9" t="s">
        <v>20</v>
      </c>
      <c r="E270" s="9" t="s">
        <v>118</v>
      </c>
      <c r="F270" s="9" t="s">
        <v>68</v>
      </c>
      <c r="G270" s="9" t="s">
        <v>894</v>
      </c>
      <c r="H270" s="9" t="s">
        <v>330</v>
      </c>
      <c r="I270" s="9" t="s">
        <v>889</v>
      </c>
      <c r="J270" s="9" t="s">
        <v>890</v>
      </c>
      <c r="K270" s="9" t="s">
        <v>250</v>
      </c>
      <c r="L270" s="9" t="s">
        <v>802</v>
      </c>
      <c r="M270" s="9" t="s">
        <v>251</v>
      </c>
      <c r="N270" s="9" t="s">
        <v>687</v>
      </c>
      <c r="O270" s="9" t="s">
        <v>189</v>
      </c>
      <c r="P270" s="9" t="s">
        <v>190</v>
      </c>
      <c r="Q270" s="9" t="s">
        <v>891</v>
      </c>
      <c r="R270" s="9" t="s">
        <v>892</v>
      </c>
      <c r="S270" s="9" t="s">
        <v>454</v>
      </c>
      <c r="T270" s="9" t="s">
        <v>893</v>
      </c>
      <c r="U270" s="19" t="n">
        <v>30</v>
      </c>
      <c r="V270" s="9"/>
      <c r="W270" s="9"/>
      <c r="X270" s="9" t="s">
        <v>199</v>
      </c>
      <c r="Y270" s="23" t="n">
        <v>0.017</v>
      </c>
      <c r="Z270" s="23" t="n">
        <v>0.026</v>
      </c>
      <c r="AA270" s="23" t="n">
        <v>12</v>
      </c>
      <c r="AB270" s="9" t="s">
        <v>802</v>
      </c>
      <c r="AC270" s="9" t="s">
        <v>850</v>
      </c>
      <c r="AD270" s="23" t="s">
        <v>197</v>
      </c>
      <c r="AE270" s="23" t="s">
        <v>197</v>
      </c>
      <c r="AF270" s="23" t="s">
        <v>197</v>
      </c>
      <c r="AG270" s="23" t="s">
        <v>197</v>
      </c>
      <c r="AH270" s="23" t="s">
        <v>197</v>
      </c>
      <c r="AI270" s="23" t="s">
        <v>197</v>
      </c>
      <c r="AJ270" s="23" t="n">
        <v>7.6</v>
      </c>
      <c r="AK270" s="23" t="s">
        <v>197</v>
      </c>
      <c r="AL270" s="23" t="s">
        <v>197</v>
      </c>
      <c r="AM270" s="9" t="s">
        <v>328</v>
      </c>
      <c r="AN270" s="23" t="s">
        <v>197</v>
      </c>
      <c r="AO270" s="23" t="n">
        <v>2</v>
      </c>
      <c r="AP270" s="23" t="n">
        <v>4.6</v>
      </c>
    </row>
    <row r="271" customFormat="false" ht="21.75" hidden="false" customHeight="true" outlineLevel="0" collapsed="false">
      <c r="B271" s="14" t="n">
        <v>267</v>
      </c>
      <c r="C271" s="7" t="s">
        <v>44</v>
      </c>
      <c r="D271" s="7" t="s">
        <v>20</v>
      </c>
      <c r="E271" s="7" t="s">
        <v>118</v>
      </c>
      <c r="F271" s="7" t="s">
        <v>68</v>
      </c>
      <c r="G271" s="7" t="s">
        <v>895</v>
      </c>
      <c r="H271" s="7" t="s">
        <v>332</v>
      </c>
      <c r="I271" s="7" t="s">
        <v>889</v>
      </c>
      <c r="J271" s="7" t="s">
        <v>890</v>
      </c>
      <c r="K271" s="7" t="s">
        <v>250</v>
      </c>
      <c r="L271" s="7" t="s">
        <v>802</v>
      </c>
      <c r="M271" s="7" t="s">
        <v>251</v>
      </c>
      <c r="N271" s="7" t="s">
        <v>687</v>
      </c>
      <c r="O271" s="7" t="s">
        <v>189</v>
      </c>
      <c r="P271" s="7" t="s">
        <v>190</v>
      </c>
      <c r="Q271" s="7" t="s">
        <v>891</v>
      </c>
      <c r="R271" s="7" t="s">
        <v>892</v>
      </c>
      <c r="S271" s="7" t="s">
        <v>454</v>
      </c>
      <c r="T271" s="7" t="s">
        <v>893</v>
      </c>
      <c r="U271" s="18" t="n">
        <v>40</v>
      </c>
      <c r="V271" s="7"/>
      <c r="W271" s="7"/>
      <c r="X271" s="7" t="s">
        <v>896</v>
      </c>
      <c r="Y271" s="22" t="n">
        <v>0.019</v>
      </c>
      <c r="Z271" s="22" t="n">
        <v>0.029</v>
      </c>
      <c r="AA271" s="22" t="n">
        <v>12</v>
      </c>
      <c r="AB271" s="7" t="s">
        <v>802</v>
      </c>
      <c r="AC271" s="7" t="s">
        <v>850</v>
      </c>
      <c r="AD271" s="22" t="s">
        <v>197</v>
      </c>
      <c r="AE271" s="22" t="s">
        <v>197</v>
      </c>
      <c r="AF271" s="22" t="s">
        <v>197</v>
      </c>
      <c r="AG271" s="22" t="s">
        <v>197</v>
      </c>
      <c r="AH271" s="22" t="s">
        <v>197</v>
      </c>
      <c r="AI271" s="22" t="s">
        <v>197</v>
      </c>
      <c r="AJ271" s="22" t="n">
        <v>7.6</v>
      </c>
      <c r="AK271" s="22" t="s">
        <v>197</v>
      </c>
      <c r="AL271" s="22" t="s">
        <v>197</v>
      </c>
      <c r="AM271" s="7" t="s">
        <v>328</v>
      </c>
      <c r="AN271" s="22" t="s">
        <v>197</v>
      </c>
      <c r="AO271" s="22" t="n">
        <v>2</v>
      </c>
      <c r="AP271" s="22" t="n">
        <v>4.6</v>
      </c>
    </row>
    <row r="272" customFormat="false" ht="21.75" hidden="false" customHeight="true" outlineLevel="0" collapsed="false">
      <c r="B272" s="15" t="n">
        <v>268</v>
      </c>
      <c r="C272" s="9" t="s">
        <v>44</v>
      </c>
      <c r="D272" s="9" t="s">
        <v>20</v>
      </c>
      <c r="E272" s="9" t="s">
        <v>118</v>
      </c>
      <c r="F272" s="9" t="s">
        <v>68</v>
      </c>
      <c r="G272" s="9" t="s">
        <v>897</v>
      </c>
      <c r="H272" s="9" t="s">
        <v>335</v>
      </c>
      <c r="I272" s="9" t="s">
        <v>889</v>
      </c>
      <c r="J272" s="9" t="s">
        <v>890</v>
      </c>
      <c r="K272" s="9" t="s">
        <v>250</v>
      </c>
      <c r="L272" s="9" t="s">
        <v>802</v>
      </c>
      <c r="M272" s="9" t="s">
        <v>251</v>
      </c>
      <c r="N272" s="9" t="s">
        <v>687</v>
      </c>
      <c r="O272" s="9" t="s">
        <v>189</v>
      </c>
      <c r="P272" s="9" t="s">
        <v>190</v>
      </c>
      <c r="Q272" s="9" t="s">
        <v>891</v>
      </c>
      <c r="R272" s="9" t="s">
        <v>892</v>
      </c>
      <c r="S272" s="9" t="s">
        <v>454</v>
      </c>
      <c r="T272" s="9" t="s">
        <v>893</v>
      </c>
      <c r="U272" s="19" t="n">
        <v>60</v>
      </c>
      <c r="V272" s="9"/>
      <c r="W272" s="9"/>
      <c r="X272" s="9" t="s">
        <v>203</v>
      </c>
      <c r="Y272" s="23" t="n">
        <v>0.017</v>
      </c>
      <c r="Z272" s="23" t="n">
        <v>0.026</v>
      </c>
      <c r="AA272" s="23" t="n">
        <v>12</v>
      </c>
      <c r="AB272" s="9" t="s">
        <v>802</v>
      </c>
      <c r="AC272" s="9" t="s">
        <v>850</v>
      </c>
      <c r="AD272" s="23" t="s">
        <v>197</v>
      </c>
      <c r="AE272" s="23" t="s">
        <v>197</v>
      </c>
      <c r="AF272" s="23" t="s">
        <v>197</v>
      </c>
      <c r="AG272" s="23" t="s">
        <v>197</v>
      </c>
      <c r="AH272" s="23" t="s">
        <v>197</v>
      </c>
      <c r="AI272" s="23" t="s">
        <v>197</v>
      </c>
      <c r="AJ272" s="23" t="n">
        <v>9</v>
      </c>
      <c r="AK272" s="23" t="s">
        <v>197</v>
      </c>
      <c r="AL272" s="23" t="s">
        <v>197</v>
      </c>
      <c r="AM272" s="9" t="s">
        <v>328</v>
      </c>
      <c r="AN272" s="23" t="s">
        <v>197</v>
      </c>
      <c r="AO272" s="23" t="n">
        <v>2</v>
      </c>
      <c r="AP272" s="23" t="n">
        <v>4.6</v>
      </c>
    </row>
    <row r="273" customFormat="false" ht="21.75" hidden="false" customHeight="true" outlineLevel="0" collapsed="false">
      <c r="B273" s="14" t="n">
        <v>269</v>
      </c>
      <c r="C273" s="7" t="s">
        <v>44</v>
      </c>
      <c r="D273" s="7" t="s">
        <v>20</v>
      </c>
      <c r="E273" s="7" t="s">
        <v>118</v>
      </c>
      <c r="F273" s="7" t="s">
        <v>68</v>
      </c>
      <c r="G273" s="7" t="s">
        <v>898</v>
      </c>
      <c r="H273" s="7" t="s">
        <v>337</v>
      </c>
      <c r="I273" s="7" t="s">
        <v>889</v>
      </c>
      <c r="J273" s="7" t="s">
        <v>890</v>
      </c>
      <c r="K273" s="7" t="s">
        <v>250</v>
      </c>
      <c r="L273" s="7" t="s">
        <v>802</v>
      </c>
      <c r="M273" s="7" t="s">
        <v>251</v>
      </c>
      <c r="N273" s="7" t="s">
        <v>687</v>
      </c>
      <c r="O273" s="7" t="s">
        <v>189</v>
      </c>
      <c r="P273" s="7" t="s">
        <v>190</v>
      </c>
      <c r="Q273" s="7" t="s">
        <v>891</v>
      </c>
      <c r="R273" s="7" t="s">
        <v>892</v>
      </c>
      <c r="S273" s="7" t="s">
        <v>454</v>
      </c>
      <c r="T273" s="7" t="s">
        <v>893</v>
      </c>
      <c r="U273" s="18" t="n">
        <v>90</v>
      </c>
      <c r="V273" s="7"/>
      <c r="W273" s="7"/>
      <c r="X273" s="7" t="s">
        <v>205</v>
      </c>
      <c r="Y273" s="22" t="n">
        <v>0.013</v>
      </c>
      <c r="Z273" s="22" t="n">
        <v>0.021</v>
      </c>
      <c r="AA273" s="22" t="n">
        <v>12</v>
      </c>
      <c r="AB273" s="7" t="s">
        <v>802</v>
      </c>
      <c r="AC273" s="7" t="s">
        <v>850</v>
      </c>
      <c r="AD273" s="22" t="s">
        <v>197</v>
      </c>
      <c r="AE273" s="22" t="s">
        <v>197</v>
      </c>
      <c r="AF273" s="22" t="s">
        <v>197</v>
      </c>
      <c r="AG273" s="22" t="s">
        <v>197</v>
      </c>
      <c r="AH273" s="22" t="s">
        <v>197</v>
      </c>
      <c r="AI273" s="22" t="s">
        <v>197</v>
      </c>
      <c r="AJ273" s="22" t="n">
        <v>9</v>
      </c>
      <c r="AK273" s="22" t="s">
        <v>197</v>
      </c>
      <c r="AL273" s="22" t="s">
        <v>197</v>
      </c>
      <c r="AM273" s="7" t="s">
        <v>328</v>
      </c>
      <c r="AN273" s="22" t="s">
        <v>197</v>
      </c>
      <c r="AO273" s="22" t="n">
        <v>2</v>
      </c>
      <c r="AP273" s="22" t="n">
        <v>4.6</v>
      </c>
    </row>
    <row r="274" customFormat="false" ht="21.75" hidden="false" customHeight="true" outlineLevel="0" collapsed="false">
      <c r="B274" s="15" t="n">
        <v>270</v>
      </c>
      <c r="C274" s="9" t="s">
        <v>44</v>
      </c>
      <c r="D274" s="9" t="s">
        <v>20</v>
      </c>
      <c r="E274" s="9" t="s">
        <v>118</v>
      </c>
      <c r="F274" s="9" t="s">
        <v>69</v>
      </c>
      <c r="G274" s="9" t="s">
        <v>899</v>
      </c>
      <c r="H274" s="9" t="s">
        <v>339</v>
      </c>
      <c r="I274" s="9" t="s">
        <v>900</v>
      </c>
      <c r="J274" s="9" t="s">
        <v>565</v>
      </c>
      <c r="K274" s="9" t="s">
        <v>342</v>
      </c>
      <c r="L274" s="9" t="s">
        <v>802</v>
      </c>
      <c r="M274" s="9" t="s">
        <v>251</v>
      </c>
      <c r="N274" s="9" t="s">
        <v>901</v>
      </c>
      <c r="O274" s="9" t="s">
        <v>345</v>
      </c>
      <c r="P274" s="9" t="s">
        <v>190</v>
      </c>
      <c r="Q274" s="9" t="s">
        <v>902</v>
      </c>
      <c r="R274" s="9" t="s">
        <v>568</v>
      </c>
      <c r="S274" s="9" t="s">
        <v>454</v>
      </c>
      <c r="T274" s="9" t="s">
        <v>348</v>
      </c>
      <c r="U274" s="19" t="n">
        <v>25</v>
      </c>
      <c r="V274" s="9"/>
      <c r="W274" s="9"/>
      <c r="X274" s="9" t="s">
        <v>195</v>
      </c>
      <c r="Y274" s="23" t="n">
        <v>0.01</v>
      </c>
      <c r="Z274" s="23" t="n">
        <v>0.477</v>
      </c>
      <c r="AA274" s="23" t="n">
        <v>12</v>
      </c>
      <c r="AB274" s="9" t="s">
        <v>802</v>
      </c>
      <c r="AC274" s="9" t="s">
        <v>850</v>
      </c>
      <c r="AD274" s="23" t="s">
        <v>197</v>
      </c>
      <c r="AE274" s="23" t="s">
        <v>197</v>
      </c>
      <c r="AF274" s="23" t="s">
        <v>197</v>
      </c>
      <c r="AG274" s="23" t="s">
        <v>197</v>
      </c>
      <c r="AH274" s="23" t="s">
        <v>197</v>
      </c>
      <c r="AI274" s="23" t="s">
        <v>197</v>
      </c>
      <c r="AJ274" s="23" t="s">
        <v>197</v>
      </c>
      <c r="AK274" s="23" t="s">
        <v>197</v>
      </c>
      <c r="AL274" s="23" t="s">
        <v>197</v>
      </c>
      <c r="AM274" s="9" t="s">
        <v>197</v>
      </c>
      <c r="AN274" s="23" t="n">
        <v>23</v>
      </c>
      <c r="AO274" s="23" t="n">
        <v>2.5</v>
      </c>
      <c r="AP274" s="23" t="n">
        <v>4.5</v>
      </c>
    </row>
    <row r="275" customFormat="false" ht="21.75" hidden="false" customHeight="true" outlineLevel="0" collapsed="false">
      <c r="B275" s="14" t="n">
        <v>271</v>
      </c>
      <c r="C275" s="7" t="s">
        <v>44</v>
      </c>
      <c r="D275" s="7" t="s">
        <v>20</v>
      </c>
      <c r="E275" s="7" t="s">
        <v>118</v>
      </c>
      <c r="F275" s="7" t="s">
        <v>69</v>
      </c>
      <c r="G275" s="7" t="s">
        <v>903</v>
      </c>
      <c r="H275" s="7" t="s">
        <v>350</v>
      </c>
      <c r="I275" s="7" t="s">
        <v>900</v>
      </c>
      <c r="J275" s="7" t="s">
        <v>565</v>
      </c>
      <c r="K275" s="7" t="s">
        <v>342</v>
      </c>
      <c r="L275" s="7" t="s">
        <v>802</v>
      </c>
      <c r="M275" s="7" t="s">
        <v>251</v>
      </c>
      <c r="N275" s="7" t="s">
        <v>901</v>
      </c>
      <c r="O275" s="7" t="s">
        <v>345</v>
      </c>
      <c r="P275" s="7" t="s">
        <v>190</v>
      </c>
      <c r="Q275" s="7" t="s">
        <v>902</v>
      </c>
      <c r="R275" s="7" t="s">
        <v>568</v>
      </c>
      <c r="S275" s="7" t="s">
        <v>454</v>
      </c>
      <c r="T275" s="7" t="s">
        <v>348</v>
      </c>
      <c r="U275" s="18" t="n">
        <v>40</v>
      </c>
      <c r="V275" s="7"/>
      <c r="W275" s="7"/>
      <c r="X275" s="7" t="s">
        <v>199</v>
      </c>
      <c r="Y275" s="22" t="n">
        <v>0.01</v>
      </c>
      <c r="Z275" s="22" t="n">
        <v>0.463</v>
      </c>
      <c r="AA275" s="22" t="n">
        <v>12</v>
      </c>
      <c r="AB275" s="7" t="s">
        <v>802</v>
      </c>
      <c r="AC275" s="7" t="s">
        <v>850</v>
      </c>
      <c r="AD275" s="22" t="s">
        <v>197</v>
      </c>
      <c r="AE275" s="22" t="s">
        <v>197</v>
      </c>
      <c r="AF275" s="22" t="s">
        <v>197</v>
      </c>
      <c r="AG275" s="22" t="s">
        <v>197</v>
      </c>
      <c r="AH275" s="22" t="s">
        <v>197</v>
      </c>
      <c r="AI275" s="22" t="s">
        <v>197</v>
      </c>
      <c r="AJ275" s="22" t="s">
        <v>197</v>
      </c>
      <c r="AK275" s="22" t="s">
        <v>197</v>
      </c>
      <c r="AL275" s="22" t="s">
        <v>197</v>
      </c>
      <c r="AM275" s="7" t="s">
        <v>197</v>
      </c>
      <c r="AN275" s="22" t="n">
        <v>22.4</v>
      </c>
      <c r="AO275" s="22" t="n">
        <v>2.5</v>
      </c>
      <c r="AP275" s="22" t="n">
        <v>4.5</v>
      </c>
    </row>
    <row r="276" customFormat="false" ht="21.75" hidden="false" customHeight="true" outlineLevel="0" collapsed="false">
      <c r="B276" s="15" t="n">
        <v>272</v>
      </c>
      <c r="C276" s="9" t="s">
        <v>44</v>
      </c>
      <c r="D276" s="9" t="s">
        <v>20</v>
      </c>
      <c r="E276" s="9" t="s">
        <v>118</v>
      </c>
      <c r="F276" s="9" t="s">
        <v>69</v>
      </c>
      <c r="G276" s="9" t="s">
        <v>904</v>
      </c>
      <c r="H276" s="9" t="s">
        <v>352</v>
      </c>
      <c r="I276" s="9" t="s">
        <v>900</v>
      </c>
      <c r="J276" s="9" t="s">
        <v>565</v>
      </c>
      <c r="K276" s="9" t="s">
        <v>342</v>
      </c>
      <c r="L276" s="9" t="s">
        <v>802</v>
      </c>
      <c r="M276" s="9" t="s">
        <v>251</v>
      </c>
      <c r="N276" s="9" t="s">
        <v>901</v>
      </c>
      <c r="O276" s="9" t="s">
        <v>345</v>
      </c>
      <c r="P276" s="9" t="s">
        <v>190</v>
      </c>
      <c r="Q276" s="9" t="s">
        <v>902</v>
      </c>
      <c r="R276" s="9" t="s">
        <v>568</v>
      </c>
      <c r="S276" s="9" t="s">
        <v>454</v>
      </c>
      <c r="T276" s="9" t="s">
        <v>348</v>
      </c>
      <c r="U276" s="19" t="n">
        <v>55</v>
      </c>
      <c r="V276" s="9"/>
      <c r="W276" s="9"/>
      <c r="X276" s="9" t="s">
        <v>905</v>
      </c>
      <c r="Y276" s="23" t="n">
        <v>0.005</v>
      </c>
      <c r="Z276" s="23" t="n">
        <v>0.292</v>
      </c>
      <c r="AA276" s="23" t="n">
        <v>12</v>
      </c>
      <c r="AB276" s="9" t="s">
        <v>802</v>
      </c>
      <c r="AC276" s="9" t="s">
        <v>850</v>
      </c>
      <c r="AD276" s="23" t="s">
        <v>197</v>
      </c>
      <c r="AE276" s="23" t="s">
        <v>197</v>
      </c>
      <c r="AF276" s="23" t="s">
        <v>197</v>
      </c>
      <c r="AG276" s="23" t="s">
        <v>197</v>
      </c>
      <c r="AH276" s="23" t="s">
        <v>197</v>
      </c>
      <c r="AI276" s="23" t="s">
        <v>197</v>
      </c>
      <c r="AJ276" s="23" t="s">
        <v>197</v>
      </c>
      <c r="AK276" s="23" t="s">
        <v>197</v>
      </c>
      <c r="AL276" s="23" t="s">
        <v>197</v>
      </c>
      <c r="AM276" s="9" t="s">
        <v>197</v>
      </c>
      <c r="AN276" s="23" t="n">
        <v>15.5</v>
      </c>
      <c r="AO276" s="23" t="n">
        <v>2.5</v>
      </c>
      <c r="AP276" s="23" t="n">
        <v>4.5</v>
      </c>
    </row>
    <row r="277" customFormat="false" ht="21.75" hidden="false" customHeight="true" outlineLevel="0" collapsed="false">
      <c r="B277" s="14" t="n">
        <v>273</v>
      </c>
      <c r="C277" s="7" t="s">
        <v>44</v>
      </c>
      <c r="D277" s="7" t="s">
        <v>20</v>
      </c>
      <c r="E277" s="7" t="s">
        <v>118</v>
      </c>
      <c r="F277" s="7" t="s">
        <v>69</v>
      </c>
      <c r="G277" s="7" t="s">
        <v>906</v>
      </c>
      <c r="H277" s="7" t="s">
        <v>355</v>
      </c>
      <c r="I277" s="7" t="s">
        <v>900</v>
      </c>
      <c r="J277" s="7" t="s">
        <v>565</v>
      </c>
      <c r="K277" s="7" t="s">
        <v>342</v>
      </c>
      <c r="L277" s="7" t="s">
        <v>802</v>
      </c>
      <c r="M277" s="7" t="s">
        <v>251</v>
      </c>
      <c r="N277" s="7" t="s">
        <v>901</v>
      </c>
      <c r="O277" s="7" t="s">
        <v>345</v>
      </c>
      <c r="P277" s="7" t="s">
        <v>190</v>
      </c>
      <c r="Q277" s="7" t="s">
        <v>902</v>
      </c>
      <c r="R277" s="7" t="s">
        <v>568</v>
      </c>
      <c r="S277" s="7" t="s">
        <v>454</v>
      </c>
      <c r="T277" s="7" t="s">
        <v>348</v>
      </c>
      <c r="U277" s="18" t="n">
        <v>85</v>
      </c>
      <c r="V277" s="7"/>
      <c r="W277" s="7"/>
      <c r="X277" s="7" t="s">
        <v>203</v>
      </c>
      <c r="Y277" s="22" t="n">
        <v>0.012</v>
      </c>
      <c r="Z277" s="22" t="n">
        <v>0.533</v>
      </c>
      <c r="AA277" s="22" t="n">
        <v>12</v>
      </c>
      <c r="AB277" s="7" t="s">
        <v>802</v>
      </c>
      <c r="AC277" s="7" t="s">
        <v>850</v>
      </c>
      <c r="AD277" s="22" t="s">
        <v>197</v>
      </c>
      <c r="AE277" s="22" t="s">
        <v>197</v>
      </c>
      <c r="AF277" s="22" t="s">
        <v>197</v>
      </c>
      <c r="AG277" s="22" t="s">
        <v>197</v>
      </c>
      <c r="AH277" s="22" t="s">
        <v>197</v>
      </c>
      <c r="AI277" s="22" t="s">
        <v>197</v>
      </c>
      <c r="AJ277" s="22" t="s">
        <v>197</v>
      </c>
      <c r="AK277" s="22" t="s">
        <v>197</v>
      </c>
      <c r="AL277" s="22" t="s">
        <v>197</v>
      </c>
      <c r="AM277" s="7" t="s">
        <v>197</v>
      </c>
      <c r="AN277" s="22" t="n">
        <v>25.3</v>
      </c>
      <c r="AO277" s="22" t="n">
        <v>2.5</v>
      </c>
      <c r="AP277" s="22" t="n">
        <v>4.5</v>
      </c>
    </row>
    <row r="278" customFormat="false" ht="21.75" hidden="false" customHeight="true" outlineLevel="0" collapsed="false">
      <c r="B278" s="15" t="n">
        <v>274</v>
      </c>
      <c r="C278" s="9" t="s">
        <v>44</v>
      </c>
      <c r="D278" s="9" t="s">
        <v>20</v>
      </c>
      <c r="E278" s="9" t="s">
        <v>118</v>
      </c>
      <c r="F278" s="9" t="s">
        <v>69</v>
      </c>
      <c r="G278" s="9" t="s">
        <v>907</v>
      </c>
      <c r="H278" s="9" t="s">
        <v>357</v>
      </c>
      <c r="I278" s="9" t="s">
        <v>900</v>
      </c>
      <c r="J278" s="9" t="s">
        <v>565</v>
      </c>
      <c r="K278" s="9" t="s">
        <v>342</v>
      </c>
      <c r="L278" s="9" t="s">
        <v>802</v>
      </c>
      <c r="M278" s="9" t="s">
        <v>251</v>
      </c>
      <c r="N278" s="9" t="s">
        <v>901</v>
      </c>
      <c r="O278" s="9" t="s">
        <v>345</v>
      </c>
      <c r="P278" s="9" t="s">
        <v>190</v>
      </c>
      <c r="Q278" s="9" t="s">
        <v>902</v>
      </c>
      <c r="R278" s="9" t="s">
        <v>568</v>
      </c>
      <c r="S278" s="9" t="s">
        <v>454</v>
      </c>
      <c r="T278" s="9" t="s">
        <v>348</v>
      </c>
      <c r="U278" s="19" t="n">
        <v>125</v>
      </c>
      <c r="V278" s="9"/>
      <c r="W278" s="9"/>
      <c r="X278" s="9" t="s">
        <v>205</v>
      </c>
      <c r="Y278" s="23" t="n">
        <v>0.011</v>
      </c>
      <c r="Z278" s="23" t="n">
        <v>0.518</v>
      </c>
      <c r="AA278" s="23" t="n">
        <v>12</v>
      </c>
      <c r="AB278" s="9" t="s">
        <v>802</v>
      </c>
      <c r="AC278" s="9" t="s">
        <v>850</v>
      </c>
      <c r="AD278" s="23" t="s">
        <v>197</v>
      </c>
      <c r="AE278" s="23" t="s">
        <v>197</v>
      </c>
      <c r="AF278" s="23" t="s">
        <v>197</v>
      </c>
      <c r="AG278" s="23" t="s">
        <v>197</v>
      </c>
      <c r="AH278" s="23" t="s">
        <v>197</v>
      </c>
      <c r="AI278" s="23" t="s">
        <v>197</v>
      </c>
      <c r="AJ278" s="23" t="s">
        <v>197</v>
      </c>
      <c r="AK278" s="23" t="s">
        <v>197</v>
      </c>
      <c r="AL278" s="23" t="s">
        <v>197</v>
      </c>
      <c r="AM278" s="9" t="s">
        <v>197</v>
      </c>
      <c r="AN278" s="23" t="n">
        <v>24.6</v>
      </c>
      <c r="AO278" s="23" t="n">
        <v>2.5</v>
      </c>
      <c r="AP278" s="23" t="n">
        <v>4.5</v>
      </c>
    </row>
    <row r="279" customFormat="false" ht="21.75" hidden="false" customHeight="true" outlineLevel="0" collapsed="false">
      <c r="B279" s="14" t="n">
        <v>275</v>
      </c>
      <c r="C279" s="7" t="s">
        <v>44</v>
      </c>
      <c r="D279" s="7" t="s">
        <v>20</v>
      </c>
      <c r="E279" s="7" t="s">
        <v>118</v>
      </c>
      <c r="F279" s="7" t="s">
        <v>70</v>
      </c>
      <c r="G279" s="7" t="s">
        <v>908</v>
      </c>
      <c r="H279" s="7" t="s">
        <v>359</v>
      </c>
      <c r="I279" s="7" t="s">
        <v>752</v>
      </c>
      <c r="J279" s="7" t="s">
        <v>753</v>
      </c>
      <c r="K279" s="7" t="s">
        <v>342</v>
      </c>
      <c r="L279" s="7" t="s">
        <v>802</v>
      </c>
      <c r="M279" s="7" t="s">
        <v>251</v>
      </c>
      <c r="N279" s="7" t="s">
        <v>909</v>
      </c>
      <c r="O279" s="7" t="s">
        <v>189</v>
      </c>
      <c r="P279" s="7" t="s">
        <v>190</v>
      </c>
      <c r="Q279" s="7" t="s">
        <v>910</v>
      </c>
      <c r="R279" s="7" t="s">
        <v>911</v>
      </c>
      <c r="S279" s="7" t="s">
        <v>454</v>
      </c>
      <c r="T279" s="7" t="s">
        <v>275</v>
      </c>
      <c r="U279" s="18" t="n">
        <v>16</v>
      </c>
      <c r="V279" s="7"/>
      <c r="W279" s="7"/>
      <c r="X279" s="7" t="s">
        <v>195</v>
      </c>
      <c r="Y279" s="22" t="n">
        <v>0.005</v>
      </c>
      <c r="Z279" s="22" t="n">
        <v>0.254</v>
      </c>
      <c r="AA279" s="22" t="n">
        <v>12</v>
      </c>
      <c r="AB279" s="7" t="s">
        <v>802</v>
      </c>
      <c r="AC279" s="7" t="s">
        <v>850</v>
      </c>
      <c r="AD279" s="22" t="s">
        <v>197</v>
      </c>
      <c r="AE279" s="22" t="s">
        <v>197</v>
      </c>
      <c r="AF279" s="22" t="s">
        <v>197</v>
      </c>
      <c r="AG279" s="22" t="s">
        <v>197</v>
      </c>
      <c r="AH279" s="22" t="s">
        <v>197</v>
      </c>
      <c r="AI279" s="22" t="s">
        <v>197</v>
      </c>
      <c r="AJ279" s="22" t="s">
        <v>197</v>
      </c>
      <c r="AK279" s="22" t="s">
        <v>197</v>
      </c>
      <c r="AL279" s="22" t="s">
        <v>197</v>
      </c>
      <c r="AM279" s="7" t="s">
        <v>197</v>
      </c>
      <c r="AN279" s="22" t="n">
        <v>14.2</v>
      </c>
      <c r="AO279" s="22" t="n">
        <v>2</v>
      </c>
      <c r="AP279" s="22" t="n">
        <v>3</v>
      </c>
    </row>
    <row r="280" customFormat="false" ht="21.75" hidden="false" customHeight="true" outlineLevel="0" collapsed="false">
      <c r="B280" s="15" t="n">
        <v>276</v>
      </c>
      <c r="C280" s="9" t="s">
        <v>44</v>
      </c>
      <c r="D280" s="9" t="s">
        <v>20</v>
      </c>
      <c r="E280" s="9" t="s">
        <v>118</v>
      </c>
      <c r="F280" s="9" t="s">
        <v>70</v>
      </c>
      <c r="G280" s="9" t="s">
        <v>912</v>
      </c>
      <c r="H280" s="9" t="s">
        <v>367</v>
      </c>
      <c r="I280" s="9" t="s">
        <v>752</v>
      </c>
      <c r="J280" s="9" t="s">
        <v>753</v>
      </c>
      <c r="K280" s="9" t="s">
        <v>342</v>
      </c>
      <c r="L280" s="9" t="s">
        <v>802</v>
      </c>
      <c r="M280" s="9" t="s">
        <v>251</v>
      </c>
      <c r="N280" s="9" t="s">
        <v>909</v>
      </c>
      <c r="O280" s="9" t="s">
        <v>189</v>
      </c>
      <c r="P280" s="9" t="s">
        <v>190</v>
      </c>
      <c r="Q280" s="9" t="s">
        <v>910</v>
      </c>
      <c r="R280" s="9" t="s">
        <v>911</v>
      </c>
      <c r="S280" s="9" t="s">
        <v>454</v>
      </c>
      <c r="T280" s="9" t="s">
        <v>275</v>
      </c>
      <c r="U280" s="19" t="n">
        <v>20</v>
      </c>
      <c r="V280" s="9"/>
      <c r="W280" s="9"/>
      <c r="X280" s="9" t="s">
        <v>199</v>
      </c>
      <c r="Y280" s="23" t="n">
        <v>0.004</v>
      </c>
      <c r="Z280" s="23" t="n">
        <v>0.229</v>
      </c>
      <c r="AA280" s="23" t="n">
        <v>12</v>
      </c>
      <c r="AB280" s="9" t="s">
        <v>802</v>
      </c>
      <c r="AC280" s="9" t="s">
        <v>850</v>
      </c>
      <c r="AD280" s="23" t="s">
        <v>197</v>
      </c>
      <c r="AE280" s="23" t="s">
        <v>197</v>
      </c>
      <c r="AF280" s="23" t="s">
        <v>197</v>
      </c>
      <c r="AG280" s="23" t="s">
        <v>197</v>
      </c>
      <c r="AH280" s="23" t="s">
        <v>197</v>
      </c>
      <c r="AI280" s="23" t="s">
        <v>197</v>
      </c>
      <c r="AJ280" s="23" t="s">
        <v>197</v>
      </c>
      <c r="AK280" s="23" t="s">
        <v>197</v>
      </c>
      <c r="AL280" s="23" t="s">
        <v>197</v>
      </c>
      <c r="AM280" s="9" t="s">
        <v>197</v>
      </c>
      <c r="AN280" s="23" t="n">
        <v>13.2</v>
      </c>
      <c r="AO280" s="23" t="n">
        <v>2</v>
      </c>
      <c r="AP280" s="23" t="n">
        <v>3</v>
      </c>
    </row>
    <row r="281" customFormat="false" ht="21.75" hidden="false" customHeight="true" outlineLevel="0" collapsed="false">
      <c r="B281" s="14" t="n">
        <v>277</v>
      </c>
      <c r="C281" s="7" t="s">
        <v>44</v>
      </c>
      <c r="D281" s="7" t="s">
        <v>20</v>
      </c>
      <c r="E281" s="7" t="s">
        <v>118</v>
      </c>
      <c r="F281" s="7" t="s">
        <v>70</v>
      </c>
      <c r="G281" s="7" t="s">
        <v>913</v>
      </c>
      <c r="H281" s="7" t="s">
        <v>369</v>
      </c>
      <c r="I281" s="7" t="s">
        <v>752</v>
      </c>
      <c r="J281" s="7" t="s">
        <v>753</v>
      </c>
      <c r="K281" s="7" t="s">
        <v>342</v>
      </c>
      <c r="L281" s="7" t="s">
        <v>802</v>
      </c>
      <c r="M281" s="7" t="s">
        <v>251</v>
      </c>
      <c r="N281" s="7" t="s">
        <v>909</v>
      </c>
      <c r="O281" s="7" t="s">
        <v>189</v>
      </c>
      <c r="P281" s="7" t="s">
        <v>190</v>
      </c>
      <c r="Q281" s="7" t="s">
        <v>910</v>
      </c>
      <c r="R281" s="7" t="s">
        <v>911</v>
      </c>
      <c r="S281" s="7" t="s">
        <v>454</v>
      </c>
      <c r="T281" s="7" t="s">
        <v>275</v>
      </c>
      <c r="U281" s="18" t="n">
        <v>30</v>
      </c>
      <c r="V281" s="7"/>
      <c r="W281" s="7"/>
      <c r="X281" s="7" t="s">
        <v>914</v>
      </c>
      <c r="Y281" s="22" t="n">
        <v>0.002</v>
      </c>
      <c r="Z281" s="22" t="n">
        <v>0.164</v>
      </c>
      <c r="AA281" s="22" t="n">
        <v>12</v>
      </c>
      <c r="AB281" s="7" t="s">
        <v>802</v>
      </c>
      <c r="AC281" s="7" t="s">
        <v>850</v>
      </c>
      <c r="AD281" s="22" t="s">
        <v>197</v>
      </c>
      <c r="AE281" s="22" t="s">
        <v>197</v>
      </c>
      <c r="AF281" s="22" t="s">
        <v>197</v>
      </c>
      <c r="AG281" s="22" t="s">
        <v>197</v>
      </c>
      <c r="AH281" s="22" t="s">
        <v>197</v>
      </c>
      <c r="AI281" s="22" t="s">
        <v>197</v>
      </c>
      <c r="AJ281" s="22" t="s">
        <v>197</v>
      </c>
      <c r="AK281" s="22" t="s">
        <v>197</v>
      </c>
      <c r="AL281" s="22" t="s">
        <v>197</v>
      </c>
      <c r="AM281" s="7" t="s">
        <v>197</v>
      </c>
      <c r="AN281" s="22" t="n">
        <v>10.6</v>
      </c>
      <c r="AO281" s="22" t="n">
        <v>2</v>
      </c>
      <c r="AP281" s="22" t="n">
        <v>3</v>
      </c>
    </row>
    <row r="282" customFormat="false" ht="21.75" hidden="false" customHeight="true" outlineLevel="0" collapsed="false">
      <c r="B282" s="15" t="n">
        <v>278</v>
      </c>
      <c r="C282" s="9" t="s">
        <v>44</v>
      </c>
      <c r="D282" s="9" t="s">
        <v>20</v>
      </c>
      <c r="E282" s="9" t="s">
        <v>118</v>
      </c>
      <c r="F282" s="9" t="s">
        <v>70</v>
      </c>
      <c r="G282" s="9" t="s">
        <v>915</v>
      </c>
      <c r="H282" s="9" t="s">
        <v>339</v>
      </c>
      <c r="I282" s="9" t="s">
        <v>752</v>
      </c>
      <c r="J282" s="9" t="s">
        <v>753</v>
      </c>
      <c r="K282" s="9" t="s">
        <v>342</v>
      </c>
      <c r="L282" s="9" t="s">
        <v>802</v>
      </c>
      <c r="M282" s="9" t="s">
        <v>251</v>
      </c>
      <c r="N282" s="9" t="s">
        <v>909</v>
      </c>
      <c r="O282" s="9" t="s">
        <v>189</v>
      </c>
      <c r="P282" s="9" t="s">
        <v>190</v>
      </c>
      <c r="Q282" s="9" t="s">
        <v>910</v>
      </c>
      <c r="R282" s="9" t="s">
        <v>911</v>
      </c>
      <c r="S282" s="9" t="s">
        <v>454</v>
      </c>
      <c r="T282" s="9" t="s">
        <v>275</v>
      </c>
      <c r="U282" s="19" t="n">
        <v>45</v>
      </c>
      <c r="V282" s="9"/>
      <c r="W282" s="9"/>
      <c r="X282" s="9" t="s">
        <v>203</v>
      </c>
      <c r="Y282" s="23" t="n">
        <v>0.003</v>
      </c>
      <c r="Z282" s="23" t="n">
        <v>0.211</v>
      </c>
      <c r="AA282" s="23" t="n">
        <v>12</v>
      </c>
      <c r="AB282" s="9" t="s">
        <v>802</v>
      </c>
      <c r="AC282" s="9" t="s">
        <v>850</v>
      </c>
      <c r="AD282" s="23" t="s">
        <v>197</v>
      </c>
      <c r="AE282" s="23" t="s">
        <v>197</v>
      </c>
      <c r="AF282" s="23" t="s">
        <v>197</v>
      </c>
      <c r="AG282" s="23" t="s">
        <v>197</v>
      </c>
      <c r="AH282" s="23" t="s">
        <v>197</v>
      </c>
      <c r="AI282" s="23" t="s">
        <v>197</v>
      </c>
      <c r="AJ282" s="23" t="s">
        <v>197</v>
      </c>
      <c r="AK282" s="23" t="s">
        <v>197</v>
      </c>
      <c r="AL282" s="23" t="s">
        <v>197</v>
      </c>
      <c r="AM282" s="9" t="s">
        <v>197</v>
      </c>
      <c r="AN282" s="23" t="n">
        <v>12.4</v>
      </c>
      <c r="AO282" s="23" t="n">
        <v>2</v>
      </c>
      <c r="AP282" s="23" t="n">
        <v>3</v>
      </c>
    </row>
    <row r="283" customFormat="false" ht="21.75" hidden="false" customHeight="true" outlineLevel="0" collapsed="false">
      <c r="B283" s="14" t="n">
        <v>279</v>
      </c>
      <c r="C283" s="7" t="s">
        <v>44</v>
      </c>
      <c r="D283" s="7" t="s">
        <v>20</v>
      </c>
      <c r="E283" s="7" t="s">
        <v>118</v>
      </c>
      <c r="F283" s="7" t="s">
        <v>70</v>
      </c>
      <c r="G283" s="7" t="s">
        <v>916</v>
      </c>
      <c r="H283" s="7" t="s">
        <v>352</v>
      </c>
      <c r="I283" s="7" t="s">
        <v>752</v>
      </c>
      <c r="J283" s="7" t="s">
        <v>753</v>
      </c>
      <c r="K283" s="7" t="s">
        <v>342</v>
      </c>
      <c r="L283" s="7" t="s">
        <v>802</v>
      </c>
      <c r="M283" s="7" t="s">
        <v>251</v>
      </c>
      <c r="N283" s="7" t="s">
        <v>909</v>
      </c>
      <c r="O283" s="7" t="s">
        <v>189</v>
      </c>
      <c r="P283" s="7" t="s">
        <v>190</v>
      </c>
      <c r="Q283" s="7" t="s">
        <v>910</v>
      </c>
      <c r="R283" s="7" t="s">
        <v>911</v>
      </c>
      <c r="S283" s="7" t="s">
        <v>454</v>
      </c>
      <c r="T283" s="7" t="s">
        <v>275</v>
      </c>
      <c r="U283" s="18" t="n">
        <v>70</v>
      </c>
      <c r="V283" s="7"/>
      <c r="W283" s="7"/>
      <c r="X283" s="7" t="s">
        <v>205</v>
      </c>
      <c r="Y283" s="22" t="n">
        <v>0.004</v>
      </c>
      <c r="Z283" s="22" t="n">
        <v>0.238</v>
      </c>
      <c r="AA283" s="22" t="n">
        <v>12</v>
      </c>
      <c r="AB283" s="7" t="s">
        <v>802</v>
      </c>
      <c r="AC283" s="7" t="s">
        <v>850</v>
      </c>
      <c r="AD283" s="22" t="s">
        <v>197</v>
      </c>
      <c r="AE283" s="22" t="s">
        <v>197</v>
      </c>
      <c r="AF283" s="22" t="s">
        <v>197</v>
      </c>
      <c r="AG283" s="22" t="s">
        <v>197</v>
      </c>
      <c r="AH283" s="22" t="s">
        <v>197</v>
      </c>
      <c r="AI283" s="22" t="s">
        <v>197</v>
      </c>
      <c r="AJ283" s="22" t="s">
        <v>197</v>
      </c>
      <c r="AK283" s="22" t="s">
        <v>197</v>
      </c>
      <c r="AL283" s="22" t="s">
        <v>197</v>
      </c>
      <c r="AM283" s="7" t="s">
        <v>197</v>
      </c>
      <c r="AN283" s="22" t="n">
        <v>13.5</v>
      </c>
      <c r="AO283" s="22" t="n">
        <v>2</v>
      </c>
      <c r="AP283" s="22" t="n">
        <v>3</v>
      </c>
    </row>
    <row r="284" customFormat="false" ht="21.75" hidden="false" customHeight="true" outlineLevel="0" collapsed="false">
      <c r="B284" s="15" t="n">
        <v>280</v>
      </c>
      <c r="C284" s="9" t="s">
        <v>44</v>
      </c>
      <c r="D284" s="9" t="s">
        <v>20</v>
      </c>
      <c r="E284" s="9" t="s">
        <v>118</v>
      </c>
      <c r="F284" s="9" t="s">
        <v>71</v>
      </c>
      <c r="G284" s="9" t="s">
        <v>917</v>
      </c>
      <c r="H284" s="9" t="s">
        <v>374</v>
      </c>
      <c r="I284" s="9" t="s">
        <v>918</v>
      </c>
      <c r="J284" s="9" t="s">
        <v>919</v>
      </c>
      <c r="K284" s="9" t="s">
        <v>920</v>
      </c>
      <c r="L284" s="9" t="s">
        <v>802</v>
      </c>
      <c r="M284" s="9" t="s">
        <v>251</v>
      </c>
      <c r="N284" s="9" t="s">
        <v>921</v>
      </c>
      <c r="O284" s="9" t="s">
        <v>189</v>
      </c>
      <c r="P284" s="9" t="s">
        <v>190</v>
      </c>
      <c r="Q284" s="9" t="s">
        <v>922</v>
      </c>
      <c r="R284" s="9" t="s">
        <v>238</v>
      </c>
      <c r="S284" s="9" t="s">
        <v>454</v>
      </c>
      <c r="T284" s="9" t="s">
        <v>591</v>
      </c>
      <c r="U284" s="19" t="n">
        <v>95</v>
      </c>
      <c r="V284" s="9"/>
      <c r="W284" s="9"/>
      <c r="X284" s="9" t="s">
        <v>195</v>
      </c>
      <c r="Y284" s="23" t="n">
        <v>0.076</v>
      </c>
      <c r="Z284" s="23" t="n">
        <v>0.291</v>
      </c>
      <c r="AA284" s="23" t="n">
        <v>12</v>
      </c>
      <c r="AB284" s="9" t="s">
        <v>802</v>
      </c>
      <c r="AC284" s="9" t="s">
        <v>839</v>
      </c>
      <c r="AD284" s="23" t="s">
        <v>197</v>
      </c>
      <c r="AE284" s="23" t="s">
        <v>197</v>
      </c>
      <c r="AF284" s="23" t="s">
        <v>197</v>
      </c>
      <c r="AG284" s="23" t="s">
        <v>197</v>
      </c>
      <c r="AH284" s="23" t="s">
        <v>197</v>
      </c>
      <c r="AI284" s="23" t="s">
        <v>197</v>
      </c>
      <c r="AJ284" s="23" t="s">
        <v>197</v>
      </c>
      <c r="AK284" s="23" t="s">
        <v>197</v>
      </c>
      <c r="AL284" s="23" t="s">
        <v>197</v>
      </c>
      <c r="AM284" s="9" t="s">
        <v>197</v>
      </c>
      <c r="AN284" s="23" t="s">
        <v>197</v>
      </c>
      <c r="AO284" s="23" t="s">
        <v>197</v>
      </c>
      <c r="AP284" s="23" t="s">
        <v>197</v>
      </c>
    </row>
    <row r="285" customFormat="false" ht="21.75" hidden="false" customHeight="true" outlineLevel="0" collapsed="false">
      <c r="B285" s="14" t="n">
        <v>281</v>
      </c>
      <c r="C285" s="7" t="s">
        <v>44</v>
      </c>
      <c r="D285" s="7" t="s">
        <v>20</v>
      </c>
      <c r="E285" s="7" t="s">
        <v>118</v>
      </c>
      <c r="F285" s="7" t="s">
        <v>71</v>
      </c>
      <c r="G285" s="7" t="s">
        <v>923</v>
      </c>
      <c r="H285" s="7" t="s">
        <v>383</v>
      </c>
      <c r="I285" s="7" t="s">
        <v>918</v>
      </c>
      <c r="J285" s="7" t="s">
        <v>919</v>
      </c>
      <c r="K285" s="7" t="s">
        <v>920</v>
      </c>
      <c r="L285" s="7" t="s">
        <v>802</v>
      </c>
      <c r="M285" s="7" t="s">
        <v>251</v>
      </c>
      <c r="N285" s="7" t="s">
        <v>921</v>
      </c>
      <c r="O285" s="7" t="s">
        <v>189</v>
      </c>
      <c r="P285" s="7" t="s">
        <v>190</v>
      </c>
      <c r="Q285" s="7" t="s">
        <v>922</v>
      </c>
      <c r="R285" s="7" t="s">
        <v>238</v>
      </c>
      <c r="S285" s="7" t="s">
        <v>454</v>
      </c>
      <c r="T285" s="7" t="s">
        <v>591</v>
      </c>
      <c r="U285" s="18" t="n">
        <v>145</v>
      </c>
      <c r="V285" s="7"/>
      <c r="W285" s="7"/>
      <c r="X285" s="7" t="s">
        <v>199</v>
      </c>
      <c r="Y285" s="22" t="n">
        <v>0.056</v>
      </c>
      <c r="Z285" s="22" t="n">
        <v>0.24</v>
      </c>
      <c r="AA285" s="22" t="n">
        <v>12</v>
      </c>
      <c r="AB285" s="7" t="s">
        <v>802</v>
      </c>
      <c r="AC285" s="7" t="s">
        <v>839</v>
      </c>
      <c r="AD285" s="22" t="s">
        <v>197</v>
      </c>
      <c r="AE285" s="22" t="s">
        <v>197</v>
      </c>
      <c r="AF285" s="22" t="s">
        <v>197</v>
      </c>
      <c r="AG285" s="22" t="s">
        <v>197</v>
      </c>
      <c r="AH285" s="22" t="s">
        <v>197</v>
      </c>
      <c r="AI285" s="22" t="s">
        <v>197</v>
      </c>
      <c r="AJ285" s="22" t="s">
        <v>197</v>
      </c>
      <c r="AK285" s="22" t="s">
        <v>197</v>
      </c>
      <c r="AL285" s="22" t="s">
        <v>197</v>
      </c>
      <c r="AM285" s="7" t="s">
        <v>197</v>
      </c>
      <c r="AN285" s="22" t="s">
        <v>197</v>
      </c>
      <c r="AO285" s="22" t="s">
        <v>197</v>
      </c>
      <c r="AP285" s="22" t="s">
        <v>197</v>
      </c>
    </row>
    <row r="286" customFormat="false" ht="21.75" hidden="false" customHeight="true" outlineLevel="0" collapsed="false">
      <c r="B286" s="15" t="n">
        <v>282</v>
      </c>
      <c r="C286" s="9" t="s">
        <v>44</v>
      </c>
      <c r="D286" s="9" t="s">
        <v>20</v>
      </c>
      <c r="E286" s="9" t="s">
        <v>118</v>
      </c>
      <c r="F286" s="9" t="s">
        <v>71</v>
      </c>
      <c r="G286" s="9" t="s">
        <v>924</v>
      </c>
      <c r="H286" s="9" t="s">
        <v>385</v>
      </c>
      <c r="I286" s="9" t="s">
        <v>918</v>
      </c>
      <c r="J286" s="9" t="s">
        <v>919</v>
      </c>
      <c r="K286" s="9" t="s">
        <v>920</v>
      </c>
      <c r="L286" s="9" t="s">
        <v>802</v>
      </c>
      <c r="M286" s="9" t="s">
        <v>251</v>
      </c>
      <c r="N286" s="9" t="s">
        <v>921</v>
      </c>
      <c r="O286" s="9" t="s">
        <v>189</v>
      </c>
      <c r="P286" s="9" t="s">
        <v>190</v>
      </c>
      <c r="Q286" s="9" t="s">
        <v>922</v>
      </c>
      <c r="R286" s="9" t="s">
        <v>238</v>
      </c>
      <c r="S286" s="9" t="s">
        <v>454</v>
      </c>
      <c r="T286" s="9" t="s">
        <v>591</v>
      </c>
      <c r="U286" s="19" t="n">
        <v>195</v>
      </c>
      <c r="V286" s="9"/>
      <c r="W286" s="9"/>
      <c r="X286" s="9" t="s">
        <v>925</v>
      </c>
      <c r="Y286" s="23" t="n">
        <v>0.072</v>
      </c>
      <c r="Z286" s="23" t="n">
        <v>0.279</v>
      </c>
      <c r="AA286" s="23" t="n">
        <v>12</v>
      </c>
      <c r="AB286" s="9" t="s">
        <v>802</v>
      </c>
      <c r="AC286" s="9" t="s">
        <v>839</v>
      </c>
      <c r="AD286" s="23" t="s">
        <v>197</v>
      </c>
      <c r="AE286" s="23" t="s">
        <v>197</v>
      </c>
      <c r="AF286" s="23" t="s">
        <v>197</v>
      </c>
      <c r="AG286" s="23" t="s">
        <v>197</v>
      </c>
      <c r="AH286" s="23" t="s">
        <v>197</v>
      </c>
      <c r="AI286" s="23" t="s">
        <v>197</v>
      </c>
      <c r="AJ286" s="23" t="s">
        <v>197</v>
      </c>
      <c r="AK286" s="23" t="s">
        <v>197</v>
      </c>
      <c r="AL286" s="23" t="s">
        <v>197</v>
      </c>
      <c r="AM286" s="9" t="s">
        <v>197</v>
      </c>
      <c r="AN286" s="23" t="s">
        <v>197</v>
      </c>
      <c r="AO286" s="23" t="s">
        <v>197</v>
      </c>
      <c r="AP286" s="23" t="s">
        <v>197</v>
      </c>
    </row>
    <row r="287" customFormat="false" ht="21.75" hidden="false" customHeight="true" outlineLevel="0" collapsed="false">
      <c r="B287" s="14" t="n">
        <v>283</v>
      </c>
      <c r="C287" s="7" t="s">
        <v>44</v>
      </c>
      <c r="D287" s="7" t="s">
        <v>20</v>
      </c>
      <c r="E287" s="7" t="s">
        <v>118</v>
      </c>
      <c r="F287" s="7" t="s">
        <v>71</v>
      </c>
      <c r="G287" s="7" t="s">
        <v>926</v>
      </c>
      <c r="H287" s="7" t="s">
        <v>388</v>
      </c>
      <c r="I287" s="7" t="s">
        <v>918</v>
      </c>
      <c r="J287" s="7" t="s">
        <v>919</v>
      </c>
      <c r="K287" s="7" t="s">
        <v>920</v>
      </c>
      <c r="L287" s="7" t="s">
        <v>802</v>
      </c>
      <c r="M287" s="7" t="s">
        <v>251</v>
      </c>
      <c r="N287" s="7" t="s">
        <v>921</v>
      </c>
      <c r="O287" s="7" t="s">
        <v>189</v>
      </c>
      <c r="P287" s="7" t="s">
        <v>190</v>
      </c>
      <c r="Q287" s="7" t="s">
        <v>922</v>
      </c>
      <c r="R287" s="7" t="s">
        <v>238</v>
      </c>
      <c r="S287" s="7" t="s">
        <v>454</v>
      </c>
      <c r="T287" s="7" t="s">
        <v>591</v>
      </c>
      <c r="U287" s="18" t="n">
        <v>290</v>
      </c>
      <c r="V287" s="7"/>
      <c r="W287" s="7"/>
      <c r="X287" s="7" t="s">
        <v>203</v>
      </c>
      <c r="Y287" s="22" t="n">
        <v>0.062</v>
      </c>
      <c r="Z287" s="22" t="n">
        <v>0.256</v>
      </c>
      <c r="AA287" s="22" t="n">
        <v>12</v>
      </c>
      <c r="AB287" s="7" t="s">
        <v>802</v>
      </c>
      <c r="AC287" s="7" t="s">
        <v>839</v>
      </c>
      <c r="AD287" s="22" t="s">
        <v>197</v>
      </c>
      <c r="AE287" s="22" t="s">
        <v>197</v>
      </c>
      <c r="AF287" s="22" t="s">
        <v>197</v>
      </c>
      <c r="AG287" s="22" t="s">
        <v>197</v>
      </c>
      <c r="AH287" s="22" t="s">
        <v>197</v>
      </c>
      <c r="AI287" s="22" t="s">
        <v>197</v>
      </c>
      <c r="AJ287" s="22" t="s">
        <v>197</v>
      </c>
      <c r="AK287" s="22" t="s">
        <v>197</v>
      </c>
      <c r="AL287" s="22" t="s">
        <v>197</v>
      </c>
      <c r="AM287" s="7" t="s">
        <v>197</v>
      </c>
      <c r="AN287" s="22" t="s">
        <v>197</v>
      </c>
      <c r="AO287" s="22" t="s">
        <v>197</v>
      </c>
      <c r="AP287" s="22" t="s">
        <v>197</v>
      </c>
    </row>
    <row r="288" customFormat="false" ht="21.75" hidden="false" customHeight="true" outlineLevel="0" collapsed="false">
      <c r="B288" s="15" t="n">
        <v>284</v>
      </c>
      <c r="C288" s="9" t="s">
        <v>44</v>
      </c>
      <c r="D288" s="9" t="s">
        <v>20</v>
      </c>
      <c r="E288" s="9" t="s">
        <v>118</v>
      </c>
      <c r="F288" s="9" t="s">
        <v>71</v>
      </c>
      <c r="G288" s="9" t="s">
        <v>927</v>
      </c>
      <c r="H288" s="9" t="s">
        <v>390</v>
      </c>
      <c r="I288" s="9" t="s">
        <v>918</v>
      </c>
      <c r="J288" s="9" t="s">
        <v>919</v>
      </c>
      <c r="K288" s="9" t="s">
        <v>920</v>
      </c>
      <c r="L288" s="9" t="s">
        <v>802</v>
      </c>
      <c r="M288" s="9" t="s">
        <v>251</v>
      </c>
      <c r="N288" s="9" t="s">
        <v>921</v>
      </c>
      <c r="O288" s="9" t="s">
        <v>189</v>
      </c>
      <c r="P288" s="9" t="s">
        <v>190</v>
      </c>
      <c r="Q288" s="9" t="s">
        <v>922</v>
      </c>
      <c r="R288" s="9" t="s">
        <v>238</v>
      </c>
      <c r="S288" s="9" t="s">
        <v>454</v>
      </c>
      <c r="T288" s="9" t="s">
        <v>591</v>
      </c>
      <c r="U288" s="19" t="n">
        <v>425</v>
      </c>
      <c r="V288" s="9"/>
      <c r="W288" s="9"/>
      <c r="X288" s="9" t="s">
        <v>205</v>
      </c>
      <c r="Y288" s="23" t="n">
        <v>0.093</v>
      </c>
      <c r="Z288" s="23" t="n">
        <v>0.332</v>
      </c>
      <c r="AA288" s="23" t="n">
        <v>12</v>
      </c>
      <c r="AB288" s="9" t="s">
        <v>802</v>
      </c>
      <c r="AC288" s="9" t="s">
        <v>839</v>
      </c>
      <c r="AD288" s="23" t="s">
        <v>197</v>
      </c>
      <c r="AE288" s="23" t="s">
        <v>197</v>
      </c>
      <c r="AF288" s="23" t="s">
        <v>197</v>
      </c>
      <c r="AG288" s="23" t="s">
        <v>197</v>
      </c>
      <c r="AH288" s="23" t="s">
        <v>197</v>
      </c>
      <c r="AI288" s="23" t="s">
        <v>197</v>
      </c>
      <c r="AJ288" s="23" t="s">
        <v>197</v>
      </c>
      <c r="AK288" s="23" t="s">
        <v>197</v>
      </c>
      <c r="AL288" s="23" t="s">
        <v>197</v>
      </c>
      <c r="AM288" s="9" t="s">
        <v>197</v>
      </c>
      <c r="AN288" s="23" t="s">
        <v>197</v>
      </c>
      <c r="AO288" s="23" t="s">
        <v>197</v>
      </c>
      <c r="AP288" s="23" t="s">
        <v>197</v>
      </c>
    </row>
    <row r="289" customFormat="false" ht="21.75" hidden="false" customHeight="true" outlineLevel="0" collapsed="false">
      <c r="B289" s="14" t="n">
        <v>285</v>
      </c>
      <c r="C289" s="7" t="s">
        <v>44</v>
      </c>
      <c r="D289" s="7" t="s">
        <v>20</v>
      </c>
      <c r="E289" s="7" t="s">
        <v>118</v>
      </c>
      <c r="F289" s="7" t="s">
        <v>72</v>
      </c>
      <c r="G289" s="7" t="s">
        <v>391</v>
      </c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18"/>
      <c r="V289" s="7"/>
      <c r="W289" s="7"/>
      <c r="X289" s="7" t="s">
        <v>928</v>
      </c>
      <c r="Y289" s="22" t="s">
        <v>197</v>
      </c>
      <c r="Z289" s="22" t="s">
        <v>197</v>
      </c>
      <c r="AA289" s="22" t="s">
        <v>197</v>
      </c>
      <c r="AB289" s="7" t="s">
        <v>197</v>
      </c>
      <c r="AC289" s="7" t="s">
        <v>197</v>
      </c>
      <c r="AD289" s="22" t="s">
        <v>197</v>
      </c>
      <c r="AE289" s="22" t="s">
        <v>197</v>
      </c>
      <c r="AF289" s="22" t="s">
        <v>197</v>
      </c>
      <c r="AG289" s="22" t="s">
        <v>197</v>
      </c>
      <c r="AH289" s="22" t="s">
        <v>197</v>
      </c>
      <c r="AI289" s="22" t="s">
        <v>197</v>
      </c>
      <c r="AJ289" s="22" t="s">
        <v>197</v>
      </c>
      <c r="AK289" s="22" t="s">
        <v>197</v>
      </c>
      <c r="AL289" s="22" t="s">
        <v>197</v>
      </c>
      <c r="AM289" s="7" t="s">
        <v>197</v>
      </c>
      <c r="AN289" s="22" t="s">
        <v>197</v>
      </c>
      <c r="AO289" s="22" t="s">
        <v>197</v>
      </c>
      <c r="AP289" s="22" t="s">
        <v>197</v>
      </c>
    </row>
    <row r="290" customFormat="false" ht="21.75" hidden="false" customHeight="true" outlineLevel="0" collapsed="false">
      <c r="B290" s="15" t="n">
        <v>286</v>
      </c>
      <c r="C290" s="9" t="s">
        <v>44</v>
      </c>
      <c r="D290" s="9" t="s">
        <v>20</v>
      </c>
      <c r="E290" s="9" t="s">
        <v>118</v>
      </c>
      <c r="F290" s="9" t="s">
        <v>73</v>
      </c>
      <c r="G290" s="9" t="s">
        <v>929</v>
      </c>
      <c r="H290" s="9" t="s">
        <v>394</v>
      </c>
      <c r="I290" s="9" t="s">
        <v>930</v>
      </c>
      <c r="J290" s="9" t="s">
        <v>608</v>
      </c>
      <c r="K290" s="9" t="s">
        <v>835</v>
      </c>
      <c r="L290" s="9" t="s">
        <v>802</v>
      </c>
      <c r="M290" s="9" t="s">
        <v>235</v>
      </c>
      <c r="N290" s="9" t="s">
        <v>931</v>
      </c>
      <c r="O290" s="9" t="s">
        <v>189</v>
      </c>
      <c r="P290" s="9" t="s">
        <v>190</v>
      </c>
      <c r="Q290" s="9" t="s">
        <v>932</v>
      </c>
      <c r="R290" s="9" t="s">
        <v>933</v>
      </c>
      <c r="S290" s="9" t="s">
        <v>454</v>
      </c>
      <c r="T290" s="9" t="s">
        <v>934</v>
      </c>
      <c r="U290" s="19" t="n">
        <v>35</v>
      </c>
      <c r="V290" s="9"/>
      <c r="W290" s="9"/>
      <c r="X290" s="9" t="s">
        <v>195</v>
      </c>
      <c r="Y290" s="23" t="n">
        <v>0.05</v>
      </c>
      <c r="Z290" s="23" t="n">
        <v>0.076</v>
      </c>
      <c r="AA290" s="23" t="n">
        <v>12</v>
      </c>
      <c r="AB290" s="9" t="s">
        <v>802</v>
      </c>
      <c r="AC290" s="9" t="s">
        <v>839</v>
      </c>
      <c r="AD290" s="23" t="s">
        <v>197</v>
      </c>
      <c r="AE290" s="23" t="s">
        <v>197</v>
      </c>
      <c r="AF290" s="23" t="s">
        <v>197</v>
      </c>
      <c r="AG290" s="23" t="n">
        <v>4</v>
      </c>
      <c r="AH290" s="23" t="s">
        <v>197</v>
      </c>
      <c r="AI290" s="23" t="s">
        <v>197</v>
      </c>
      <c r="AJ290" s="23" t="s">
        <v>197</v>
      </c>
      <c r="AK290" s="23" t="s">
        <v>197</v>
      </c>
      <c r="AL290" s="23" t="s">
        <v>197</v>
      </c>
      <c r="AM290" s="9" t="s">
        <v>197</v>
      </c>
      <c r="AN290" s="23" t="s">
        <v>197</v>
      </c>
      <c r="AO290" s="23" t="s">
        <v>197</v>
      </c>
      <c r="AP290" s="23" t="s">
        <v>197</v>
      </c>
    </row>
    <row r="291" customFormat="false" ht="21.75" hidden="false" customHeight="true" outlineLevel="0" collapsed="false">
      <c r="B291" s="14" t="n">
        <v>287</v>
      </c>
      <c r="C291" s="7" t="s">
        <v>44</v>
      </c>
      <c r="D291" s="7" t="s">
        <v>20</v>
      </c>
      <c r="E291" s="7" t="s">
        <v>118</v>
      </c>
      <c r="F291" s="7" t="s">
        <v>73</v>
      </c>
      <c r="G291" s="7" t="s">
        <v>935</v>
      </c>
      <c r="H291" s="7" t="s">
        <v>402</v>
      </c>
      <c r="I291" s="7" t="s">
        <v>930</v>
      </c>
      <c r="J291" s="7" t="s">
        <v>608</v>
      </c>
      <c r="K291" s="7" t="s">
        <v>835</v>
      </c>
      <c r="L291" s="7" t="s">
        <v>802</v>
      </c>
      <c r="M291" s="7" t="s">
        <v>235</v>
      </c>
      <c r="N291" s="7" t="s">
        <v>931</v>
      </c>
      <c r="O291" s="7" t="s">
        <v>189</v>
      </c>
      <c r="P291" s="7" t="s">
        <v>190</v>
      </c>
      <c r="Q291" s="7" t="s">
        <v>932</v>
      </c>
      <c r="R291" s="7" t="s">
        <v>933</v>
      </c>
      <c r="S291" s="7" t="s">
        <v>454</v>
      </c>
      <c r="T291" s="7" t="s">
        <v>934</v>
      </c>
      <c r="U291" s="18" t="n">
        <v>50</v>
      </c>
      <c r="V291" s="7"/>
      <c r="W291" s="7"/>
      <c r="X291" s="7" t="s">
        <v>199</v>
      </c>
      <c r="Y291" s="22" t="n">
        <v>0.038</v>
      </c>
      <c r="Z291" s="22" t="n">
        <v>0.06</v>
      </c>
      <c r="AA291" s="22" t="n">
        <v>12</v>
      </c>
      <c r="AB291" s="7" t="s">
        <v>802</v>
      </c>
      <c r="AC291" s="7" t="s">
        <v>839</v>
      </c>
      <c r="AD291" s="22" t="s">
        <v>197</v>
      </c>
      <c r="AE291" s="22" t="s">
        <v>197</v>
      </c>
      <c r="AF291" s="22" t="s">
        <v>197</v>
      </c>
      <c r="AG291" s="22" t="n">
        <v>8</v>
      </c>
      <c r="AH291" s="22" t="s">
        <v>197</v>
      </c>
      <c r="AI291" s="22" t="s">
        <v>197</v>
      </c>
      <c r="AJ291" s="22" t="s">
        <v>197</v>
      </c>
      <c r="AK291" s="22" t="s">
        <v>197</v>
      </c>
      <c r="AL291" s="22" t="s">
        <v>197</v>
      </c>
      <c r="AM291" s="7" t="s">
        <v>197</v>
      </c>
      <c r="AN291" s="22" t="s">
        <v>197</v>
      </c>
      <c r="AO291" s="22" t="s">
        <v>197</v>
      </c>
      <c r="AP291" s="22" t="s">
        <v>197</v>
      </c>
    </row>
    <row r="292" customFormat="false" ht="21.75" hidden="false" customHeight="true" outlineLevel="0" collapsed="false">
      <c r="B292" s="15" t="n">
        <v>288</v>
      </c>
      <c r="C292" s="9" t="s">
        <v>44</v>
      </c>
      <c r="D292" s="9" t="s">
        <v>20</v>
      </c>
      <c r="E292" s="9" t="s">
        <v>118</v>
      </c>
      <c r="F292" s="9" t="s">
        <v>73</v>
      </c>
      <c r="G292" s="9" t="s">
        <v>936</v>
      </c>
      <c r="H292" s="9" t="s">
        <v>404</v>
      </c>
      <c r="I292" s="9" t="s">
        <v>930</v>
      </c>
      <c r="J292" s="9" t="s">
        <v>608</v>
      </c>
      <c r="K292" s="9" t="s">
        <v>835</v>
      </c>
      <c r="L292" s="9" t="s">
        <v>802</v>
      </c>
      <c r="M292" s="9" t="s">
        <v>235</v>
      </c>
      <c r="N292" s="9" t="s">
        <v>931</v>
      </c>
      <c r="O292" s="9" t="s">
        <v>189</v>
      </c>
      <c r="P292" s="9" t="s">
        <v>190</v>
      </c>
      <c r="Q292" s="9" t="s">
        <v>932</v>
      </c>
      <c r="R292" s="9" t="s">
        <v>933</v>
      </c>
      <c r="S292" s="9" t="s">
        <v>454</v>
      </c>
      <c r="T292" s="9" t="s">
        <v>934</v>
      </c>
      <c r="U292" s="19" t="n">
        <v>70</v>
      </c>
      <c r="V292" s="9"/>
      <c r="W292" s="9"/>
      <c r="X292" s="9" t="s">
        <v>937</v>
      </c>
      <c r="Y292" s="23" t="n">
        <v>0.031</v>
      </c>
      <c r="Z292" s="23" t="n">
        <v>0.051</v>
      </c>
      <c r="AA292" s="23" t="n">
        <v>12</v>
      </c>
      <c r="AB292" s="9" t="s">
        <v>802</v>
      </c>
      <c r="AC292" s="9" t="s">
        <v>839</v>
      </c>
      <c r="AD292" s="23" t="s">
        <v>197</v>
      </c>
      <c r="AE292" s="23" t="s">
        <v>197</v>
      </c>
      <c r="AF292" s="23" t="s">
        <v>197</v>
      </c>
      <c r="AG292" s="23" t="n">
        <v>8</v>
      </c>
      <c r="AH292" s="23" t="s">
        <v>197</v>
      </c>
      <c r="AI292" s="23" t="s">
        <v>197</v>
      </c>
      <c r="AJ292" s="23" t="s">
        <v>197</v>
      </c>
      <c r="AK292" s="23" t="s">
        <v>197</v>
      </c>
      <c r="AL292" s="23" t="s">
        <v>197</v>
      </c>
      <c r="AM292" s="9" t="s">
        <v>197</v>
      </c>
      <c r="AN292" s="23" t="s">
        <v>197</v>
      </c>
      <c r="AO292" s="23" t="s">
        <v>197</v>
      </c>
      <c r="AP292" s="23" t="s">
        <v>197</v>
      </c>
    </row>
    <row r="293" customFormat="false" ht="21.75" hidden="false" customHeight="true" outlineLevel="0" collapsed="false">
      <c r="B293" s="14" t="n">
        <v>289</v>
      </c>
      <c r="C293" s="7" t="s">
        <v>44</v>
      </c>
      <c r="D293" s="7" t="s">
        <v>20</v>
      </c>
      <c r="E293" s="7" t="s">
        <v>118</v>
      </c>
      <c r="F293" s="7" t="s">
        <v>73</v>
      </c>
      <c r="G293" s="7" t="s">
        <v>938</v>
      </c>
      <c r="H293" s="7" t="s">
        <v>407</v>
      </c>
      <c r="I293" s="7" t="s">
        <v>930</v>
      </c>
      <c r="J293" s="7" t="s">
        <v>608</v>
      </c>
      <c r="K293" s="7" t="s">
        <v>835</v>
      </c>
      <c r="L293" s="7" t="s">
        <v>802</v>
      </c>
      <c r="M293" s="7" t="s">
        <v>235</v>
      </c>
      <c r="N293" s="7" t="s">
        <v>931</v>
      </c>
      <c r="O293" s="7" t="s">
        <v>189</v>
      </c>
      <c r="P293" s="7" t="s">
        <v>190</v>
      </c>
      <c r="Q293" s="7" t="s">
        <v>932</v>
      </c>
      <c r="R293" s="7" t="s">
        <v>933</v>
      </c>
      <c r="S293" s="7" t="s">
        <v>454</v>
      </c>
      <c r="T293" s="7" t="s">
        <v>934</v>
      </c>
      <c r="U293" s="18" t="n">
        <v>105</v>
      </c>
      <c r="V293" s="7"/>
      <c r="W293" s="7"/>
      <c r="X293" s="7" t="s">
        <v>203</v>
      </c>
      <c r="Y293" s="22" t="n">
        <v>0.056</v>
      </c>
      <c r="Z293" s="22" t="n">
        <v>0.085</v>
      </c>
      <c r="AA293" s="22" t="n">
        <v>12</v>
      </c>
      <c r="AB293" s="7" t="s">
        <v>802</v>
      </c>
      <c r="AC293" s="7" t="s">
        <v>839</v>
      </c>
      <c r="AD293" s="22" t="s">
        <v>197</v>
      </c>
      <c r="AE293" s="22" t="s">
        <v>197</v>
      </c>
      <c r="AF293" s="22" t="s">
        <v>197</v>
      </c>
      <c r="AG293" s="22" t="n">
        <v>16</v>
      </c>
      <c r="AH293" s="22" t="s">
        <v>197</v>
      </c>
      <c r="AI293" s="22" t="s">
        <v>197</v>
      </c>
      <c r="AJ293" s="22" t="s">
        <v>197</v>
      </c>
      <c r="AK293" s="22" t="s">
        <v>197</v>
      </c>
      <c r="AL293" s="22" t="s">
        <v>197</v>
      </c>
      <c r="AM293" s="7" t="s">
        <v>197</v>
      </c>
      <c r="AN293" s="22" t="s">
        <v>197</v>
      </c>
      <c r="AO293" s="22" t="s">
        <v>197</v>
      </c>
      <c r="AP293" s="22" t="s">
        <v>197</v>
      </c>
    </row>
    <row r="294" customFormat="false" ht="21.75" hidden="false" customHeight="true" outlineLevel="0" collapsed="false">
      <c r="B294" s="15" t="n">
        <v>290</v>
      </c>
      <c r="C294" s="9" t="s">
        <v>44</v>
      </c>
      <c r="D294" s="9" t="s">
        <v>20</v>
      </c>
      <c r="E294" s="9" t="s">
        <v>118</v>
      </c>
      <c r="F294" s="9" t="s">
        <v>73</v>
      </c>
      <c r="G294" s="9" t="s">
        <v>939</v>
      </c>
      <c r="H294" s="9" t="s">
        <v>409</v>
      </c>
      <c r="I294" s="9" t="s">
        <v>930</v>
      </c>
      <c r="J294" s="9" t="s">
        <v>608</v>
      </c>
      <c r="K294" s="9" t="s">
        <v>835</v>
      </c>
      <c r="L294" s="9" t="s">
        <v>802</v>
      </c>
      <c r="M294" s="9" t="s">
        <v>235</v>
      </c>
      <c r="N294" s="9" t="s">
        <v>931</v>
      </c>
      <c r="O294" s="9" t="s">
        <v>189</v>
      </c>
      <c r="P294" s="9" t="s">
        <v>190</v>
      </c>
      <c r="Q294" s="9" t="s">
        <v>932</v>
      </c>
      <c r="R294" s="9" t="s">
        <v>933</v>
      </c>
      <c r="S294" s="9" t="s">
        <v>454</v>
      </c>
      <c r="T294" s="9" t="s">
        <v>934</v>
      </c>
      <c r="U294" s="19" t="n">
        <v>155</v>
      </c>
      <c r="V294" s="9"/>
      <c r="W294" s="9"/>
      <c r="X294" s="9" t="s">
        <v>205</v>
      </c>
      <c r="Y294" s="23" t="n">
        <v>0.04</v>
      </c>
      <c r="Z294" s="23" t="n">
        <v>0.063</v>
      </c>
      <c r="AA294" s="23" t="n">
        <v>12</v>
      </c>
      <c r="AB294" s="9" t="s">
        <v>802</v>
      </c>
      <c r="AC294" s="9" t="s">
        <v>839</v>
      </c>
      <c r="AD294" s="23" t="s">
        <v>197</v>
      </c>
      <c r="AE294" s="23" t="s">
        <v>197</v>
      </c>
      <c r="AF294" s="23" t="s">
        <v>197</v>
      </c>
      <c r="AG294" s="23" t="n">
        <v>16</v>
      </c>
      <c r="AH294" s="23" t="s">
        <v>197</v>
      </c>
      <c r="AI294" s="23" t="s">
        <v>197</v>
      </c>
      <c r="AJ294" s="23" t="s">
        <v>197</v>
      </c>
      <c r="AK294" s="23" t="s">
        <v>197</v>
      </c>
      <c r="AL294" s="23" t="s">
        <v>197</v>
      </c>
      <c r="AM294" s="9" t="s">
        <v>197</v>
      </c>
      <c r="AN294" s="23" t="s">
        <v>197</v>
      </c>
      <c r="AO294" s="23" t="s">
        <v>197</v>
      </c>
      <c r="AP294" s="23" t="s">
        <v>197</v>
      </c>
    </row>
    <row r="295" customFormat="false" ht="21.75" hidden="false" customHeight="true" outlineLevel="0" collapsed="false">
      <c r="B295" s="14" t="n">
        <v>291</v>
      </c>
      <c r="C295" s="7" t="s">
        <v>44</v>
      </c>
      <c r="D295" s="7" t="s">
        <v>20</v>
      </c>
      <c r="E295" s="7" t="s">
        <v>118</v>
      </c>
      <c r="F295" s="7" t="s">
        <v>74</v>
      </c>
      <c r="G295" s="7" t="s">
        <v>391</v>
      </c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18"/>
      <c r="V295" s="7"/>
      <c r="W295" s="7"/>
      <c r="X295" s="7" t="s">
        <v>940</v>
      </c>
      <c r="Y295" s="22" t="s">
        <v>197</v>
      </c>
      <c r="Z295" s="22" t="s">
        <v>197</v>
      </c>
      <c r="AA295" s="22" t="s">
        <v>197</v>
      </c>
      <c r="AB295" s="7" t="s">
        <v>197</v>
      </c>
      <c r="AC295" s="7" t="s">
        <v>197</v>
      </c>
      <c r="AD295" s="22" t="s">
        <v>197</v>
      </c>
      <c r="AE295" s="22" t="s">
        <v>197</v>
      </c>
      <c r="AF295" s="22" t="s">
        <v>197</v>
      </c>
      <c r="AG295" s="22" t="s">
        <v>197</v>
      </c>
      <c r="AH295" s="22" t="s">
        <v>197</v>
      </c>
      <c r="AI295" s="22" t="s">
        <v>197</v>
      </c>
      <c r="AJ295" s="22" t="s">
        <v>197</v>
      </c>
      <c r="AK295" s="22" t="s">
        <v>197</v>
      </c>
      <c r="AL295" s="22" t="s">
        <v>197</v>
      </c>
      <c r="AM295" s="7" t="s">
        <v>197</v>
      </c>
      <c r="AN295" s="22" t="s">
        <v>197</v>
      </c>
      <c r="AO295" s="22" t="s">
        <v>197</v>
      </c>
      <c r="AP295" s="22" t="s">
        <v>197</v>
      </c>
    </row>
    <row r="296" customFormat="false" ht="21.75" hidden="false" customHeight="true" outlineLevel="0" collapsed="false">
      <c r="B296" s="15" t="n">
        <v>292</v>
      </c>
      <c r="C296" s="9" t="s">
        <v>44</v>
      </c>
      <c r="D296" s="9" t="s">
        <v>20</v>
      </c>
      <c r="E296" s="9" t="s">
        <v>118</v>
      </c>
      <c r="F296" s="9" t="s">
        <v>75</v>
      </c>
      <c r="G296" s="9" t="s">
        <v>391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9"/>
      <c r="V296" s="9"/>
      <c r="W296" s="9"/>
      <c r="X296" s="9" t="s">
        <v>941</v>
      </c>
      <c r="Y296" s="23" t="s">
        <v>197</v>
      </c>
      <c r="Z296" s="23" t="s">
        <v>197</v>
      </c>
      <c r="AA296" s="23" t="s">
        <v>197</v>
      </c>
      <c r="AB296" s="9" t="s">
        <v>197</v>
      </c>
      <c r="AC296" s="9" t="s">
        <v>197</v>
      </c>
      <c r="AD296" s="23" t="s">
        <v>197</v>
      </c>
      <c r="AE296" s="23" t="s">
        <v>197</v>
      </c>
      <c r="AF296" s="23" t="s">
        <v>197</v>
      </c>
      <c r="AG296" s="23" t="s">
        <v>197</v>
      </c>
      <c r="AH296" s="23" t="s">
        <v>197</v>
      </c>
      <c r="AI296" s="23" t="s">
        <v>197</v>
      </c>
      <c r="AJ296" s="23" t="s">
        <v>197</v>
      </c>
      <c r="AK296" s="23" t="s">
        <v>197</v>
      </c>
      <c r="AL296" s="23" t="s">
        <v>197</v>
      </c>
      <c r="AM296" s="9" t="s">
        <v>197</v>
      </c>
      <c r="AN296" s="23" t="s">
        <v>197</v>
      </c>
      <c r="AO296" s="23" t="s">
        <v>197</v>
      </c>
      <c r="AP296" s="23" t="s">
        <v>197</v>
      </c>
    </row>
    <row r="297" customFormat="false" ht="21.75" hidden="false" customHeight="true" outlineLevel="0" collapsed="false">
      <c r="B297" s="14" t="n">
        <v>293</v>
      </c>
      <c r="C297" s="7" t="s">
        <v>45</v>
      </c>
      <c r="D297" s="7" t="s">
        <v>20</v>
      </c>
      <c r="E297" s="7" t="s">
        <v>119</v>
      </c>
      <c r="F297" s="7" t="s">
        <v>60</v>
      </c>
      <c r="G297" s="7" t="s">
        <v>391</v>
      </c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18"/>
      <c r="V297" s="7"/>
      <c r="W297" s="7"/>
      <c r="X297" s="7" t="s">
        <v>942</v>
      </c>
      <c r="Y297" s="22" t="s">
        <v>197</v>
      </c>
      <c r="Z297" s="22" t="s">
        <v>197</v>
      </c>
      <c r="AA297" s="22" t="s">
        <v>197</v>
      </c>
      <c r="AB297" s="7" t="s">
        <v>197</v>
      </c>
      <c r="AC297" s="7" t="s">
        <v>197</v>
      </c>
      <c r="AD297" s="22" t="s">
        <v>197</v>
      </c>
      <c r="AE297" s="22" t="s">
        <v>197</v>
      </c>
      <c r="AF297" s="22" t="s">
        <v>197</v>
      </c>
      <c r="AG297" s="22" t="s">
        <v>197</v>
      </c>
      <c r="AH297" s="22" t="s">
        <v>197</v>
      </c>
      <c r="AI297" s="22" t="s">
        <v>197</v>
      </c>
      <c r="AJ297" s="22" t="s">
        <v>197</v>
      </c>
      <c r="AK297" s="22" t="s">
        <v>197</v>
      </c>
      <c r="AL297" s="22" t="s">
        <v>197</v>
      </c>
      <c r="AM297" s="7" t="s">
        <v>197</v>
      </c>
      <c r="AN297" s="22" t="s">
        <v>197</v>
      </c>
      <c r="AO297" s="22" t="s">
        <v>197</v>
      </c>
      <c r="AP297" s="22" t="s">
        <v>197</v>
      </c>
    </row>
    <row r="298" customFormat="false" ht="21.75" hidden="false" customHeight="true" outlineLevel="0" collapsed="false">
      <c r="B298" s="15" t="n">
        <v>294</v>
      </c>
      <c r="C298" s="9" t="s">
        <v>45</v>
      </c>
      <c r="D298" s="9" t="s">
        <v>20</v>
      </c>
      <c r="E298" s="9" t="s">
        <v>119</v>
      </c>
      <c r="F298" s="9" t="s">
        <v>61</v>
      </c>
      <c r="G298" s="9" t="s">
        <v>391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19"/>
      <c r="V298" s="9"/>
      <c r="W298" s="9"/>
      <c r="X298" s="9" t="s">
        <v>943</v>
      </c>
      <c r="Y298" s="23" t="s">
        <v>197</v>
      </c>
      <c r="Z298" s="23" t="s">
        <v>197</v>
      </c>
      <c r="AA298" s="23" t="s">
        <v>197</v>
      </c>
      <c r="AB298" s="9" t="s">
        <v>197</v>
      </c>
      <c r="AC298" s="9" t="s">
        <v>197</v>
      </c>
      <c r="AD298" s="23" t="s">
        <v>197</v>
      </c>
      <c r="AE298" s="23" t="s">
        <v>197</v>
      </c>
      <c r="AF298" s="23" t="s">
        <v>197</v>
      </c>
      <c r="AG298" s="23" t="s">
        <v>197</v>
      </c>
      <c r="AH298" s="23" t="s">
        <v>197</v>
      </c>
      <c r="AI298" s="23" t="s">
        <v>197</v>
      </c>
      <c r="AJ298" s="23" t="s">
        <v>197</v>
      </c>
      <c r="AK298" s="23" t="s">
        <v>197</v>
      </c>
      <c r="AL298" s="23" t="s">
        <v>197</v>
      </c>
      <c r="AM298" s="9" t="s">
        <v>197</v>
      </c>
      <c r="AN298" s="23" t="s">
        <v>197</v>
      </c>
      <c r="AO298" s="23" t="s">
        <v>197</v>
      </c>
      <c r="AP298" s="23" t="s">
        <v>197</v>
      </c>
    </row>
    <row r="299" customFormat="false" ht="21.75" hidden="false" customHeight="true" outlineLevel="0" collapsed="false">
      <c r="B299" s="14" t="n">
        <v>295</v>
      </c>
      <c r="C299" s="7" t="s">
        <v>45</v>
      </c>
      <c r="D299" s="7" t="s">
        <v>20</v>
      </c>
      <c r="E299" s="7" t="s">
        <v>119</v>
      </c>
      <c r="F299" s="7" t="s">
        <v>62</v>
      </c>
      <c r="G299" s="7" t="s">
        <v>944</v>
      </c>
      <c r="H299" s="7" t="s">
        <v>945</v>
      </c>
      <c r="I299" s="7" t="s">
        <v>946</v>
      </c>
      <c r="J299" s="7" t="s">
        <v>947</v>
      </c>
      <c r="K299" s="7" t="s">
        <v>948</v>
      </c>
      <c r="L299" s="7" t="s">
        <v>949</v>
      </c>
      <c r="M299" s="7" t="s">
        <v>950</v>
      </c>
      <c r="N299" s="7" t="s">
        <v>951</v>
      </c>
      <c r="O299" s="7" t="s">
        <v>189</v>
      </c>
      <c r="P299" s="7" t="s">
        <v>952</v>
      </c>
      <c r="Q299" s="7" t="s">
        <v>953</v>
      </c>
      <c r="R299" s="7" t="s">
        <v>954</v>
      </c>
      <c r="S299" s="7" t="s">
        <v>955</v>
      </c>
      <c r="T299" s="7" t="s">
        <v>956</v>
      </c>
      <c r="U299" s="18" t="n">
        <v>155</v>
      </c>
      <c r="V299" s="7"/>
      <c r="W299" s="7"/>
      <c r="X299" s="7" t="s">
        <v>195</v>
      </c>
      <c r="Y299" s="22" t="n">
        <v>0.072</v>
      </c>
      <c r="Z299" s="22" t="n">
        <v>0.22</v>
      </c>
      <c r="AA299" s="22" t="n">
        <v>12</v>
      </c>
      <c r="AB299" s="7" t="s">
        <v>949</v>
      </c>
      <c r="AC299" s="7" t="s">
        <v>957</v>
      </c>
      <c r="AD299" s="22" t="n">
        <v>0.072</v>
      </c>
      <c r="AE299" s="22" t="n">
        <v>0.22</v>
      </c>
      <c r="AF299" s="22" t="n">
        <v>2</v>
      </c>
      <c r="AG299" s="22" t="n">
        <v>100</v>
      </c>
      <c r="AH299" s="22" t="n">
        <v>9</v>
      </c>
      <c r="AI299" s="22" t="s">
        <v>197</v>
      </c>
      <c r="AJ299" s="22" t="s">
        <v>197</v>
      </c>
      <c r="AK299" s="22" t="s">
        <v>197</v>
      </c>
      <c r="AL299" s="22" t="s">
        <v>197</v>
      </c>
      <c r="AM299" s="7" t="s">
        <v>197</v>
      </c>
      <c r="AN299" s="22" t="s">
        <v>197</v>
      </c>
      <c r="AO299" s="22" t="s">
        <v>197</v>
      </c>
      <c r="AP299" s="22" t="s">
        <v>197</v>
      </c>
    </row>
    <row r="300" customFormat="false" ht="21.75" hidden="false" customHeight="true" outlineLevel="0" collapsed="false">
      <c r="B300" s="15" t="n">
        <v>296</v>
      </c>
      <c r="C300" s="9" t="s">
        <v>45</v>
      </c>
      <c r="D300" s="9" t="s">
        <v>20</v>
      </c>
      <c r="E300" s="9" t="s">
        <v>119</v>
      </c>
      <c r="F300" s="9" t="s">
        <v>62</v>
      </c>
      <c r="G300" s="9" t="s">
        <v>958</v>
      </c>
      <c r="H300" s="9" t="s">
        <v>945</v>
      </c>
      <c r="I300" s="9" t="s">
        <v>946</v>
      </c>
      <c r="J300" s="9" t="s">
        <v>947</v>
      </c>
      <c r="K300" s="9" t="s">
        <v>948</v>
      </c>
      <c r="L300" s="9" t="s">
        <v>949</v>
      </c>
      <c r="M300" s="9" t="s">
        <v>950</v>
      </c>
      <c r="N300" s="9" t="s">
        <v>951</v>
      </c>
      <c r="O300" s="9" t="s">
        <v>189</v>
      </c>
      <c r="P300" s="9" t="s">
        <v>952</v>
      </c>
      <c r="Q300" s="9" t="s">
        <v>953</v>
      </c>
      <c r="R300" s="9" t="s">
        <v>954</v>
      </c>
      <c r="S300" s="9" t="s">
        <v>955</v>
      </c>
      <c r="T300" s="9" t="s">
        <v>956</v>
      </c>
      <c r="U300" s="19" t="n">
        <v>230</v>
      </c>
      <c r="V300" s="9"/>
      <c r="W300" s="9"/>
      <c r="X300" s="9" t="s">
        <v>199</v>
      </c>
      <c r="Y300" s="23" t="n">
        <v>0.05</v>
      </c>
      <c r="Z300" s="23" t="n">
        <v>0.22</v>
      </c>
      <c r="AA300" s="23" t="n">
        <v>12</v>
      </c>
      <c r="AB300" s="9" t="s">
        <v>949</v>
      </c>
      <c r="AC300" s="9" t="s">
        <v>957</v>
      </c>
      <c r="AD300" s="23" t="n">
        <v>0.05</v>
      </c>
      <c r="AE300" s="23" t="n">
        <v>0.22</v>
      </c>
      <c r="AF300" s="23" t="n">
        <v>2</v>
      </c>
      <c r="AG300" s="23" t="n">
        <v>100</v>
      </c>
      <c r="AH300" s="23" t="n">
        <v>9</v>
      </c>
      <c r="AI300" s="23" t="s">
        <v>197</v>
      </c>
      <c r="AJ300" s="23" t="s">
        <v>197</v>
      </c>
      <c r="AK300" s="23" t="s">
        <v>197</v>
      </c>
      <c r="AL300" s="23" t="s">
        <v>197</v>
      </c>
      <c r="AM300" s="9" t="s">
        <v>197</v>
      </c>
      <c r="AN300" s="23" t="s">
        <v>197</v>
      </c>
      <c r="AO300" s="23" t="s">
        <v>197</v>
      </c>
      <c r="AP300" s="23" t="s">
        <v>197</v>
      </c>
    </row>
    <row r="301" customFormat="false" ht="21.75" hidden="false" customHeight="true" outlineLevel="0" collapsed="false">
      <c r="B301" s="14" t="n">
        <v>297</v>
      </c>
      <c r="C301" s="7" t="s">
        <v>45</v>
      </c>
      <c r="D301" s="7" t="s">
        <v>20</v>
      </c>
      <c r="E301" s="7" t="s">
        <v>119</v>
      </c>
      <c r="F301" s="7" t="s">
        <v>62</v>
      </c>
      <c r="G301" s="7" t="s">
        <v>959</v>
      </c>
      <c r="H301" s="7" t="s">
        <v>945</v>
      </c>
      <c r="I301" s="7" t="s">
        <v>946</v>
      </c>
      <c r="J301" s="7" t="s">
        <v>947</v>
      </c>
      <c r="K301" s="7" t="s">
        <v>948</v>
      </c>
      <c r="L301" s="7" t="s">
        <v>949</v>
      </c>
      <c r="M301" s="7" t="s">
        <v>950</v>
      </c>
      <c r="N301" s="7" t="s">
        <v>951</v>
      </c>
      <c r="O301" s="7" t="s">
        <v>189</v>
      </c>
      <c r="P301" s="7" t="s">
        <v>952</v>
      </c>
      <c r="Q301" s="7" t="s">
        <v>953</v>
      </c>
      <c r="R301" s="7" t="s">
        <v>954</v>
      </c>
      <c r="S301" s="7" t="s">
        <v>955</v>
      </c>
      <c r="T301" s="7" t="s">
        <v>956</v>
      </c>
      <c r="U301" s="18" t="n">
        <v>310</v>
      </c>
      <c r="V301" s="7"/>
      <c r="W301" s="7"/>
      <c r="X301" s="7" t="s">
        <v>960</v>
      </c>
      <c r="Y301" s="22" t="n">
        <v>0.117</v>
      </c>
      <c r="Z301" s="22" t="n">
        <v>0.22</v>
      </c>
      <c r="AA301" s="22" t="n">
        <v>12</v>
      </c>
      <c r="AB301" s="7" t="s">
        <v>949</v>
      </c>
      <c r="AC301" s="7" t="s">
        <v>957</v>
      </c>
      <c r="AD301" s="22" t="n">
        <v>0.117</v>
      </c>
      <c r="AE301" s="22" t="n">
        <v>0.22</v>
      </c>
      <c r="AF301" s="22" t="n">
        <v>2.5</v>
      </c>
      <c r="AG301" s="22" t="n">
        <v>200</v>
      </c>
      <c r="AH301" s="22" t="n">
        <v>25</v>
      </c>
      <c r="AI301" s="22" t="s">
        <v>197</v>
      </c>
      <c r="AJ301" s="22" t="s">
        <v>197</v>
      </c>
      <c r="AK301" s="22" t="s">
        <v>197</v>
      </c>
      <c r="AL301" s="22" t="s">
        <v>197</v>
      </c>
      <c r="AM301" s="7" t="s">
        <v>197</v>
      </c>
      <c r="AN301" s="22" t="s">
        <v>197</v>
      </c>
      <c r="AO301" s="22" t="s">
        <v>197</v>
      </c>
      <c r="AP301" s="22" t="s">
        <v>197</v>
      </c>
    </row>
    <row r="302" customFormat="false" ht="21.75" hidden="false" customHeight="true" outlineLevel="0" collapsed="false">
      <c r="B302" s="15" t="n">
        <v>298</v>
      </c>
      <c r="C302" s="9" t="s">
        <v>45</v>
      </c>
      <c r="D302" s="9" t="s">
        <v>20</v>
      </c>
      <c r="E302" s="9" t="s">
        <v>119</v>
      </c>
      <c r="F302" s="9" t="s">
        <v>62</v>
      </c>
      <c r="G302" s="9" t="s">
        <v>961</v>
      </c>
      <c r="H302" s="9" t="s">
        <v>945</v>
      </c>
      <c r="I302" s="9" t="s">
        <v>946</v>
      </c>
      <c r="J302" s="9" t="s">
        <v>947</v>
      </c>
      <c r="K302" s="9" t="s">
        <v>948</v>
      </c>
      <c r="L302" s="9" t="s">
        <v>949</v>
      </c>
      <c r="M302" s="9" t="s">
        <v>950</v>
      </c>
      <c r="N302" s="9" t="s">
        <v>951</v>
      </c>
      <c r="O302" s="9" t="s">
        <v>189</v>
      </c>
      <c r="P302" s="9" t="s">
        <v>952</v>
      </c>
      <c r="Q302" s="9" t="s">
        <v>953</v>
      </c>
      <c r="R302" s="9" t="s">
        <v>954</v>
      </c>
      <c r="S302" s="9" t="s">
        <v>955</v>
      </c>
      <c r="T302" s="9" t="s">
        <v>956</v>
      </c>
      <c r="U302" s="19" t="n">
        <v>465</v>
      </c>
      <c r="V302" s="9"/>
      <c r="W302" s="9"/>
      <c r="X302" s="9" t="s">
        <v>203</v>
      </c>
      <c r="Y302" s="23" t="n">
        <v>0.065</v>
      </c>
      <c r="Z302" s="23" t="n">
        <v>0.22</v>
      </c>
      <c r="AA302" s="23" t="n">
        <v>12</v>
      </c>
      <c r="AB302" s="9" t="s">
        <v>949</v>
      </c>
      <c r="AC302" s="9" t="s">
        <v>957</v>
      </c>
      <c r="AD302" s="23" t="n">
        <v>0.065</v>
      </c>
      <c r="AE302" s="23" t="n">
        <v>0.22</v>
      </c>
      <c r="AF302" s="23" t="n">
        <v>2</v>
      </c>
      <c r="AG302" s="23" t="n">
        <v>100</v>
      </c>
      <c r="AH302" s="23" t="n">
        <v>25</v>
      </c>
      <c r="AI302" s="23" t="s">
        <v>197</v>
      </c>
      <c r="AJ302" s="23" t="s">
        <v>197</v>
      </c>
      <c r="AK302" s="23" t="s">
        <v>197</v>
      </c>
      <c r="AL302" s="23" t="s">
        <v>197</v>
      </c>
      <c r="AM302" s="9" t="s">
        <v>197</v>
      </c>
      <c r="AN302" s="23" t="s">
        <v>197</v>
      </c>
      <c r="AO302" s="23" t="s">
        <v>197</v>
      </c>
      <c r="AP302" s="23" t="s">
        <v>197</v>
      </c>
    </row>
    <row r="303" customFormat="false" ht="21.75" hidden="false" customHeight="true" outlineLevel="0" collapsed="false">
      <c r="B303" s="14" t="n">
        <v>299</v>
      </c>
      <c r="C303" s="7" t="s">
        <v>45</v>
      </c>
      <c r="D303" s="7" t="s">
        <v>20</v>
      </c>
      <c r="E303" s="7" t="s">
        <v>119</v>
      </c>
      <c r="F303" s="7" t="s">
        <v>62</v>
      </c>
      <c r="G303" s="7" t="s">
        <v>962</v>
      </c>
      <c r="H303" s="7" t="s">
        <v>945</v>
      </c>
      <c r="I303" s="7" t="s">
        <v>946</v>
      </c>
      <c r="J303" s="7" t="s">
        <v>947</v>
      </c>
      <c r="K303" s="7" t="s">
        <v>948</v>
      </c>
      <c r="L303" s="7" t="s">
        <v>949</v>
      </c>
      <c r="M303" s="7" t="s">
        <v>950</v>
      </c>
      <c r="N303" s="7" t="s">
        <v>951</v>
      </c>
      <c r="O303" s="7" t="s">
        <v>189</v>
      </c>
      <c r="P303" s="7" t="s">
        <v>952</v>
      </c>
      <c r="Q303" s="7" t="s">
        <v>953</v>
      </c>
      <c r="R303" s="7" t="s">
        <v>954</v>
      </c>
      <c r="S303" s="7" t="s">
        <v>955</v>
      </c>
      <c r="T303" s="7" t="s">
        <v>956</v>
      </c>
      <c r="U303" s="18" t="n">
        <v>680</v>
      </c>
      <c r="V303" s="7"/>
      <c r="W303" s="7"/>
      <c r="X303" s="7" t="s">
        <v>205</v>
      </c>
      <c r="Y303" s="22" t="n">
        <v>0.073</v>
      </c>
      <c r="Z303" s="22" t="n">
        <v>0.22</v>
      </c>
      <c r="AA303" s="22" t="n">
        <v>12</v>
      </c>
      <c r="AB303" s="7" t="s">
        <v>949</v>
      </c>
      <c r="AC303" s="7" t="s">
        <v>957</v>
      </c>
      <c r="AD303" s="22" t="n">
        <v>0.073</v>
      </c>
      <c r="AE303" s="22" t="n">
        <v>0.22</v>
      </c>
      <c r="AF303" s="22" t="n">
        <v>2.5</v>
      </c>
      <c r="AG303" s="22" t="n">
        <v>200</v>
      </c>
      <c r="AH303" s="22" t="n">
        <v>25</v>
      </c>
      <c r="AI303" s="22" t="s">
        <v>197</v>
      </c>
      <c r="AJ303" s="22" t="s">
        <v>197</v>
      </c>
      <c r="AK303" s="22" t="s">
        <v>197</v>
      </c>
      <c r="AL303" s="22" t="s">
        <v>197</v>
      </c>
      <c r="AM303" s="7" t="s">
        <v>197</v>
      </c>
      <c r="AN303" s="22" t="s">
        <v>197</v>
      </c>
      <c r="AO303" s="22" t="s">
        <v>197</v>
      </c>
      <c r="AP303" s="22" t="s">
        <v>197</v>
      </c>
    </row>
    <row r="304" customFormat="false" ht="21.75" hidden="false" customHeight="true" outlineLevel="0" collapsed="false">
      <c r="B304" s="15" t="n">
        <v>300</v>
      </c>
      <c r="C304" s="9" t="s">
        <v>45</v>
      </c>
      <c r="D304" s="9" t="s">
        <v>20</v>
      </c>
      <c r="E304" s="9" t="s">
        <v>119</v>
      </c>
      <c r="F304" s="9" t="s">
        <v>63</v>
      </c>
      <c r="G304" s="9" t="s">
        <v>963</v>
      </c>
      <c r="H304" s="9" t="s">
        <v>964</v>
      </c>
      <c r="I304" s="9" t="s">
        <v>965</v>
      </c>
      <c r="J304" s="9" t="s">
        <v>966</v>
      </c>
      <c r="K304" s="9" t="s">
        <v>967</v>
      </c>
      <c r="L304" s="9" t="s">
        <v>949</v>
      </c>
      <c r="M304" s="9" t="s">
        <v>968</v>
      </c>
      <c r="N304" s="9" t="s">
        <v>189</v>
      </c>
      <c r="O304" s="9" t="s">
        <v>189</v>
      </c>
      <c r="P304" s="9" t="s">
        <v>952</v>
      </c>
      <c r="Q304" s="9" t="s">
        <v>969</v>
      </c>
      <c r="R304" s="9" t="s">
        <v>872</v>
      </c>
      <c r="S304" s="9" t="s">
        <v>955</v>
      </c>
      <c r="T304" s="9" t="s">
        <v>970</v>
      </c>
      <c r="U304" s="19" t="n">
        <v>40</v>
      </c>
      <c r="V304" s="9"/>
      <c r="W304" s="9"/>
      <c r="X304" s="9" t="s">
        <v>195</v>
      </c>
      <c r="Y304" s="23" t="n">
        <v>0.044</v>
      </c>
      <c r="Z304" s="23" t="n">
        <v>0.083</v>
      </c>
      <c r="AA304" s="23" t="n">
        <v>12</v>
      </c>
      <c r="AB304" s="9" t="s">
        <v>949</v>
      </c>
      <c r="AC304" s="9" t="s">
        <v>971</v>
      </c>
      <c r="AD304" s="23" t="s">
        <v>197</v>
      </c>
      <c r="AE304" s="23" t="s">
        <v>197</v>
      </c>
      <c r="AF304" s="23" t="s">
        <v>197</v>
      </c>
      <c r="AG304" s="23" t="s">
        <v>197</v>
      </c>
      <c r="AH304" s="23" t="s">
        <v>197</v>
      </c>
      <c r="AI304" s="23" t="s">
        <v>197</v>
      </c>
      <c r="AJ304" s="23" t="s">
        <v>197</v>
      </c>
      <c r="AK304" s="23" t="s">
        <v>197</v>
      </c>
      <c r="AL304" s="23" t="s">
        <v>197</v>
      </c>
      <c r="AM304" s="9" t="s">
        <v>197</v>
      </c>
      <c r="AN304" s="23" t="s">
        <v>197</v>
      </c>
      <c r="AO304" s="23" t="n">
        <v>1.2</v>
      </c>
      <c r="AP304" s="23" t="n">
        <v>1.6</v>
      </c>
    </row>
    <row r="305" customFormat="false" ht="21.75" hidden="false" customHeight="true" outlineLevel="0" collapsed="false">
      <c r="B305" s="14" t="n">
        <v>301</v>
      </c>
      <c r="C305" s="7" t="s">
        <v>45</v>
      </c>
      <c r="D305" s="7" t="s">
        <v>20</v>
      </c>
      <c r="E305" s="7" t="s">
        <v>119</v>
      </c>
      <c r="F305" s="7" t="s">
        <v>63</v>
      </c>
      <c r="G305" s="7" t="s">
        <v>972</v>
      </c>
      <c r="H305" s="7" t="s">
        <v>964</v>
      </c>
      <c r="I305" s="7" t="s">
        <v>965</v>
      </c>
      <c r="J305" s="7" t="s">
        <v>966</v>
      </c>
      <c r="K305" s="7" t="s">
        <v>967</v>
      </c>
      <c r="L305" s="7" t="s">
        <v>949</v>
      </c>
      <c r="M305" s="7" t="s">
        <v>968</v>
      </c>
      <c r="N305" s="7" t="s">
        <v>189</v>
      </c>
      <c r="O305" s="7" t="s">
        <v>189</v>
      </c>
      <c r="P305" s="7" t="s">
        <v>952</v>
      </c>
      <c r="Q305" s="7" t="s">
        <v>969</v>
      </c>
      <c r="R305" s="7" t="s">
        <v>872</v>
      </c>
      <c r="S305" s="7" t="s">
        <v>955</v>
      </c>
      <c r="T305" s="7" t="s">
        <v>970</v>
      </c>
      <c r="U305" s="18" t="n">
        <v>60</v>
      </c>
      <c r="V305" s="7"/>
      <c r="W305" s="7"/>
      <c r="X305" s="7" t="s">
        <v>199</v>
      </c>
      <c r="Y305" s="22" t="n">
        <v>0.057</v>
      </c>
      <c r="Z305" s="22" t="n">
        <v>0.105</v>
      </c>
      <c r="AA305" s="22" t="n">
        <v>12</v>
      </c>
      <c r="AB305" s="7" t="s">
        <v>949</v>
      </c>
      <c r="AC305" s="7" t="s">
        <v>971</v>
      </c>
      <c r="AD305" s="22" t="s">
        <v>197</v>
      </c>
      <c r="AE305" s="22" t="s">
        <v>197</v>
      </c>
      <c r="AF305" s="22" t="s">
        <v>197</v>
      </c>
      <c r="AG305" s="22" t="s">
        <v>197</v>
      </c>
      <c r="AH305" s="22" t="s">
        <v>197</v>
      </c>
      <c r="AI305" s="22" t="s">
        <v>197</v>
      </c>
      <c r="AJ305" s="22" t="s">
        <v>197</v>
      </c>
      <c r="AK305" s="22" t="s">
        <v>197</v>
      </c>
      <c r="AL305" s="22" t="s">
        <v>197</v>
      </c>
      <c r="AM305" s="7" t="s">
        <v>197</v>
      </c>
      <c r="AN305" s="22" t="s">
        <v>197</v>
      </c>
      <c r="AO305" s="22" t="n">
        <v>1.2</v>
      </c>
      <c r="AP305" s="22" t="n">
        <v>1.6</v>
      </c>
    </row>
    <row r="306" customFormat="false" ht="21.75" hidden="false" customHeight="true" outlineLevel="0" collapsed="false">
      <c r="B306" s="15" t="n">
        <v>302</v>
      </c>
      <c r="C306" s="9" t="s">
        <v>45</v>
      </c>
      <c r="D306" s="9" t="s">
        <v>20</v>
      </c>
      <c r="E306" s="9" t="s">
        <v>119</v>
      </c>
      <c r="F306" s="9" t="s">
        <v>63</v>
      </c>
      <c r="G306" s="9" t="s">
        <v>973</v>
      </c>
      <c r="H306" s="9" t="s">
        <v>964</v>
      </c>
      <c r="I306" s="9" t="s">
        <v>965</v>
      </c>
      <c r="J306" s="9" t="s">
        <v>966</v>
      </c>
      <c r="K306" s="9" t="s">
        <v>967</v>
      </c>
      <c r="L306" s="9" t="s">
        <v>949</v>
      </c>
      <c r="M306" s="9" t="s">
        <v>968</v>
      </c>
      <c r="N306" s="9" t="s">
        <v>189</v>
      </c>
      <c r="O306" s="9" t="s">
        <v>189</v>
      </c>
      <c r="P306" s="9" t="s">
        <v>952</v>
      </c>
      <c r="Q306" s="9" t="s">
        <v>969</v>
      </c>
      <c r="R306" s="9" t="s">
        <v>872</v>
      </c>
      <c r="S306" s="9" t="s">
        <v>955</v>
      </c>
      <c r="T306" s="9" t="s">
        <v>970</v>
      </c>
      <c r="U306" s="19" t="n">
        <v>85</v>
      </c>
      <c r="V306" s="9"/>
      <c r="W306" s="9"/>
      <c r="X306" s="9" t="s">
        <v>974</v>
      </c>
      <c r="Y306" s="23" t="n">
        <v>0.032</v>
      </c>
      <c r="Z306" s="23" t="n">
        <v>0.063</v>
      </c>
      <c r="AA306" s="23" t="n">
        <v>12</v>
      </c>
      <c r="AB306" s="9" t="s">
        <v>949</v>
      </c>
      <c r="AC306" s="9" t="s">
        <v>971</v>
      </c>
      <c r="AD306" s="23" t="s">
        <v>197</v>
      </c>
      <c r="AE306" s="23" t="s">
        <v>197</v>
      </c>
      <c r="AF306" s="23" t="s">
        <v>197</v>
      </c>
      <c r="AG306" s="23" t="s">
        <v>197</v>
      </c>
      <c r="AH306" s="23" t="s">
        <v>197</v>
      </c>
      <c r="AI306" s="23" t="s">
        <v>197</v>
      </c>
      <c r="AJ306" s="23" t="s">
        <v>197</v>
      </c>
      <c r="AK306" s="23" t="s">
        <v>197</v>
      </c>
      <c r="AL306" s="23" t="s">
        <v>197</v>
      </c>
      <c r="AM306" s="9" t="s">
        <v>197</v>
      </c>
      <c r="AN306" s="23" t="s">
        <v>197</v>
      </c>
      <c r="AO306" s="23" t="n">
        <v>1.2</v>
      </c>
      <c r="AP306" s="23" t="n">
        <v>1.6</v>
      </c>
    </row>
    <row r="307" customFormat="false" ht="21.75" hidden="false" customHeight="true" outlineLevel="0" collapsed="false">
      <c r="B307" s="14" t="n">
        <v>303</v>
      </c>
      <c r="C307" s="7" t="s">
        <v>45</v>
      </c>
      <c r="D307" s="7" t="s">
        <v>20</v>
      </c>
      <c r="E307" s="7" t="s">
        <v>119</v>
      </c>
      <c r="F307" s="7" t="s">
        <v>63</v>
      </c>
      <c r="G307" s="7" t="s">
        <v>975</v>
      </c>
      <c r="H307" s="7" t="s">
        <v>964</v>
      </c>
      <c r="I307" s="7" t="s">
        <v>965</v>
      </c>
      <c r="J307" s="7" t="s">
        <v>966</v>
      </c>
      <c r="K307" s="7" t="s">
        <v>967</v>
      </c>
      <c r="L307" s="7" t="s">
        <v>949</v>
      </c>
      <c r="M307" s="7" t="s">
        <v>968</v>
      </c>
      <c r="N307" s="7" t="s">
        <v>189</v>
      </c>
      <c r="O307" s="7" t="s">
        <v>189</v>
      </c>
      <c r="P307" s="7" t="s">
        <v>952</v>
      </c>
      <c r="Q307" s="7" t="s">
        <v>969</v>
      </c>
      <c r="R307" s="7" t="s">
        <v>872</v>
      </c>
      <c r="S307" s="7" t="s">
        <v>955</v>
      </c>
      <c r="T307" s="7" t="s">
        <v>970</v>
      </c>
      <c r="U307" s="18" t="n">
        <v>125</v>
      </c>
      <c r="V307" s="7"/>
      <c r="W307" s="7"/>
      <c r="X307" s="7" t="s">
        <v>203</v>
      </c>
      <c r="Y307" s="22" t="n">
        <v>0.039</v>
      </c>
      <c r="Z307" s="22" t="n">
        <v>0.074</v>
      </c>
      <c r="AA307" s="22" t="n">
        <v>12</v>
      </c>
      <c r="AB307" s="7" t="s">
        <v>949</v>
      </c>
      <c r="AC307" s="7" t="s">
        <v>971</v>
      </c>
      <c r="AD307" s="22" t="s">
        <v>197</v>
      </c>
      <c r="AE307" s="22" t="s">
        <v>197</v>
      </c>
      <c r="AF307" s="22" t="s">
        <v>197</v>
      </c>
      <c r="AG307" s="22" t="s">
        <v>197</v>
      </c>
      <c r="AH307" s="22" t="s">
        <v>197</v>
      </c>
      <c r="AI307" s="22" t="s">
        <v>197</v>
      </c>
      <c r="AJ307" s="22" t="s">
        <v>197</v>
      </c>
      <c r="AK307" s="22" t="s">
        <v>197</v>
      </c>
      <c r="AL307" s="22" t="s">
        <v>197</v>
      </c>
      <c r="AM307" s="7" t="s">
        <v>197</v>
      </c>
      <c r="AN307" s="22" t="s">
        <v>197</v>
      </c>
      <c r="AO307" s="22" t="n">
        <v>1.2</v>
      </c>
      <c r="AP307" s="22" t="n">
        <v>1.6</v>
      </c>
    </row>
    <row r="308" customFormat="false" ht="21.75" hidden="false" customHeight="true" outlineLevel="0" collapsed="false">
      <c r="B308" s="15" t="n">
        <v>304</v>
      </c>
      <c r="C308" s="9" t="s">
        <v>45</v>
      </c>
      <c r="D308" s="9" t="s">
        <v>20</v>
      </c>
      <c r="E308" s="9" t="s">
        <v>119</v>
      </c>
      <c r="F308" s="9" t="s">
        <v>63</v>
      </c>
      <c r="G308" s="9" t="s">
        <v>976</v>
      </c>
      <c r="H308" s="9" t="s">
        <v>964</v>
      </c>
      <c r="I308" s="9" t="s">
        <v>965</v>
      </c>
      <c r="J308" s="9" t="s">
        <v>966</v>
      </c>
      <c r="K308" s="9" t="s">
        <v>967</v>
      </c>
      <c r="L308" s="9" t="s">
        <v>949</v>
      </c>
      <c r="M308" s="9" t="s">
        <v>968</v>
      </c>
      <c r="N308" s="9" t="s">
        <v>189</v>
      </c>
      <c r="O308" s="9" t="s">
        <v>189</v>
      </c>
      <c r="P308" s="9" t="s">
        <v>952</v>
      </c>
      <c r="Q308" s="9" t="s">
        <v>969</v>
      </c>
      <c r="R308" s="9" t="s">
        <v>872</v>
      </c>
      <c r="S308" s="9" t="s">
        <v>955</v>
      </c>
      <c r="T308" s="9" t="s">
        <v>970</v>
      </c>
      <c r="U308" s="19" t="n">
        <v>185</v>
      </c>
      <c r="V308" s="9"/>
      <c r="W308" s="9"/>
      <c r="X308" s="9" t="s">
        <v>205</v>
      </c>
      <c r="Y308" s="23" t="n">
        <v>0.032</v>
      </c>
      <c r="Z308" s="23" t="n">
        <v>0.064</v>
      </c>
      <c r="AA308" s="23" t="n">
        <v>12</v>
      </c>
      <c r="AB308" s="9" t="s">
        <v>949</v>
      </c>
      <c r="AC308" s="9" t="s">
        <v>971</v>
      </c>
      <c r="AD308" s="23" t="s">
        <v>197</v>
      </c>
      <c r="AE308" s="23" t="s">
        <v>197</v>
      </c>
      <c r="AF308" s="23" t="s">
        <v>197</v>
      </c>
      <c r="AG308" s="23" t="s">
        <v>197</v>
      </c>
      <c r="AH308" s="23" t="s">
        <v>197</v>
      </c>
      <c r="AI308" s="23" t="s">
        <v>197</v>
      </c>
      <c r="AJ308" s="23" t="s">
        <v>197</v>
      </c>
      <c r="AK308" s="23" t="s">
        <v>197</v>
      </c>
      <c r="AL308" s="23" t="s">
        <v>197</v>
      </c>
      <c r="AM308" s="9" t="s">
        <v>197</v>
      </c>
      <c r="AN308" s="23" t="s">
        <v>197</v>
      </c>
      <c r="AO308" s="23" t="n">
        <v>1.2</v>
      </c>
      <c r="AP308" s="23" t="n">
        <v>1.6</v>
      </c>
    </row>
    <row r="309" customFormat="false" ht="21.75" hidden="false" customHeight="true" outlineLevel="0" collapsed="false">
      <c r="B309" s="14" t="n">
        <v>305</v>
      </c>
      <c r="C309" s="7" t="s">
        <v>45</v>
      </c>
      <c r="D309" s="7" t="s">
        <v>20</v>
      </c>
      <c r="E309" s="7" t="s">
        <v>119</v>
      </c>
      <c r="F309" s="7" t="s">
        <v>64</v>
      </c>
      <c r="G309" s="7" t="s">
        <v>977</v>
      </c>
      <c r="H309" s="7" t="s">
        <v>247</v>
      </c>
      <c r="I309" s="7" t="s">
        <v>978</v>
      </c>
      <c r="J309" s="7" t="s">
        <v>979</v>
      </c>
      <c r="K309" s="7" t="s">
        <v>967</v>
      </c>
      <c r="L309" s="7" t="s">
        <v>949</v>
      </c>
      <c r="M309" s="7" t="s">
        <v>980</v>
      </c>
      <c r="N309" s="7" t="s">
        <v>189</v>
      </c>
      <c r="O309" s="7" t="s">
        <v>189</v>
      </c>
      <c r="P309" s="7" t="s">
        <v>952</v>
      </c>
      <c r="Q309" s="7" t="s">
        <v>981</v>
      </c>
      <c r="R309" s="7" t="s">
        <v>933</v>
      </c>
      <c r="S309" s="7" t="s">
        <v>955</v>
      </c>
      <c r="T309" s="7" t="s">
        <v>982</v>
      </c>
      <c r="U309" s="18" t="n">
        <v>20</v>
      </c>
      <c r="V309" s="7"/>
      <c r="W309" s="7"/>
      <c r="X309" s="7" t="s">
        <v>195</v>
      </c>
      <c r="Y309" s="22" t="n">
        <v>1.182E-005</v>
      </c>
      <c r="Z309" s="22" t="n">
        <v>3.181E-005</v>
      </c>
      <c r="AA309" s="22" t="n">
        <v>3</v>
      </c>
      <c r="AB309" s="7" t="s">
        <v>949</v>
      </c>
      <c r="AC309" s="7" t="s">
        <v>983</v>
      </c>
      <c r="AD309" s="22" t="s">
        <v>197</v>
      </c>
      <c r="AE309" s="22" t="s">
        <v>197</v>
      </c>
      <c r="AF309" s="22" t="s">
        <v>197</v>
      </c>
      <c r="AG309" s="22" t="s">
        <v>197</v>
      </c>
      <c r="AH309" s="22" t="s">
        <v>197</v>
      </c>
      <c r="AI309" s="22" t="s">
        <v>197</v>
      </c>
      <c r="AJ309" s="22" t="n">
        <v>8</v>
      </c>
      <c r="AK309" s="22" t="s">
        <v>197</v>
      </c>
      <c r="AL309" s="22" t="n">
        <v>90</v>
      </c>
      <c r="AM309" s="7" t="s">
        <v>257</v>
      </c>
      <c r="AN309" s="22" t="s">
        <v>197</v>
      </c>
      <c r="AO309" s="22" t="n">
        <v>2</v>
      </c>
      <c r="AP309" s="22" t="n">
        <v>2.7</v>
      </c>
    </row>
    <row r="310" customFormat="false" ht="21.75" hidden="false" customHeight="true" outlineLevel="0" collapsed="false">
      <c r="B310" s="15" t="n">
        <v>306</v>
      </c>
      <c r="C310" s="9" t="s">
        <v>45</v>
      </c>
      <c r="D310" s="9" t="s">
        <v>20</v>
      </c>
      <c r="E310" s="9" t="s">
        <v>119</v>
      </c>
      <c r="F310" s="9" t="s">
        <v>64</v>
      </c>
      <c r="G310" s="9" t="s">
        <v>984</v>
      </c>
      <c r="H310" s="9" t="s">
        <v>259</v>
      </c>
      <c r="I310" s="9" t="s">
        <v>978</v>
      </c>
      <c r="J310" s="9" t="s">
        <v>979</v>
      </c>
      <c r="K310" s="9" t="s">
        <v>967</v>
      </c>
      <c r="L310" s="9" t="s">
        <v>949</v>
      </c>
      <c r="M310" s="9" t="s">
        <v>980</v>
      </c>
      <c r="N310" s="9" t="s">
        <v>189</v>
      </c>
      <c r="O310" s="9" t="s">
        <v>189</v>
      </c>
      <c r="P310" s="9" t="s">
        <v>952</v>
      </c>
      <c r="Q310" s="9" t="s">
        <v>981</v>
      </c>
      <c r="R310" s="9" t="s">
        <v>933</v>
      </c>
      <c r="S310" s="9" t="s">
        <v>955</v>
      </c>
      <c r="T310" s="9" t="s">
        <v>982</v>
      </c>
      <c r="U310" s="19" t="n">
        <v>30</v>
      </c>
      <c r="V310" s="9"/>
      <c r="W310" s="9"/>
      <c r="X310" s="9" t="s">
        <v>199</v>
      </c>
      <c r="Y310" s="23" t="n">
        <v>1.136E-005</v>
      </c>
      <c r="Z310" s="23" t="n">
        <v>3.099E-005</v>
      </c>
      <c r="AA310" s="23" t="n">
        <v>3</v>
      </c>
      <c r="AB310" s="9" t="s">
        <v>949</v>
      </c>
      <c r="AC310" s="9" t="s">
        <v>983</v>
      </c>
      <c r="AD310" s="23" t="s">
        <v>197</v>
      </c>
      <c r="AE310" s="23" t="s">
        <v>197</v>
      </c>
      <c r="AF310" s="23" t="s">
        <v>197</v>
      </c>
      <c r="AG310" s="23" t="s">
        <v>197</v>
      </c>
      <c r="AH310" s="23" t="s">
        <v>197</v>
      </c>
      <c r="AI310" s="23" t="s">
        <v>197</v>
      </c>
      <c r="AJ310" s="23" t="n">
        <v>10</v>
      </c>
      <c r="AK310" s="23" t="s">
        <v>197</v>
      </c>
      <c r="AL310" s="23" t="n">
        <v>90</v>
      </c>
      <c r="AM310" s="9" t="s">
        <v>257</v>
      </c>
      <c r="AN310" s="23" t="s">
        <v>197</v>
      </c>
      <c r="AO310" s="23" t="n">
        <v>2</v>
      </c>
      <c r="AP310" s="23" t="n">
        <v>2.7</v>
      </c>
    </row>
    <row r="311" customFormat="false" ht="21.75" hidden="false" customHeight="true" outlineLevel="0" collapsed="false">
      <c r="B311" s="14" t="n">
        <v>307</v>
      </c>
      <c r="C311" s="7" t="s">
        <v>45</v>
      </c>
      <c r="D311" s="7" t="s">
        <v>20</v>
      </c>
      <c r="E311" s="7" t="s">
        <v>119</v>
      </c>
      <c r="F311" s="7" t="s">
        <v>64</v>
      </c>
      <c r="G311" s="7" t="s">
        <v>985</v>
      </c>
      <c r="H311" s="7" t="s">
        <v>261</v>
      </c>
      <c r="I311" s="7" t="s">
        <v>978</v>
      </c>
      <c r="J311" s="7" t="s">
        <v>979</v>
      </c>
      <c r="K311" s="7" t="s">
        <v>967</v>
      </c>
      <c r="L311" s="7" t="s">
        <v>949</v>
      </c>
      <c r="M311" s="7" t="s">
        <v>980</v>
      </c>
      <c r="N311" s="7" t="s">
        <v>189</v>
      </c>
      <c r="O311" s="7" t="s">
        <v>189</v>
      </c>
      <c r="P311" s="7" t="s">
        <v>952</v>
      </c>
      <c r="Q311" s="7" t="s">
        <v>981</v>
      </c>
      <c r="R311" s="7" t="s">
        <v>933</v>
      </c>
      <c r="S311" s="7" t="s">
        <v>955</v>
      </c>
      <c r="T311" s="7" t="s">
        <v>982</v>
      </c>
      <c r="U311" s="18" t="n">
        <v>40</v>
      </c>
      <c r="V311" s="7"/>
      <c r="W311" s="7"/>
      <c r="X311" s="7" t="s">
        <v>986</v>
      </c>
      <c r="Y311" s="22" t="n">
        <v>9.2E-006</v>
      </c>
      <c r="Z311" s="22" t="n">
        <v>2.714E-005</v>
      </c>
      <c r="AA311" s="22" t="n">
        <v>3</v>
      </c>
      <c r="AB311" s="7" t="s">
        <v>949</v>
      </c>
      <c r="AC311" s="7" t="s">
        <v>983</v>
      </c>
      <c r="AD311" s="22" t="s">
        <v>197</v>
      </c>
      <c r="AE311" s="22" t="s">
        <v>197</v>
      </c>
      <c r="AF311" s="22" t="s">
        <v>197</v>
      </c>
      <c r="AG311" s="22" t="s">
        <v>197</v>
      </c>
      <c r="AH311" s="22" t="s">
        <v>197</v>
      </c>
      <c r="AI311" s="22" t="s">
        <v>197</v>
      </c>
      <c r="AJ311" s="22" t="n">
        <v>12</v>
      </c>
      <c r="AK311" s="22" t="s">
        <v>197</v>
      </c>
      <c r="AL311" s="22" t="n">
        <v>90</v>
      </c>
      <c r="AM311" s="7" t="s">
        <v>257</v>
      </c>
      <c r="AN311" s="22" t="s">
        <v>197</v>
      </c>
      <c r="AO311" s="22" t="n">
        <v>2</v>
      </c>
      <c r="AP311" s="22" t="n">
        <v>2.7</v>
      </c>
    </row>
    <row r="312" customFormat="false" ht="21.75" hidden="false" customHeight="true" outlineLevel="0" collapsed="false">
      <c r="B312" s="15" t="n">
        <v>308</v>
      </c>
      <c r="C312" s="9" t="s">
        <v>45</v>
      </c>
      <c r="D312" s="9" t="s">
        <v>20</v>
      </c>
      <c r="E312" s="9" t="s">
        <v>119</v>
      </c>
      <c r="F312" s="9" t="s">
        <v>64</v>
      </c>
      <c r="G312" s="9" t="s">
        <v>987</v>
      </c>
      <c r="H312" s="9" t="s">
        <v>264</v>
      </c>
      <c r="I312" s="9" t="s">
        <v>978</v>
      </c>
      <c r="J312" s="9" t="s">
        <v>979</v>
      </c>
      <c r="K312" s="9" t="s">
        <v>967</v>
      </c>
      <c r="L312" s="9" t="s">
        <v>949</v>
      </c>
      <c r="M312" s="9" t="s">
        <v>980</v>
      </c>
      <c r="N312" s="9" t="s">
        <v>189</v>
      </c>
      <c r="O312" s="9" t="s">
        <v>189</v>
      </c>
      <c r="P312" s="9" t="s">
        <v>952</v>
      </c>
      <c r="Q312" s="9" t="s">
        <v>981</v>
      </c>
      <c r="R312" s="9" t="s">
        <v>933</v>
      </c>
      <c r="S312" s="9" t="s">
        <v>955</v>
      </c>
      <c r="T312" s="9" t="s">
        <v>982</v>
      </c>
      <c r="U312" s="19" t="n">
        <v>60</v>
      </c>
      <c r="V312" s="9"/>
      <c r="W312" s="9"/>
      <c r="X312" s="9" t="s">
        <v>203</v>
      </c>
      <c r="Y312" s="23" t="n">
        <v>8.95E-006</v>
      </c>
      <c r="Z312" s="23" t="n">
        <v>2.67E-005</v>
      </c>
      <c r="AA312" s="23" t="n">
        <v>3</v>
      </c>
      <c r="AB312" s="9" t="s">
        <v>949</v>
      </c>
      <c r="AC312" s="9" t="s">
        <v>983</v>
      </c>
      <c r="AD312" s="23" t="s">
        <v>197</v>
      </c>
      <c r="AE312" s="23" t="s">
        <v>197</v>
      </c>
      <c r="AF312" s="23" t="s">
        <v>197</v>
      </c>
      <c r="AG312" s="23" t="s">
        <v>197</v>
      </c>
      <c r="AH312" s="23" t="s">
        <v>197</v>
      </c>
      <c r="AI312" s="23" t="s">
        <v>197</v>
      </c>
      <c r="AJ312" s="23" t="n">
        <v>12</v>
      </c>
      <c r="AK312" s="23" t="s">
        <v>197</v>
      </c>
      <c r="AL312" s="23" t="n">
        <v>110</v>
      </c>
      <c r="AM312" s="9" t="s">
        <v>257</v>
      </c>
      <c r="AN312" s="23" t="s">
        <v>197</v>
      </c>
      <c r="AO312" s="23" t="n">
        <v>2</v>
      </c>
      <c r="AP312" s="23" t="n">
        <v>2.7</v>
      </c>
    </row>
    <row r="313" customFormat="false" ht="21.75" hidden="false" customHeight="true" outlineLevel="0" collapsed="false">
      <c r="B313" s="14" t="n">
        <v>309</v>
      </c>
      <c r="C313" s="7" t="s">
        <v>45</v>
      </c>
      <c r="D313" s="7" t="s">
        <v>20</v>
      </c>
      <c r="E313" s="7" t="s">
        <v>119</v>
      </c>
      <c r="F313" s="7" t="s">
        <v>64</v>
      </c>
      <c r="G313" s="7" t="s">
        <v>988</v>
      </c>
      <c r="H313" s="7" t="s">
        <v>266</v>
      </c>
      <c r="I313" s="7" t="s">
        <v>978</v>
      </c>
      <c r="J313" s="7" t="s">
        <v>979</v>
      </c>
      <c r="K313" s="7" t="s">
        <v>967</v>
      </c>
      <c r="L313" s="7" t="s">
        <v>949</v>
      </c>
      <c r="M313" s="7" t="s">
        <v>980</v>
      </c>
      <c r="N313" s="7" t="s">
        <v>189</v>
      </c>
      <c r="O313" s="7" t="s">
        <v>189</v>
      </c>
      <c r="P313" s="7" t="s">
        <v>952</v>
      </c>
      <c r="Q313" s="7" t="s">
        <v>981</v>
      </c>
      <c r="R313" s="7" t="s">
        <v>933</v>
      </c>
      <c r="S313" s="7" t="s">
        <v>955</v>
      </c>
      <c r="T313" s="7" t="s">
        <v>982</v>
      </c>
      <c r="U313" s="18" t="n">
        <v>90</v>
      </c>
      <c r="V313" s="7"/>
      <c r="W313" s="7"/>
      <c r="X313" s="7" t="s">
        <v>205</v>
      </c>
      <c r="Y313" s="22" t="n">
        <v>8.55E-006</v>
      </c>
      <c r="Z313" s="22" t="n">
        <v>2.598E-005</v>
      </c>
      <c r="AA313" s="22" t="n">
        <v>3</v>
      </c>
      <c r="AB313" s="7" t="s">
        <v>949</v>
      </c>
      <c r="AC313" s="7" t="s">
        <v>983</v>
      </c>
      <c r="AD313" s="22" t="s">
        <v>197</v>
      </c>
      <c r="AE313" s="22" t="s">
        <v>197</v>
      </c>
      <c r="AF313" s="22" t="s">
        <v>197</v>
      </c>
      <c r="AG313" s="22" t="s">
        <v>197</v>
      </c>
      <c r="AH313" s="22" t="s">
        <v>197</v>
      </c>
      <c r="AI313" s="22" t="s">
        <v>197</v>
      </c>
      <c r="AJ313" s="22" t="n">
        <v>15</v>
      </c>
      <c r="AK313" s="22" t="s">
        <v>197</v>
      </c>
      <c r="AL313" s="22" t="n">
        <v>110</v>
      </c>
      <c r="AM313" s="7" t="s">
        <v>257</v>
      </c>
      <c r="AN313" s="22" t="s">
        <v>197</v>
      </c>
      <c r="AO313" s="22" t="n">
        <v>2</v>
      </c>
      <c r="AP313" s="22" t="n">
        <v>2.7</v>
      </c>
    </row>
    <row r="314" customFormat="false" ht="21.75" hidden="false" customHeight="true" outlineLevel="0" collapsed="false">
      <c r="B314" s="15" t="n">
        <v>310</v>
      </c>
      <c r="C314" s="9" t="s">
        <v>45</v>
      </c>
      <c r="D314" s="9" t="s">
        <v>20</v>
      </c>
      <c r="E314" s="9" t="s">
        <v>119</v>
      </c>
      <c r="F314" s="9" t="s">
        <v>65</v>
      </c>
      <c r="G314" s="9" t="s">
        <v>977</v>
      </c>
      <c r="H314" s="9" t="s">
        <v>247</v>
      </c>
      <c r="I314" s="9" t="s">
        <v>989</v>
      </c>
      <c r="J314" s="9" t="s">
        <v>990</v>
      </c>
      <c r="K314" s="9" t="s">
        <v>967</v>
      </c>
      <c r="L314" s="9" t="s">
        <v>949</v>
      </c>
      <c r="M314" s="9" t="s">
        <v>980</v>
      </c>
      <c r="N314" s="9" t="s">
        <v>189</v>
      </c>
      <c r="O314" s="9" t="s">
        <v>189</v>
      </c>
      <c r="P314" s="9" t="s">
        <v>952</v>
      </c>
      <c r="Q314" s="9" t="s">
        <v>981</v>
      </c>
      <c r="R314" s="9" t="s">
        <v>849</v>
      </c>
      <c r="S314" s="9" t="s">
        <v>955</v>
      </c>
      <c r="T314" s="9" t="s">
        <v>507</v>
      </c>
      <c r="U314" s="19" t="n">
        <v>14</v>
      </c>
      <c r="V314" s="9"/>
      <c r="W314" s="9"/>
      <c r="X314" s="9" t="s">
        <v>195</v>
      </c>
      <c r="Y314" s="23" t="n">
        <v>1.182E-005</v>
      </c>
      <c r="Z314" s="23" t="n">
        <v>3.181E-005</v>
      </c>
      <c r="AA314" s="23" t="n">
        <v>3</v>
      </c>
      <c r="AB314" s="9" t="s">
        <v>949</v>
      </c>
      <c r="AC314" s="9" t="s">
        <v>983</v>
      </c>
      <c r="AD314" s="23" t="s">
        <v>197</v>
      </c>
      <c r="AE314" s="23" t="s">
        <v>197</v>
      </c>
      <c r="AF314" s="23" t="s">
        <v>197</v>
      </c>
      <c r="AG314" s="23" t="s">
        <v>197</v>
      </c>
      <c r="AH314" s="23" t="s">
        <v>197</v>
      </c>
      <c r="AI314" s="23" t="s">
        <v>197</v>
      </c>
      <c r="AJ314" s="23" t="n">
        <v>8</v>
      </c>
      <c r="AK314" s="23" t="s">
        <v>197</v>
      </c>
      <c r="AL314" s="23" t="n">
        <v>90</v>
      </c>
      <c r="AM314" s="9" t="s">
        <v>257</v>
      </c>
      <c r="AN314" s="23" t="s">
        <v>197</v>
      </c>
      <c r="AO314" s="23" t="n">
        <v>2</v>
      </c>
      <c r="AP314" s="23" t="n">
        <v>2.7</v>
      </c>
    </row>
    <row r="315" customFormat="false" ht="21.75" hidden="false" customHeight="true" outlineLevel="0" collapsed="false">
      <c r="B315" s="14" t="n">
        <v>311</v>
      </c>
      <c r="C315" s="7" t="s">
        <v>45</v>
      </c>
      <c r="D315" s="7" t="s">
        <v>20</v>
      </c>
      <c r="E315" s="7" t="s">
        <v>119</v>
      </c>
      <c r="F315" s="7" t="s">
        <v>65</v>
      </c>
      <c r="G315" s="7" t="s">
        <v>984</v>
      </c>
      <c r="H315" s="7" t="s">
        <v>259</v>
      </c>
      <c r="I315" s="7" t="s">
        <v>989</v>
      </c>
      <c r="J315" s="7" t="s">
        <v>990</v>
      </c>
      <c r="K315" s="7" t="s">
        <v>967</v>
      </c>
      <c r="L315" s="7" t="s">
        <v>949</v>
      </c>
      <c r="M315" s="7" t="s">
        <v>980</v>
      </c>
      <c r="N315" s="7" t="s">
        <v>189</v>
      </c>
      <c r="O315" s="7" t="s">
        <v>189</v>
      </c>
      <c r="P315" s="7" t="s">
        <v>952</v>
      </c>
      <c r="Q315" s="7" t="s">
        <v>981</v>
      </c>
      <c r="R315" s="7" t="s">
        <v>849</v>
      </c>
      <c r="S315" s="7" t="s">
        <v>955</v>
      </c>
      <c r="T315" s="7" t="s">
        <v>507</v>
      </c>
      <c r="U315" s="18" t="n">
        <v>20</v>
      </c>
      <c r="V315" s="7"/>
      <c r="W315" s="7"/>
      <c r="X315" s="7" t="s">
        <v>199</v>
      </c>
      <c r="Y315" s="22" t="n">
        <v>1.136E-005</v>
      </c>
      <c r="Z315" s="22" t="n">
        <v>3.099E-005</v>
      </c>
      <c r="AA315" s="22" t="n">
        <v>3</v>
      </c>
      <c r="AB315" s="7" t="s">
        <v>949</v>
      </c>
      <c r="AC315" s="7" t="s">
        <v>983</v>
      </c>
      <c r="AD315" s="22" t="s">
        <v>197</v>
      </c>
      <c r="AE315" s="22" t="s">
        <v>197</v>
      </c>
      <c r="AF315" s="22" t="s">
        <v>197</v>
      </c>
      <c r="AG315" s="22" t="s">
        <v>197</v>
      </c>
      <c r="AH315" s="22" t="s">
        <v>197</v>
      </c>
      <c r="AI315" s="22" t="s">
        <v>197</v>
      </c>
      <c r="AJ315" s="22" t="n">
        <v>10</v>
      </c>
      <c r="AK315" s="22" t="s">
        <v>197</v>
      </c>
      <c r="AL315" s="22" t="n">
        <v>90</v>
      </c>
      <c r="AM315" s="7" t="s">
        <v>257</v>
      </c>
      <c r="AN315" s="22" t="s">
        <v>197</v>
      </c>
      <c r="AO315" s="22" t="n">
        <v>2</v>
      </c>
      <c r="AP315" s="22" t="n">
        <v>2.7</v>
      </c>
    </row>
    <row r="316" customFormat="false" ht="21.75" hidden="false" customHeight="true" outlineLevel="0" collapsed="false">
      <c r="B316" s="15" t="n">
        <v>312</v>
      </c>
      <c r="C316" s="9" t="s">
        <v>45</v>
      </c>
      <c r="D316" s="9" t="s">
        <v>20</v>
      </c>
      <c r="E316" s="9" t="s">
        <v>119</v>
      </c>
      <c r="F316" s="9" t="s">
        <v>65</v>
      </c>
      <c r="G316" s="9" t="s">
        <v>985</v>
      </c>
      <c r="H316" s="9" t="s">
        <v>261</v>
      </c>
      <c r="I316" s="9" t="s">
        <v>989</v>
      </c>
      <c r="J316" s="9" t="s">
        <v>990</v>
      </c>
      <c r="K316" s="9" t="s">
        <v>967</v>
      </c>
      <c r="L316" s="9" t="s">
        <v>949</v>
      </c>
      <c r="M316" s="9" t="s">
        <v>980</v>
      </c>
      <c r="N316" s="9" t="s">
        <v>189</v>
      </c>
      <c r="O316" s="9" t="s">
        <v>189</v>
      </c>
      <c r="P316" s="9" t="s">
        <v>952</v>
      </c>
      <c r="Q316" s="9" t="s">
        <v>981</v>
      </c>
      <c r="R316" s="9" t="s">
        <v>849</v>
      </c>
      <c r="S316" s="9" t="s">
        <v>955</v>
      </c>
      <c r="T316" s="9" t="s">
        <v>507</v>
      </c>
      <c r="U316" s="19" t="n">
        <v>25</v>
      </c>
      <c r="V316" s="9"/>
      <c r="W316" s="9"/>
      <c r="X316" s="9" t="s">
        <v>991</v>
      </c>
      <c r="Y316" s="23" t="n">
        <v>9.2E-006</v>
      </c>
      <c r="Z316" s="23" t="n">
        <v>2.714E-005</v>
      </c>
      <c r="AA316" s="23" t="n">
        <v>3</v>
      </c>
      <c r="AB316" s="9" t="s">
        <v>949</v>
      </c>
      <c r="AC316" s="9" t="s">
        <v>983</v>
      </c>
      <c r="AD316" s="23" t="s">
        <v>197</v>
      </c>
      <c r="AE316" s="23" t="s">
        <v>197</v>
      </c>
      <c r="AF316" s="23" t="s">
        <v>197</v>
      </c>
      <c r="AG316" s="23" t="s">
        <v>197</v>
      </c>
      <c r="AH316" s="23" t="s">
        <v>197</v>
      </c>
      <c r="AI316" s="23" t="s">
        <v>197</v>
      </c>
      <c r="AJ316" s="23" t="n">
        <v>12</v>
      </c>
      <c r="AK316" s="23" t="s">
        <v>197</v>
      </c>
      <c r="AL316" s="23" t="n">
        <v>90</v>
      </c>
      <c r="AM316" s="9" t="s">
        <v>257</v>
      </c>
      <c r="AN316" s="23" t="s">
        <v>197</v>
      </c>
      <c r="AO316" s="23" t="n">
        <v>2</v>
      </c>
      <c r="AP316" s="23" t="n">
        <v>2.7</v>
      </c>
    </row>
    <row r="317" customFormat="false" ht="21.75" hidden="false" customHeight="true" outlineLevel="0" collapsed="false">
      <c r="B317" s="14" t="n">
        <v>313</v>
      </c>
      <c r="C317" s="7" t="s">
        <v>45</v>
      </c>
      <c r="D317" s="7" t="s">
        <v>20</v>
      </c>
      <c r="E317" s="7" t="s">
        <v>119</v>
      </c>
      <c r="F317" s="7" t="s">
        <v>65</v>
      </c>
      <c r="G317" s="7" t="s">
        <v>992</v>
      </c>
      <c r="H317" s="7" t="s">
        <v>281</v>
      </c>
      <c r="I317" s="7" t="s">
        <v>989</v>
      </c>
      <c r="J317" s="7" t="s">
        <v>990</v>
      </c>
      <c r="K317" s="7" t="s">
        <v>967</v>
      </c>
      <c r="L317" s="7" t="s">
        <v>949</v>
      </c>
      <c r="M317" s="7" t="s">
        <v>980</v>
      </c>
      <c r="N317" s="7" t="s">
        <v>189</v>
      </c>
      <c r="O317" s="7" t="s">
        <v>189</v>
      </c>
      <c r="P317" s="7" t="s">
        <v>952</v>
      </c>
      <c r="Q317" s="7" t="s">
        <v>981</v>
      </c>
      <c r="R317" s="7" t="s">
        <v>849</v>
      </c>
      <c r="S317" s="7" t="s">
        <v>955</v>
      </c>
      <c r="T317" s="7" t="s">
        <v>507</v>
      </c>
      <c r="U317" s="18" t="n">
        <v>40</v>
      </c>
      <c r="V317" s="7"/>
      <c r="W317" s="7"/>
      <c r="X317" s="7" t="s">
        <v>203</v>
      </c>
      <c r="Y317" s="22" t="n">
        <v>1.87E-005</v>
      </c>
      <c r="Z317" s="22" t="n">
        <v>4.411E-005</v>
      </c>
      <c r="AA317" s="22" t="n">
        <v>3</v>
      </c>
      <c r="AB317" s="7" t="s">
        <v>949</v>
      </c>
      <c r="AC317" s="7" t="s">
        <v>983</v>
      </c>
      <c r="AD317" s="22" t="s">
        <v>197</v>
      </c>
      <c r="AE317" s="22" t="s">
        <v>197</v>
      </c>
      <c r="AF317" s="22" t="s">
        <v>197</v>
      </c>
      <c r="AG317" s="22" t="s">
        <v>197</v>
      </c>
      <c r="AH317" s="22" t="s">
        <v>197</v>
      </c>
      <c r="AI317" s="22" t="s">
        <v>197</v>
      </c>
      <c r="AJ317" s="22" t="n">
        <v>12</v>
      </c>
      <c r="AK317" s="22" t="s">
        <v>197</v>
      </c>
      <c r="AL317" s="22" t="n">
        <v>90</v>
      </c>
      <c r="AM317" s="7" t="s">
        <v>257</v>
      </c>
      <c r="AN317" s="22" t="s">
        <v>197</v>
      </c>
      <c r="AO317" s="22" t="n">
        <v>2</v>
      </c>
      <c r="AP317" s="22" t="n">
        <v>2.7</v>
      </c>
    </row>
    <row r="318" customFormat="false" ht="21.75" hidden="false" customHeight="true" outlineLevel="0" collapsed="false">
      <c r="B318" s="15" t="n">
        <v>314</v>
      </c>
      <c r="C318" s="9" t="s">
        <v>45</v>
      </c>
      <c r="D318" s="9" t="s">
        <v>20</v>
      </c>
      <c r="E318" s="9" t="s">
        <v>119</v>
      </c>
      <c r="F318" s="9" t="s">
        <v>65</v>
      </c>
      <c r="G318" s="9" t="s">
        <v>988</v>
      </c>
      <c r="H318" s="9" t="s">
        <v>283</v>
      </c>
      <c r="I318" s="9" t="s">
        <v>989</v>
      </c>
      <c r="J318" s="9" t="s">
        <v>990</v>
      </c>
      <c r="K318" s="9" t="s">
        <v>967</v>
      </c>
      <c r="L318" s="9" t="s">
        <v>949</v>
      </c>
      <c r="M318" s="9" t="s">
        <v>980</v>
      </c>
      <c r="N318" s="9" t="s">
        <v>189</v>
      </c>
      <c r="O318" s="9" t="s">
        <v>189</v>
      </c>
      <c r="P318" s="9" t="s">
        <v>952</v>
      </c>
      <c r="Q318" s="9" t="s">
        <v>981</v>
      </c>
      <c r="R318" s="9" t="s">
        <v>849</v>
      </c>
      <c r="S318" s="9" t="s">
        <v>955</v>
      </c>
      <c r="T318" s="9" t="s">
        <v>507</v>
      </c>
      <c r="U318" s="19" t="n">
        <v>60</v>
      </c>
      <c r="V318" s="9"/>
      <c r="W318" s="9"/>
      <c r="X318" s="9" t="s">
        <v>205</v>
      </c>
      <c r="Y318" s="23" t="n">
        <v>8.55E-006</v>
      </c>
      <c r="Z318" s="23" t="n">
        <v>2.598E-005</v>
      </c>
      <c r="AA318" s="23" t="n">
        <v>3</v>
      </c>
      <c r="AB318" s="9" t="s">
        <v>949</v>
      </c>
      <c r="AC318" s="9" t="s">
        <v>983</v>
      </c>
      <c r="AD318" s="23" t="s">
        <v>197</v>
      </c>
      <c r="AE318" s="23" t="s">
        <v>197</v>
      </c>
      <c r="AF318" s="23" t="s">
        <v>197</v>
      </c>
      <c r="AG318" s="23" t="s">
        <v>197</v>
      </c>
      <c r="AH318" s="23" t="s">
        <v>197</v>
      </c>
      <c r="AI318" s="23" t="s">
        <v>197</v>
      </c>
      <c r="AJ318" s="23" t="n">
        <v>15</v>
      </c>
      <c r="AK318" s="23" t="s">
        <v>197</v>
      </c>
      <c r="AL318" s="23" t="n">
        <v>90</v>
      </c>
      <c r="AM318" s="9" t="s">
        <v>257</v>
      </c>
      <c r="AN318" s="23" t="s">
        <v>197</v>
      </c>
      <c r="AO318" s="23" t="n">
        <v>2</v>
      </c>
      <c r="AP318" s="23" t="n">
        <v>2.7</v>
      </c>
    </row>
    <row r="319" customFormat="false" ht="21.75" hidden="false" customHeight="true" outlineLevel="0" collapsed="false">
      <c r="B319" s="14" t="n">
        <v>315</v>
      </c>
      <c r="C319" s="7" t="s">
        <v>45</v>
      </c>
      <c r="D319" s="7" t="s">
        <v>20</v>
      </c>
      <c r="E319" s="7" t="s">
        <v>119</v>
      </c>
      <c r="F319" s="7" t="s">
        <v>66</v>
      </c>
      <c r="G319" s="7" t="s">
        <v>993</v>
      </c>
      <c r="H319" s="7" t="s">
        <v>285</v>
      </c>
      <c r="I319" s="7" t="s">
        <v>994</v>
      </c>
      <c r="J319" s="7" t="s">
        <v>995</v>
      </c>
      <c r="K319" s="7" t="s">
        <v>996</v>
      </c>
      <c r="L319" s="7" t="s">
        <v>949</v>
      </c>
      <c r="M319" s="7" t="s">
        <v>997</v>
      </c>
      <c r="N319" s="7" t="s">
        <v>189</v>
      </c>
      <c r="O319" s="7" t="s">
        <v>998</v>
      </c>
      <c r="P319" s="7" t="s">
        <v>952</v>
      </c>
      <c r="Q319" s="7" t="s">
        <v>999</v>
      </c>
      <c r="R319" s="7" t="s">
        <v>1000</v>
      </c>
      <c r="S319" s="7" t="s">
        <v>955</v>
      </c>
      <c r="T319" s="7" t="s">
        <v>1001</v>
      </c>
      <c r="U319" s="18" t="n">
        <v>45</v>
      </c>
      <c r="V319" s="7"/>
      <c r="W319" s="7"/>
      <c r="X319" s="7" t="s">
        <v>195</v>
      </c>
      <c r="Y319" s="22" t="n">
        <v>0.029</v>
      </c>
      <c r="Z319" s="22" t="n">
        <v>0.039</v>
      </c>
      <c r="AA319" s="22" t="n">
        <v>12</v>
      </c>
      <c r="AB319" s="7" t="s">
        <v>949</v>
      </c>
      <c r="AC319" s="7" t="s">
        <v>983</v>
      </c>
      <c r="AD319" s="22" t="s">
        <v>197</v>
      </c>
      <c r="AE319" s="22" t="s">
        <v>197</v>
      </c>
      <c r="AF319" s="22" t="s">
        <v>197</v>
      </c>
      <c r="AG319" s="22" t="s">
        <v>197</v>
      </c>
      <c r="AH319" s="22" t="s">
        <v>197</v>
      </c>
      <c r="AI319" s="22" t="s">
        <v>197</v>
      </c>
      <c r="AJ319" s="22" t="s">
        <v>197</v>
      </c>
      <c r="AK319" s="22" t="n">
        <v>10</v>
      </c>
      <c r="AL319" s="22" t="n">
        <v>90</v>
      </c>
      <c r="AM319" s="7" t="s">
        <v>292</v>
      </c>
      <c r="AN319" s="22" t="s">
        <v>197</v>
      </c>
      <c r="AO319" s="22" t="n">
        <v>2</v>
      </c>
      <c r="AP319" s="22" t="n">
        <v>3</v>
      </c>
    </row>
    <row r="320" customFormat="false" ht="21.75" hidden="false" customHeight="true" outlineLevel="0" collapsed="false">
      <c r="B320" s="15" t="n">
        <v>316</v>
      </c>
      <c r="C320" s="9" t="s">
        <v>45</v>
      </c>
      <c r="D320" s="9" t="s">
        <v>20</v>
      </c>
      <c r="E320" s="9" t="s">
        <v>119</v>
      </c>
      <c r="F320" s="9" t="s">
        <v>66</v>
      </c>
      <c r="G320" s="9" t="s">
        <v>1002</v>
      </c>
      <c r="H320" s="9" t="s">
        <v>294</v>
      </c>
      <c r="I320" s="9" t="s">
        <v>994</v>
      </c>
      <c r="J320" s="9" t="s">
        <v>995</v>
      </c>
      <c r="K320" s="9" t="s">
        <v>996</v>
      </c>
      <c r="L320" s="9" t="s">
        <v>949</v>
      </c>
      <c r="M320" s="9" t="s">
        <v>997</v>
      </c>
      <c r="N320" s="9" t="s">
        <v>189</v>
      </c>
      <c r="O320" s="9" t="s">
        <v>998</v>
      </c>
      <c r="P320" s="9" t="s">
        <v>952</v>
      </c>
      <c r="Q320" s="9" t="s">
        <v>999</v>
      </c>
      <c r="R320" s="9" t="s">
        <v>1000</v>
      </c>
      <c r="S320" s="9" t="s">
        <v>955</v>
      </c>
      <c r="T320" s="9" t="s">
        <v>1001</v>
      </c>
      <c r="U320" s="19" t="n">
        <v>70</v>
      </c>
      <c r="V320" s="9"/>
      <c r="W320" s="9"/>
      <c r="X320" s="9" t="s">
        <v>199</v>
      </c>
      <c r="Y320" s="23" t="n">
        <v>0.023</v>
      </c>
      <c r="Z320" s="23" t="n">
        <v>0.033</v>
      </c>
      <c r="AA320" s="23" t="n">
        <v>12</v>
      </c>
      <c r="AB320" s="9" t="s">
        <v>949</v>
      </c>
      <c r="AC320" s="9" t="s">
        <v>983</v>
      </c>
      <c r="AD320" s="23" t="s">
        <v>197</v>
      </c>
      <c r="AE320" s="23" t="s">
        <v>197</v>
      </c>
      <c r="AF320" s="23" t="s">
        <v>197</v>
      </c>
      <c r="AG320" s="23" t="s">
        <v>197</v>
      </c>
      <c r="AH320" s="23" t="s">
        <v>197</v>
      </c>
      <c r="AI320" s="23" t="s">
        <v>197</v>
      </c>
      <c r="AJ320" s="23" t="s">
        <v>197</v>
      </c>
      <c r="AK320" s="23" t="n">
        <v>12</v>
      </c>
      <c r="AL320" s="23" t="n">
        <v>90</v>
      </c>
      <c r="AM320" s="9" t="s">
        <v>292</v>
      </c>
      <c r="AN320" s="23" t="s">
        <v>197</v>
      </c>
      <c r="AO320" s="23" t="n">
        <v>2</v>
      </c>
      <c r="AP320" s="23" t="n">
        <v>3</v>
      </c>
    </row>
    <row r="321" customFormat="false" ht="21.75" hidden="false" customHeight="true" outlineLevel="0" collapsed="false">
      <c r="B321" s="14" t="n">
        <v>317</v>
      </c>
      <c r="C321" s="7" t="s">
        <v>45</v>
      </c>
      <c r="D321" s="7" t="s">
        <v>20</v>
      </c>
      <c r="E321" s="7" t="s">
        <v>119</v>
      </c>
      <c r="F321" s="7" t="s">
        <v>66</v>
      </c>
      <c r="G321" s="7" t="s">
        <v>987</v>
      </c>
      <c r="H321" s="7" t="s">
        <v>296</v>
      </c>
      <c r="I321" s="7" t="s">
        <v>994</v>
      </c>
      <c r="J321" s="7" t="s">
        <v>995</v>
      </c>
      <c r="K321" s="7" t="s">
        <v>996</v>
      </c>
      <c r="L321" s="7" t="s">
        <v>949</v>
      </c>
      <c r="M321" s="7" t="s">
        <v>997</v>
      </c>
      <c r="N321" s="7" t="s">
        <v>189</v>
      </c>
      <c r="O321" s="7" t="s">
        <v>998</v>
      </c>
      <c r="P321" s="7" t="s">
        <v>952</v>
      </c>
      <c r="Q321" s="7" t="s">
        <v>999</v>
      </c>
      <c r="R321" s="7" t="s">
        <v>1000</v>
      </c>
      <c r="S321" s="7" t="s">
        <v>955</v>
      </c>
      <c r="T321" s="7" t="s">
        <v>1001</v>
      </c>
      <c r="U321" s="18" t="n">
        <v>95</v>
      </c>
      <c r="V321" s="7"/>
      <c r="W321" s="7"/>
      <c r="X321" s="7" t="s">
        <v>1003</v>
      </c>
      <c r="Y321" s="22" t="n">
        <v>0.016</v>
      </c>
      <c r="Z321" s="22" t="n">
        <v>0.026</v>
      </c>
      <c r="AA321" s="22" t="n">
        <v>12</v>
      </c>
      <c r="AB321" s="7" t="s">
        <v>949</v>
      </c>
      <c r="AC321" s="7" t="s">
        <v>983</v>
      </c>
      <c r="AD321" s="22" t="s">
        <v>197</v>
      </c>
      <c r="AE321" s="22" t="s">
        <v>197</v>
      </c>
      <c r="AF321" s="22" t="s">
        <v>197</v>
      </c>
      <c r="AG321" s="22" t="s">
        <v>197</v>
      </c>
      <c r="AH321" s="22" t="s">
        <v>197</v>
      </c>
      <c r="AI321" s="22" t="s">
        <v>197</v>
      </c>
      <c r="AJ321" s="22" t="s">
        <v>197</v>
      </c>
      <c r="AK321" s="22" t="n">
        <v>12</v>
      </c>
      <c r="AL321" s="22" t="n">
        <v>90</v>
      </c>
      <c r="AM321" s="7" t="s">
        <v>292</v>
      </c>
      <c r="AN321" s="22" t="s">
        <v>197</v>
      </c>
      <c r="AO321" s="22" t="n">
        <v>2</v>
      </c>
      <c r="AP321" s="22" t="n">
        <v>3</v>
      </c>
    </row>
    <row r="322" customFormat="false" ht="21.75" hidden="false" customHeight="true" outlineLevel="0" collapsed="false">
      <c r="B322" s="15" t="n">
        <v>318</v>
      </c>
      <c r="C322" s="9" t="s">
        <v>45</v>
      </c>
      <c r="D322" s="9" t="s">
        <v>20</v>
      </c>
      <c r="E322" s="9" t="s">
        <v>119</v>
      </c>
      <c r="F322" s="9" t="s">
        <v>66</v>
      </c>
      <c r="G322" s="9" t="s">
        <v>1004</v>
      </c>
      <c r="H322" s="9" t="s">
        <v>299</v>
      </c>
      <c r="I322" s="9" t="s">
        <v>994</v>
      </c>
      <c r="J322" s="9" t="s">
        <v>995</v>
      </c>
      <c r="K322" s="9" t="s">
        <v>996</v>
      </c>
      <c r="L322" s="9" t="s">
        <v>949</v>
      </c>
      <c r="M322" s="9" t="s">
        <v>997</v>
      </c>
      <c r="N322" s="9" t="s">
        <v>189</v>
      </c>
      <c r="O322" s="9" t="s">
        <v>998</v>
      </c>
      <c r="P322" s="9" t="s">
        <v>952</v>
      </c>
      <c r="Q322" s="9" t="s">
        <v>999</v>
      </c>
      <c r="R322" s="9" t="s">
        <v>1000</v>
      </c>
      <c r="S322" s="9" t="s">
        <v>955</v>
      </c>
      <c r="T322" s="9" t="s">
        <v>1001</v>
      </c>
      <c r="U322" s="19" t="n">
        <v>140</v>
      </c>
      <c r="V322" s="9"/>
      <c r="W322" s="9"/>
      <c r="X322" s="9" t="s">
        <v>203</v>
      </c>
      <c r="Y322" s="23" t="n">
        <v>0.025</v>
      </c>
      <c r="Z322" s="23" t="n">
        <v>0.035</v>
      </c>
      <c r="AA322" s="23" t="n">
        <v>12</v>
      </c>
      <c r="AB322" s="9" t="s">
        <v>949</v>
      </c>
      <c r="AC322" s="9" t="s">
        <v>983</v>
      </c>
      <c r="AD322" s="23" t="s">
        <v>197</v>
      </c>
      <c r="AE322" s="23" t="s">
        <v>197</v>
      </c>
      <c r="AF322" s="23" t="s">
        <v>197</v>
      </c>
      <c r="AG322" s="23" t="s">
        <v>197</v>
      </c>
      <c r="AH322" s="23" t="s">
        <v>197</v>
      </c>
      <c r="AI322" s="23" t="s">
        <v>197</v>
      </c>
      <c r="AJ322" s="23" t="s">
        <v>197</v>
      </c>
      <c r="AK322" s="23" t="n">
        <v>15</v>
      </c>
      <c r="AL322" s="23" t="n">
        <v>90</v>
      </c>
      <c r="AM322" s="9" t="s">
        <v>292</v>
      </c>
      <c r="AN322" s="23" t="s">
        <v>197</v>
      </c>
      <c r="AO322" s="23" t="n">
        <v>2</v>
      </c>
      <c r="AP322" s="23" t="n">
        <v>3</v>
      </c>
    </row>
    <row r="323" customFormat="false" ht="21.75" hidden="false" customHeight="true" outlineLevel="0" collapsed="false">
      <c r="B323" s="14" t="n">
        <v>319</v>
      </c>
      <c r="C323" s="7" t="s">
        <v>45</v>
      </c>
      <c r="D323" s="7" t="s">
        <v>20</v>
      </c>
      <c r="E323" s="7" t="s">
        <v>119</v>
      </c>
      <c r="F323" s="7" t="s">
        <v>66</v>
      </c>
      <c r="G323" s="7" t="s">
        <v>1005</v>
      </c>
      <c r="H323" s="7" t="s">
        <v>301</v>
      </c>
      <c r="I323" s="7" t="s">
        <v>994</v>
      </c>
      <c r="J323" s="7" t="s">
        <v>995</v>
      </c>
      <c r="K323" s="7" t="s">
        <v>996</v>
      </c>
      <c r="L323" s="7" t="s">
        <v>949</v>
      </c>
      <c r="M323" s="7" t="s">
        <v>997</v>
      </c>
      <c r="N323" s="7" t="s">
        <v>189</v>
      </c>
      <c r="O323" s="7" t="s">
        <v>998</v>
      </c>
      <c r="P323" s="7" t="s">
        <v>952</v>
      </c>
      <c r="Q323" s="7" t="s">
        <v>999</v>
      </c>
      <c r="R323" s="7" t="s">
        <v>1000</v>
      </c>
      <c r="S323" s="7" t="s">
        <v>955</v>
      </c>
      <c r="T323" s="7" t="s">
        <v>1001</v>
      </c>
      <c r="U323" s="18" t="n">
        <v>205</v>
      </c>
      <c r="V323" s="7"/>
      <c r="W323" s="7"/>
      <c r="X323" s="7" t="s">
        <v>205</v>
      </c>
      <c r="Y323" s="22" t="n">
        <v>0.025</v>
      </c>
      <c r="Z323" s="22" t="n">
        <v>0.035</v>
      </c>
      <c r="AA323" s="22" t="n">
        <v>12</v>
      </c>
      <c r="AB323" s="7" t="s">
        <v>949</v>
      </c>
      <c r="AC323" s="7" t="s">
        <v>983</v>
      </c>
      <c r="AD323" s="22" t="s">
        <v>197</v>
      </c>
      <c r="AE323" s="22" t="s">
        <v>197</v>
      </c>
      <c r="AF323" s="22" t="s">
        <v>197</v>
      </c>
      <c r="AG323" s="22" t="s">
        <v>197</v>
      </c>
      <c r="AH323" s="22" t="s">
        <v>197</v>
      </c>
      <c r="AI323" s="22" t="s">
        <v>197</v>
      </c>
      <c r="AJ323" s="22" t="s">
        <v>197</v>
      </c>
      <c r="AK323" s="22" t="n">
        <v>20</v>
      </c>
      <c r="AL323" s="22" t="n">
        <v>90</v>
      </c>
      <c r="AM323" s="7" t="s">
        <v>292</v>
      </c>
      <c r="AN323" s="22" t="s">
        <v>197</v>
      </c>
      <c r="AO323" s="22" t="n">
        <v>2</v>
      </c>
      <c r="AP323" s="22" t="n">
        <v>3</v>
      </c>
    </row>
    <row r="324" customFormat="false" ht="21.75" hidden="false" customHeight="true" outlineLevel="0" collapsed="false">
      <c r="B324" s="15" t="n">
        <v>320</v>
      </c>
      <c r="C324" s="9" t="s">
        <v>45</v>
      </c>
      <c r="D324" s="9" t="s">
        <v>20</v>
      </c>
      <c r="E324" s="9" t="s">
        <v>119</v>
      </c>
      <c r="F324" s="9" t="s">
        <v>67</v>
      </c>
      <c r="G324" s="9" t="s">
        <v>1006</v>
      </c>
      <c r="H324" s="9" t="s">
        <v>303</v>
      </c>
      <c r="I324" s="9" t="s">
        <v>1007</v>
      </c>
      <c r="J324" s="9" t="s">
        <v>1008</v>
      </c>
      <c r="K324" s="9" t="s">
        <v>967</v>
      </c>
      <c r="L324" s="9" t="s">
        <v>949</v>
      </c>
      <c r="M324" s="9" t="s">
        <v>980</v>
      </c>
      <c r="N324" s="9" t="s">
        <v>189</v>
      </c>
      <c r="O324" s="9" t="s">
        <v>189</v>
      </c>
      <c r="P324" s="9" t="s">
        <v>952</v>
      </c>
      <c r="Q324" s="9" t="s">
        <v>1009</v>
      </c>
      <c r="R324" s="9" t="s">
        <v>254</v>
      </c>
      <c r="S324" s="9" t="s">
        <v>955</v>
      </c>
      <c r="T324" s="9" t="s">
        <v>309</v>
      </c>
      <c r="U324" s="19" t="n">
        <v>14</v>
      </c>
      <c r="V324" s="9"/>
      <c r="W324" s="9"/>
      <c r="X324" s="9" t="s">
        <v>195</v>
      </c>
      <c r="Y324" s="23" t="n">
        <v>1.12E-005</v>
      </c>
      <c r="Z324" s="23" t="n">
        <v>2.476E-005</v>
      </c>
      <c r="AA324" s="23" t="n">
        <v>3</v>
      </c>
      <c r="AB324" s="9" t="s">
        <v>949</v>
      </c>
      <c r="AC324" s="9" t="s">
        <v>983</v>
      </c>
      <c r="AD324" s="23" t="s">
        <v>197</v>
      </c>
      <c r="AE324" s="23" t="s">
        <v>197</v>
      </c>
      <c r="AF324" s="23" t="s">
        <v>197</v>
      </c>
      <c r="AG324" s="23" t="s">
        <v>197</v>
      </c>
      <c r="AH324" s="23" t="s">
        <v>197</v>
      </c>
      <c r="AI324" s="23" t="s">
        <v>197</v>
      </c>
      <c r="AJ324" s="23" t="s">
        <v>197</v>
      </c>
      <c r="AK324" s="23" t="s">
        <v>197</v>
      </c>
      <c r="AL324" s="23" t="s">
        <v>197</v>
      </c>
      <c r="AM324" s="9" t="s">
        <v>310</v>
      </c>
      <c r="AN324" s="23" t="s">
        <v>197</v>
      </c>
      <c r="AO324" s="23" t="s">
        <v>197</v>
      </c>
      <c r="AP324" s="23" t="s">
        <v>197</v>
      </c>
    </row>
    <row r="325" customFormat="false" ht="21.75" hidden="false" customHeight="true" outlineLevel="0" collapsed="false">
      <c r="B325" s="14" t="n">
        <v>321</v>
      </c>
      <c r="C325" s="7" t="s">
        <v>45</v>
      </c>
      <c r="D325" s="7" t="s">
        <v>20</v>
      </c>
      <c r="E325" s="7" t="s">
        <v>119</v>
      </c>
      <c r="F325" s="7" t="s">
        <v>67</v>
      </c>
      <c r="G325" s="7" t="s">
        <v>1010</v>
      </c>
      <c r="H325" s="7" t="s">
        <v>312</v>
      </c>
      <c r="I325" s="7" t="s">
        <v>1007</v>
      </c>
      <c r="J325" s="7" t="s">
        <v>1008</v>
      </c>
      <c r="K325" s="7" t="s">
        <v>967</v>
      </c>
      <c r="L325" s="7" t="s">
        <v>949</v>
      </c>
      <c r="M325" s="7" t="s">
        <v>980</v>
      </c>
      <c r="N325" s="7" t="s">
        <v>189</v>
      </c>
      <c r="O325" s="7" t="s">
        <v>189</v>
      </c>
      <c r="P325" s="7" t="s">
        <v>952</v>
      </c>
      <c r="Q325" s="7" t="s">
        <v>1009</v>
      </c>
      <c r="R325" s="7" t="s">
        <v>254</v>
      </c>
      <c r="S325" s="7" t="s">
        <v>955</v>
      </c>
      <c r="T325" s="7" t="s">
        <v>309</v>
      </c>
      <c r="U325" s="18" t="n">
        <v>20</v>
      </c>
      <c r="V325" s="7"/>
      <c r="W325" s="7"/>
      <c r="X325" s="7" t="s">
        <v>199</v>
      </c>
      <c r="Y325" s="22" t="n">
        <v>1.398E-005</v>
      </c>
      <c r="Z325" s="22" t="n">
        <v>2.997E-005</v>
      </c>
      <c r="AA325" s="22" t="n">
        <v>3</v>
      </c>
      <c r="AB325" s="7" t="s">
        <v>949</v>
      </c>
      <c r="AC325" s="7" t="s">
        <v>983</v>
      </c>
      <c r="AD325" s="22" t="s">
        <v>197</v>
      </c>
      <c r="AE325" s="22" t="s">
        <v>197</v>
      </c>
      <c r="AF325" s="22" t="s">
        <v>197</v>
      </c>
      <c r="AG325" s="22" t="s">
        <v>197</v>
      </c>
      <c r="AH325" s="22" t="s">
        <v>197</v>
      </c>
      <c r="AI325" s="22" t="s">
        <v>197</v>
      </c>
      <c r="AJ325" s="22" t="s">
        <v>197</v>
      </c>
      <c r="AK325" s="22" t="s">
        <v>197</v>
      </c>
      <c r="AL325" s="22" t="s">
        <v>197</v>
      </c>
      <c r="AM325" s="7" t="s">
        <v>310</v>
      </c>
      <c r="AN325" s="22" t="s">
        <v>197</v>
      </c>
      <c r="AO325" s="22" t="s">
        <v>197</v>
      </c>
      <c r="AP325" s="22" t="s">
        <v>197</v>
      </c>
    </row>
    <row r="326" customFormat="false" ht="21.75" hidden="false" customHeight="true" outlineLevel="0" collapsed="false">
      <c r="B326" s="15" t="n">
        <v>322</v>
      </c>
      <c r="C326" s="9" t="s">
        <v>45</v>
      </c>
      <c r="D326" s="9" t="s">
        <v>20</v>
      </c>
      <c r="E326" s="9" t="s">
        <v>119</v>
      </c>
      <c r="F326" s="9" t="s">
        <v>67</v>
      </c>
      <c r="G326" s="9" t="s">
        <v>1011</v>
      </c>
      <c r="H326" s="9" t="s">
        <v>314</v>
      </c>
      <c r="I326" s="9" t="s">
        <v>1007</v>
      </c>
      <c r="J326" s="9" t="s">
        <v>1008</v>
      </c>
      <c r="K326" s="9" t="s">
        <v>967</v>
      </c>
      <c r="L326" s="9" t="s">
        <v>949</v>
      </c>
      <c r="M326" s="9" t="s">
        <v>980</v>
      </c>
      <c r="N326" s="9" t="s">
        <v>189</v>
      </c>
      <c r="O326" s="9" t="s">
        <v>189</v>
      </c>
      <c r="P326" s="9" t="s">
        <v>952</v>
      </c>
      <c r="Q326" s="9" t="s">
        <v>1009</v>
      </c>
      <c r="R326" s="9" t="s">
        <v>254</v>
      </c>
      <c r="S326" s="9" t="s">
        <v>955</v>
      </c>
      <c r="T326" s="9" t="s">
        <v>309</v>
      </c>
      <c r="U326" s="19" t="n">
        <v>25</v>
      </c>
      <c r="V326" s="9"/>
      <c r="W326" s="9"/>
      <c r="X326" s="9" t="s">
        <v>1012</v>
      </c>
      <c r="Y326" s="23" t="n">
        <v>6.32E-006</v>
      </c>
      <c r="Z326" s="23" t="n">
        <v>1.559E-005</v>
      </c>
      <c r="AA326" s="23" t="n">
        <v>3</v>
      </c>
      <c r="AB326" s="9" t="s">
        <v>949</v>
      </c>
      <c r="AC326" s="9" t="s">
        <v>983</v>
      </c>
      <c r="AD326" s="23" t="s">
        <v>197</v>
      </c>
      <c r="AE326" s="23" t="s">
        <v>197</v>
      </c>
      <c r="AF326" s="23" t="s">
        <v>197</v>
      </c>
      <c r="AG326" s="23" t="s">
        <v>197</v>
      </c>
      <c r="AH326" s="23" t="s">
        <v>197</v>
      </c>
      <c r="AI326" s="23" t="s">
        <v>197</v>
      </c>
      <c r="AJ326" s="23" t="s">
        <v>197</v>
      </c>
      <c r="AK326" s="23" t="s">
        <v>197</v>
      </c>
      <c r="AL326" s="23" t="s">
        <v>197</v>
      </c>
      <c r="AM326" s="9" t="s">
        <v>310</v>
      </c>
      <c r="AN326" s="23" t="s">
        <v>197</v>
      </c>
      <c r="AO326" s="23" t="s">
        <v>197</v>
      </c>
      <c r="AP326" s="23" t="s">
        <v>197</v>
      </c>
    </row>
    <row r="327" customFormat="false" ht="21.75" hidden="false" customHeight="true" outlineLevel="0" collapsed="false">
      <c r="B327" s="14" t="n">
        <v>323</v>
      </c>
      <c r="C327" s="7" t="s">
        <v>45</v>
      </c>
      <c r="D327" s="7" t="s">
        <v>20</v>
      </c>
      <c r="E327" s="7" t="s">
        <v>119</v>
      </c>
      <c r="F327" s="7" t="s">
        <v>67</v>
      </c>
      <c r="G327" s="7" t="s">
        <v>1013</v>
      </c>
      <c r="H327" s="7" t="s">
        <v>317</v>
      </c>
      <c r="I327" s="7" t="s">
        <v>1007</v>
      </c>
      <c r="J327" s="7" t="s">
        <v>1008</v>
      </c>
      <c r="K327" s="7" t="s">
        <v>967</v>
      </c>
      <c r="L327" s="7" t="s">
        <v>949</v>
      </c>
      <c r="M327" s="7" t="s">
        <v>980</v>
      </c>
      <c r="N327" s="7" t="s">
        <v>189</v>
      </c>
      <c r="O327" s="7" t="s">
        <v>189</v>
      </c>
      <c r="P327" s="7" t="s">
        <v>952</v>
      </c>
      <c r="Q327" s="7" t="s">
        <v>1009</v>
      </c>
      <c r="R327" s="7" t="s">
        <v>254</v>
      </c>
      <c r="S327" s="7" t="s">
        <v>955</v>
      </c>
      <c r="T327" s="7" t="s">
        <v>309</v>
      </c>
      <c r="U327" s="18" t="n">
        <v>40</v>
      </c>
      <c r="V327" s="7"/>
      <c r="W327" s="7"/>
      <c r="X327" s="7" t="s">
        <v>203</v>
      </c>
      <c r="Y327" s="22" t="n">
        <v>8.94E-006</v>
      </c>
      <c r="Z327" s="22" t="n">
        <v>2.051E-005</v>
      </c>
      <c r="AA327" s="22" t="n">
        <v>3</v>
      </c>
      <c r="AB327" s="7" t="s">
        <v>949</v>
      </c>
      <c r="AC327" s="7" t="s">
        <v>983</v>
      </c>
      <c r="AD327" s="22" t="s">
        <v>197</v>
      </c>
      <c r="AE327" s="22" t="s">
        <v>197</v>
      </c>
      <c r="AF327" s="22" t="s">
        <v>197</v>
      </c>
      <c r="AG327" s="22" t="s">
        <v>197</v>
      </c>
      <c r="AH327" s="22" t="s">
        <v>197</v>
      </c>
      <c r="AI327" s="22" t="s">
        <v>197</v>
      </c>
      <c r="AJ327" s="22" t="s">
        <v>197</v>
      </c>
      <c r="AK327" s="22" t="s">
        <v>197</v>
      </c>
      <c r="AL327" s="22" t="s">
        <v>197</v>
      </c>
      <c r="AM327" s="7" t="s">
        <v>310</v>
      </c>
      <c r="AN327" s="22" t="s">
        <v>197</v>
      </c>
      <c r="AO327" s="22" t="s">
        <v>197</v>
      </c>
      <c r="AP327" s="22" t="s">
        <v>197</v>
      </c>
    </row>
    <row r="328" customFormat="false" ht="21.75" hidden="false" customHeight="true" outlineLevel="0" collapsed="false">
      <c r="B328" s="15" t="n">
        <v>324</v>
      </c>
      <c r="C328" s="9" t="s">
        <v>45</v>
      </c>
      <c r="D328" s="9" t="s">
        <v>20</v>
      </c>
      <c r="E328" s="9" t="s">
        <v>119</v>
      </c>
      <c r="F328" s="9" t="s">
        <v>67</v>
      </c>
      <c r="G328" s="9" t="s">
        <v>1014</v>
      </c>
      <c r="H328" s="9" t="s">
        <v>319</v>
      </c>
      <c r="I328" s="9" t="s">
        <v>1007</v>
      </c>
      <c r="J328" s="9" t="s">
        <v>1008</v>
      </c>
      <c r="K328" s="9" t="s">
        <v>967</v>
      </c>
      <c r="L328" s="9" t="s">
        <v>949</v>
      </c>
      <c r="M328" s="9" t="s">
        <v>980</v>
      </c>
      <c r="N328" s="9" t="s">
        <v>189</v>
      </c>
      <c r="O328" s="9" t="s">
        <v>189</v>
      </c>
      <c r="P328" s="9" t="s">
        <v>952</v>
      </c>
      <c r="Q328" s="9" t="s">
        <v>1009</v>
      </c>
      <c r="R328" s="9" t="s">
        <v>254</v>
      </c>
      <c r="S328" s="9" t="s">
        <v>955</v>
      </c>
      <c r="T328" s="9" t="s">
        <v>309</v>
      </c>
      <c r="U328" s="19" t="n">
        <v>60</v>
      </c>
      <c r="V328" s="9"/>
      <c r="W328" s="9"/>
      <c r="X328" s="9" t="s">
        <v>205</v>
      </c>
      <c r="Y328" s="23" t="n">
        <v>1.133E-005</v>
      </c>
      <c r="Z328" s="23" t="n">
        <v>2.499E-005</v>
      </c>
      <c r="AA328" s="23" t="n">
        <v>3</v>
      </c>
      <c r="AB328" s="9" t="s">
        <v>949</v>
      </c>
      <c r="AC328" s="9" t="s">
        <v>983</v>
      </c>
      <c r="AD328" s="23" t="s">
        <v>197</v>
      </c>
      <c r="AE328" s="23" t="s">
        <v>197</v>
      </c>
      <c r="AF328" s="23" t="s">
        <v>197</v>
      </c>
      <c r="AG328" s="23" t="s">
        <v>197</v>
      </c>
      <c r="AH328" s="23" t="s">
        <v>197</v>
      </c>
      <c r="AI328" s="23" t="s">
        <v>197</v>
      </c>
      <c r="AJ328" s="23" t="s">
        <v>197</v>
      </c>
      <c r="AK328" s="23" t="s">
        <v>197</v>
      </c>
      <c r="AL328" s="23" t="s">
        <v>197</v>
      </c>
      <c r="AM328" s="9" t="s">
        <v>310</v>
      </c>
      <c r="AN328" s="23" t="s">
        <v>197</v>
      </c>
      <c r="AO328" s="23" t="s">
        <v>197</v>
      </c>
      <c r="AP328" s="23" t="s">
        <v>197</v>
      </c>
    </row>
    <row r="329" customFormat="false" ht="21.75" hidden="false" customHeight="true" outlineLevel="0" collapsed="false">
      <c r="B329" s="14" t="n">
        <v>325</v>
      </c>
      <c r="C329" s="7" t="s">
        <v>45</v>
      </c>
      <c r="D329" s="7" t="s">
        <v>20</v>
      </c>
      <c r="E329" s="7" t="s">
        <v>119</v>
      </c>
      <c r="F329" s="7" t="s">
        <v>68</v>
      </c>
      <c r="G329" s="7" t="s">
        <v>1015</v>
      </c>
      <c r="H329" s="7" t="s">
        <v>321</v>
      </c>
      <c r="I329" s="7" t="s">
        <v>1016</v>
      </c>
      <c r="J329" s="7" t="s">
        <v>1017</v>
      </c>
      <c r="K329" s="7" t="s">
        <v>967</v>
      </c>
      <c r="L329" s="7" t="s">
        <v>949</v>
      </c>
      <c r="M329" s="7" t="s">
        <v>980</v>
      </c>
      <c r="N329" s="7" t="s">
        <v>189</v>
      </c>
      <c r="O329" s="7" t="s">
        <v>189</v>
      </c>
      <c r="P329" s="7" t="s">
        <v>952</v>
      </c>
      <c r="Q329" s="7" t="s">
        <v>1018</v>
      </c>
      <c r="R329" s="7" t="s">
        <v>701</v>
      </c>
      <c r="S329" s="7" t="s">
        <v>955</v>
      </c>
      <c r="T329" s="7" t="s">
        <v>557</v>
      </c>
      <c r="U329" s="18" t="n">
        <v>12</v>
      </c>
      <c r="V329" s="7"/>
      <c r="W329" s="7"/>
      <c r="X329" s="7" t="s">
        <v>195</v>
      </c>
      <c r="Y329" s="22" t="n">
        <v>0.013</v>
      </c>
      <c r="Z329" s="22" t="n">
        <v>0.022</v>
      </c>
      <c r="AA329" s="22" t="n">
        <v>12</v>
      </c>
      <c r="AB329" s="7" t="s">
        <v>949</v>
      </c>
      <c r="AC329" s="7" t="s">
        <v>983</v>
      </c>
      <c r="AD329" s="22" t="s">
        <v>197</v>
      </c>
      <c r="AE329" s="22" t="s">
        <v>197</v>
      </c>
      <c r="AF329" s="22" t="s">
        <v>197</v>
      </c>
      <c r="AG329" s="22" t="s">
        <v>197</v>
      </c>
      <c r="AH329" s="22" t="s">
        <v>197</v>
      </c>
      <c r="AI329" s="22" t="s">
        <v>197</v>
      </c>
      <c r="AJ329" s="22" t="n">
        <v>6</v>
      </c>
      <c r="AK329" s="22" t="s">
        <v>197</v>
      </c>
      <c r="AL329" s="22" t="s">
        <v>197</v>
      </c>
      <c r="AM329" s="7" t="s">
        <v>328</v>
      </c>
      <c r="AN329" s="22" t="s">
        <v>197</v>
      </c>
      <c r="AO329" s="22" t="n">
        <v>2</v>
      </c>
      <c r="AP329" s="22" t="n">
        <v>4.6</v>
      </c>
    </row>
    <row r="330" customFormat="false" ht="21.75" hidden="false" customHeight="true" outlineLevel="0" collapsed="false">
      <c r="B330" s="15" t="n">
        <v>326</v>
      </c>
      <c r="C330" s="9" t="s">
        <v>45</v>
      </c>
      <c r="D330" s="9" t="s">
        <v>20</v>
      </c>
      <c r="E330" s="9" t="s">
        <v>119</v>
      </c>
      <c r="F330" s="9" t="s">
        <v>68</v>
      </c>
      <c r="G330" s="9" t="s">
        <v>1019</v>
      </c>
      <c r="H330" s="9" t="s">
        <v>330</v>
      </c>
      <c r="I330" s="9" t="s">
        <v>1016</v>
      </c>
      <c r="J330" s="9" t="s">
        <v>1017</v>
      </c>
      <c r="K330" s="9" t="s">
        <v>967</v>
      </c>
      <c r="L330" s="9" t="s">
        <v>949</v>
      </c>
      <c r="M330" s="9" t="s">
        <v>980</v>
      </c>
      <c r="N330" s="9" t="s">
        <v>189</v>
      </c>
      <c r="O330" s="9" t="s">
        <v>189</v>
      </c>
      <c r="P330" s="9" t="s">
        <v>952</v>
      </c>
      <c r="Q330" s="9" t="s">
        <v>1018</v>
      </c>
      <c r="R330" s="9" t="s">
        <v>701</v>
      </c>
      <c r="S330" s="9" t="s">
        <v>955</v>
      </c>
      <c r="T330" s="9" t="s">
        <v>557</v>
      </c>
      <c r="U330" s="19" t="n">
        <v>19</v>
      </c>
      <c r="V330" s="9"/>
      <c r="W330" s="9"/>
      <c r="X330" s="9" t="s">
        <v>199</v>
      </c>
      <c r="Y330" s="23" t="n">
        <v>0.018</v>
      </c>
      <c r="Z330" s="23" t="n">
        <v>0.028</v>
      </c>
      <c r="AA330" s="23" t="n">
        <v>12</v>
      </c>
      <c r="AB330" s="9" t="s">
        <v>949</v>
      </c>
      <c r="AC330" s="9" t="s">
        <v>983</v>
      </c>
      <c r="AD330" s="23" t="s">
        <v>197</v>
      </c>
      <c r="AE330" s="23" t="s">
        <v>197</v>
      </c>
      <c r="AF330" s="23" t="s">
        <v>197</v>
      </c>
      <c r="AG330" s="23" t="s">
        <v>197</v>
      </c>
      <c r="AH330" s="23" t="s">
        <v>197</v>
      </c>
      <c r="AI330" s="23" t="s">
        <v>197</v>
      </c>
      <c r="AJ330" s="23" t="n">
        <v>7.6</v>
      </c>
      <c r="AK330" s="23" t="s">
        <v>197</v>
      </c>
      <c r="AL330" s="23" t="s">
        <v>197</v>
      </c>
      <c r="AM330" s="9" t="s">
        <v>328</v>
      </c>
      <c r="AN330" s="23" t="s">
        <v>197</v>
      </c>
      <c r="AO330" s="23" t="n">
        <v>2</v>
      </c>
      <c r="AP330" s="23" t="n">
        <v>4.6</v>
      </c>
    </row>
    <row r="331" customFormat="false" ht="21.75" hidden="false" customHeight="true" outlineLevel="0" collapsed="false">
      <c r="B331" s="14" t="n">
        <v>327</v>
      </c>
      <c r="C331" s="7" t="s">
        <v>45</v>
      </c>
      <c r="D331" s="7" t="s">
        <v>20</v>
      </c>
      <c r="E331" s="7" t="s">
        <v>119</v>
      </c>
      <c r="F331" s="7" t="s">
        <v>68</v>
      </c>
      <c r="G331" s="7" t="s">
        <v>1020</v>
      </c>
      <c r="H331" s="7" t="s">
        <v>332</v>
      </c>
      <c r="I331" s="7" t="s">
        <v>1016</v>
      </c>
      <c r="J331" s="7" t="s">
        <v>1017</v>
      </c>
      <c r="K331" s="7" t="s">
        <v>967</v>
      </c>
      <c r="L331" s="7" t="s">
        <v>949</v>
      </c>
      <c r="M331" s="7" t="s">
        <v>980</v>
      </c>
      <c r="N331" s="7" t="s">
        <v>189</v>
      </c>
      <c r="O331" s="7" t="s">
        <v>189</v>
      </c>
      <c r="P331" s="7" t="s">
        <v>952</v>
      </c>
      <c r="Q331" s="7" t="s">
        <v>1018</v>
      </c>
      <c r="R331" s="7" t="s">
        <v>701</v>
      </c>
      <c r="S331" s="7" t="s">
        <v>955</v>
      </c>
      <c r="T331" s="7" t="s">
        <v>557</v>
      </c>
      <c r="U331" s="18" t="n">
        <v>25</v>
      </c>
      <c r="V331" s="7"/>
      <c r="W331" s="7"/>
      <c r="X331" s="7" t="s">
        <v>1021</v>
      </c>
      <c r="Y331" s="22" t="n">
        <v>0.013</v>
      </c>
      <c r="Z331" s="22" t="n">
        <v>0.022</v>
      </c>
      <c r="AA331" s="22" t="n">
        <v>12</v>
      </c>
      <c r="AB331" s="7" t="s">
        <v>949</v>
      </c>
      <c r="AC331" s="7" t="s">
        <v>983</v>
      </c>
      <c r="AD331" s="22" t="s">
        <v>197</v>
      </c>
      <c r="AE331" s="22" t="s">
        <v>197</v>
      </c>
      <c r="AF331" s="22" t="s">
        <v>197</v>
      </c>
      <c r="AG331" s="22" t="s">
        <v>197</v>
      </c>
      <c r="AH331" s="22" t="s">
        <v>197</v>
      </c>
      <c r="AI331" s="22" t="s">
        <v>197</v>
      </c>
      <c r="AJ331" s="22" t="n">
        <v>7.6</v>
      </c>
      <c r="AK331" s="22" t="s">
        <v>197</v>
      </c>
      <c r="AL331" s="22" t="s">
        <v>197</v>
      </c>
      <c r="AM331" s="7" t="s">
        <v>328</v>
      </c>
      <c r="AN331" s="22" t="s">
        <v>197</v>
      </c>
      <c r="AO331" s="22" t="n">
        <v>2</v>
      </c>
      <c r="AP331" s="22" t="n">
        <v>4.6</v>
      </c>
    </row>
    <row r="332" customFormat="false" ht="21.75" hidden="false" customHeight="true" outlineLevel="0" collapsed="false">
      <c r="B332" s="15" t="n">
        <v>328</v>
      </c>
      <c r="C332" s="9" t="s">
        <v>45</v>
      </c>
      <c r="D332" s="9" t="s">
        <v>20</v>
      </c>
      <c r="E332" s="9" t="s">
        <v>119</v>
      </c>
      <c r="F332" s="9" t="s">
        <v>68</v>
      </c>
      <c r="G332" s="9" t="s">
        <v>1022</v>
      </c>
      <c r="H332" s="9" t="s">
        <v>335</v>
      </c>
      <c r="I332" s="9" t="s">
        <v>1016</v>
      </c>
      <c r="J332" s="9" t="s">
        <v>1017</v>
      </c>
      <c r="K332" s="9" t="s">
        <v>967</v>
      </c>
      <c r="L332" s="9" t="s">
        <v>949</v>
      </c>
      <c r="M332" s="9" t="s">
        <v>980</v>
      </c>
      <c r="N332" s="9" t="s">
        <v>189</v>
      </c>
      <c r="O332" s="9" t="s">
        <v>189</v>
      </c>
      <c r="P332" s="9" t="s">
        <v>952</v>
      </c>
      <c r="Q332" s="9" t="s">
        <v>1018</v>
      </c>
      <c r="R332" s="9" t="s">
        <v>701</v>
      </c>
      <c r="S332" s="9" t="s">
        <v>955</v>
      </c>
      <c r="T332" s="9" t="s">
        <v>557</v>
      </c>
      <c r="U332" s="19" t="n">
        <v>35</v>
      </c>
      <c r="V332" s="9"/>
      <c r="W332" s="9"/>
      <c r="X332" s="9" t="s">
        <v>203</v>
      </c>
      <c r="Y332" s="23" t="n">
        <v>0.017</v>
      </c>
      <c r="Z332" s="23" t="n">
        <v>0.026</v>
      </c>
      <c r="AA332" s="23" t="n">
        <v>12</v>
      </c>
      <c r="AB332" s="9" t="s">
        <v>949</v>
      </c>
      <c r="AC332" s="9" t="s">
        <v>983</v>
      </c>
      <c r="AD332" s="23" t="s">
        <v>197</v>
      </c>
      <c r="AE332" s="23" t="s">
        <v>197</v>
      </c>
      <c r="AF332" s="23" t="s">
        <v>197</v>
      </c>
      <c r="AG332" s="23" t="s">
        <v>197</v>
      </c>
      <c r="AH332" s="23" t="s">
        <v>197</v>
      </c>
      <c r="AI332" s="23" t="s">
        <v>197</v>
      </c>
      <c r="AJ332" s="23" t="n">
        <v>9</v>
      </c>
      <c r="AK332" s="23" t="s">
        <v>197</v>
      </c>
      <c r="AL332" s="23" t="s">
        <v>197</v>
      </c>
      <c r="AM332" s="9" t="s">
        <v>328</v>
      </c>
      <c r="AN332" s="23" t="s">
        <v>197</v>
      </c>
      <c r="AO332" s="23" t="n">
        <v>2</v>
      </c>
      <c r="AP332" s="23" t="n">
        <v>4.6</v>
      </c>
    </row>
    <row r="333" customFormat="false" ht="21.75" hidden="false" customHeight="true" outlineLevel="0" collapsed="false">
      <c r="B333" s="14" t="n">
        <v>329</v>
      </c>
      <c r="C333" s="7" t="s">
        <v>45</v>
      </c>
      <c r="D333" s="7" t="s">
        <v>20</v>
      </c>
      <c r="E333" s="7" t="s">
        <v>119</v>
      </c>
      <c r="F333" s="7" t="s">
        <v>68</v>
      </c>
      <c r="G333" s="7" t="s">
        <v>1023</v>
      </c>
      <c r="H333" s="7" t="s">
        <v>337</v>
      </c>
      <c r="I333" s="7" t="s">
        <v>1016</v>
      </c>
      <c r="J333" s="7" t="s">
        <v>1017</v>
      </c>
      <c r="K333" s="7" t="s">
        <v>967</v>
      </c>
      <c r="L333" s="7" t="s">
        <v>949</v>
      </c>
      <c r="M333" s="7" t="s">
        <v>980</v>
      </c>
      <c r="N333" s="7" t="s">
        <v>189</v>
      </c>
      <c r="O333" s="7" t="s">
        <v>189</v>
      </c>
      <c r="P333" s="7" t="s">
        <v>952</v>
      </c>
      <c r="Q333" s="7" t="s">
        <v>1018</v>
      </c>
      <c r="R333" s="7" t="s">
        <v>701</v>
      </c>
      <c r="S333" s="7" t="s">
        <v>955</v>
      </c>
      <c r="T333" s="7" t="s">
        <v>557</v>
      </c>
      <c r="U333" s="18" t="n">
        <v>55</v>
      </c>
      <c r="V333" s="7"/>
      <c r="W333" s="7"/>
      <c r="X333" s="7" t="s">
        <v>205</v>
      </c>
      <c r="Y333" s="22" t="n">
        <v>0.013</v>
      </c>
      <c r="Z333" s="22" t="n">
        <v>0.021</v>
      </c>
      <c r="AA333" s="22" t="n">
        <v>12</v>
      </c>
      <c r="AB333" s="7" t="s">
        <v>949</v>
      </c>
      <c r="AC333" s="7" t="s">
        <v>983</v>
      </c>
      <c r="AD333" s="22" t="s">
        <v>197</v>
      </c>
      <c r="AE333" s="22" t="s">
        <v>197</v>
      </c>
      <c r="AF333" s="22" t="s">
        <v>197</v>
      </c>
      <c r="AG333" s="22" t="s">
        <v>197</v>
      </c>
      <c r="AH333" s="22" t="s">
        <v>197</v>
      </c>
      <c r="AI333" s="22" t="s">
        <v>197</v>
      </c>
      <c r="AJ333" s="22" t="n">
        <v>9</v>
      </c>
      <c r="AK333" s="22" t="s">
        <v>197</v>
      </c>
      <c r="AL333" s="22" t="s">
        <v>197</v>
      </c>
      <c r="AM333" s="7" t="s">
        <v>328</v>
      </c>
      <c r="AN333" s="22" t="s">
        <v>197</v>
      </c>
      <c r="AO333" s="22" t="n">
        <v>2</v>
      </c>
      <c r="AP333" s="22" t="n">
        <v>4.6</v>
      </c>
    </row>
    <row r="334" customFormat="false" ht="21.75" hidden="false" customHeight="true" outlineLevel="0" collapsed="false">
      <c r="B334" s="15" t="n">
        <v>330</v>
      </c>
      <c r="C334" s="9" t="s">
        <v>45</v>
      </c>
      <c r="D334" s="9" t="s">
        <v>20</v>
      </c>
      <c r="E334" s="9" t="s">
        <v>119</v>
      </c>
      <c r="F334" s="9" t="s">
        <v>69</v>
      </c>
      <c r="G334" s="9" t="s">
        <v>1024</v>
      </c>
      <c r="H334" s="9" t="s">
        <v>339</v>
      </c>
      <c r="I334" s="9" t="s">
        <v>1025</v>
      </c>
      <c r="J334" s="9" t="s">
        <v>1026</v>
      </c>
      <c r="K334" s="9" t="s">
        <v>967</v>
      </c>
      <c r="L334" s="9" t="s">
        <v>949</v>
      </c>
      <c r="M334" s="9" t="s">
        <v>997</v>
      </c>
      <c r="N334" s="9" t="s">
        <v>189</v>
      </c>
      <c r="O334" s="9" t="s">
        <v>531</v>
      </c>
      <c r="P334" s="9" t="s">
        <v>952</v>
      </c>
      <c r="Q334" s="9" t="s">
        <v>1027</v>
      </c>
      <c r="R334" s="9" t="s">
        <v>1028</v>
      </c>
      <c r="S334" s="9" t="s">
        <v>955</v>
      </c>
      <c r="T334" s="9" t="s">
        <v>1029</v>
      </c>
      <c r="U334" s="19" t="n">
        <v>55</v>
      </c>
      <c r="V334" s="9"/>
      <c r="W334" s="9"/>
      <c r="X334" s="9" t="s">
        <v>195</v>
      </c>
      <c r="Y334" s="23" t="n">
        <v>1.702E-005</v>
      </c>
      <c r="Z334" s="23" t="n">
        <v>0.122</v>
      </c>
      <c r="AA334" s="23" t="n">
        <v>3</v>
      </c>
      <c r="AB334" s="9" t="s">
        <v>949</v>
      </c>
      <c r="AC334" s="9" t="s">
        <v>983</v>
      </c>
      <c r="AD334" s="23" t="s">
        <v>197</v>
      </c>
      <c r="AE334" s="23" t="s">
        <v>197</v>
      </c>
      <c r="AF334" s="23" t="s">
        <v>197</v>
      </c>
      <c r="AG334" s="23" t="s">
        <v>197</v>
      </c>
      <c r="AH334" s="23" t="s">
        <v>197</v>
      </c>
      <c r="AI334" s="23" t="s">
        <v>197</v>
      </c>
      <c r="AJ334" s="23" t="s">
        <v>197</v>
      </c>
      <c r="AK334" s="23" t="s">
        <v>197</v>
      </c>
      <c r="AL334" s="23" t="s">
        <v>197</v>
      </c>
      <c r="AM334" s="9" t="s">
        <v>197</v>
      </c>
      <c r="AN334" s="23" t="n">
        <v>3.4</v>
      </c>
      <c r="AO334" s="23" t="n">
        <v>2.5</v>
      </c>
      <c r="AP334" s="23" t="n">
        <v>4.5</v>
      </c>
    </row>
    <row r="335" customFormat="false" ht="21.75" hidden="false" customHeight="true" outlineLevel="0" collapsed="false">
      <c r="B335" s="14" t="n">
        <v>331</v>
      </c>
      <c r="C335" s="7" t="s">
        <v>45</v>
      </c>
      <c r="D335" s="7" t="s">
        <v>20</v>
      </c>
      <c r="E335" s="7" t="s">
        <v>119</v>
      </c>
      <c r="F335" s="7" t="s">
        <v>69</v>
      </c>
      <c r="G335" s="7" t="s">
        <v>1030</v>
      </c>
      <c r="H335" s="7" t="s">
        <v>350</v>
      </c>
      <c r="I335" s="7" t="s">
        <v>1025</v>
      </c>
      <c r="J335" s="7" t="s">
        <v>1026</v>
      </c>
      <c r="K335" s="7" t="s">
        <v>967</v>
      </c>
      <c r="L335" s="7" t="s">
        <v>949</v>
      </c>
      <c r="M335" s="7" t="s">
        <v>997</v>
      </c>
      <c r="N335" s="7" t="s">
        <v>189</v>
      </c>
      <c r="O335" s="7" t="s">
        <v>531</v>
      </c>
      <c r="P335" s="7" t="s">
        <v>952</v>
      </c>
      <c r="Q335" s="7" t="s">
        <v>1027</v>
      </c>
      <c r="R335" s="7" t="s">
        <v>1028</v>
      </c>
      <c r="S335" s="7" t="s">
        <v>955</v>
      </c>
      <c r="T335" s="7" t="s">
        <v>1029</v>
      </c>
      <c r="U335" s="18" t="n">
        <v>85</v>
      </c>
      <c r="V335" s="7"/>
      <c r="W335" s="7"/>
      <c r="X335" s="7" t="s">
        <v>199</v>
      </c>
      <c r="Y335" s="22" t="n">
        <v>2.7E-005</v>
      </c>
      <c r="Z335" s="22" t="n">
        <v>0.182</v>
      </c>
      <c r="AA335" s="22" t="n">
        <v>3</v>
      </c>
      <c r="AB335" s="7" t="s">
        <v>949</v>
      </c>
      <c r="AC335" s="7" t="s">
        <v>983</v>
      </c>
      <c r="AD335" s="22" t="s">
        <v>197</v>
      </c>
      <c r="AE335" s="22" t="s">
        <v>197</v>
      </c>
      <c r="AF335" s="22" t="s">
        <v>197</v>
      </c>
      <c r="AG335" s="22" t="s">
        <v>197</v>
      </c>
      <c r="AH335" s="22" t="s">
        <v>197</v>
      </c>
      <c r="AI335" s="22" t="s">
        <v>197</v>
      </c>
      <c r="AJ335" s="22" t="s">
        <v>197</v>
      </c>
      <c r="AK335" s="22" t="s">
        <v>197</v>
      </c>
      <c r="AL335" s="22" t="s">
        <v>197</v>
      </c>
      <c r="AM335" s="7" t="s">
        <v>197</v>
      </c>
      <c r="AN335" s="22" t="n">
        <v>5.4</v>
      </c>
      <c r="AO335" s="22" t="n">
        <v>2.5</v>
      </c>
      <c r="AP335" s="22" t="n">
        <v>4.5</v>
      </c>
    </row>
    <row r="336" customFormat="false" ht="21.75" hidden="false" customHeight="true" outlineLevel="0" collapsed="false">
      <c r="B336" s="15" t="n">
        <v>332</v>
      </c>
      <c r="C336" s="9" t="s">
        <v>45</v>
      </c>
      <c r="D336" s="9" t="s">
        <v>20</v>
      </c>
      <c r="E336" s="9" t="s">
        <v>119</v>
      </c>
      <c r="F336" s="9" t="s">
        <v>69</v>
      </c>
      <c r="G336" s="9" t="s">
        <v>1031</v>
      </c>
      <c r="H336" s="9" t="s">
        <v>352</v>
      </c>
      <c r="I336" s="9" t="s">
        <v>1025</v>
      </c>
      <c r="J336" s="9" t="s">
        <v>1026</v>
      </c>
      <c r="K336" s="9" t="s">
        <v>967</v>
      </c>
      <c r="L336" s="9" t="s">
        <v>949</v>
      </c>
      <c r="M336" s="9" t="s">
        <v>997</v>
      </c>
      <c r="N336" s="9" t="s">
        <v>189</v>
      </c>
      <c r="O336" s="9" t="s">
        <v>531</v>
      </c>
      <c r="P336" s="9" t="s">
        <v>952</v>
      </c>
      <c r="Q336" s="9" t="s">
        <v>1027</v>
      </c>
      <c r="R336" s="9" t="s">
        <v>1028</v>
      </c>
      <c r="S336" s="9" t="s">
        <v>955</v>
      </c>
      <c r="T336" s="9" t="s">
        <v>1029</v>
      </c>
      <c r="U336" s="19" t="n">
        <v>115</v>
      </c>
      <c r="V336" s="9"/>
      <c r="W336" s="9"/>
      <c r="X336" s="9" t="s">
        <v>1032</v>
      </c>
      <c r="Y336" s="23" t="n">
        <v>2.878E-005</v>
      </c>
      <c r="Z336" s="23" t="n">
        <v>0.193</v>
      </c>
      <c r="AA336" s="23" t="n">
        <v>3</v>
      </c>
      <c r="AB336" s="9" t="s">
        <v>949</v>
      </c>
      <c r="AC336" s="9" t="s">
        <v>983</v>
      </c>
      <c r="AD336" s="23" t="s">
        <v>197</v>
      </c>
      <c r="AE336" s="23" t="s">
        <v>197</v>
      </c>
      <c r="AF336" s="23" t="s">
        <v>197</v>
      </c>
      <c r="AG336" s="23" t="s">
        <v>197</v>
      </c>
      <c r="AH336" s="23" t="s">
        <v>197</v>
      </c>
      <c r="AI336" s="23" t="s">
        <v>197</v>
      </c>
      <c r="AJ336" s="23" t="s">
        <v>197</v>
      </c>
      <c r="AK336" s="23" t="s">
        <v>197</v>
      </c>
      <c r="AL336" s="23" t="s">
        <v>197</v>
      </c>
      <c r="AM336" s="9" t="s">
        <v>197</v>
      </c>
      <c r="AN336" s="23" t="n">
        <v>5.8</v>
      </c>
      <c r="AO336" s="23" t="n">
        <v>2.5</v>
      </c>
      <c r="AP336" s="23" t="n">
        <v>4.5</v>
      </c>
    </row>
    <row r="337" customFormat="false" ht="21.75" hidden="false" customHeight="true" outlineLevel="0" collapsed="false">
      <c r="B337" s="14" t="n">
        <v>333</v>
      </c>
      <c r="C337" s="7" t="s">
        <v>45</v>
      </c>
      <c r="D337" s="7" t="s">
        <v>20</v>
      </c>
      <c r="E337" s="7" t="s">
        <v>119</v>
      </c>
      <c r="F337" s="7" t="s">
        <v>69</v>
      </c>
      <c r="G337" s="7" t="s">
        <v>1033</v>
      </c>
      <c r="H337" s="7" t="s">
        <v>355</v>
      </c>
      <c r="I337" s="7" t="s">
        <v>1025</v>
      </c>
      <c r="J337" s="7" t="s">
        <v>1026</v>
      </c>
      <c r="K337" s="7" t="s">
        <v>967</v>
      </c>
      <c r="L337" s="7" t="s">
        <v>949</v>
      </c>
      <c r="M337" s="7" t="s">
        <v>997</v>
      </c>
      <c r="N337" s="7" t="s">
        <v>189</v>
      </c>
      <c r="O337" s="7" t="s">
        <v>531</v>
      </c>
      <c r="P337" s="7" t="s">
        <v>952</v>
      </c>
      <c r="Q337" s="7" t="s">
        <v>1027</v>
      </c>
      <c r="R337" s="7" t="s">
        <v>1028</v>
      </c>
      <c r="S337" s="7" t="s">
        <v>955</v>
      </c>
      <c r="T337" s="7" t="s">
        <v>1029</v>
      </c>
      <c r="U337" s="18" t="n">
        <v>175</v>
      </c>
      <c r="V337" s="7"/>
      <c r="W337" s="7"/>
      <c r="X337" s="7" t="s">
        <v>203</v>
      </c>
      <c r="Y337" s="22" t="n">
        <v>2.974E-005</v>
      </c>
      <c r="Z337" s="22" t="n">
        <v>0.198</v>
      </c>
      <c r="AA337" s="22" t="n">
        <v>3</v>
      </c>
      <c r="AB337" s="7" t="s">
        <v>949</v>
      </c>
      <c r="AC337" s="7" t="s">
        <v>983</v>
      </c>
      <c r="AD337" s="22" t="s">
        <v>197</v>
      </c>
      <c r="AE337" s="22" t="s">
        <v>197</v>
      </c>
      <c r="AF337" s="22" t="s">
        <v>197</v>
      </c>
      <c r="AG337" s="22" t="s">
        <v>197</v>
      </c>
      <c r="AH337" s="22" t="s">
        <v>197</v>
      </c>
      <c r="AI337" s="22" t="s">
        <v>197</v>
      </c>
      <c r="AJ337" s="22" t="s">
        <v>197</v>
      </c>
      <c r="AK337" s="22" t="s">
        <v>197</v>
      </c>
      <c r="AL337" s="22" t="s">
        <v>197</v>
      </c>
      <c r="AM337" s="7" t="s">
        <v>197</v>
      </c>
      <c r="AN337" s="22" t="n">
        <v>5.9</v>
      </c>
      <c r="AO337" s="22" t="n">
        <v>2.5</v>
      </c>
      <c r="AP337" s="22" t="n">
        <v>4.5</v>
      </c>
    </row>
    <row r="338" customFormat="false" ht="21.75" hidden="false" customHeight="true" outlineLevel="0" collapsed="false">
      <c r="B338" s="15" t="n">
        <v>334</v>
      </c>
      <c r="C338" s="9" t="s">
        <v>45</v>
      </c>
      <c r="D338" s="9" t="s">
        <v>20</v>
      </c>
      <c r="E338" s="9" t="s">
        <v>119</v>
      </c>
      <c r="F338" s="9" t="s">
        <v>69</v>
      </c>
      <c r="G338" s="9" t="s">
        <v>1034</v>
      </c>
      <c r="H338" s="9" t="s">
        <v>357</v>
      </c>
      <c r="I338" s="9" t="s">
        <v>1025</v>
      </c>
      <c r="J338" s="9" t="s">
        <v>1026</v>
      </c>
      <c r="K338" s="9" t="s">
        <v>967</v>
      </c>
      <c r="L338" s="9" t="s">
        <v>949</v>
      </c>
      <c r="M338" s="9" t="s">
        <v>997</v>
      </c>
      <c r="N338" s="9" t="s">
        <v>189</v>
      </c>
      <c r="O338" s="9" t="s">
        <v>531</v>
      </c>
      <c r="P338" s="9" t="s">
        <v>952</v>
      </c>
      <c r="Q338" s="9" t="s">
        <v>1027</v>
      </c>
      <c r="R338" s="9" t="s">
        <v>1028</v>
      </c>
      <c r="S338" s="9" t="s">
        <v>955</v>
      </c>
      <c r="T338" s="9" t="s">
        <v>1029</v>
      </c>
      <c r="U338" s="19" t="n">
        <v>255</v>
      </c>
      <c r="V338" s="9"/>
      <c r="W338" s="9"/>
      <c r="X338" s="9" t="s">
        <v>205</v>
      </c>
      <c r="Y338" s="23" t="n">
        <v>1.333E-005</v>
      </c>
      <c r="Z338" s="23" t="n">
        <v>0.1</v>
      </c>
      <c r="AA338" s="23" t="n">
        <v>3</v>
      </c>
      <c r="AB338" s="9" t="s">
        <v>949</v>
      </c>
      <c r="AC338" s="9" t="s">
        <v>983</v>
      </c>
      <c r="AD338" s="23" t="s">
        <v>197</v>
      </c>
      <c r="AE338" s="23" t="s">
        <v>197</v>
      </c>
      <c r="AF338" s="23" t="s">
        <v>197</v>
      </c>
      <c r="AG338" s="23" t="s">
        <v>197</v>
      </c>
      <c r="AH338" s="23" t="s">
        <v>197</v>
      </c>
      <c r="AI338" s="23" t="s">
        <v>197</v>
      </c>
      <c r="AJ338" s="23" t="s">
        <v>197</v>
      </c>
      <c r="AK338" s="23" t="s">
        <v>197</v>
      </c>
      <c r="AL338" s="23" t="s">
        <v>197</v>
      </c>
      <c r="AM338" s="9" t="s">
        <v>197</v>
      </c>
      <c r="AN338" s="23" t="n">
        <v>2.7</v>
      </c>
      <c r="AO338" s="23" t="n">
        <v>2.5</v>
      </c>
      <c r="AP338" s="23" t="n">
        <v>4.5</v>
      </c>
    </row>
    <row r="339" customFormat="false" ht="21.75" hidden="false" customHeight="true" outlineLevel="0" collapsed="false">
      <c r="B339" s="14" t="n">
        <v>335</v>
      </c>
      <c r="C339" s="7" t="s">
        <v>45</v>
      </c>
      <c r="D339" s="7" t="s">
        <v>20</v>
      </c>
      <c r="E339" s="7" t="s">
        <v>119</v>
      </c>
      <c r="F339" s="7" t="s">
        <v>70</v>
      </c>
      <c r="G339" s="7" t="s">
        <v>1035</v>
      </c>
      <c r="H339" s="7" t="s">
        <v>359</v>
      </c>
      <c r="I339" s="7" t="s">
        <v>1036</v>
      </c>
      <c r="J339" s="7" t="s">
        <v>1037</v>
      </c>
      <c r="K339" s="7" t="s">
        <v>967</v>
      </c>
      <c r="L339" s="7" t="s">
        <v>949</v>
      </c>
      <c r="M339" s="7" t="s">
        <v>980</v>
      </c>
      <c r="N339" s="7" t="s">
        <v>189</v>
      </c>
      <c r="O339" s="7" t="s">
        <v>189</v>
      </c>
      <c r="P339" s="7" t="s">
        <v>952</v>
      </c>
      <c r="Q339" s="7" t="s">
        <v>1038</v>
      </c>
      <c r="R339" s="7" t="s">
        <v>380</v>
      </c>
      <c r="S339" s="7" t="s">
        <v>955</v>
      </c>
      <c r="T339" s="7" t="s">
        <v>275</v>
      </c>
      <c r="U339" s="18" t="n">
        <v>19</v>
      </c>
      <c r="V339" s="7"/>
      <c r="W339" s="7"/>
      <c r="X339" s="7" t="s">
        <v>195</v>
      </c>
      <c r="Y339" s="22" t="n">
        <v>1.95E-005</v>
      </c>
      <c r="Z339" s="22" t="n">
        <v>0.121</v>
      </c>
      <c r="AA339" s="22" t="n">
        <v>3</v>
      </c>
      <c r="AB339" s="7" t="s">
        <v>949</v>
      </c>
      <c r="AC339" s="7" t="s">
        <v>983</v>
      </c>
      <c r="AD339" s="22" t="s">
        <v>197</v>
      </c>
      <c r="AE339" s="22" t="s">
        <v>197</v>
      </c>
      <c r="AF339" s="22" t="s">
        <v>197</v>
      </c>
      <c r="AG339" s="22" t="s">
        <v>197</v>
      </c>
      <c r="AH339" s="22" t="s">
        <v>197</v>
      </c>
      <c r="AI339" s="22" t="s">
        <v>197</v>
      </c>
      <c r="AJ339" s="22" t="s">
        <v>197</v>
      </c>
      <c r="AK339" s="22" t="s">
        <v>197</v>
      </c>
      <c r="AL339" s="22" t="s">
        <v>197</v>
      </c>
      <c r="AM339" s="7" t="s">
        <v>197</v>
      </c>
      <c r="AN339" s="22" t="n">
        <v>4</v>
      </c>
      <c r="AO339" s="22" t="n">
        <v>2</v>
      </c>
      <c r="AP339" s="22" t="n">
        <v>3</v>
      </c>
    </row>
    <row r="340" customFormat="false" ht="21.75" hidden="false" customHeight="true" outlineLevel="0" collapsed="false">
      <c r="B340" s="15" t="n">
        <v>336</v>
      </c>
      <c r="C340" s="9" t="s">
        <v>45</v>
      </c>
      <c r="D340" s="9" t="s">
        <v>20</v>
      </c>
      <c r="E340" s="9" t="s">
        <v>119</v>
      </c>
      <c r="F340" s="9" t="s">
        <v>70</v>
      </c>
      <c r="G340" s="9" t="s">
        <v>1039</v>
      </c>
      <c r="H340" s="9" t="s">
        <v>367</v>
      </c>
      <c r="I340" s="9" t="s">
        <v>1036</v>
      </c>
      <c r="J340" s="9" t="s">
        <v>1037</v>
      </c>
      <c r="K340" s="9" t="s">
        <v>967</v>
      </c>
      <c r="L340" s="9" t="s">
        <v>949</v>
      </c>
      <c r="M340" s="9" t="s">
        <v>980</v>
      </c>
      <c r="N340" s="9" t="s">
        <v>189</v>
      </c>
      <c r="O340" s="9" t="s">
        <v>189</v>
      </c>
      <c r="P340" s="9" t="s">
        <v>952</v>
      </c>
      <c r="Q340" s="9" t="s">
        <v>1038</v>
      </c>
      <c r="R340" s="9" t="s">
        <v>380</v>
      </c>
      <c r="S340" s="9" t="s">
        <v>955</v>
      </c>
      <c r="T340" s="9" t="s">
        <v>275</v>
      </c>
      <c r="U340" s="19" t="n">
        <v>25</v>
      </c>
      <c r="V340" s="9"/>
      <c r="W340" s="9"/>
      <c r="X340" s="9" t="s">
        <v>199</v>
      </c>
      <c r="Y340" s="23" t="n">
        <v>1.501E-005</v>
      </c>
      <c r="Z340" s="23" t="n">
        <v>0.097</v>
      </c>
      <c r="AA340" s="23" t="n">
        <v>3</v>
      </c>
      <c r="AB340" s="9" t="s">
        <v>949</v>
      </c>
      <c r="AC340" s="9" t="s">
        <v>983</v>
      </c>
      <c r="AD340" s="23" t="s">
        <v>197</v>
      </c>
      <c r="AE340" s="23" t="s">
        <v>197</v>
      </c>
      <c r="AF340" s="23" t="s">
        <v>197</v>
      </c>
      <c r="AG340" s="23" t="s">
        <v>197</v>
      </c>
      <c r="AH340" s="23" t="s">
        <v>197</v>
      </c>
      <c r="AI340" s="23" t="s">
        <v>197</v>
      </c>
      <c r="AJ340" s="23" t="s">
        <v>197</v>
      </c>
      <c r="AK340" s="23" t="s">
        <v>197</v>
      </c>
      <c r="AL340" s="23" t="s">
        <v>197</v>
      </c>
      <c r="AM340" s="9" t="s">
        <v>197</v>
      </c>
      <c r="AN340" s="23" t="n">
        <v>3.2</v>
      </c>
      <c r="AO340" s="23" t="n">
        <v>2</v>
      </c>
      <c r="AP340" s="23" t="n">
        <v>3</v>
      </c>
    </row>
    <row r="341" customFormat="false" ht="21.75" hidden="false" customHeight="true" outlineLevel="0" collapsed="false">
      <c r="B341" s="14" t="n">
        <v>337</v>
      </c>
      <c r="C341" s="7" t="s">
        <v>45</v>
      </c>
      <c r="D341" s="7" t="s">
        <v>20</v>
      </c>
      <c r="E341" s="7" t="s">
        <v>119</v>
      </c>
      <c r="F341" s="7" t="s">
        <v>70</v>
      </c>
      <c r="G341" s="7" t="s">
        <v>1040</v>
      </c>
      <c r="H341" s="7" t="s">
        <v>369</v>
      </c>
      <c r="I341" s="7" t="s">
        <v>1036</v>
      </c>
      <c r="J341" s="7" t="s">
        <v>1037</v>
      </c>
      <c r="K341" s="7" t="s">
        <v>967</v>
      </c>
      <c r="L341" s="7" t="s">
        <v>949</v>
      </c>
      <c r="M341" s="7" t="s">
        <v>980</v>
      </c>
      <c r="N341" s="7" t="s">
        <v>189</v>
      </c>
      <c r="O341" s="7" t="s">
        <v>189</v>
      </c>
      <c r="P341" s="7" t="s">
        <v>952</v>
      </c>
      <c r="Q341" s="7" t="s">
        <v>1038</v>
      </c>
      <c r="R341" s="7" t="s">
        <v>380</v>
      </c>
      <c r="S341" s="7" t="s">
        <v>955</v>
      </c>
      <c r="T341" s="7" t="s">
        <v>275</v>
      </c>
      <c r="U341" s="18" t="n">
        <v>35</v>
      </c>
      <c r="V341" s="7"/>
      <c r="W341" s="7"/>
      <c r="X341" s="7" t="s">
        <v>1041</v>
      </c>
      <c r="Y341" s="22" t="n">
        <v>1.619E-005</v>
      </c>
      <c r="Z341" s="22" t="n">
        <v>0.103</v>
      </c>
      <c r="AA341" s="22" t="n">
        <v>3</v>
      </c>
      <c r="AB341" s="7" t="s">
        <v>949</v>
      </c>
      <c r="AC341" s="7" t="s">
        <v>983</v>
      </c>
      <c r="AD341" s="22" t="s">
        <v>197</v>
      </c>
      <c r="AE341" s="22" t="s">
        <v>197</v>
      </c>
      <c r="AF341" s="22" t="s">
        <v>197</v>
      </c>
      <c r="AG341" s="22" t="s">
        <v>197</v>
      </c>
      <c r="AH341" s="22" t="s">
        <v>197</v>
      </c>
      <c r="AI341" s="22" t="s">
        <v>197</v>
      </c>
      <c r="AJ341" s="22" t="s">
        <v>197</v>
      </c>
      <c r="AK341" s="22" t="s">
        <v>197</v>
      </c>
      <c r="AL341" s="22" t="s">
        <v>197</v>
      </c>
      <c r="AM341" s="7" t="s">
        <v>197</v>
      </c>
      <c r="AN341" s="22" t="n">
        <v>3.4</v>
      </c>
      <c r="AO341" s="22" t="n">
        <v>2</v>
      </c>
      <c r="AP341" s="22" t="n">
        <v>3</v>
      </c>
    </row>
    <row r="342" customFormat="false" ht="21.75" hidden="false" customHeight="true" outlineLevel="0" collapsed="false">
      <c r="B342" s="15" t="n">
        <v>338</v>
      </c>
      <c r="C342" s="9" t="s">
        <v>45</v>
      </c>
      <c r="D342" s="9" t="s">
        <v>20</v>
      </c>
      <c r="E342" s="9" t="s">
        <v>119</v>
      </c>
      <c r="F342" s="9" t="s">
        <v>70</v>
      </c>
      <c r="G342" s="9" t="s">
        <v>1042</v>
      </c>
      <c r="H342" s="9" t="s">
        <v>339</v>
      </c>
      <c r="I342" s="9" t="s">
        <v>1036</v>
      </c>
      <c r="J342" s="9" t="s">
        <v>1037</v>
      </c>
      <c r="K342" s="9" t="s">
        <v>967</v>
      </c>
      <c r="L342" s="9" t="s">
        <v>949</v>
      </c>
      <c r="M342" s="9" t="s">
        <v>980</v>
      </c>
      <c r="N342" s="9" t="s">
        <v>189</v>
      </c>
      <c r="O342" s="9" t="s">
        <v>189</v>
      </c>
      <c r="P342" s="9" t="s">
        <v>952</v>
      </c>
      <c r="Q342" s="9" t="s">
        <v>1038</v>
      </c>
      <c r="R342" s="9" t="s">
        <v>380</v>
      </c>
      <c r="S342" s="9" t="s">
        <v>955</v>
      </c>
      <c r="T342" s="9" t="s">
        <v>275</v>
      </c>
      <c r="U342" s="19" t="n">
        <v>55</v>
      </c>
      <c r="V342" s="9"/>
      <c r="W342" s="9"/>
      <c r="X342" s="9" t="s">
        <v>203</v>
      </c>
      <c r="Y342" s="23" t="n">
        <v>1.928E-005</v>
      </c>
      <c r="Z342" s="23" t="n">
        <v>0.12</v>
      </c>
      <c r="AA342" s="23" t="n">
        <v>3</v>
      </c>
      <c r="AB342" s="9" t="s">
        <v>949</v>
      </c>
      <c r="AC342" s="9" t="s">
        <v>983</v>
      </c>
      <c r="AD342" s="23" t="s">
        <v>197</v>
      </c>
      <c r="AE342" s="23" t="s">
        <v>197</v>
      </c>
      <c r="AF342" s="23" t="s">
        <v>197</v>
      </c>
      <c r="AG342" s="23" t="s">
        <v>197</v>
      </c>
      <c r="AH342" s="23" t="s">
        <v>197</v>
      </c>
      <c r="AI342" s="23" t="s">
        <v>197</v>
      </c>
      <c r="AJ342" s="23" t="s">
        <v>197</v>
      </c>
      <c r="AK342" s="23" t="s">
        <v>197</v>
      </c>
      <c r="AL342" s="23" t="s">
        <v>197</v>
      </c>
      <c r="AM342" s="9" t="s">
        <v>197</v>
      </c>
      <c r="AN342" s="23" t="n">
        <v>4</v>
      </c>
      <c r="AO342" s="23" t="n">
        <v>2</v>
      </c>
      <c r="AP342" s="23" t="n">
        <v>3</v>
      </c>
    </row>
    <row r="343" customFormat="false" ht="21.75" hidden="false" customHeight="true" outlineLevel="0" collapsed="false">
      <c r="B343" s="14" t="n">
        <v>339</v>
      </c>
      <c r="C343" s="7" t="s">
        <v>45</v>
      </c>
      <c r="D343" s="7" t="s">
        <v>20</v>
      </c>
      <c r="E343" s="7" t="s">
        <v>119</v>
      </c>
      <c r="F343" s="7" t="s">
        <v>70</v>
      </c>
      <c r="G343" s="7" t="s">
        <v>1043</v>
      </c>
      <c r="H343" s="7" t="s">
        <v>352</v>
      </c>
      <c r="I343" s="7" t="s">
        <v>1036</v>
      </c>
      <c r="J343" s="7" t="s">
        <v>1037</v>
      </c>
      <c r="K343" s="7" t="s">
        <v>967</v>
      </c>
      <c r="L343" s="7" t="s">
        <v>949</v>
      </c>
      <c r="M343" s="7" t="s">
        <v>980</v>
      </c>
      <c r="N343" s="7" t="s">
        <v>189</v>
      </c>
      <c r="O343" s="7" t="s">
        <v>189</v>
      </c>
      <c r="P343" s="7" t="s">
        <v>952</v>
      </c>
      <c r="Q343" s="7" t="s">
        <v>1038</v>
      </c>
      <c r="R343" s="7" t="s">
        <v>380</v>
      </c>
      <c r="S343" s="7" t="s">
        <v>955</v>
      </c>
      <c r="T343" s="7" t="s">
        <v>275</v>
      </c>
      <c r="U343" s="18" t="n">
        <v>80</v>
      </c>
      <c r="V343" s="7"/>
      <c r="W343" s="7"/>
      <c r="X343" s="7" t="s">
        <v>205</v>
      </c>
      <c r="Y343" s="22" t="n">
        <v>1.171E-005</v>
      </c>
      <c r="Z343" s="22" t="n">
        <v>0.08</v>
      </c>
      <c r="AA343" s="22" t="n">
        <v>3</v>
      </c>
      <c r="AB343" s="7" t="s">
        <v>949</v>
      </c>
      <c r="AC343" s="7" t="s">
        <v>983</v>
      </c>
      <c r="AD343" s="22" t="s">
        <v>197</v>
      </c>
      <c r="AE343" s="22" t="s">
        <v>197</v>
      </c>
      <c r="AF343" s="22" t="s">
        <v>197</v>
      </c>
      <c r="AG343" s="22" t="s">
        <v>197</v>
      </c>
      <c r="AH343" s="22" t="s">
        <v>197</v>
      </c>
      <c r="AI343" s="22" t="s">
        <v>197</v>
      </c>
      <c r="AJ343" s="22" t="s">
        <v>197</v>
      </c>
      <c r="AK343" s="22" t="s">
        <v>197</v>
      </c>
      <c r="AL343" s="22" t="s">
        <v>197</v>
      </c>
      <c r="AM343" s="7" t="s">
        <v>197</v>
      </c>
      <c r="AN343" s="22" t="n">
        <v>2.7</v>
      </c>
      <c r="AO343" s="22" t="n">
        <v>2</v>
      </c>
      <c r="AP343" s="22" t="n">
        <v>3</v>
      </c>
    </row>
    <row r="344" customFormat="false" ht="21.75" hidden="false" customHeight="true" outlineLevel="0" collapsed="false">
      <c r="B344" s="15" t="n">
        <v>340</v>
      </c>
      <c r="C344" s="9" t="s">
        <v>45</v>
      </c>
      <c r="D344" s="9" t="s">
        <v>20</v>
      </c>
      <c r="E344" s="9" t="s">
        <v>119</v>
      </c>
      <c r="F344" s="9" t="s">
        <v>71</v>
      </c>
      <c r="G344" s="9" t="s">
        <v>1044</v>
      </c>
      <c r="H344" s="9" t="s">
        <v>374</v>
      </c>
      <c r="I344" s="9" t="s">
        <v>1045</v>
      </c>
      <c r="J344" s="9" t="s">
        <v>1046</v>
      </c>
      <c r="K344" s="9" t="s">
        <v>967</v>
      </c>
      <c r="L344" s="9" t="s">
        <v>949</v>
      </c>
      <c r="M344" s="9" t="s">
        <v>980</v>
      </c>
      <c r="N344" s="9" t="s">
        <v>189</v>
      </c>
      <c r="O344" s="9" t="s">
        <v>189</v>
      </c>
      <c r="P344" s="9" t="s">
        <v>952</v>
      </c>
      <c r="Q344" s="9" t="s">
        <v>1047</v>
      </c>
      <c r="R344" s="9" t="s">
        <v>1048</v>
      </c>
      <c r="S344" s="9" t="s">
        <v>955</v>
      </c>
      <c r="T344" s="9" t="s">
        <v>1049</v>
      </c>
      <c r="U344" s="19" t="n">
        <v>20</v>
      </c>
      <c r="V344" s="9"/>
      <c r="W344" s="9"/>
      <c r="X344" s="9" t="s">
        <v>195</v>
      </c>
      <c r="Y344" s="23" t="n">
        <v>0.073</v>
      </c>
      <c r="Z344" s="23" t="n">
        <v>0.283</v>
      </c>
      <c r="AA344" s="23" t="n">
        <v>12</v>
      </c>
      <c r="AB344" s="9" t="s">
        <v>949</v>
      </c>
      <c r="AC344" s="9" t="s">
        <v>971</v>
      </c>
      <c r="AD344" s="23" t="s">
        <v>197</v>
      </c>
      <c r="AE344" s="23" t="s">
        <v>197</v>
      </c>
      <c r="AF344" s="23" t="s">
        <v>197</v>
      </c>
      <c r="AG344" s="23" t="s">
        <v>197</v>
      </c>
      <c r="AH344" s="23" t="s">
        <v>197</v>
      </c>
      <c r="AI344" s="23" t="s">
        <v>197</v>
      </c>
      <c r="AJ344" s="23" t="s">
        <v>197</v>
      </c>
      <c r="AK344" s="23" t="s">
        <v>197</v>
      </c>
      <c r="AL344" s="23" t="s">
        <v>197</v>
      </c>
      <c r="AM344" s="9" t="s">
        <v>197</v>
      </c>
      <c r="AN344" s="23" t="s">
        <v>197</v>
      </c>
      <c r="AO344" s="23" t="s">
        <v>197</v>
      </c>
      <c r="AP344" s="23" t="s">
        <v>197</v>
      </c>
    </row>
    <row r="345" customFormat="false" ht="21.75" hidden="false" customHeight="true" outlineLevel="0" collapsed="false">
      <c r="B345" s="14" t="n">
        <v>341</v>
      </c>
      <c r="C345" s="7" t="s">
        <v>45</v>
      </c>
      <c r="D345" s="7" t="s">
        <v>20</v>
      </c>
      <c r="E345" s="7" t="s">
        <v>119</v>
      </c>
      <c r="F345" s="7" t="s">
        <v>71</v>
      </c>
      <c r="G345" s="7" t="s">
        <v>1050</v>
      </c>
      <c r="H345" s="7" t="s">
        <v>383</v>
      </c>
      <c r="I345" s="7" t="s">
        <v>1045</v>
      </c>
      <c r="J345" s="7" t="s">
        <v>1046</v>
      </c>
      <c r="K345" s="7" t="s">
        <v>967</v>
      </c>
      <c r="L345" s="7" t="s">
        <v>949</v>
      </c>
      <c r="M345" s="7" t="s">
        <v>980</v>
      </c>
      <c r="N345" s="7" t="s">
        <v>189</v>
      </c>
      <c r="O345" s="7" t="s">
        <v>189</v>
      </c>
      <c r="P345" s="7" t="s">
        <v>952</v>
      </c>
      <c r="Q345" s="7" t="s">
        <v>1047</v>
      </c>
      <c r="R345" s="7" t="s">
        <v>1048</v>
      </c>
      <c r="S345" s="7" t="s">
        <v>955</v>
      </c>
      <c r="T345" s="7" t="s">
        <v>1049</v>
      </c>
      <c r="U345" s="18" t="n">
        <v>30</v>
      </c>
      <c r="V345" s="7"/>
      <c r="W345" s="7"/>
      <c r="X345" s="7" t="s">
        <v>199</v>
      </c>
      <c r="Y345" s="22" t="n">
        <v>0.067</v>
      </c>
      <c r="Z345" s="22" t="n">
        <v>0.269</v>
      </c>
      <c r="AA345" s="22" t="n">
        <v>12</v>
      </c>
      <c r="AB345" s="7" t="s">
        <v>949</v>
      </c>
      <c r="AC345" s="7" t="s">
        <v>971</v>
      </c>
      <c r="AD345" s="22" t="s">
        <v>197</v>
      </c>
      <c r="AE345" s="22" t="s">
        <v>197</v>
      </c>
      <c r="AF345" s="22" t="s">
        <v>197</v>
      </c>
      <c r="AG345" s="22" t="s">
        <v>197</v>
      </c>
      <c r="AH345" s="22" t="s">
        <v>197</v>
      </c>
      <c r="AI345" s="22" t="s">
        <v>197</v>
      </c>
      <c r="AJ345" s="22" t="s">
        <v>197</v>
      </c>
      <c r="AK345" s="22" t="s">
        <v>197</v>
      </c>
      <c r="AL345" s="22" t="s">
        <v>197</v>
      </c>
      <c r="AM345" s="7" t="s">
        <v>197</v>
      </c>
      <c r="AN345" s="22" t="s">
        <v>197</v>
      </c>
      <c r="AO345" s="22" t="s">
        <v>197</v>
      </c>
      <c r="AP345" s="22" t="s">
        <v>197</v>
      </c>
    </row>
    <row r="346" customFormat="false" ht="21.75" hidden="false" customHeight="true" outlineLevel="0" collapsed="false">
      <c r="B346" s="15" t="n">
        <v>342</v>
      </c>
      <c r="C346" s="9" t="s">
        <v>45</v>
      </c>
      <c r="D346" s="9" t="s">
        <v>20</v>
      </c>
      <c r="E346" s="9" t="s">
        <v>119</v>
      </c>
      <c r="F346" s="9" t="s">
        <v>71</v>
      </c>
      <c r="G346" s="9" t="s">
        <v>1051</v>
      </c>
      <c r="H346" s="9" t="s">
        <v>385</v>
      </c>
      <c r="I346" s="9" t="s">
        <v>1045</v>
      </c>
      <c r="J346" s="9" t="s">
        <v>1046</v>
      </c>
      <c r="K346" s="9" t="s">
        <v>967</v>
      </c>
      <c r="L346" s="9" t="s">
        <v>949</v>
      </c>
      <c r="M346" s="9" t="s">
        <v>980</v>
      </c>
      <c r="N346" s="9" t="s">
        <v>189</v>
      </c>
      <c r="O346" s="9" t="s">
        <v>189</v>
      </c>
      <c r="P346" s="9" t="s">
        <v>952</v>
      </c>
      <c r="Q346" s="9" t="s">
        <v>1047</v>
      </c>
      <c r="R346" s="9" t="s">
        <v>1048</v>
      </c>
      <c r="S346" s="9" t="s">
        <v>955</v>
      </c>
      <c r="T346" s="9" t="s">
        <v>1049</v>
      </c>
      <c r="U346" s="19" t="n">
        <v>45</v>
      </c>
      <c r="V346" s="9"/>
      <c r="W346" s="9"/>
      <c r="X346" s="9" t="s">
        <v>1052</v>
      </c>
      <c r="Y346" s="23" t="n">
        <v>0.092</v>
      </c>
      <c r="Z346" s="23" t="n">
        <v>0.331</v>
      </c>
      <c r="AA346" s="23" t="n">
        <v>12</v>
      </c>
      <c r="AB346" s="9" t="s">
        <v>949</v>
      </c>
      <c r="AC346" s="9" t="s">
        <v>971</v>
      </c>
      <c r="AD346" s="23" t="s">
        <v>197</v>
      </c>
      <c r="AE346" s="23" t="s">
        <v>197</v>
      </c>
      <c r="AF346" s="23" t="s">
        <v>197</v>
      </c>
      <c r="AG346" s="23" t="s">
        <v>197</v>
      </c>
      <c r="AH346" s="23" t="s">
        <v>197</v>
      </c>
      <c r="AI346" s="23" t="s">
        <v>197</v>
      </c>
      <c r="AJ346" s="23" t="s">
        <v>197</v>
      </c>
      <c r="AK346" s="23" t="s">
        <v>197</v>
      </c>
      <c r="AL346" s="23" t="s">
        <v>197</v>
      </c>
      <c r="AM346" s="9" t="s">
        <v>197</v>
      </c>
      <c r="AN346" s="23" t="s">
        <v>197</v>
      </c>
      <c r="AO346" s="23" t="s">
        <v>197</v>
      </c>
      <c r="AP346" s="23" t="s">
        <v>197</v>
      </c>
    </row>
    <row r="347" customFormat="false" ht="21.75" hidden="false" customHeight="true" outlineLevel="0" collapsed="false">
      <c r="B347" s="14" t="n">
        <v>343</v>
      </c>
      <c r="C347" s="7" t="s">
        <v>45</v>
      </c>
      <c r="D347" s="7" t="s">
        <v>20</v>
      </c>
      <c r="E347" s="7" t="s">
        <v>119</v>
      </c>
      <c r="F347" s="7" t="s">
        <v>71</v>
      </c>
      <c r="G347" s="7" t="s">
        <v>1053</v>
      </c>
      <c r="H347" s="7" t="s">
        <v>388</v>
      </c>
      <c r="I347" s="7" t="s">
        <v>1045</v>
      </c>
      <c r="J347" s="7" t="s">
        <v>1046</v>
      </c>
      <c r="K347" s="7" t="s">
        <v>967</v>
      </c>
      <c r="L347" s="7" t="s">
        <v>949</v>
      </c>
      <c r="M347" s="7" t="s">
        <v>980</v>
      </c>
      <c r="N347" s="7" t="s">
        <v>189</v>
      </c>
      <c r="O347" s="7" t="s">
        <v>189</v>
      </c>
      <c r="P347" s="7" t="s">
        <v>952</v>
      </c>
      <c r="Q347" s="7" t="s">
        <v>1047</v>
      </c>
      <c r="R347" s="7" t="s">
        <v>1048</v>
      </c>
      <c r="S347" s="7" t="s">
        <v>955</v>
      </c>
      <c r="T347" s="7" t="s">
        <v>1049</v>
      </c>
      <c r="U347" s="18" t="n">
        <v>65</v>
      </c>
      <c r="V347" s="7"/>
      <c r="W347" s="7"/>
      <c r="X347" s="7" t="s">
        <v>203</v>
      </c>
      <c r="Y347" s="22" t="n">
        <v>0.041</v>
      </c>
      <c r="Z347" s="22" t="n">
        <v>0.203</v>
      </c>
      <c r="AA347" s="22" t="n">
        <v>12</v>
      </c>
      <c r="AB347" s="7" t="s">
        <v>949</v>
      </c>
      <c r="AC347" s="7" t="s">
        <v>971</v>
      </c>
      <c r="AD347" s="22" t="s">
        <v>197</v>
      </c>
      <c r="AE347" s="22" t="s">
        <v>197</v>
      </c>
      <c r="AF347" s="22" t="s">
        <v>197</v>
      </c>
      <c r="AG347" s="22" t="s">
        <v>197</v>
      </c>
      <c r="AH347" s="22" t="s">
        <v>197</v>
      </c>
      <c r="AI347" s="22" t="s">
        <v>197</v>
      </c>
      <c r="AJ347" s="22" t="s">
        <v>197</v>
      </c>
      <c r="AK347" s="22" t="s">
        <v>197</v>
      </c>
      <c r="AL347" s="22" t="s">
        <v>197</v>
      </c>
      <c r="AM347" s="7" t="s">
        <v>197</v>
      </c>
      <c r="AN347" s="22" t="s">
        <v>197</v>
      </c>
      <c r="AO347" s="22" t="s">
        <v>197</v>
      </c>
      <c r="AP347" s="22" t="s">
        <v>197</v>
      </c>
    </row>
    <row r="348" customFormat="false" ht="21.75" hidden="false" customHeight="true" outlineLevel="0" collapsed="false">
      <c r="B348" s="15" t="n">
        <v>344</v>
      </c>
      <c r="C348" s="9" t="s">
        <v>45</v>
      </c>
      <c r="D348" s="9" t="s">
        <v>20</v>
      </c>
      <c r="E348" s="9" t="s">
        <v>119</v>
      </c>
      <c r="F348" s="9" t="s">
        <v>71</v>
      </c>
      <c r="G348" s="9" t="s">
        <v>1054</v>
      </c>
      <c r="H348" s="9" t="s">
        <v>390</v>
      </c>
      <c r="I348" s="9" t="s">
        <v>1045</v>
      </c>
      <c r="J348" s="9" t="s">
        <v>1046</v>
      </c>
      <c r="K348" s="9" t="s">
        <v>967</v>
      </c>
      <c r="L348" s="9" t="s">
        <v>949</v>
      </c>
      <c r="M348" s="9" t="s">
        <v>980</v>
      </c>
      <c r="N348" s="9" t="s">
        <v>189</v>
      </c>
      <c r="O348" s="9" t="s">
        <v>189</v>
      </c>
      <c r="P348" s="9" t="s">
        <v>952</v>
      </c>
      <c r="Q348" s="9" t="s">
        <v>1047</v>
      </c>
      <c r="R348" s="9" t="s">
        <v>1048</v>
      </c>
      <c r="S348" s="9" t="s">
        <v>955</v>
      </c>
      <c r="T348" s="9" t="s">
        <v>1049</v>
      </c>
      <c r="U348" s="19" t="n">
        <v>100</v>
      </c>
      <c r="V348" s="9"/>
      <c r="W348" s="9"/>
      <c r="X348" s="9" t="s">
        <v>205</v>
      </c>
      <c r="Y348" s="23" t="n">
        <v>0.072</v>
      </c>
      <c r="Z348" s="23" t="n">
        <v>0.281</v>
      </c>
      <c r="AA348" s="23" t="n">
        <v>12</v>
      </c>
      <c r="AB348" s="9" t="s">
        <v>949</v>
      </c>
      <c r="AC348" s="9" t="s">
        <v>971</v>
      </c>
      <c r="AD348" s="23" t="s">
        <v>197</v>
      </c>
      <c r="AE348" s="23" t="s">
        <v>197</v>
      </c>
      <c r="AF348" s="23" t="s">
        <v>197</v>
      </c>
      <c r="AG348" s="23" t="s">
        <v>197</v>
      </c>
      <c r="AH348" s="23" t="s">
        <v>197</v>
      </c>
      <c r="AI348" s="23" t="s">
        <v>197</v>
      </c>
      <c r="AJ348" s="23" t="s">
        <v>197</v>
      </c>
      <c r="AK348" s="23" t="s">
        <v>197</v>
      </c>
      <c r="AL348" s="23" t="s">
        <v>197</v>
      </c>
      <c r="AM348" s="9" t="s">
        <v>197</v>
      </c>
      <c r="AN348" s="23" t="s">
        <v>197</v>
      </c>
      <c r="AO348" s="23" t="s">
        <v>197</v>
      </c>
      <c r="AP348" s="23" t="s">
        <v>197</v>
      </c>
    </row>
    <row r="349" customFormat="false" ht="21.75" hidden="false" customHeight="true" outlineLevel="0" collapsed="false">
      <c r="B349" s="14" t="n">
        <v>345</v>
      </c>
      <c r="C349" s="7" t="s">
        <v>45</v>
      </c>
      <c r="D349" s="7" t="s">
        <v>20</v>
      </c>
      <c r="E349" s="7" t="s">
        <v>119</v>
      </c>
      <c r="F349" s="7" t="s">
        <v>72</v>
      </c>
      <c r="G349" s="7" t="s">
        <v>391</v>
      </c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18"/>
      <c r="V349" s="7"/>
      <c r="W349" s="7"/>
      <c r="X349" s="7" t="s">
        <v>1055</v>
      </c>
      <c r="Y349" s="22" t="s">
        <v>197</v>
      </c>
      <c r="Z349" s="22" t="s">
        <v>197</v>
      </c>
      <c r="AA349" s="22" t="s">
        <v>197</v>
      </c>
      <c r="AB349" s="7" t="s">
        <v>197</v>
      </c>
      <c r="AC349" s="7" t="s">
        <v>197</v>
      </c>
      <c r="AD349" s="22" t="s">
        <v>197</v>
      </c>
      <c r="AE349" s="22" t="s">
        <v>197</v>
      </c>
      <c r="AF349" s="22" t="s">
        <v>197</v>
      </c>
      <c r="AG349" s="22" t="s">
        <v>197</v>
      </c>
      <c r="AH349" s="22" t="s">
        <v>197</v>
      </c>
      <c r="AI349" s="22" t="s">
        <v>197</v>
      </c>
      <c r="AJ349" s="22" t="s">
        <v>197</v>
      </c>
      <c r="AK349" s="22" t="s">
        <v>197</v>
      </c>
      <c r="AL349" s="22" t="s">
        <v>197</v>
      </c>
      <c r="AM349" s="7" t="s">
        <v>197</v>
      </c>
      <c r="AN349" s="22" t="s">
        <v>197</v>
      </c>
      <c r="AO349" s="22" t="s">
        <v>197</v>
      </c>
      <c r="AP349" s="22" t="s">
        <v>197</v>
      </c>
    </row>
    <row r="350" customFormat="false" ht="21.75" hidden="false" customHeight="true" outlineLevel="0" collapsed="false">
      <c r="B350" s="15" t="n">
        <v>346</v>
      </c>
      <c r="C350" s="9" t="s">
        <v>45</v>
      </c>
      <c r="D350" s="9" t="s">
        <v>20</v>
      </c>
      <c r="E350" s="9" t="s">
        <v>119</v>
      </c>
      <c r="F350" s="9" t="s">
        <v>73</v>
      </c>
      <c r="G350" s="9" t="s">
        <v>1056</v>
      </c>
      <c r="H350" s="9" t="s">
        <v>394</v>
      </c>
      <c r="I350" s="9" t="s">
        <v>1057</v>
      </c>
      <c r="J350" s="9" t="s">
        <v>1058</v>
      </c>
      <c r="K350" s="9" t="s">
        <v>996</v>
      </c>
      <c r="L350" s="9" t="s">
        <v>949</v>
      </c>
      <c r="M350" s="9" t="s">
        <v>1059</v>
      </c>
      <c r="N350" s="9" t="s">
        <v>189</v>
      </c>
      <c r="O350" s="9" t="s">
        <v>189</v>
      </c>
      <c r="P350" s="9" t="s">
        <v>952</v>
      </c>
      <c r="Q350" s="9" t="s">
        <v>1060</v>
      </c>
      <c r="R350" s="9" t="s">
        <v>1061</v>
      </c>
      <c r="S350" s="9" t="s">
        <v>955</v>
      </c>
      <c r="T350" s="9" t="s">
        <v>1062</v>
      </c>
      <c r="U350" s="19" t="n">
        <v>50</v>
      </c>
      <c r="V350" s="9"/>
      <c r="W350" s="9"/>
      <c r="X350" s="9" t="s">
        <v>195</v>
      </c>
      <c r="Y350" s="23" t="n">
        <v>0.042</v>
      </c>
      <c r="Z350" s="23" t="n">
        <v>0.067</v>
      </c>
      <c r="AA350" s="23" t="n">
        <v>12</v>
      </c>
      <c r="AB350" s="9" t="s">
        <v>949</v>
      </c>
      <c r="AC350" s="9" t="s">
        <v>971</v>
      </c>
      <c r="AD350" s="23" t="s">
        <v>197</v>
      </c>
      <c r="AE350" s="23" t="s">
        <v>197</v>
      </c>
      <c r="AF350" s="23" t="s">
        <v>197</v>
      </c>
      <c r="AG350" s="23" t="n">
        <v>4</v>
      </c>
      <c r="AH350" s="23" t="s">
        <v>197</v>
      </c>
      <c r="AI350" s="23" t="s">
        <v>197</v>
      </c>
      <c r="AJ350" s="23" t="s">
        <v>197</v>
      </c>
      <c r="AK350" s="23" t="s">
        <v>197</v>
      </c>
      <c r="AL350" s="23" t="s">
        <v>197</v>
      </c>
      <c r="AM350" s="9" t="s">
        <v>197</v>
      </c>
      <c r="AN350" s="23" t="s">
        <v>197</v>
      </c>
      <c r="AO350" s="23" t="s">
        <v>197</v>
      </c>
      <c r="AP350" s="23" t="s">
        <v>197</v>
      </c>
    </row>
    <row r="351" customFormat="false" ht="21.75" hidden="false" customHeight="true" outlineLevel="0" collapsed="false">
      <c r="B351" s="14" t="n">
        <v>347</v>
      </c>
      <c r="C351" s="7" t="s">
        <v>45</v>
      </c>
      <c r="D351" s="7" t="s">
        <v>20</v>
      </c>
      <c r="E351" s="7" t="s">
        <v>119</v>
      </c>
      <c r="F351" s="7" t="s">
        <v>73</v>
      </c>
      <c r="G351" s="7" t="s">
        <v>1063</v>
      </c>
      <c r="H351" s="7" t="s">
        <v>402</v>
      </c>
      <c r="I351" s="7" t="s">
        <v>1057</v>
      </c>
      <c r="J351" s="7" t="s">
        <v>1058</v>
      </c>
      <c r="K351" s="7" t="s">
        <v>996</v>
      </c>
      <c r="L351" s="7" t="s">
        <v>949</v>
      </c>
      <c r="M351" s="7" t="s">
        <v>1059</v>
      </c>
      <c r="N351" s="7" t="s">
        <v>189</v>
      </c>
      <c r="O351" s="7" t="s">
        <v>189</v>
      </c>
      <c r="P351" s="7" t="s">
        <v>952</v>
      </c>
      <c r="Q351" s="7" t="s">
        <v>1060</v>
      </c>
      <c r="R351" s="7" t="s">
        <v>1061</v>
      </c>
      <c r="S351" s="7" t="s">
        <v>955</v>
      </c>
      <c r="T351" s="7" t="s">
        <v>1062</v>
      </c>
      <c r="U351" s="18" t="n">
        <v>75</v>
      </c>
      <c r="V351" s="7"/>
      <c r="W351" s="7"/>
      <c r="X351" s="7" t="s">
        <v>199</v>
      </c>
      <c r="Y351" s="22" t="n">
        <v>0.035</v>
      </c>
      <c r="Z351" s="22" t="n">
        <v>0.057</v>
      </c>
      <c r="AA351" s="22" t="n">
        <v>12</v>
      </c>
      <c r="AB351" s="7" t="s">
        <v>949</v>
      </c>
      <c r="AC351" s="7" t="s">
        <v>971</v>
      </c>
      <c r="AD351" s="22" t="s">
        <v>197</v>
      </c>
      <c r="AE351" s="22" t="s">
        <v>197</v>
      </c>
      <c r="AF351" s="22" t="s">
        <v>197</v>
      </c>
      <c r="AG351" s="22" t="n">
        <v>8</v>
      </c>
      <c r="AH351" s="22" t="s">
        <v>197</v>
      </c>
      <c r="AI351" s="22" t="s">
        <v>197</v>
      </c>
      <c r="AJ351" s="22" t="s">
        <v>197</v>
      </c>
      <c r="AK351" s="22" t="s">
        <v>197</v>
      </c>
      <c r="AL351" s="22" t="s">
        <v>197</v>
      </c>
      <c r="AM351" s="7" t="s">
        <v>197</v>
      </c>
      <c r="AN351" s="22" t="s">
        <v>197</v>
      </c>
      <c r="AO351" s="22" t="s">
        <v>197</v>
      </c>
      <c r="AP351" s="22" t="s">
        <v>197</v>
      </c>
    </row>
    <row r="352" customFormat="false" ht="21.75" hidden="false" customHeight="true" outlineLevel="0" collapsed="false">
      <c r="B352" s="15" t="n">
        <v>348</v>
      </c>
      <c r="C352" s="9" t="s">
        <v>45</v>
      </c>
      <c r="D352" s="9" t="s">
        <v>20</v>
      </c>
      <c r="E352" s="9" t="s">
        <v>119</v>
      </c>
      <c r="F352" s="9" t="s">
        <v>73</v>
      </c>
      <c r="G352" s="9" t="s">
        <v>1064</v>
      </c>
      <c r="H352" s="9" t="s">
        <v>404</v>
      </c>
      <c r="I352" s="9" t="s">
        <v>1057</v>
      </c>
      <c r="J352" s="9" t="s">
        <v>1058</v>
      </c>
      <c r="K352" s="9" t="s">
        <v>996</v>
      </c>
      <c r="L352" s="9" t="s">
        <v>949</v>
      </c>
      <c r="M352" s="9" t="s">
        <v>1059</v>
      </c>
      <c r="N352" s="9" t="s">
        <v>189</v>
      </c>
      <c r="O352" s="9" t="s">
        <v>189</v>
      </c>
      <c r="P352" s="9" t="s">
        <v>952</v>
      </c>
      <c r="Q352" s="9" t="s">
        <v>1060</v>
      </c>
      <c r="R352" s="9" t="s">
        <v>1061</v>
      </c>
      <c r="S352" s="9" t="s">
        <v>955</v>
      </c>
      <c r="T352" s="9" t="s">
        <v>1062</v>
      </c>
      <c r="U352" s="19" t="n">
        <v>105</v>
      </c>
      <c r="V352" s="9"/>
      <c r="W352" s="9"/>
      <c r="X352" s="9" t="s">
        <v>1065</v>
      </c>
      <c r="Y352" s="23" t="n">
        <v>0.055</v>
      </c>
      <c r="Z352" s="23" t="n">
        <v>0.084</v>
      </c>
      <c r="AA352" s="23" t="n">
        <v>12</v>
      </c>
      <c r="AB352" s="9" t="s">
        <v>949</v>
      </c>
      <c r="AC352" s="9" t="s">
        <v>971</v>
      </c>
      <c r="AD352" s="23" t="s">
        <v>197</v>
      </c>
      <c r="AE352" s="23" t="s">
        <v>197</v>
      </c>
      <c r="AF352" s="23" t="s">
        <v>197</v>
      </c>
      <c r="AG352" s="23" t="n">
        <v>8</v>
      </c>
      <c r="AH352" s="23" t="s">
        <v>197</v>
      </c>
      <c r="AI352" s="23" t="s">
        <v>197</v>
      </c>
      <c r="AJ352" s="23" t="s">
        <v>197</v>
      </c>
      <c r="AK352" s="23" t="s">
        <v>197</v>
      </c>
      <c r="AL352" s="23" t="s">
        <v>197</v>
      </c>
      <c r="AM352" s="9" t="s">
        <v>197</v>
      </c>
      <c r="AN352" s="23" t="s">
        <v>197</v>
      </c>
      <c r="AO352" s="23" t="s">
        <v>197</v>
      </c>
      <c r="AP352" s="23" t="s">
        <v>197</v>
      </c>
    </row>
    <row r="353" customFormat="false" ht="21.75" hidden="false" customHeight="true" outlineLevel="0" collapsed="false">
      <c r="B353" s="14" t="n">
        <v>349</v>
      </c>
      <c r="C353" s="7" t="s">
        <v>45</v>
      </c>
      <c r="D353" s="7" t="s">
        <v>20</v>
      </c>
      <c r="E353" s="7" t="s">
        <v>119</v>
      </c>
      <c r="F353" s="7" t="s">
        <v>73</v>
      </c>
      <c r="G353" s="7" t="s">
        <v>1066</v>
      </c>
      <c r="H353" s="7" t="s">
        <v>407</v>
      </c>
      <c r="I353" s="7" t="s">
        <v>1057</v>
      </c>
      <c r="J353" s="7" t="s">
        <v>1058</v>
      </c>
      <c r="K353" s="7" t="s">
        <v>996</v>
      </c>
      <c r="L353" s="7" t="s">
        <v>949</v>
      </c>
      <c r="M353" s="7" t="s">
        <v>1059</v>
      </c>
      <c r="N353" s="7" t="s">
        <v>189</v>
      </c>
      <c r="O353" s="7" t="s">
        <v>189</v>
      </c>
      <c r="P353" s="7" t="s">
        <v>952</v>
      </c>
      <c r="Q353" s="7" t="s">
        <v>1060</v>
      </c>
      <c r="R353" s="7" t="s">
        <v>1061</v>
      </c>
      <c r="S353" s="7" t="s">
        <v>955</v>
      </c>
      <c r="T353" s="7" t="s">
        <v>1062</v>
      </c>
      <c r="U353" s="18" t="n">
        <v>155</v>
      </c>
      <c r="V353" s="7"/>
      <c r="W353" s="7"/>
      <c r="X353" s="7" t="s">
        <v>203</v>
      </c>
      <c r="Y353" s="22" t="n">
        <v>0.036</v>
      </c>
      <c r="Z353" s="22" t="n">
        <v>0.058</v>
      </c>
      <c r="AA353" s="22" t="n">
        <v>12</v>
      </c>
      <c r="AB353" s="7" t="s">
        <v>949</v>
      </c>
      <c r="AC353" s="7" t="s">
        <v>971</v>
      </c>
      <c r="AD353" s="22" t="s">
        <v>197</v>
      </c>
      <c r="AE353" s="22" t="s">
        <v>197</v>
      </c>
      <c r="AF353" s="22" t="s">
        <v>197</v>
      </c>
      <c r="AG353" s="22" t="n">
        <v>16</v>
      </c>
      <c r="AH353" s="22" t="s">
        <v>197</v>
      </c>
      <c r="AI353" s="22" t="s">
        <v>197</v>
      </c>
      <c r="AJ353" s="22" t="s">
        <v>197</v>
      </c>
      <c r="AK353" s="22" t="s">
        <v>197</v>
      </c>
      <c r="AL353" s="22" t="s">
        <v>197</v>
      </c>
      <c r="AM353" s="7" t="s">
        <v>197</v>
      </c>
      <c r="AN353" s="22" t="s">
        <v>197</v>
      </c>
      <c r="AO353" s="22" t="s">
        <v>197</v>
      </c>
      <c r="AP353" s="22" t="s">
        <v>197</v>
      </c>
    </row>
    <row r="354" customFormat="false" ht="21.75" hidden="false" customHeight="true" outlineLevel="0" collapsed="false">
      <c r="B354" s="15" t="n">
        <v>350</v>
      </c>
      <c r="C354" s="9" t="s">
        <v>45</v>
      </c>
      <c r="D354" s="9" t="s">
        <v>20</v>
      </c>
      <c r="E354" s="9" t="s">
        <v>119</v>
      </c>
      <c r="F354" s="9" t="s">
        <v>73</v>
      </c>
      <c r="G354" s="9" t="s">
        <v>1067</v>
      </c>
      <c r="H354" s="9" t="s">
        <v>409</v>
      </c>
      <c r="I354" s="9" t="s">
        <v>1057</v>
      </c>
      <c r="J354" s="9" t="s">
        <v>1058</v>
      </c>
      <c r="K354" s="9" t="s">
        <v>996</v>
      </c>
      <c r="L354" s="9" t="s">
        <v>949</v>
      </c>
      <c r="M354" s="9" t="s">
        <v>1059</v>
      </c>
      <c r="N354" s="9" t="s">
        <v>189</v>
      </c>
      <c r="O354" s="9" t="s">
        <v>189</v>
      </c>
      <c r="P354" s="9" t="s">
        <v>952</v>
      </c>
      <c r="Q354" s="9" t="s">
        <v>1060</v>
      </c>
      <c r="R354" s="9" t="s">
        <v>1061</v>
      </c>
      <c r="S354" s="9" t="s">
        <v>955</v>
      </c>
      <c r="T354" s="9" t="s">
        <v>1062</v>
      </c>
      <c r="U354" s="19" t="n">
        <v>230</v>
      </c>
      <c r="V354" s="9"/>
      <c r="W354" s="9"/>
      <c r="X354" s="9" t="s">
        <v>205</v>
      </c>
      <c r="Y354" s="23" t="n">
        <v>0.059</v>
      </c>
      <c r="Z354" s="23" t="n">
        <v>0.088</v>
      </c>
      <c r="AA354" s="23" t="n">
        <v>12</v>
      </c>
      <c r="AB354" s="9" t="s">
        <v>949</v>
      </c>
      <c r="AC354" s="9" t="s">
        <v>971</v>
      </c>
      <c r="AD354" s="23" t="s">
        <v>197</v>
      </c>
      <c r="AE354" s="23" t="s">
        <v>197</v>
      </c>
      <c r="AF354" s="23" t="s">
        <v>197</v>
      </c>
      <c r="AG354" s="23" t="n">
        <v>16</v>
      </c>
      <c r="AH354" s="23" t="s">
        <v>197</v>
      </c>
      <c r="AI354" s="23" t="s">
        <v>197</v>
      </c>
      <c r="AJ354" s="23" t="s">
        <v>197</v>
      </c>
      <c r="AK354" s="23" t="s">
        <v>197</v>
      </c>
      <c r="AL354" s="23" t="s">
        <v>197</v>
      </c>
      <c r="AM354" s="9" t="s">
        <v>197</v>
      </c>
      <c r="AN354" s="23" t="s">
        <v>197</v>
      </c>
      <c r="AO354" s="23" t="s">
        <v>197</v>
      </c>
      <c r="AP354" s="23" t="s">
        <v>197</v>
      </c>
    </row>
    <row r="355" customFormat="false" ht="21.75" hidden="false" customHeight="true" outlineLevel="0" collapsed="false">
      <c r="B355" s="14" t="n">
        <v>351</v>
      </c>
      <c r="C355" s="7" t="s">
        <v>45</v>
      </c>
      <c r="D355" s="7" t="s">
        <v>20</v>
      </c>
      <c r="E355" s="7" t="s">
        <v>119</v>
      </c>
      <c r="F355" s="7" t="s">
        <v>74</v>
      </c>
      <c r="G355" s="7" t="s">
        <v>1068</v>
      </c>
      <c r="H355" s="7" t="s">
        <v>411</v>
      </c>
      <c r="I355" s="7" t="s">
        <v>1069</v>
      </c>
      <c r="J355" s="7" t="s">
        <v>1070</v>
      </c>
      <c r="K355" s="7" t="s">
        <v>1071</v>
      </c>
      <c r="L355" s="7" t="s">
        <v>949</v>
      </c>
      <c r="M355" s="7" t="s">
        <v>1072</v>
      </c>
      <c r="N355" s="7" t="s">
        <v>189</v>
      </c>
      <c r="O355" s="7" t="s">
        <v>189</v>
      </c>
      <c r="P355" s="7" t="s">
        <v>952</v>
      </c>
      <c r="Q355" s="7" t="s">
        <v>1073</v>
      </c>
      <c r="R355" s="7" t="s">
        <v>308</v>
      </c>
      <c r="S355" s="7" t="s">
        <v>955</v>
      </c>
      <c r="T355" s="7" t="s">
        <v>1074</v>
      </c>
      <c r="U355" s="18" t="n">
        <v>14</v>
      </c>
      <c r="V355" s="7"/>
      <c r="W355" s="7"/>
      <c r="X355" s="7" t="s">
        <v>195</v>
      </c>
      <c r="Y355" s="22" t="n">
        <v>6.74E-006</v>
      </c>
      <c r="Z355" s="22" t="n">
        <v>2.918E-005</v>
      </c>
      <c r="AA355" s="22" t="n">
        <v>3</v>
      </c>
      <c r="AB355" s="7" t="s">
        <v>949</v>
      </c>
      <c r="AC355" s="7" t="s">
        <v>983</v>
      </c>
      <c r="AD355" s="22" t="s">
        <v>197</v>
      </c>
      <c r="AE355" s="22" t="s">
        <v>197</v>
      </c>
      <c r="AF355" s="22" t="s">
        <v>197</v>
      </c>
      <c r="AG355" s="22" t="s">
        <v>197</v>
      </c>
      <c r="AH355" s="22" t="s">
        <v>197</v>
      </c>
      <c r="AI355" s="22" t="s">
        <v>197</v>
      </c>
      <c r="AJ355" s="22" t="s">
        <v>197</v>
      </c>
      <c r="AK355" s="22" t="s">
        <v>197</v>
      </c>
      <c r="AL355" s="22" t="s">
        <v>197</v>
      </c>
      <c r="AM355" s="7" t="s">
        <v>197</v>
      </c>
      <c r="AN355" s="22" t="s">
        <v>197</v>
      </c>
      <c r="AO355" s="22" t="s">
        <v>197</v>
      </c>
      <c r="AP355" s="22" t="s">
        <v>197</v>
      </c>
    </row>
    <row r="356" customFormat="false" ht="21.75" hidden="false" customHeight="true" outlineLevel="0" collapsed="false">
      <c r="B356" s="15" t="n">
        <v>352</v>
      </c>
      <c r="C356" s="9" t="s">
        <v>45</v>
      </c>
      <c r="D356" s="9" t="s">
        <v>20</v>
      </c>
      <c r="E356" s="9" t="s">
        <v>119</v>
      </c>
      <c r="F356" s="9" t="s">
        <v>74</v>
      </c>
      <c r="G356" s="9" t="s">
        <v>1075</v>
      </c>
      <c r="H356" s="9" t="s">
        <v>421</v>
      </c>
      <c r="I356" s="9" t="s">
        <v>1069</v>
      </c>
      <c r="J356" s="9" t="s">
        <v>1070</v>
      </c>
      <c r="K356" s="9" t="s">
        <v>1071</v>
      </c>
      <c r="L356" s="9" t="s">
        <v>949</v>
      </c>
      <c r="M356" s="9" t="s">
        <v>1072</v>
      </c>
      <c r="N356" s="9" t="s">
        <v>189</v>
      </c>
      <c r="O356" s="9" t="s">
        <v>189</v>
      </c>
      <c r="P356" s="9" t="s">
        <v>952</v>
      </c>
      <c r="Q356" s="9" t="s">
        <v>1073</v>
      </c>
      <c r="R356" s="9" t="s">
        <v>308</v>
      </c>
      <c r="S356" s="9" t="s">
        <v>955</v>
      </c>
      <c r="T356" s="9" t="s">
        <v>1074</v>
      </c>
      <c r="U356" s="19" t="n">
        <v>20</v>
      </c>
      <c r="V356" s="9"/>
      <c r="W356" s="9"/>
      <c r="X356" s="9" t="s">
        <v>199</v>
      </c>
      <c r="Y356" s="23" t="n">
        <v>6.7E-006</v>
      </c>
      <c r="Z356" s="23" t="n">
        <v>2.901E-005</v>
      </c>
      <c r="AA356" s="23" t="n">
        <v>3</v>
      </c>
      <c r="AB356" s="9" t="s">
        <v>949</v>
      </c>
      <c r="AC356" s="9" t="s">
        <v>983</v>
      </c>
      <c r="AD356" s="23" t="s">
        <v>197</v>
      </c>
      <c r="AE356" s="23" t="s">
        <v>197</v>
      </c>
      <c r="AF356" s="23" t="s">
        <v>197</v>
      </c>
      <c r="AG356" s="23" t="s">
        <v>197</v>
      </c>
      <c r="AH356" s="23" t="s">
        <v>197</v>
      </c>
      <c r="AI356" s="23" t="s">
        <v>197</v>
      </c>
      <c r="AJ356" s="23" t="s">
        <v>197</v>
      </c>
      <c r="AK356" s="23" t="s">
        <v>197</v>
      </c>
      <c r="AL356" s="23" t="s">
        <v>197</v>
      </c>
      <c r="AM356" s="9" t="s">
        <v>197</v>
      </c>
      <c r="AN356" s="23" t="s">
        <v>197</v>
      </c>
      <c r="AO356" s="23" t="s">
        <v>197</v>
      </c>
      <c r="AP356" s="23" t="s">
        <v>197</v>
      </c>
    </row>
    <row r="357" customFormat="false" ht="21.75" hidden="false" customHeight="true" outlineLevel="0" collapsed="false">
      <c r="B357" s="14" t="n">
        <v>353</v>
      </c>
      <c r="C357" s="7" t="s">
        <v>45</v>
      </c>
      <c r="D357" s="7" t="s">
        <v>20</v>
      </c>
      <c r="E357" s="7" t="s">
        <v>119</v>
      </c>
      <c r="F357" s="7" t="s">
        <v>74</v>
      </c>
      <c r="G357" s="7" t="s">
        <v>1076</v>
      </c>
      <c r="H357" s="7" t="s">
        <v>423</v>
      </c>
      <c r="I357" s="7" t="s">
        <v>1069</v>
      </c>
      <c r="J357" s="7" t="s">
        <v>1070</v>
      </c>
      <c r="K357" s="7" t="s">
        <v>1071</v>
      </c>
      <c r="L357" s="7" t="s">
        <v>949</v>
      </c>
      <c r="M357" s="7" t="s">
        <v>1072</v>
      </c>
      <c r="N357" s="7" t="s">
        <v>189</v>
      </c>
      <c r="O357" s="7" t="s">
        <v>189</v>
      </c>
      <c r="P357" s="7" t="s">
        <v>952</v>
      </c>
      <c r="Q357" s="7" t="s">
        <v>1073</v>
      </c>
      <c r="R357" s="7" t="s">
        <v>308</v>
      </c>
      <c r="S357" s="7" t="s">
        <v>955</v>
      </c>
      <c r="T357" s="7" t="s">
        <v>1074</v>
      </c>
      <c r="U357" s="18" t="n">
        <v>25</v>
      </c>
      <c r="V357" s="7"/>
      <c r="W357" s="7"/>
      <c r="X357" s="7" t="s">
        <v>1077</v>
      </c>
      <c r="Y357" s="22" t="n">
        <v>3.44E-006</v>
      </c>
      <c r="Z357" s="22" t="n">
        <v>1.402E-005</v>
      </c>
      <c r="AA357" s="22" t="n">
        <v>3</v>
      </c>
      <c r="AB357" s="7" t="s">
        <v>949</v>
      </c>
      <c r="AC357" s="7" t="s">
        <v>983</v>
      </c>
      <c r="AD357" s="22" t="s">
        <v>197</v>
      </c>
      <c r="AE357" s="22" t="s">
        <v>197</v>
      </c>
      <c r="AF357" s="22" t="s">
        <v>197</v>
      </c>
      <c r="AG357" s="22" t="s">
        <v>197</v>
      </c>
      <c r="AH357" s="22" t="s">
        <v>197</v>
      </c>
      <c r="AI357" s="22" t="s">
        <v>197</v>
      </c>
      <c r="AJ357" s="22" t="s">
        <v>197</v>
      </c>
      <c r="AK357" s="22" t="s">
        <v>197</v>
      </c>
      <c r="AL357" s="22" t="s">
        <v>197</v>
      </c>
      <c r="AM357" s="7" t="s">
        <v>197</v>
      </c>
      <c r="AN357" s="22" t="s">
        <v>197</v>
      </c>
      <c r="AO357" s="22" t="n">
        <v>1.1</v>
      </c>
      <c r="AP357" s="22" t="n">
        <v>1.5</v>
      </c>
    </row>
    <row r="358" customFormat="false" ht="21.75" hidden="false" customHeight="true" outlineLevel="0" collapsed="false">
      <c r="B358" s="15" t="n">
        <v>354</v>
      </c>
      <c r="C358" s="9" t="s">
        <v>45</v>
      </c>
      <c r="D358" s="9" t="s">
        <v>20</v>
      </c>
      <c r="E358" s="9" t="s">
        <v>119</v>
      </c>
      <c r="F358" s="9" t="s">
        <v>74</v>
      </c>
      <c r="G358" s="9" t="s">
        <v>1078</v>
      </c>
      <c r="H358" s="9" t="s">
        <v>426</v>
      </c>
      <c r="I358" s="9" t="s">
        <v>1069</v>
      </c>
      <c r="J358" s="9" t="s">
        <v>1070</v>
      </c>
      <c r="K358" s="9" t="s">
        <v>1071</v>
      </c>
      <c r="L358" s="9" t="s">
        <v>949</v>
      </c>
      <c r="M358" s="9" t="s">
        <v>1072</v>
      </c>
      <c r="N358" s="9" t="s">
        <v>189</v>
      </c>
      <c r="O358" s="9" t="s">
        <v>189</v>
      </c>
      <c r="P358" s="9" t="s">
        <v>952</v>
      </c>
      <c r="Q358" s="9" t="s">
        <v>1073</v>
      </c>
      <c r="R358" s="9" t="s">
        <v>308</v>
      </c>
      <c r="S358" s="9" t="s">
        <v>955</v>
      </c>
      <c r="T358" s="9" t="s">
        <v>1074</v>
      </c>
      <c r="U358" s="19" t="n">
        <v>40</v>
      </c>
      <c r="V358" s="9"/>
      <c r="W358" s="9"/>
      <c r="X358" s="9" t="s">
        <v>203</v>
      </c>
      <c r="Y358" s="23" t="n">
        <v>4.39E-006</v>
      </c>
      <c r="Z358" s="23" t="n">
        <v>1.839E-005</v>
      </c>
      <c r="AA358" s="23" t="n">
        <v>3</v>
      </c>
      <c r="AB358" s="9" t="s">
        <v>949</v>
      </c>
      <c r="AC358" s="9" t="s">
        <v>983</v>
      </c>
      <c r="AD358" s="23" t="s">
        <v>197</v>
      </c>
      <c r="AE358" s="23" t="s">
        <v>197</v>
      </c>
      <c r="AF358" s="23" t="s">
        <v>197</v>
      </c>
      <c r="AG358" s="23" t="s">
        <v>197</v>
      </c>
      <c r="AH358" s="23" t="s">
        <v>197</v>
      </c>
      <c r="AI358" s="23" t="s">
        <v>197</v>
      </c>
      <c r="AJ358" s="23" t="s">
        <v>197</v>
      </c>
      <c r="AK358" s="23" t="s">
        <v>197</v>
      </c>
      <c r="AL358" s="23" t="s">
        <v>197</v>
      </c>
      <c r="AM358" s="9" t="s">
        <v>197</v>
      </c>
      <c r="AN358" s="23" t="s">
        <v>197</v>
      </c>
      <c r="AO358" s="23" t="n">
        <v>1.1</v>
      </c>
      <c r="AP358" s="23" t="n">
        <v>1.5</v>
      </c>
    </row>
    <row r="359" customFormat="false" ht="21.75" hidden="false" customHeight="true" outlineLevel="0" collapsed="false">
      <c r="B359" s="14" t="n">
        <v>355</v>
      </c>
      <c r="C359" s="7" t="s">
        <v>45</v>
      </c>
      <c r="D359" s="7" t="s">
        <v>20</v>
      </c>
      <c r="E359" s="7" t="s">
        <v>119</v>
      </c>
      <c r="F359" s="7" t="s">
        <v>74</v>
      </c>
      <c r="G359" s="7" t="s">
        <v>1079</v>
      </c>
      <c r="H359" s="7" t="s">
        <v>428</v>
      </c>
      <c r="I359" s="7" t="s">
        <v>1069</v>
      </c>
      <c r="J359" s="7" t="s">
        <v>1070</v>
      </c>
      <c r="K359" s="7" t="s">
        <v>1071</v>
      </c>
      <c r="L359" s="7" t="s">
        <v>949</v>
      </c>
      <c r="M359" s="7" t="s">
        <v>1072</v>
      </c>
      <c r="N359" s="7" t="s">
        <v>189</v>
      </c>
      <c r="O359" s="7" t="s">
        <v>189</v>
      </c>
      <c r="P359" s="7" t="s">
        <v>952</v>
      </c>
      <c r="Q359" s="7" t="s">
        <v>1073</v>
      </c>
      <c r="R359" s="7" t="s">
        <v>308</v>
      </c>
      <c r="S359" s="7" t="s">
        <v>955</v>
      </c>
      <c r="T359" s="7" t="s">
        <v>1074</v>
      </c>
      <c r="U359" s="18" t="n">
        <v>60</v>
      </c>
      <c r="V359" s="7"/>
      <c r="W359" s="7"/>
      <c r="X359" s="7" t="s">
        <v>205</v>
      </c>
      <c r="Y359" s="22" t="n">
        <v>7.29E-006</v>
      </c>
      <c r="Z359" s="22" t="n">
        <v>3.172E-005</v>
      </c>
      <c r="AA359" s="22" t="n">
        <v>3</v>
      </c>
      <c r="AB359" s="7" t="s">
        <v>949</v>
      </c>
      <c r="AC359" s="7" t="s">
        <v>983</v>
      </c>
      <c r="AD359" s="22" t="s">
        <v>197</v>
      </c>
      <c r="AE359" s="22" t="s">
        <v>197</v>
      </c>
      <c r="AF359" s="22" t="s">
        <v>197</v>
      </c>
      <c r="AG359" s="22" t="s">
        <v>197</v>
      </c>
      <c r="AH359" s="22" t="s">
        <v>197</v>
      </c>
      <c r="AI359" s="22" t="s">
        <v>197</v>
      </c>
      <c r="AJ359" s="22" t="s">
        <v>197</v>
      </c>
      <c r="AK359" s="22" t="s">
        <v>197</v>
      </c>
      <c r="AL359" s="22" t="s">
        <v>197</v>
      </c>
      <c r="AM359" s="7" t="s">
        <v>197</v>
      </c>
      <c r="AN359" s="22" t="s">
        <v>197</v>
      </c>
      <c r="AO359" s="22" t="n">
        <v>1.1</v>
      </c>
      <c r="AP359" s="22" t="n">
        <v>1.5</v>
      </c>
    </row>
    <row r="360" customFormat="false" ht="21.75" hidden="false" customHeight="true" outlineLevel="0" collapsed="false">
      <c r="B360" s="15" t="n">
        <v>356</v>
      </c>
      <c r="C360" s="9" t="s">
        <v>45</v>
      </c>
      <c r="D360" s="9" t="s">
        <v>20</v>
      </c>
      <c r="E360" s="9" t="s">
        <v>119</v>
      </c>
      <c r="F360" s="9" t="s">
        <v>75</v>
      </c>
      <c r="G360" s="9" t="s">
        <v>976</v>
      </c>
      <c r="H360" s="9" t="s">
        <v>430</v>
      </c>
      <c r="I360" s="9" t="s">
        <v>1080</v>
      </c>
      <c r="J360" s="9" t="s">
        <v>1081</v>
      </c>
      <c r="K360" s="9" t="s">
        <v>1071</v>
      </c>
      <c r="L360" s="9" t="s">
        <v>949</v>
      </c>
      <c r="M360" s="9" t="s">
        <v>1072</v>
      </c>
      <c r="N360" s="9" t="s">
        <v>189</v>
      </c>
      <c r="O360" s="9" t="s">
        <v>189</v>
      </c>
      <c r="P360" s="9" t="s">
        <v>952</v>
      </c>
      <c r="Q360" s="9" t="s">
        <v>1082</v>
      </c>
      <c r="R360" s="9" t="s">
        <v>418</v>
      </c>
      <c r="S360" s="9" t="s">
        <v>955</v>
      </c>
      <c r="T360" s="9" t="s">
        <v>436</v>
      </c>
      <c r="U360" s="19" t="n">
        <v>16</v>
      </c>
      <c r="V360" s="9"/>
      <c r="W360" s="9"/>
      <c r="X360" s="9" t="s">
        <v>195</v>
      </c>
      <c r="Y360" s="23" t="n">
        <v>2.29E-006</v>
      </c>
      <c r="Z360" s="23" t="n">
        <v>1.144E-005</v>
      </c>
      <c r="AA360" s="23" t="n">
        <v>3</v>
      </c>
      <c r="AB360" s="9" t="s">
        <v>949</v>
      </c>
      <c r="AC360" s="9" t="s">
        <v>983</v>
      </c>
      <c r="AD360" s="23" t="s">
        <v>197</v>
      </c>
      <c r="AE360" s="23" t="s">
        <v>197</v>
      </c>
      <c r="AF360" s="23" t="s">
        <v>197</v>
      </c>
      <c r="AG360" s="23" t="s">
        <v>197</v>
      </c>
      <c r="AH360" s="23" t="s">
        <v>197</v>
      </c>
      <c r="AI360" s="23" t="s">
        <v>197</v>
      </c>
      <c r="AJ360" s="23" t="s">
        <v>197</v>
      </c>
      <c r="AK360" s="23" t="s">
        <v>197</v>
      </c>
      <c r="AL360" s="23" t="s">
        <v>197</v>
      </c>
      <c r="AM360" s="9" t="s">
        <v>197</v>
      </c>
      <c r="AN360" s="23" t="s">
        <v>197</v>
      </c>
      <c r="AO360" s="23" t="s">
        <v>197</v>
      </c>
      <c r="AP360" s="23" t="s">
        <v>197</v>
      </c>
    </row>
    <row r="361" customFormat="false" ht="21.75" hidden="false" customHeight="true" outlineLevel="0" collapsed="false">
      <c r="B361" s="14" t="n">
        <v>357</v>
      </c>
      <c r="C361" s="7" t="s">
        <v>45</v>
      </c>
      <c r="D361" s="7" t="s">
        <v>20</v>
      </c>
      <c r="E361" s="7" t="s">
        <v>119</v>
      </c>
      <c r="F361" s="7" t="s">
        <v>75</v>
      </c>
      <c r="G361" s="7" t="s">
        <v>1083</v>
      </c>
      <c r="H361" s="7" t="s">
        <v>438</v>
      </c>
      <c r="I361" s="7" t="s">
        <v>1080</v>
      </c>
      <c r="J361" s="7" t="s">
        <v>1081</v>
      </c>
      <c r="K361" s="7" t="s">
        <v>1071</v>
      </c>
      <c r="L361" s="7" t="s">
        <v>949</v>
      </c>
      <c r="M361" s="7" t="s">
        <v>1072</v>
      </c>
      <c r="N361" s="7" t="s">
        <v>189</v>
      </c>
      <c r="O361" s="7" t="s">
        <v>189</v>
      </c>
      <c r="P361" s="7" t="s">
        <v>952</v>
      </c>
      <c r="Q361" s="7" t="s">
        <v>1082</v>
      </c>
      <c r="R361" s="7" t="s">
        <v>418</v>
      </c>
      <c r="S361" s="7" t="s">
        <v>955</v>
      </c>
      <c r="T361" s="7" t="s">
        <v>436</v>
      </c>
      <c r="U361" s="18" t="n">
        <v>20</v>
      </c>
      <c r="V361" s="7"/>
      <c r="W361" s="7"/>
      <c r="X361" s="7" t="s">
        <v>199</v>
      </c>
      <c r="Y361" s="22" t="n">
        <v>5.86E-006</v>
      </c>
      <c r="Z361" s="22" t="n">
        <v>2.932E-005</v>
      </c>
      <c r="AA361" s="22" t="n">
        <v>3</v>
      </c>
      <c r="AB361" s="7" t="s">
        <v>949</v>
      </c>
      <c r="AC361" s="7" t="s">
        <v>983</v>
      </c>
      <c r="AD361" s="22" t="s">
        <v>197</v>
      </c>
      <c r="AE361" s="22" t="s">
        <v>197</v>
      </c>
      <c r="AF361" s="22" t="s">
        <v>197</v>
      </c>
      <c r="AG361" s="22" t="s">
        <v>197</v>
      </c>
      <c r="AH361" s="22" t="s">
        <v>197</v>
      </c>
      <c r="AI361" s="22" t="s">
        <v>197</v>
      </c>
      <c r="AJ361" s="22" t="s">
        <v>197</v>
      </c>
      <c r="AK361" s="22" t="s">
        <v>197</v>
      </c>
      <c r="AL361" s="22" t="s">
        <v>197</v>
      </c>
      <c r="AM361" s="7" t="s">
        <v>197</v>
      </c>
      <c r="AN361" s="22" t="s">
        <v>197</v>
      </c>
      <c r="AO361" s="22" t="s">
        <v>197</v>
      </c>
      <c r="AP361" s="22" t="s">
        <v>197</v>
      </c>
    </row>
    <row r="362" customFormat="false" ht="21.75" hidden="false" customHeight="true" outlineLevel="0" collapsed="false">
      <c r="B362" s="15" t="n">
        <v>358</v>
      </c>
      <c r="C362" s="9" t="s">
        <v>45</v>
      </c>
      <c r="D362" s="9" t="s">
        <v>20</v>
      </c>
      <c r="E362" s="9" t="s">
        <v>119</v>
      </c>
      <c r="F362" s="9" t="s">
        <v>75</v>
      </c>
      <c r="G362" s="9" t="s">
        <v>1084</v>
      </c>
      <c r="H362" s="9" t="s">
        <v>440</v>
      </c>
      <c r="I362" s="9" t="s">
        <v>1080</v>
      </c>
      <c r="J362" s="9" t="s">
        <v>1081</v>
      </c>
      <c r="K362" s="9" t="s">
        <v>1071</v>
      </c>
      <c r="L362" s="9" t="s">
        <v>949</v>
      </c>
      <c r="M362" s="9" t="s">
        <v>1072</v>
      </c>
      <c r="N362" s="9" t="s">
        <v>189</v>
      </c>
      <c r="O362" s="9" t="s">
        <v>189</v>
      </c>
      <c r="P362" s="9" t="s">
        <v>952</v>
      </c>
      <c r="Q362" s="9" t="s">
        <v>1082</v>
      </c>
      <c r="R362" s="9" t="s">
        <v>418</v>
      </c>
      <c r="S362" s="9" t="s">
        <v>955</v>
      </c>
      <c r="T362" s="9" t="s">
        <v>436</v>
      </c>
      <c r="U362" s="19" t="n">
        <v>30</v>
      </c>
      <c r="V362" s="9"/>
      <c r="W362" s="9"/>
      <c r="X362" s="9" t="s">
        <v>1085</v>
      </c>
      <c r="Y362" s="23" t="n">
        <v>4.22E-006</v>
      </c>
      <c r="Z362" s="23" t="n">
        <v>2.109E-005</v>
      </c>
      <c r="AA362" s="23" t="n">
        <v>3</v>
      </c>
      <c r="AB362" s="9" t="s">
        <v>949</v>
      </c>
      <c r="AC362" s="9" t="s">
        <v>983</v>
      </c>
      <c r="AD362" s="23" t="s">
        <v>197</v>
      </c>
      <c r="AE362" s="23" t="s">
        <v>197</v>
      </c>
      <c r="AF362" s="23" t="s">
        <v>197</v>
      </c>
      <c r="AG362" s="23" t="s">
        <v>197</v>
      </c>
      <c r="AH362" s="23" t="s">
        <v>197</v>
      </c>
      <c r="AI362" s="23" t="s">
        <v>197</v>
      </c>
      <c r="AJ362" s="23" t="s">
        <v>197</v>
      </c>
      <c r="AK362" s="23" t="s">
        <v>197</v>
      </c>
      <c r="AL362" s="23" t="s">
        <v>197</v>
      </c>
      <c r="AM362" s="9" t="s">
        <v>197</v>
      </c>
      <c r="AN362" s="23" t="s">
        <v>197</v>
      </c>
      <c r="AO362" s="23" t="s">
        <v>197</v>
      </c>
      <c r="AP362" s="23" t="s">
        <v>197</v>
      </c>
    </row>
    <row r="363" customFormat="false" ht="21.75" hidden="false" customHeight="true" outlineLevel="0" collapsed="false">
      <c r="B363" s="14" t="n">
        <v>359</v>
      </c>
      <c r="C363" s="7" t="s">
        <v>45</v>
      </c>
      <c r="D363" s="7" t="s">
        <v>20</v>
      </c>
      <c r="E363" s="7" t="s">
        <v>119</v>
      </c>
      <c r="F363" s="7" t="s">
        <v>75</v>
      </c>
      <c r="G363" s="7" t="s">
        <v>1086</v>
      </c>
      <c r="H363" s="7" t="s">
        <v>443</v>
      </c>
      <c r="I363" s="7" t="s">
        <v>1080</v>
      </c>
      <c r="J363" s="7" t="s">
        <v>1081</v>
      </c>
      <c r="K363" s="7" t="s">
        <v>1071</v>
      </c>
      <c r="L363" s="7" t="s">
        <v>949</v>
      </c>
      <c r="M363" s="7" t="s">
        <v>1072</v>
      </c>
      <c r="N363" s="7" t="s">
        <v>189</v>
      </c>
      <c r="O363" s="7" t="s">
        <v>189</v>
      </c>
      <c r="P363" s="7" t="s">
        <v>952</v>
      </c>
      <c r="Q363" s="7" t="s">
        <v>1082</v>
      </c>
      <c r="R363" s="7" t="s">
        <v>418</v>
      </c>
      <c r="S363" s="7" t="s">
        <v>955</v>
      </c>
      <c r="T363" s="7" t="s">
        <v>436</v>
      </c>
      <c r="U363" s="18" t="n">
        <v>45</v>
      </c>
      <c r="V363" s="7"/>
      <c r="W363" s="7"/>
      <c r="X363" s="7" t="s">
        <v>203</v>
      </c>
      <c r="Y363" s="22" t="n">
        <v>5.86E-006</v>
      </c>
      <c r="Z363" s="22" t="n">
        <v>2.929E-005</v>
      </c>
      <c r="AA363" s="22" t="n">
        <v>3</v>
      </c>
      <c r="AB363" s="7" t="s">
        <v>949</v>
      </c>
      <c r="AC363" s="7" t="s">
        <v>983</v>
      </c>
      <c r="AD363" s="22" t="s">
        <v>197</v>
      </c>
      <c r="AE363" s="22" t="s">
        <v>197</v>
      </c>
      <c r="AF363" s="22" t="s">
        <v>197</v>
      </c>
      <c r="AG363" s="22" t="s">
        <v>197</v>
      </c>
      <c r="AH363" s="22" t="s">
        <v>197</v>
      </c>
      <c r="AI363" s="22" t="s">
        <v>197</v>
      </c>
      <c r="AJ363" s="22" t="s">
        <v>197</v>
      </c>
      <c r="AK363" s="22" t="s">
        <v>197</v>
      </c>
      <c r="AL363" s="22" t="s">
        <v>197</v>
      </c>
      <c r="AM363" s="7" t="s">
        <v>197</v>
      </c>
      <c r="AN363" s="22" t="s">
        <v>197</v>
      </c>
      <c r="AO363" s="22" t="s">
        <v>197</v>
      </c>
      <c r="AP363" s="22" t="s">
        <v>197</v>
      </c>
    </row>
    <row r="364" customFormat="false" ht="21.75" hidden="false" customHeight="true" outlineLevel="0" collapsed="false">
      <c r="B364" s="15" t="n">
        <v>360</v>
      </c>
      <c r="C364" s="9" t="s">
        <v>45</v>
      </c>
      <c r="D364" s="9" t="s">
        <v>20</v>
      </c>
      <c r="E364" s="9" t="s">
        <v>119</v>
      </c>
      <c r="F364" s="9" t="s">
        <v>75</v>
      </c>
      <c r="G364" s="9" t="s">
        <v>1087</v>
      </c>
      <c r="H364" s="9" t="s">
        <v>444</v>
      </c>
      <c r="I364" s="9" t="s">
        <v>1080</v>
      </c>
      <c r="J364" s="9" t="s">
        <v>1081</v>
      </c>
      <c r="K364" s="9" t="s">
        <v>1071</v>
      </c>
      <c r="L364" s="9" t="s">
        <v>949</v>
      </c>
      <c r="M364" s="9" t="s">
        <v>1072</v>
      </c>
      <c r="N364" s="9" t="s">
        <v>189</v>
      </c>
      <c r="O364" s="9" t="s">
        <v>189</v>
      </c>
      <c r="P364" s="9" t="s">
        <v>952</v>
      </c>
      <c r="Q364" s="9" t="s">
        <v>1082</v>
      </c>
      <c r="R364" s="9" t="s">
        <v>418</v>
      </c>
      <c r="S364" s="9" t="s">
        <v>955</v>
      </c>
      <c r="T364" s="9" t="s">
        <v>436</v>
      </c>
      <c r="U364" s="19" t="n">
        <v>70</v>
      </c>
      <c r="V364" s="9"/>
      <c r="W364" s="9"/>
      <c r="X364" s="9" t="s">
        <v>205</v>
      </c>
      <c r="Y364" s="23" t="n">
        <v>2.54E-006</v>
      </c>
      <c r="Z364" s="23" t="n">
        <v>1.272E-005</v>
      </c>
      <c r="AA364" s="23" t="n">
        <v>3</v>
      </c>
      <c r="AB364" s="9" t="s">
        <v>949</v>
      </c>
      <c r="AC364" s="9" t="s">
        <v>983</v>
      </c>
      <c r="AD364" s="23" t="s">
        <v>197</v>
      </c>
      <c r="AE364" s="23" t="s">
        <v>197</v>
      </c>
      <c r="AF364" s="23" t="s">
        <v>197</v>
      </c>
      <c r="AG364" s="23" t="s">
        <v>197</v>
      </c>
      <c r="AH364" s="23" t="s">
        <v>197</v>
      </c>
      <c r="AI364" s="23" t="s">
        <v>197</v>
      </c>
      <c r="AJ364" s="23" t="s">
        <v>197</v>
      </c>
      <c r="AK364" s="23" t="s">
        <v>197</v>
      </c>
      <c r="AL364" s="23" t="s">
        <v>197</v>
      </c>
      <c r="AM364" s="9" t="s">
        <v>197</v>
      </c>
      <c r="AN364" s="23" t="s">
        <v>197</v>
      </c>
      <c r="AO364" s="23" t="s">
        <v>197</v>
      </c>
      <c r="AP364" s="23" t="s">
        <v>197</v>
      </c>
    </row>
    <row r="365" customFormat="false" ht="21.75" hidden="false" customHeight="true" outlineLevel="0" collapsed="false">
      <c r="B365" s="14" t="n">
        <v>361</v>
      </c>
      <c r="C365" s="7" t="s">
        <v>46</v>
      </c>
      <c r="D365" s="7" t="s">
        <v>20</v>
      </c>
      <c r="E365" s="7" t="s">
        <v>120</v>
      </c>
      <c r="F365" s="7" t="s">
        <v>60</v>
      </c>
      <c r="G365" s="7" t="s">
        <v>391</v>
      </c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18"/>
      <c r="V365" s="7"/>
      <c r="W365" s="7"/>
      <c r="X365" s="7" t="s">
        <v>1088</v>
      </c>
      <c r="Y365" s="22" t="s">
        <v>197</v>
      </c>
      <c r="Z365" s="22" t="s">
        <v>197</v>
      </c>
      <c r="AA365" s="22" t="s">
        <v>197</v>
      </c>
      <c r="AB365" s="7" t="s">
        <v>197</v>
      </c>
      <c r="AC365" s="7" t="s">
        <v>197</v>
      </c>
      <c r="AD365" s="22" t="s">
        <v>197</v>
      </c>
      <c r="AE365" s="22" t="s">
        <v>197</v>
      </c>
      <c r="AF365" s="22" t="s">
        <v>197</v>
      </c>
      <c r="AG365" s="22" t="s">
        <v>197</v>
      </c>
      <c r="AH365" s="22" t="s">
        <v>197</v>
      </c>
      <c r="AI365" s="22" t="s">
        <v>197</v>
      </c>
      <c r="AJ365" s="22" t="s">
        <v>197</v>
      </c>
      <c r="AK365" s="22" t="s">
        <v>197</v>
      </c>
      <c r="AL365" s="22" t="s">
        <v>197</v>
      </c>
      <c r="AM365" s="7" t="s">
        <v>197</v>
      </c>
      <c r="AN365" s="22" t="s">
        <v>197</v>
      </c>
      <c r="AO365" s="22" t="s">
        <v>197</v>
      </c>
      <c r="AP365" s="22" t="s">
        <v>197</v>
      </c>
    </row>
    <row r="366" customFormat="false" ht="21.75" hidden="false" customHeight="true" outlineLevel="0" collapsed="false">
      <c r="B366" s="15" t="n">
        <v>362</v>
      </c>
      <c r="C366" s="9" t="s">
        <v>46</v>
      </c>
      <c r="D366" s="9" t="s">
        <v>20</v>
      </c>
      <c r="E366" s="9" t="s">
        <v>120</v>
      </c>
      <c r="F366" s="9" t="s">
        <v>61</v>
      </c>
      <c r="G366" s="9" t="s">
        <v>391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19"/>
      <c r="V366" s="9"/>
      <c r="W366" s="9"/>
      <c r="X366" s="9" t="s">
        <v>1089</v>
      </c>
      <c r="Y366" s="23" t="s">
        <v>197</v>
      </c>
      <c r="Z366" s="23" t="s">
        <v>197</v>
      </c>
      <c r="AA366" s="23" t="s">
        <v>197</v>
      </c>
      <c r="AB366" s="9" t="s">
        <v>197</v>
      </c>
      <c r="AC366" s="9" t="s">
        <v>197</v>
      </c>
      <c r="AD366" s="23" t="s">
        <v>197</v>
      </c>
      <c r="AE366" s="23" t="s">
        <v>197</v>
      </c>
      <c r="AF366" s="23" t="s">
        <v>197</v>
      </c>
      <c r="AG366" s="23" t="s">
        <v>197</v>
      </c>
      <c r="AH366" s="23" t="s">
        <v>197</v>
      </c>
      <c r="AI366" s="23" t="s">
        <v>197</v>
      </c>
      <c r="AJ366" s="23" t="s">
        <v>197</v>
      </c>
      <c r="AK366" s="23" t="s">
        <v>197</v>
      </c>
      <c r="AL366" s="23" t="s">
        <v>197</v>
      </c>
      <c r="AM366" s="9" t="s">
        <v>197</v>
      </c>
      <c r="AN366" s="23" t="s">
        <v>197</v>
      </c>
      <c r="AO366" s="23" t="s">
        <v>197</v>
      </c>
      <c r="AP366" s="23" t="s">
        <v>197</v>
      </c>
    </row>
    <row r="367" customFormat="false" ht="21.75" hidden="false" customHeight="true" outlineLevel="0" collapsed="false">
      <c r="B367" s="14" t="n">
        <v>363</v>
      </c>
      <c r="C367" s="7" t="s">
        <v>46</v>
      </c>
      <c r="D367" s="7" t="s">
        <v>20</v>
      </c>
      <c r="E367" s="7" t="s">
        <v>120</v>
      </c>
      <c r="F367" s="7" t="s">
        <v>62</v>
      </c>
      <c r="G367" s="7" t="s">
        <v>1090</v>
      </c>
      <c r="H367" s="7" t="s">
        <v>1091</v>
      </c>
      <c r="I367" s="7" t="s">
        <v>1092</v>
      </c>
      <c r="J367" s="7" t="s">
        <v>1093</v>
      </c>
      <c r="K367" s="7" t="s">
        <v>1094</v>
      </c>
      <c r="L367" s="7" t="s">
        <v>1095</v>
      </c>
      <c r="M367" s="7" t="s">
        <v>478</v>
      </c>
      <c r="N367" s="7" t="s">
        <v>662</v>
      </c>
      <c r="O367" s="7" t="s">
        <v>189</v>
      </c>
      <c r="P367" s="7" t="s">
        <v>190</v>
      </c>
      <c r="Q367" s="7" t="s">
        <v>1096</v>
      </c>
      <c r="R367" s="7" t="s">
        <v>481</v>
      </c>
      <c r="S367" s="7" t="s">
        <v>1097</v>
      </c>
      <c r="T367" s="7" t="s">
        <v>225</v>
      </c>
      <c r="U367" s="18" t="n">
        <v>145</v>
      </c>
      <c r="V367" s="7"/>
      <c r="W367" s="7"/>
      <c r="X367" s="7" t="s">
        <v>195</v>
      </c>
      <c r="Y367" s="22" t="n">
        <v>0.113</v>
      </c>
      <c r="Z367" s="22" t="n">
        <v>0.35</v>
      </c>
      <c r="AA367" s="22" t="n">
        <v>12</v>
      </c>
      <c r="AB367" s="7" t="s">
        <v>1095</v>
      </c>
      <c r="AC367" s="7" t="s">
        <v>1098</v>
      </c>
      <c r="AD367" s="22" t="n">
        <v>0.113</v>
      </c>
      <c r="AE367" s="22" t="n">
        <v>0.35</v>
      </c>
      <c r="AF367" s="22" t="n">
        <v>2</v>
      </c>
      <c r="AG367" s="22" t="n">
        <v>64</v>
      </c>
      <c r="AH367" s="22" t="n">
        <v>2</v>
      </c>
      <c r="AI367" s="22" t="s">
        <v>197</v>
      </c>
      <c r="AJ367" s="22" t="s">
        <v>197</v>
      </c>
      <c r="AK367" s="22" t="s">
        <v>197</v>
      </c>
      <c r="AL367" s="22" t="s">
        <v>197</v>
      </c>
      <c r="AM367" s="7" t="s">
        <v>197</v>
      </c>
      <c r="AN367" s="22" t="s">
        <v>197</v>
      </c>
      <c r="AO367" s="22" t="s">
        <v>197</v>
      </c>
      <c r="AP367" s="22" t="s">
        <v>197</v>
      </c>
    </row>
    <row r="368" customFormat="false" ht="21.75" hidden="false" customHeight="true" outlineLevel="0" collapsed="false">
      <c r="B368" s="15" t="n">
        <v>364</v>
      </c>
      <c r="C368" s="9" t="s">
        <v>46</v>
      </c>
      <c r="D368" s="9" t="s">
        <v>20</v>
      </c>
      <c r="E368" s="9" t="s">
        <v>120</v>
      </c>
      <c r="F368" s="9" t="s">
        <v>62</v>
      </c>
      <c r="G368" s="9" t="s">
        <v>1099</v>
      </c>
      <c r="H368" s="9" t="s">
        <v>1091</v>
      </c>
      <c r="I368" s="9" t="s">
        <v>1092</v>
      </c>
      <c r="J368" s="9" t="s">
        <v>1093</v>
      </c>
      <c r="K368" s="9" t="s">
        <v>1094</v>
      </c>
      <c r="L368" s="9" t="s">
        <v>1095</v>
      </c>
      <c r="M368" s="9" t="s">
        <v>478</v>
      </c>
      <c r="N368" s="9" t="s">
        <v>662</v>
      </c>
      <c r="O368" s="9" t="s">
        <v>189</v>
      </c>
      <c r="P368" s="9" t="s">
        <v>190</v>
      </c>
      <c r="Q368" s="9" t="s">
        <v>1096</v>
      </c>
      <c r="R368" s="9" t="s">
        <v>481</v>
      </c>
      <c r="S368" s="9" t="s">
        <v>1097</v>
      </c>
      <c r="T368" s="9" t="s">
        <v>225</v>
      </c>
      <c r="U368" s="19" t="n">
        <v>220</v>
      </c>
      <c r="V368" s="9"/>
      <c r="W368" s="9"/>
      <c r="X368" s="9" t="s">
        <v>199</v>
      </c>
      <c r="Y368" s="23" t="n">
        <v>0.058</v>
      </c>
      <c r="Z368" s="23" t="n">
        <v>0.35</v>
      </c>
      <c r="AA368" s="23" t="n">
        <v>12</v>
      </c>
      <c r="AB368" s="9" t="s">
        <v>1095</v>
      </c>
      <c r="AC368" s="9" t="s">
        <v>1098</v>
      </c>
      <c r="AD368" s="23" t="n">
        <v>0.058</v>
      </c>
      <c r="AE368" s="23" t="n">
        <v>0.35</v>
      </c>
      <c r="AF368" s="23" t="n">
        <v>2</v>
      </c>
      <c r="AG368" s="23" t="n">
        <v>64</v>
      </c>
      <c r="AH368" s="23" t="n">
        <v>2</v>
      </c>
      <c r="AI368" s="23" t="s">
        <v>197</v>
      </c>
      <c r="AJ368" s="23" t="s">
        <v>197</v>
      </c>
      <c r="AK368" s="23" t="s">
        <v>197</v>
      </c>
      <c r="AL368" s="23" t="s">
        <v>197</v>
      </c>
      <c r="AM368" s="9" t="s">
        <v>197</v>
      </c>
      <c r="AN368" s="23" t="s">
        <v>197</v>
      </c>
      <c r="AO368" s="23" t="s">
        <v>197</v>
      </c>
      <c r="AP368" s="23" t="s">
        <v>197</v>
      </c>
    </row>
    <row r="369" customFormat="false" ht="21.75" hidden="false" customHeight="true" outlineLevel="0" collapsed="false">
      <c r="B369" s="14" t="n">
        <v>365</v>
      </c>
      <c r="C369" s="7" t="s">
        <v>46</v>
      </c>
      <c r="D369" s="7" t="s">
        <v>20</v>
      </c>
      <c r="E369" s="7" t="s">
        <v>120</v>
      </c>
      <c r="F369" s="7" t="s">
        <v>62</v>
      </c>
      <c r="G369" s="7" t="s">
        <v>1100</v>
      </c>
      <c r="H369" s="7" t="s">
        <v>1091</v>
      </c>
      <c r="I369" s="7" t="s">
        <v>1092</v>
      </c>
      <c r="J369" s="7" t="s">
        <v>1093</v>
      </c>
      <c r="K369" s="7" t="s">
        <v>1094</v>
      </c>
      <c r="L369" s="7" t="s">
        <v>1095</v>
      </c>
      <c r="M369" s="7" t="s">
        <v>478</v>
      </c>
      <c r="N369" s="7" t="s">
        <v>662</v>
      </c>
      <c r="O369" s="7" t="s">
        <v>189</v>
      </c>
      <c r="P369" s="7" t="s">
        <v>190</v>
      </c>
      <c r="Q369" s="7" t="s">
        <v>1096</v>
      </c>
      <c r="R369" s="7" t="s">
        <v>481</v>
      </c>
      <c r="S369" s="7" t="s">
        <v>1097</v>
      </c>
      <c r="T369" s="7" t="s">
        <v>225</v>
      </c>
      <c r="U369" s="18" t="n">
        <v>295</v>
      </c>
      <c r="V369" s="7"/>
      <c r="W369" s="7"/>
      <c r="X369" s="7" t="s">
        <v>1101</v>
      </c>
      <c r="Y369" s="22" t="n">
        <v>0.094</v>
      </c>
      <c r="Z369" s="22" t="n">
        <v>0.35</v>
      </c>
      <c r="AA369" s="22" t="n">
        <v>12</v>
      </c>
      <c r="AB369" s="7" t="s">
        <v>1095</v>
      </c>
      <c r="AC369" s="7" t="s">
        <v>1098</v>
      </c>
      <c r="AD369" s="22" t="n">
        <v>0.094</v>
      </c>
      <c r="AE369" s="22" t="n">
        <v>0.35</v>
      </c>
      <c r="AF369" s="22" t="n">
        <v>2</v>
      </c>
      <c r="AG369" s="22" t="n">
        <v>64</v>
      </c>
      <c r="AH369" s="22" t="n">
        <v>32</v>
      </c>
      <c r="AI369" s="22" t="s">
        <v>197</v>
      </c>
      <c r="AJ369" s="22" t="s">
        <v>197</v>
      </c>
      <c r="AK369" s="22" t="s">
        <v>197</v>
      </c>
      <c r="AL369" s="22" t="s">
        <v>197</v>
      </c>
      <c r="AM369" s="7" t="s">
        <v>197</v>
      </c>
      <c r="AN369" s="22" t="s">
        <v>197</v>
      </c>
      <c r="AO369" s="22" t="s">
        <v>197</v>
      </c>
      <c r="AP369" s="22" t="s">
        <v>197</v>
      </c>
    </row>
    <row r="370" customFormat="false" ht="21.75" hidden="false" customHeight="true" outlineLevel="0" collapsed="false">
      <c r="B370" s="15" t="n">
        <v>366</v>
      </c>
      <c r="C370" s="9" t="s">
        <v>46</v>
      </c>
      <c r="D370" s="9" t="s">
        <v>20</v>
      </c>
      <c r="E370" s="9" t="s">
        <v>120</v>
      </c>
      <c r="F370" s="9" t="s">
        <v>62</v>
      </c>
      <c r="G370" s="9" t="s">
        <v>1102</v>
      </c>
      <c r="H370" s="9" t="s">
        <v>1091</v>
      </c>
      <c r="I370" s="9" t="s">
        <v>1092</v>
      </c>
      <c r="J370" s="9" t="s">
        <v>1093</v>
      </c>
      <c r="K370" s="9" t="s">
        <v>1094</v>
      </c>
      <c r="L370" s="9" t="s">
        <v>1095</v>
      </c>
      <c r="M370" s="9" t="s">
        <v>478</v>
      </c>
      <c r="N370" s="9" t="s">
        <v>662</v>
      </c>
      <c r="O370" s="9" t="s">
        <v>189</v>
      </c>
      <c r="P370" s="9" t="s">
        <v>190</v>
      </c>
      <c r="Q370" s="9" t="s">
        <v>1096</v>
      </c>
      <c r="R370" s="9" t="s">
        <v>481</v>
      </c>
      <c r="S370" s="9" t="s">
        <v>1097</v>
      </c>
      <c r="T370" s="9" t="s">
        <v>225</v>
      </c>
      <c r="U370" s="19" t="n">
        <v>440</v>
      </c>
      <c r="V370" s="9"/>
      <c r="W370" s="9"/>
      <c r="X370" s="9" t="s">
        <v>203</v>
      </c>
      <c r="Y370" s="23" t="n">
        <v>0.109</v>
      </c>
      <c r="Z370" s="23" t="n">
        <v>0.35</v>
      </c>
      <c r="AA370" s="23" t="n">
        <v>12</v>
      </c>
      <c r="AB370" s="9" t="s">
        <v>1095</v>
      </c>
      <c r="AC370" s="9" t="s">
        <v>1098</v>
      </c>
      <c r="AD370" s="23" t="n">
        <v>0.109</v>
      </c>
      <c r="AE370" s="23" t="n">
        <v>0.35</v>
      </c>
      <c r="AF370" s="23" t="n">
        <v>2</v>
      </c>
      <c r="AG370" s="23" t="n">
        <v>64</v>
      </c>
      <c r="AH370" s="23" t="n">
        <v>2</v>
      </c>
      <c r="AI370" s="23" t="s">
        <v>197</v>
      </c>
      <c r="AJ370" s="23" t="s">
        <v>197</v>
      </c>
      <c r="AK370" s="23" t="s">
        <v>197</v>
      </c>
      <c r="AL370" s="23" t="s">
        <v>197</v>
      </c>
      <c r="AM370" s="9" t="s">
        <v>197</v>
      </c>
      <c r="AN370" s="23" t="s">
        <v>197</v>
      </c>
      <c r="AO370" s="23" t="s">
        <v>197</v>
      </c>
      <c r="AP370" s="23" t="s">
        <v>197</v>
      </c>
    </row>
    <row r="371" customFormat="false" ht="21.75" hidden="false" customHeight="true" outlineLevel="0" collapsed="false">
      <c r="B371" s="14" t="n">
        <v>367</v>
      </c>
      <c r="C371" s="7" t="s">
        <v>46</v>
      </c>
      <c r="D371" s="7" t="s">
        <v>20</v>
      </c>
      <c r="E371" s="7" t="s">
        <v>120</v>
      </c>
      <c r="F371" s="7" t="s">
        <v>62</v>
      </c>
      <c r="G371" s="7" t="s">
        <v>1103</v>
      </c>
      <c r="H371" s="7" t="s">
        <v>1091</v>
      </c>
      <c r="I371" s="7" t="s">
        <v>1092</v>
      </c>
      <c r="J371" s="7" t="s">
        <v>1093</v>
      </c>
      <c r="K371" s="7" t="s">
        <v>1094</v>
      </c>
      <c r="L371" s="7" t="s">
        <v>1095</v>
      </c>
      <c r="M371" s="7" t="s">
        <v>478</v>
      </c>
      <c r="N371" s="7" t="s">
        <v>662</v>
      </c>
      <c r="O371" s="7" t="s">
        <v>189</v>
      </c>
      <c r="P371" s="7" t="s">
        <v>190</v>
      </c>
      <c r="Q371" s="7" t="s">
        <v>1096</v>
      </c>
      <c r="R371" s="7" t="s">
        <v>481</v>
      </c>
      <c r="S371" s="7" t="s">
        <v>1097</v>
      </c>
      <c r="T371" s="7" t="s">
        <v>225</v>
      </c>
      <c r="U371" s="18" t="n">
        <v>645</v>
      </c>
      <c r="V371" s="7"/>
      <c r="W371" s="7"/>
      <c r="X371" s="7" t="s">
        <v>205</v>
      </c>
      <c r="Y371" s="22" t="n">
        <v>0.073</v>
      </c>
      <c r="Z371" s="22" t="n">
        <v>0.35</v>
      </c>
      <c r="AA371" s="22" t="n">
        <v>12</v>
      </c>
      <c r="AB371" s="7" t="s">
        <v>1095</v>
      </c>
      <c r="AC371" s="7" t="s">
        <v>1098</v>
      </c>
      <c r="AD371" s="22" t="n">
        <v>0.073</v>
      </c>
      <c r="AE371" s="22" t="n">
        <v>0.35</v>
      </c>
      <c r="AF371" s="22" t="n">
        <v>2</v>
      </c>
      <c r="AG371" s="22" t="n">
        <v>64</v>
      </c>
      <c r="AH371" s="22" t="n">
        <v>2</v>
      </c>
      <c r="AI371" s="22" t="s">
        <v>197</v>
      </c>
      <c r="AJ371" s="22" t="s">
        <v>197</v>
      </c>
      <c r="AK371" s="22" t="s">
        <v>197</v>
      </c>
      <c r="AL371" s="22" t="s">
        <v>197</v>
      </c>
      <c r="AM371" s="7" t="s">
        <v>197</v>
      </c>
      <c r="AN371" s="22" t="s">
        <v>197</v>
      </c>
      <c r="AO371" s="22" t="s">
        <v>197</v>
      </c>
      <c r="AP371" s="22" t="s">
        <v>197</v>
      </c>
    </row>
    <row r="372" customFormat="false" ht="21.75" hidden="false" customHeight="true" outlineLevel="0" collapsed="false">
      <c r="B372" s="15" t="n">
        <v>368</v>
      </c>
      <c r="C372" s="9" t="s">
        <v>46</v>
      </c>
      <c r="D372" s="9" t="s">
        <v>20</v>
      </c>
      <c r="E372" s="9" t="s">
        <v>120</v>
      </c>
      <c r="F372" s="9" t="s">
        <v>63</v>
      </c>
      <c r="G372" s="9" t="s">
        <v>1104</v>
      </c>
      <c r="H372" s="9" t="s">
        <v>489</v>
      </c>
      <c r="I372" s="9" t="s">
        <v>1105</v>
      </c>
      <c r="J372" s="9" t="s">
        <v>1106</v>
      </c>
      <c r="K372" s="9" t="s">
        <v>1107</v>
      </c>
      <c r="L372" s="9" t="s">
        <v>1095</v>
      </c>
      <c r="M372" s="9" t="s">
        <v>1108</v>
      </c>
      <c r="N372" s="9" t="s">
        <v>189</v>
      </c>
      <c r="O372" s="9" t="s">
        <v>189</v>
      </c>
      <c r="P372" s="9" t="s">
        <v>190</v>
      </c>
      <c r="Q372" s="9" t="s">
        <v>1109</v>
      </c>
      <c r="R372" s="9" t="s">
        <v>676</v>
      </c>
      <c r="S372" s="9" t="s">
        <v>1097</v>
      </c>
      <c r="T372" s="9" t="s">
        <v>1110</v>
      </c>
      <c r="U372" s="19" t="n">
        <v>45</v>
      </c>
      <c r="V372" s="9"/>
      <c r="W372" s="9"/>
      <c r="X372" s="9" t="s">
        <v>195</v>
      </c>
      <c r="Y372" s="23" t="n">
        <v>0.031</v>
      </c>
      <c r="Z372" s="23" t="n">
        <v>0.062</v>
      </c>
      <c r="AA372" s="23" t="n">
        <v>12</v>
      </c>
      <c r="AB372" s="9" t="s">
        <v>1095</v>
      </c>
      <c r="AC372" s="9" t="s">
        <v>1111</v>
      </c>
      <c r="AD372" s="23" t="s">
        <v>197</v>
      </c>
      <c r="AE372" s="23" t="s">
        <v>197</v>
      </c>
      <c r="AF372" s="23" t="s">
        <v>197</v>
      </c>
      <c r="AG372" s="23" t="s">
        <v>197</v>
      </c>
      <c r="AH372" s="23" t="s">
        <v>197</v>
      </c>
      <c r="AI372" s="23" t="s">
        <v>197</v>
      </c>
      <c r="AJ372" s="23" t="s">
        <v>197</v>
      </c>
      <c r="AK372" s="23" t="s">
        <v>197</v>
      </c>
      <c r="AL372" s="23" t="s">
        <v>197</v>
      </c>
      <c r="AM372" s="9" t="s">
        <v>197</v>
      </c>
      <c r="AN372" s="23" t="s">
        <v>197</v>
      </c>
      <c r="AO372" s="23" t="n">
        <v>1.2</v>
      </c>
      <c r="AP372" s="23" t="n">
        <v>1.6</v>
      </c>
    </row>
    <row r="373" customFormat="false" ht="21.75" hidden="false" customHeight="true" outlineLevel="0" collapsed="false">
      <c r="B373" s="14" t="n">
        <v>369</v>
      </c>
      <c r="C373" s="7" t="s">
        <v>46</v>
      </c>
      <c r="D373" s="7" t="s">
        <v>20</v>
      </c>
      <c r="E373" s="7" t="s">
        <v>120</v>
      </c>
      <c r="F373" s="7" t="s">
        <v>63</v>
      </c>
      <c r="G373" s="7" t="s">
        <v>1112</v>
      </c>
      <c r="H373" s="7" t="s">
        <v>489</v>
      </c>
      <c r="I373" s="7" t="s">
        <v>1105</v>
      </c>
      <c r="J373" s="7" t="s">
        <v>1106</v>
      </c>
      <c r="K373" s="7" t="s">
        <v>1107</v>
      </c>
      <c r="L373" s="7" t="s">
        <v>1095</v>
      </c>
      <c r="M373" s="7" t="s">
        <v>1108</v>
      </c>
      <c r="N373" s="7" t="s">
        <v>189</v>
      </c>
      <c r="O373" s="7" t="s">
        <v>189</v>
      </c>
      <c r="P373" s="7" t="s">
        <v>190</v>
      </c>
      <c r="Q373" s="7" t="s">
        <v>1109</v>
      </c>
      <c r="R373" s="7" t="s">
        <v>676</v>
      </c>
      <c r="S373" s="7" t="s">
        <v>1097</v>
      </c>
      <c r="T373" s="7" t="s">
        <v>1110</v>
      </c>
      <c r="U373" s="18" t="n">
        <v>70</v>
      </c>
      <c r="V373" s="7"/>
      <c r="W373" s="7"/>
      <c r="X373" s="7" t="s">
        <v>199</v>
      </c>
      <c r="Y373" s="22" t="n">
        <v>0.055</v>
      </c>
      <c r="Z373" s="22" t="n">
        <v>0.101</v>
      </c>
      <c r="AA373" s="22" t="n">
        <v>12</v>
      </c>
      <c r="AB373" s="7" t="s">
        <v>1095</v>
      </c>
      <c r="AC373" s="7" t="s">
        <v>1111</v>
      </c>
      <c r="AD373" s="22" t="s">
        <v>197</v>
      </c>
      <c r="AE373" s="22" t="s">
        <v>197</v>
      </c>
      <c r="AF373" s="22" t="s">
        <v>197</v>
      </c>
      <c r="AG373" s="22" t="s">
        <v>197</v>
      </c>
      <c r="AH373" s="22" t="s">
        <v>197</v>
      </c>
      <c r="AI373" s="22" t="s">
        <v>197</v>
      </c>
      <c r="AJ373" s="22" t="s">
        <v>197</v>
      </c>
      <c r="AK373" s="22" t="s">
        <v>197</v>
      </c>
      <c r="AL373" s="22" t="s">
        <v>197</v>
      </c>
      <c r="AM373" s="7" t="s">
        <v>197</v>
      </c>
      <c r="AN373" s="22" t="s">
        <v>197</v>
      </c>
      <c r="AO373" s="22" t="n">
        <v>1.2</v>
      </c>
      <c r="AP373" s="22" t="n">
        <v>1.6</v>
      </c>
    </row>
    <row r="374" customFormat="false" ht="21.75" hidden="false" customHeight="true" outlineLevel="0" collapsed="false">
      <c r="B374" s="15" t="n">
        <v>370</v>
      </c>
      <c r="C374" s="9" t="s">
        <v>46</v>
      </c>
      <c r="D374" s="9" t="s">
        <v>20</v>
      </c>
      <c r="E374" s="9" t="s">
        <v>120</v>
      </c>
      <c r="F374" s="9" t="s">
        <v>63</v>
      </c>
      <c r="G374" s="9" t="s">
        <v>1113</v>
      </c>
      <c r="H374" s="9" t="s">
        <v>489</v>
      </c>
      <c r="I374" s="9" t="s">
        <v>1105</v>
      </c>
      <c r="J374" s="9" t="s">
        <v>1106</v>
      </c>
      <c r="K374" s="9" t="s">
        <v>1107</v>
      </c>
      <c r="L374" s="9" t="s">
        <v>1095</v>
      </c>
      <c r="M374" s="9" t="s">
        <v>1108</v>
      </c>
      <c r="N374" s="9" t="s">
        <v>189</v>
      </c>
      <c r="O374" s="9" t="s">
        <v>189</v>
      </c>
      <c r="P374" s="9" t="s">
        <v>190</v>
      </c>
      <c r="Q374" s="9" t="s">
        <v>1109</v>
      </c>
      <c r="R374" s="9" t="s">
        <v>676</v>
      </c>
      <c r="S374" s="9" t="s">
        <v>1097</v>
      </c>
      <c r="T374" s="9" t="s">
        <v>1110</v>
      </c>
      <c r="U374" s="19" t="n">
        <v>95</v>
      </c>
      <c r="V374" s="9"/>
      <c r="W374" s="9"/>
      <c r="X374" s="9" t="s">
        <v>1114</v>
      </c>
      <c r="Y374" s="23" t="n">
        <v>0.039</v>
      </c>
      <c r="Z374" s="23" t="n">
        <v>0.074</v>
      </c>
      <c r="AA374" s="23" t="n">
        <v>12</v>
      </c>
      <c r="AB374" s="9" t="s">
        <v>1095</v>
      </c>
      <c r="AC374" s="9" t="s">
        <v>1111</v>
      </c>
      <c r="AD374" s="23" t="s">
        <v>197</v>
      </c>
      <c r="AE374" s="23" t="s">
        <v>197</v>
      </c>
      <c r="AF374" s="23" t="s">
        <v>197</v>
      </c>
      <c r="AG374" s="23" t="s">
        <v>197</v>
      </c>
      <c r="AH374" s="23" t="s">
        <v>197</v>
      </c>
      <c r="AI374" s="23" t="s">
        <v>197</v>
      </c>
      <c r="AJ374" s="23" t="s">
        <v>197</v>
      </c>
      <c r="AK374" s="23" t="s">
        <v>197</v>
      </c>
      <c r="AL374" s="23" t="s">
        <v>197</v>
      </c>
      <c r="AM374" s="9" t="s">
        <v>197</v>
      </c>
      <c r="AN374" s="23" t="s">
        <v>197</v>
      </c>
      <c r="AO374" s="23" t="n">
        <v>1.2</v>
      </c>
      <c r="AP374" s="23" t="n">
        <v>1.6</v>
      </c>
    </row>
    <row r="375" customFormat="false" ht="21.75" hidden="false" customHeight="true" outlineLevel="0" collapsed="false">
      <c r="B375" s="14" t="n">
        <v>371</v>
      </c>
      <c r="C375" s="7" t="s">
        <v>46</v>
      </c>
      <c r="D375" s="7" t="s">
        <v>20</v>
      </c>
      <c r="E375" s="7" t="s">
        <v>120</v>
      </c>
      <c r="F375" s="7" t="s">
        <v>63</v>
      </c>
      <c r="G375" s="7" t="s">
        <v>1115</v>
      </c>
      <c r="H375" s="7" t="s">
        <v>489</v>
      </c>
      <c r="I375" s="7" t="s">
        <v>1105</v>
      </c>
      <c r="J375" s="7" t="s">
        <v>1106</v>
      </c>
      <c r="K375" s="7" t="s">
        <v>1107</v>
      </c>
      <c r="L375" s="7" t="s">
        <v>1095</v>
      </c>
      <c r="M375" s="7" t="s">
        <v>1108</v>
      </c>
      <c r="N375" s="7" t="s">
        <v>189</v>
      </c>
      <c r="O375" s="7" t="s">
        <v>189</v>
      </c>
      <c r="P375" s="7" t="s">
        <v>190</v>
      </c>
      <c r="Q375" s="7" t="s">
        <v>1109</v>
      </c>
      <c r="R375" s="7" t="s">
        <v>676</v>
      </c>
      <c r="S375" s="7" t="s">
        <v>1097</v>
      </c>
      <c r="T375" s="7" t="s">
        <v>1110</v>
      </c>
      <c r="U375" s="18" t="n">
        <v>145</v>
      </c>
      <c r="V375" s="7"/>
      <c r="W375" s="7"/>
      <c r="X375" s="7" t="s">
        <v>203</v>
      </c>
      <c r="Y375" s="22" t="n">
        <v>0.038</v>
      </c>
      <c r="Z375" s="22" t="n">
        <v>0.074</v>
      </c>
      <c r="AA375" s="22" t="n">
        <v>12</v>
      </c>
      <c r="AB375" s="7" t="s">
        <v>1095</v>
      </c>
      <c r="AC375" s="7" t="s">
        <v>1111</v>
      </c>
      <c r="AD375" s="22" t="s">
        <v>197</v>
      </c>
      <c r="AE375" s="22" t="s">
        <v>197</v>
      </c>
      <c r="AF375" s="22" t="s">
        <v>197</v>
      </c>
      <c r="AG375" s="22" t="s">
        <v>197</v>
      </c>
      <c r="AH375" s="22" t="s">
        <v>197</v>
      </c>
      <c r="AI375" s="22" t="s">
        <v>197</v>
      </c>
      <c r="AJ375" s="22" t="s">
        <v>197</v>
      </c>
      <c r="AK375" s="22" t="s">
        <v>197</v>
      </c>
      <c r="AL375" s="22" t="s">
        <v>197</v>
      </c>
      <c r="AM375" s="7" t="s">
        <v>197</v>
      </c>
      <c r="AN375" s="22" t="s">
        <v>197</v>
      </c>
      <c r="AO375" s="22" t="n">
        <v>1.2</v>
      </c>
      <c r="AP375" s="22" t="n">
        <v>1.6</v>
      </c>
    </row>
    <row r="376" customFormat="false" ht="21.75" hidden="false" customHeight="true" outlineLevel="0" collapsed="false">
      <c r="B376" s="15" t="n">
        <v>372</v>
      </c>
      <c r="C376" s="9" t="s">
        <v>46</v>
      </c>
      <c r="D376" s="9" t="s">
        <v>20</v>
      </c>
      <c r="E376" s="9" t="s">
        <v>120</v>
      </c>
      <c r="F376" s="9" t="s">
        <v>63</v>
      </c>
      <c r="G376" s="9" t="s">
        <v>1116</v>
      </c>
      <c r="H376" s="9" t="s">
        <v>489</v>
      </c>
      <c r="I376" s="9" t="s">
        <v>1105</v>
      </c>
      <c r="J376" s="9" t="s">
        <v>1106</v>
      </c>
      <c r="K376" s="9" t="s">
        <v>1107</v>
      </c>
      <c r="L376" s="9" t="s">
        <v>1095</v>
      </c>
      <c r="M376" s="9" t="s">
        <v>1108</v>
      </c>
      <c r="N376" s="9" t="s">
        <v>189</v>
      </c>
      <c r="O376" s="9" t="s">
        <v>189</v>
      </c>
      <c r="P376" s="9" t="s">
        <v>190</v>
      </c>
      <c r="Q376" s="9" t="s">
        <v>1109</v>
      </c>
      <c r="R376" s="9" t="s">
        <v>676</v>
      </c>
      <c r="S376" s="9" t="s">
        <v>1097</v>
      </c>
      <c r="T376" s="9" t="s">
        <v>1110</v>
      </c>
      <c r="U376" s="19" t="n">
        <v>215</v>
      </c>
      <c r="V376" s="9"/>
      <c r="W376" s="9"/>
      <c r="X376" s="9" t="s">
        <v>205</v>
      </c>
      <c r="Y376" s="23" t="n">
        <v>0.053</v>
      </c>
      <c r="Z376" s="23" t="n">
        <v>0.098</v>
      </c>
      <c r="AA376" s="23" t="n">
        <v>12</v>
      </c>
      <c r="AB376" s="9" t="s">
        <v>1095</v>
      </c>
      <c r="AC376" s="9" t="s">
        <v>1111</v>
      </c>
      <c r="AD376" s="23" t="s">
        <v>197</v>
      </c>
      <c r="AE376" s="23" t="s">
        <v>197</v>
      </c>
      <c r="AF376" s="23" t="s">
        <v>197</v>
      </c>
      <c r="AG376" s="23" t="s">
        <v>197</v>
      </c>
      <c r="AH376" s="23" t="s">
        <v>197</v>
      </c>
      <c r="AI376" s="23" t="s">
        <v>197</v>
      </c>
      <c r="AJ376" s="23" t="s">
        <v>197</v>
      </c>
      <c r="AK376" s="23" t="s">
        <v>197</v>
      </c>
      <c r="AL376" s="23" t="s">
        <v>197</v>
      </c>
      <c r="AM376" s="9" t="s">
        <v>197</v>
      </c>
      <c r="AN376" s="23" t="s">
        <v>197</v>
      </c>
      <c r="AO376" s="23" t="n">
        <v>1.2</v>
      </c>
      <c r="AP376" s="23" t="n">
        <v>1.6</v>
      </c>
    </row>
    <row r="377" customFormat="false" ht="21.75" hidden="false" customHeight="true" outlineLevel="0" collapsed="false">
      <c r="B377" s="14" t="n">
        <v>373</v>
      </c>
      <c r="C377" s="7" t="s">
        <v>46</v>
      </c>
      <c r="D377" s="7" t="s">
        <v>20</v>
      </c>
      <c r="E377" s="7" t="s">
        <v>120</v>
      </c>
      <c r="F377" s="7" t="s">
        <v>64</v>
      </c>
      <c r="G377" s="7" t="s">
        <v>1117</v>
      </c>
      <c r="H377" s="7" t="s">
        <v>247</v>
      </c>
      <c r="I377" s="7" t="s">
        <v>1118</v>
      </c>
      <c r="J377" s="7" t="s">
        <v>1119</v>
      </c>
      <c r="K377" s="7" t="s">
        <v>250</v>
      </c>
      <c r="L377" s="7" t="s">
        <v>1095</v>
      </c>
      <c r="M377" s="7" t="s">
        <v>251</v>
      </c>
      <c r="N377" s="7" t="s">
        <v>252</v>
      </c>
      <c r="O377" s="7" t="s">
        <v>189</v>
      </c>
      <c r="P377" s="7" t="s">
        <v>190</v>
      </c>
      <c r="Q377" s="7" t="s">
        <v>1120</v>
      </c>
      <c r="R377" s="7" t="s">
        <v>521</v>
      </c>
      <c r="S377" s="7" t="s">
        <v>1097</v>
      </c>
      <c r="T377" s="7" t="s">
        <v>275</v>
      </c>
      <c r="U377" s="18" t="n">
        <v>19</v>
      </c>
      <c r="V377" s="7"/>
      <c r="W377" s="7"/>
      <c r="X377" s="7" t="s">
        <v>195</v>
      </c>
      <c r="Y377" s="22" t="n">
        <v>0.013</v>
      </c>
      <c r="Z377" s="22" t="n">
        <v>0.018</v>
      </c>
      <c r="AA377" s="22" t="n">
        <v>12</v>
      </c>
      <c r="AB377" s="7" t="s">
        <v>1095</v>
      </c>
      <c r="AC377" s="7" t="s">
        <v>1121</v>
      </c>
      <c r="AD377" s="22" t="s">
        <v>197</v>
      </c>
      <c r="AE377" s="22" t="s">
        <v>197</v>
      </c>
      <c r="AF377" s="22" t="s">
        <v>197</v>
      </c>
      <c r="AG377" s="22" t="s">
        <v>197</v>
      </c>
      <c r="AH377" s="22" t="s">
        <v>197</v>
      </c>
      <c r="AI377" s="22" t="s">
        <v>197</v>
      </c>
      <c r="AJ377" s="22" t="n">
        <v>8</v>
      </c>
      <c r="AK377" s="22" t="s">
        <v>197</v>
      </c>
      <c r="AL377" s="22" t="n">
        <v>90</v>
      </c>
      <c r="AM377" s="7" t="s">
        <v>257</v>
      </c>
      <c r="AN377" s="22" t="s">
        <v>197</v>
      </c>
      <c r="AO377" s="22" t="n">
        <v>2</v>
      </c>
      <c r="AP377" s="22" t="n">
        <v>2.7</v>
      </c>
    </row>
    <row r="378" customFormat="false" ht="21.75" hidden="false" customHeight="true" outlineLevel="0" collapsed="false">
      <c r="B378" s="15" t="n">
        <v>374</v>
      </c>
      <c r="C378" s="9" t="s">
        <v>46</v>
      </c>
      <c r="D378" s="9" t="s">
        <v>20</v>
      </c>
      <c r="E378" s="9" t="s">
        <v>120</v>
      </c>
      <c r="F378" s="9" t="s">
        <v>64</v>
      </c>
      <c r="G378" s="9" t="s">
        <v>1122</v>
      </c>
      <c r="H378" s="9" t="s">
        <v>259</v>
      </c>
      <c r="I378" s="9" t="s">
        <v>1118</v>
      </c>
      <c r="J378" s="9" t="s">
        <v>1119</v>
      </c>
      <c r="K378" s="9" t="s">
        <v>250</v>
      </c>
      <c r="L378" s="9" t="s">
        <v>1095</v>
      </c>
      <c r="M378" s="9" t="s">
        <v>251</v>
      </c>
      <c r="N378" s="9" t="s">
        <v>252</v>
      </c>
      <c r="O378" s="9" t="s">
        <v>189</v>
      </c>
      <c r="P378" s="9" t="s">
        <v>190</v>
      </c>
      <c r="Q378" s="9" t="s">
        <v>1120</v>
      </c>
      <c r="R378" s="9" t="s">
        <v>521</v>
      </c>
      <c r="S378" s="9" t="s">
        <v>1097</v>
      </c>
      <c r="T378" s="9" t="s">
        <v>275</v>
      </c>
      <c r="U378" s="19" t="n">
        <v>25</v>
      </c>
      <c r="V378" s="9"/>
      <c r="W378" s="9"/>
      <c r="X378" s="9" t="s">
        <v>199</v>
      </c>
      <c r="Y378" s="23" t="n">
        <v>0.014</v>
      </c>
      <c r="Z378" s="23" t="n">
        <v>0.02</v>
      </c>
      <c r="AA378" s="23" t="n">
        <v>12</v>
      </c>
      <c r="AB378" s="9" t="s">
        <v>1095</v>
      </c>
      <c r="AC378" s="9" t="s">
        <v>1121</v>
      </c>
      <c r="AD378" s="23" t="s">
        <v>197</v>
      </c>
      <c r="AE378" s="23" t="s">
        <v>197</v>
      </c>
      <c r="AF378" s="23" t="s">
        <v>197</v>
      </c>
      <c r="AG378" s="23" t="s">
        <v>197</v>
      </c>
      <c r="AH378" s="23" t="s">
        <v>197</v>
      </c>
      <c r="AI378" s="23" t="s">
        <v>197</v>
      </c>
      <c r="AJ378" s="23" t="n">
        <v>10</v>
      </c>
      <c r="AK378" s="23" t="s">
        <v>197</v>
      </c>
      <c r="AL378" s="23" t="n">
        <v>90</v>
      </c>
      <c r="AM378" s="9" t="s">
        <v>257</v>
      </c>
      <c r="AN378" s="23" t="s">
        <v>197</v>
      </c>
      <c r="AO378" s="23" t="n">
        <v>2</v>
      </c>
      <c r="AP378" s="23" t="n">
        <v>2.7</v>
      </c>
    </row>
    <row r="379" customFormat="false" ht="21.75" hidden="false" customHeight="true" outlineLevel="0" collapsed="false">
      <c r="B379" s="14" t="n">
        <v>375</v>
      </c>
      <c r="C379" s="7" t="s">
        <v>46</v>
      </c>
      <c r="D379" s="7" t="s">
        <v>20</v>
      </c>
      <c r="E379" s="7" t="s">
        <v>120</v>
      </c>
      <c r="F379" s="7" t="s">
        <v>64</v>
      </c>
      <c r="G379" s="7" t="s">
        <v>1123</v>
      </c>
      <c r="H379" s="7" t="s">
        <v>261</v>
      </c>
      <c r="I379" s="7" t="s">
        <v>1118</v>
      </c>
      <c r="J379" s="7" t="s">
        <v>1119</v>
      </c>
      <c r="K379" s="7" t="s">
        <v>250</v>
      </c>
      <c r="L379" s="7" t="s">
        <v>1095</v>
      </c>
      <c r="M379" s="7" t="s">
        <v>251</v>
      </c>
      <c r="N379" s="7" t="s">
        <v>252</v>
      </c>
      <c r="O379" s="7" t="s">
        <v>189</v>
      </c>
      <c r="P379" s="7" t="s">
        <v>190</v>
      </c>
      <c r="Q379" s="7" t="s">
        <v>1120</v>
      </c>
      <c r="R379" s="7" t="s">
        <v>521</v>
      </c>
      <c r="S379" s="7" t="s">
        <v>1097</v>
      </c>
      <c r="T379" s="7" t="s">
        <v>275</v>
      </c>
      <c r="U379" s="18" t="n">
        <v>35</v>
      </c>
      <c r="V379" s="7"/>
      <c r="W379" s="7"/>
      <c r="X379" s="7" t="s">
        <v>1124</v>
      </c>
      <c r="Y379" s="22" t="n">
        <v>0.012</v>
      </c>
      <c r="Z379" s="22" t="n">
        <v>0.017</v>
      </c>
      <c r="AA379" s="22" t="n">
        <v>12</v>
      </c>
      <c r="AB379" s="7" t="s">
        <v>1095</v>
      </c>
      <c r="AC379" s="7" t="s">
        <v>1121</v>
      </c>
      <c r="AD379" s="22" t="s">
        <v>197</v>
      </c>
      <c r="AE379" s="22" t="s">
        <v>197</v>
      </c>
      <c r="AF379" s="22" t="s">
        <v>197</v>
      </c>
      <c r="AG379" s="22" t="s">
        <v>197</v>
      </c>
      <c r="AH379" s="22" t="s">
        <v>197</v>
      </c>
      <c r="AI379" s="22" t="s">
        <v>197</v>
      </c>
      <c r="AJ379" s="22" t="n">
        <v>12</v>
      </c>
      <c r="AK379" s="22" t="s">
        <v>197</v>
      </c>
      <c r="AL379" s="22" t="n">
        <v>90</v>
      </c>
      <c r="AM379" s="7" t="s">
        <v>257</v>
      </c>
      <c r="AN379" s="22" t="s">
        <v>197</v>
      </c>
      <c r="AO379" s="22" t="n">
        <v>2</v>
      </c>
      <c r="AP379" s="22" t="n">
        <v>2.7</v>
      </c>
    </row>
    <row r="380" customFormat="false" ht="21.75" hidden="false" customHeight="true" outlineLevel="0" collapsed="false">
      <c r="B380" s="15" t="n">
        <v>376</v>
      </c>
      <c r="C380" s="9" t="s">
        <v>46</v>
      </c>
      <c r="D380" s="9" t="s">
        <v>20</v>
      </c>
      <c r="E380" s="9" t="s">
        <v>120</v>
      </c>
      <c r="F380" s="9" t="s">
        <v>64</v>
      </c>
      <c r="G380" s="9" t="s">
        <v>1125</v>
      </c>
      <c r="H380" s="9" t="s">
        <v>264</v>
      </c>
      <c r="I380" s="9" t="s">
        <v>1118</v>
      </c>
      <c r="J380" s="9" t="s">
        <v>1119</v>
      </c>
      <c r="K380" s="9" t="s">
        <v>250</v>
      </c>
      <c r="L380" s="9" t="s">
        <v>1095</v>
      </c>
      <c r="M380" s="9" t="s">
        <v>251</v>
      </c>
      <c r="N380" s="9" t="s">
        <v>252</v>
      </c>
      <c r="O380" s="9" t="s">
        <v>189</v>
      </c>
      <c r="P380" s="9" t="s">
        <v>190</v>
      </c>
      <c r="Q380" s="9" t="s">
        <v>1120</v>
      </c>
      <c r="R380" s="9" t="s">
        <v>521</v>
      </c>
      <c r="S380" s="9" t="s">
        <v>1097</v>
      </c>
      <c r="T380" s="9" t="s">
        <v>275</v>
      </c>
      <c r="U380" s="19" t="n">
        <v>55</v>
      </c>
      <c r="V380" s="9"/>
      <c r="W380" s="9"/>
      <c r="X380" s="9" t="s">
        <v>203</v>
      </c>
      <c r="Y380" s="23" t="n">
        <v>0.017</v>
      </c>
      <c r="Z380" s="23" t="n">
        <v>0.023</v>
      </c>
      <c r="AA380" s="23" t="n">
        <v>12</v>
      </c>
      <c r="AB380" s="9" t="s">
        <v>1095</v>
      </c>
      <c r="AC380" s="9" t="s">
        <v>1121</v>
      </c>
      <c r="AD380" s="23" t="s">
        <v>197</v>
      </c>
      <c r="AE380" s="23" t="s">
        <v>197</v>
      </c>
      <c r="AF380" s="23" t="s">
        <v>197</v>
      </c>
      <c r="AG380" s="23" t="s">
        <v>197</v>
      </c>
      <c r="AH380" s="23" t="s">
        <v>197</v>
      </c>
      <c r="AI380" s="23" t="s">
        <v>197</v>
      </c>
      <c r="AJ380" s="23" t="n">
        <v>12</v>
      </c>
      <c r="AK380" s="23" t="s">
        <v>197</v>
      </c>
      <c r="AL380" s="23" t="n">
        <v>110</v>
      </c>
      <c r="AM380" s="9" t="s">
        <v>257</v>
      </c>
      <c r="AN380" s="23" t="s">
        <v>197</v>
      </c>
      <c r="AO380" s="23" t="n">
        <v>2</v>
      </c>
      <c r="AP380" s="23" t="n">
        <v>2.7</v>
      </c>
    </row>
    <row r="381" customFormat="false" ht="21.75" hidden="false" customHeight="true" outlineLevel="0" collapsed="false">
      <c r="B381" s="14" t="n">
        <v>377</v>
      </c>
      <c r="C381" s="7" t="s">
        <v>46</v>
      </c>
      <c r="D381" s="7" t="s">
        <v>20</v>
      </c>
      <c r="E381" s="7" t="s">
        <v>120</v>
      </c>
      <c r="F381" s="7" t="s">
        <v>64</v>
      </c>
      <c r="G381" s="7" t="s">
        <v>1126</v>
      </c>
      <c r="H381" s="7" t="s">
        <v>266</v>
      </c>
      <c r="I381" s="7" t="s">
        <v>1118</v>
      </c>
      <c r="J381" s="7" t="s">
        <v>1119</v>
      </c>
      <c r="K381" s="7" t="s">
        <v>250</v>
      </c>
      <c r="L381" s="7" t="s">
        <v>1095</v>
      </c>
      <c r="M381" s="7" t="s">
        <v>251</v>
      </c>
      <c r="N381" s="7" t="s">
        <v>252</v>
      </c>
      <c r="O381" s="7" t="s">
        <v>189</v>
      </c>
      <c r="P381" s="7" t="s">
        <v>190</v>
      </c>
      <c r="Q381" s="7" t="s">
        <v>1120</v>
      </c>
      <c r="R381" s="7" t="s">
        <v>521</v>
      </c>
      <c r="S381" s="7" t="s">
        <v>1097</v>
      </c>
      <c r="T381" s="7" t="s">
        <v>275</v>
      </c>
      <c r="U381" s="18" t="n">
        <v>80</v>
      </c>
      <c r="V381" s="7"/>
      <c r="W381" s="7"/>
      <c r="X381" s="7" t="s">
        <v>205</v>
      </c>
      <c r="Y381" s="22" t="n">
        <v>0.016</v>
      </c>
      <c r="Z381" s="22" t="n">
        <v>0.023</v>
      </c>
      <c r="AA381" s="22" t="n">
        <v>12</v>
      </c>
      <c r="AB381" s="7" t="s">
        <v>1095</v>
      </c>
      <c r="AC381" s="7" t="s">
        <v>1121</v>
      </c>
      <c r="AD381" s="22" t="s">
        <v>197</v>
      </c>
      <c r="AE381" s="22" t="s">
        <v>197</v>
      </c>
      <c r="AF381" s="22" t="s">
        <v>197</v>
      </c>
      <c r="AG381" s="22" t="s">
        <v>197</v>
      </c>
      <c r="AH381" s="22" t="s">
        <v>197</v>
      </c>
      <c r="AI381" s="22" t="s">
        <v>197</v>
      </c>
      <c r="AJ381" s="22" t="n">
        <v>15</v>
      </c>
      <c r="AK381" s="22" t="s">
        <v>197</v>
      </c>
      <c r="AL381" s="22" t="n">
        <v>110</v>
      </c>
      <c r="AM381" s="7" t="s">
        <v>257</v>
      </c>
      <c r="AN381" s="22" t="s">
        <v>197</v>
      </c>
      <c r="AO381" s="22" t="n">
        <v>2</v>
      </c>
      <c r="AP381" s="22" t="n">
        <v>2.7</v>
      </c>
    </row>
    <row r="382" customFormat="false" ht="21.75" hidden="false" customHeight="true" outlineLevel="0" collapsed="false">
      <c r="B382" s="15" t="n">
        <v>378</v>
      </c>
      <c r="C382" s="9" t="s">
        <v>46</v>
      </c>
      <c r="D382" s="9" t="s">
        <v>20</v>
      </c>
      <c r="E382" s="9" t="s">
        <v>120</v>
      </c>
      <c r="F382" s="9" t="s">
        <v>65</v>
      </c>
      <c r="G382" s="9" t="s">
        <v>1127</v>
      </c>
      <c r="H382" s="9" t="s">
        <v>247</v>
      </c>
      <c r="I382" s="9" t="s">
        <v>1128</v>
      </c>
      <c r="J382" s="9" t="s">
        <v>1129</v>
      </c>
      <c r="K382" s="9" t="s">
        <v>1107</v>
      </c>
      <c r="L382" s="9" t="s">
        <v>1095</v>
      </c>
      <c r="M382" s="9" t="s">
        <v>518</v>
      </c>
      <c r="N382" s="9" t="s">
        <v>1130</v>
      </c>
      <c r="O382" s="9" t="s">
        <v>189</v>
      </c>
      <c r="P382" s="9" t="s">
        <v>190</v>
      </c>
      <c r="Q382" s="9" t="s">
        <v>1131</v>
      </c>
      <c r="R382" s="9" t="s">
        <v>689</v>
      </c>
      <c r="S382" s="9" t="s">
        <v>1097</v>
      </c>
      <c r="T382" s="9" t="s">
        <v>275</v>
      </c>
      <c r="U382" s="19" t="n">
        <v>25</v>
      </c>
      <c r="V382" s="9"/>
      <c r="W382" s="9"/>
      <c r="X382" s="9" t="s">
        <v>195</v>
      </c>
      <c r="Y382" s="23" t="n">
        <v>1.17E-005</v>
      </c>
      <c r="Z382" s="23" t="n">
        <v>3.161E-005</v>
      </c>
      <c r="AA382" s="23" t="n">
        <v>3</v>
      </c>
      <c r="AB382" s="9" t="s">
        <v>1095</v>
      </c>
      <c r="AC382" s="9" t="s">
        <v>1132</v>
      </c>
      <c r="AD382" s="23" t="s">
        <v>197</v>
      </c>
      <c r="AE382" s="23" t="s">
        <v>197</v>
      </c>
      <c r="AF382" s="23" t="s">
        <v>197</v>
      </c>
      <c r="AG382" s="23" t="s">
        <v>197</v>
      </c>
      <c r="AH382" s="23" t="s">
        <v>197</v>
      </c>
      <c r="AI382" s="23" t="s">
        <v>197</v>
      </c>
      <c r="AJ382" s="23" t="n">
        <v>8</v>
      </c>
      <c r="AK382" s="23" t="s">
        <v>197</v>
      </c>
      <c r="AL382" s="23" t="n">
        <v>90</v>
      </c>
      <c r="AM382" s="9" t="s">
        <v>257</v>
      </c>
      <c r="AN382" s="23" t="s">
        <v>197</v>
      </c>
      <c r="AO382" s="23" t="n">
        <v>2</v>
      </c>
      <c r="AP382" s="23" t="n">
        <v>2.7</v>
      </c>
    </row>
    <row r="383" customFormat="false" ht="21.75" hidden="false" customHeight="true" outlineLevel="0" collapsed="false">
      <c r="B383" s="14" t="n">
        <v>379</v>
      </c>
      <c r="C383" s="7" t="s">
        <v>46</v>
      </c>
      <c r="D383" s="7" t="s">
        <v>20</v>
      </c>
      <c r="E383" s="7" t="s">
        <v>120</v>
      </c>
      <c r="F383" s="7" t="s">
        <v>65</v>
      </c>
      <c r="G383" s="7" t="s">
        <v>1133</v>
      </c>
      <c r="H383" s="7" t="s">
        <v>259</v>
      </c>
      <c r="I383" s="7" t="s">
        <v>1128</v>
      </c>
      <c r="J383" s="7" t="s">
        <v>1129</v>
      </c>
      <c r="K383" s="7" t="s">
        <v>1107</v>
      </c>
      <c r="L383" s="7" t="s">
        <v>1095</v>
      </c>
      <c r="M383" s="7" t="s">
        <v>518</v>
      </c>
      <c r="N383" s="7" t="s">
        <v>1130</v>
      </c>
      <c r="O383" s="7" t="s">
        <v>189</v>
      </c>
      <c r="P383" s="7" t="s">
        <v>190</v>
      </c>
      <c r="Q383" s="7" t="s">
        <v>1131</v>
      </c>
      <c r="R383" s="7" t="s">
        <v>689</v>
      </c>
      <c r="S383" s="7" t="s">
        <v>1097</v>
      </c>
      <c r="T383" s="7" t="s">
        <v>275</v>
      </c>
      <c r="U383" s="18" t="n">
        <v>35</v>
      </c>
      <c r="V383" s="7"/>
      <c r="W383" s="7"/>
      <c r="X383" s="7" t="s">
        <v>199</v>
      </c>
      <c r="Y383" s="22" t="n">
        <v>1.818E-005</v>
      </c>
      <c r="Z383" s="22" t="n">
        <v>4.317E-005</v>
      </c>
      <c r="AA383" s="22" t="n">
        <v>3</v>
      </c>
      <c r="AB383" s="7" t="s">
        <v>1095</v>
      </c>
      <c r="AC383" s="7" t="s">
        <v>1132</v>
      </c>
      <c r="AD383" s="22" t="s">
        <v>197</v>
      </c>
      <c r="AE383" s="22" t="s">
        <v>197</v>
      </c>
      <c r="AF383" s="22" t="s">
        <v>197</v>
      </c>
      <c r="AG383" s="22" t="s">
        <v>197</v>
      </c>
      <c r="AH383" s="22" t="s">
        <v>197</v>
      </c>
      <c r="AI383" s="22" t="s">
        <v>197</v>
      </c>
      <c r="AJ383" s="22" t="n">
        <v>10</v>
      </c>
      <c r="AK383" s="22" t="s">
        <v>197</v>
      </c>
      <c r="AL383" s="22" t="n">
        <v>90</v>
      </c>
      <c r="AM383" s="7" t="s">
        <v>257</v>
      </c>
      <c r="AN383" s="22" t="s">
        <v>197</v>
      </c>
      <c r="AO383" s="22" t="n">
        <v>2</v>
      </c>
      <c r="AP383" s="22" t="n">
        <v>2.7</v>
      </c>
    </row>
    <row r="384" customFormat="false" ht="21.75" hidden="false" customHeight="true" outlineLevel="0" collapsed="false">
      <c r="B384" s="15" t="n">
        <v>380</v>
      </c>
      <c r="C384" s="9" t="s">
        <v>46</v>
      </c>
      <c r="D384" s="9" t="s">
        <v>20</v>
      </c>
      <c r="E384" s="9" t="s">
        <v>120</v>
      </c>
      <c r="F384" s="9" t="s">
        <v>65</v>
      </c>
      <c r="G384" s="9" t="s">
        <v>1134</v>
      </c>
      <c r="H384" s="9" t="s">
        <v>261</v>
      </c>
      <c r="I384" s="9" t="s">
        <v>1128</v>
      </c>
      <c r="J384" s="9" t="s">
        <v>1129</v>
      </c>
      <c r="K384" s="9" t="s">
        <v>1107</v>
      </c>
      <c r="L384" s="9" t="s">
        <v>1095</v>
      </c>
      <c r="M384" s="9" t="s">
        <v>518</v>
      </c>
      <c r="N384" s="9" t="s">
        <v>1130</v>
      </c>
      <c r="O384" s="9" t="s">
        <v>189</v>
      </c>
      <c r="P384" s="9" t="s">
        <v>190</v>
      </c>
      <c r="Q384" s="9" t="s">
        <v>1131</v>
      </c>
      <c r="R384" s="9" t="s">
        <v>689</v>
      </c>
      <c r="S384" s="9" t="s">
        <v>1097</v>
      </c>
      <c r="T384" s="9" t="s">
        <v>275</v>
      </c>
      <c r="U384" s="19" t="n">
        <v>50</v>
      </c>
      <c r="V384" s="9"/>
      <c r="W384" s="9"/>
      <c r="X384" s="9" t="s">
        <v>1135</v>
      </c>
      <c r="Y384" s="23" t="n">
        <v>1.23E-005</v>
      </c>
      <c r="Z384" s="23" t="n">
        <v>3.269E-005</v>
      </c>
      <c r="AA384" s="23" t="n">
        <v>3</v>
      </c>
      <c r="AB384" s="9" t="s">
        <v>1095</v>
      </c>
      <c r="AC384" s="9" t="s">
        <v>1132</v>
      </c>
      <c r="AD384" s="23" t="s">
        <v>197</v>
      </c>
      <c r="AE384" s="23" t="s">
        <v>197</v>
      </c>
      <c r="AF384" s="23" t="s">
        <v>197</v>
      </c>
      <c r="AG384" s="23" t="s">
        <v>197</v>
      </c>
      <c r="AH384" s="23" t="s">
        <v>197</v>
      </c>
      <c r="AI384" s="23" t="s">
        <v>197</v>
      </c>
      <c r="AJ384" s="23" t="n">
        <v>12</v>
      </c>
      <c r="AK384" s="23" t="s">
        <v>197</v>
      </c>
      <c r="AL384" s="23" t="n">
        <v>90</v>
      </c>
      <c r="AM384" s="9" t="s">
        <v>257</v>
      </c>
      <c r="AN384" s="23" t="s">
        <v>197</v>
      </c>
      <c r="AO384" s="23" t="n">
        <v>2</v>
      </c>
      <c r="AP384" s="23" t="n">
        <v>2.7</v>
      </c>
    </row>
    <row r="385" customFormat="false" ht="21.75" hidden="false" customHeight="true" outlineLevel="0" collapsed="false">
      <c r="B385" s="14" t="n">
        <v>381</v>
      </c>
      <c r="C385" s="7" t="s">
        <v>46</v>
      </c>
      <c r="D385" s="7" t="s">
        <v>20</v>
      </c>
      <c r="E385" s="7" t="s">
        <v>120</v>
      </c>
      <c r="F385" s="7" t="s">
        <v>65</v>
      </c>
      <c r="G385" s="7" t="s">
        <v>1136</v>
      </c>
      <c r="H385" s="7" t="s">
        <v>281</v>
      </c>
      <c r="I385" s="7" t="s">
        <v>1128</v>
      </c>
      <c r="J385" s="7" t="s">
        <v>1129</v>
      </c>
      <c r="K385" s="7" t="s">
        <v>1107</v>
      </c>
      <c r="L385" s="7" t="s">
        <v>1095</v>
      </c>
      <c r="M385" s="7" t="s">
        <v>518</v>
      </c>
      <c r="N385" s="7" t="s">
        <v>1130</v>
      </c>
      <c r="O385" s="7" t="s">
        <v>189</v>
      </c>
      <c r="P385" s="7" t="s">
        <v>190</v>
      </c>
      <c r="Q385" s="7" t="s">
        <v>1131</v>
      </c>
      <c r="R385" s="7" t="s">
        <v>689</v>
      </c>
      <c r="S385" s="7" t="s">
        <v>1097</v>
      </c>
      <c r="T385" s="7" t="s">
        <v>275</v>
      </c>
      <c r="U385" s="18" t="n">
        <v>75</v>
      </c>
      <c r="V385" s="7"/>
      <c r="W385" s="7"/>
      <c r="X385" s="7" t="s">
        <v>203</v>
      </c>
      <c r="Y385" s="22" t="n">
        <v>1.077E-005</v>
      </c>
      <c r="Z385" s="22" t="n">
        <v>2.995E-005</v>
      </c>
      <c r="AA385" s="22" t="n">
        <v>3</v>
      </c>
      <c r="AB385" s="7" t="s">
        <v>1095</v>
      </c>
      <c r="AC385" s="7" t="s">
        <v>1132</v>
      </c>
      <c r="AD385" s="22" t="s">
        <v>197</v>
      </c>
      <c r="AE385" s="22" t="s">
        <v>197</v>
      </c>
      <c r="AF385" s="22" t="s">
        <v>197</v>
      </c>
      <c r="AG385" s="22" t="s">
        <v>197</v>
      </c>
      <c r="AH385" s="22" t="s">
        <v>197</v>
      </c>
      <c r="AI385" s="22" t="s">
        <v>197</v>
      </c>
      <c r="AJ385" s="22" t="n">
        <v>12</v>
      </c>
      <c r="AK385" s="22" t="s">
        <v>197</v>
      </c>
      <c r="AL385" s="22" t="n">
        <v>90</v>
      </c>
      <c r="AM385" s="7" t="s">
        <v>257</v>
      </c>
      <c r="AN385" s="22" t="s">
        <v>197</v>
      </c>
      <c r="AO385" s="22" t="n">
        <v>2</v>
      </c>
      <c r="AP385" s="22" t="n">
        <v>2.7</v>
      </c>
    </row>
    <row r="386" customFormat="false" ht="21.75" hidden="false" customHeight="true" outlineLevel="0" collapsed="false">
      <c r="B386" s="15" t="n">
        <v>382</v>
      </c>
      <c r="C386" s="9" t="s">
        <v>46</v>
      </c>
      <c r="D386" s="9" t="s">
        <v>20</v>
      </c>
      <c r="E386" s="9" t="s">
        <v>120</v>
      </c>
      <c r="F386" s="9" t="s">
        <v>65</v>
      </c>
      <c r="G386" s="9" t="s">
        <v>1137</v>
      </c>
      <c r="H386" s="9" t="s">
        <v>283</v>
      </c>
      <c r="I386" s="9" t="s">
        <v>1128</v>
      </c>
      <c r="J386" s="9" t="s">
        <v>1129</v>
      </c>
      <c r="K386" s="9" t="s">
        <v>1107</v>
      </c>
      <c r="L386" s="9" t="s">
        <v>1095</v>
      </c>
      <c r="M386" s="9" t="s">
        <v>518</v>
      </c>
      <c r="N386" s="9" t="s">
        <v>1130</v>
      </c>
      <c r="O386" s="9" t="s">
        <v>189</v>
      </c>
      <c r="P386" s="9" t="s">
        <v>190</v>
      </c>
      <c r="Q386" s="9" t="s">
        <v>1131</v>
      </c>
      <c r="R386" s="9" t="s">
        <v>689</v>
      </c>
      <c r="S386" s="9" t="s">
        <v>1097</v>
      </c>
      <c r="T386" s="9" t="s">
        <v>275</v>
      </c>
      <c r="U386" s="19" t="n">
        <v>110</v>
      </c>
      <c r="V386" s="9"/>
      <c r="W386" s="9"/>
      <c r="X386" s="9" t="s">
        <v>205</v>
      </c>
      <c r="Y386" s="23" t="n">
        <v>1.857E-005</v>
      </c>
      <c r="Z386" s="23" t="n">
        <v>4.388E-005</v>
      </c>
      <c r="AA386" s="23" t="n">
        <v>3</v>
      </c>
      <c r="AB386" s="9" t="s">
        <v>1095</v>
      </c>
      <c r="AC386" s="9" t="s">
        <v>1132</v>
      </c>
      <c r="AD386" s="23" t="s">
        <v>197</v>
      </c>
      <c r="AE386" s="23" t="s">
        <v>197</v>
      </c>
      <c r="AF386" s="23" t="s">
        <v>197</v>
      </c>
      <c r="AG386" s="23" t="s">
        <v>197</v>
      </c>
      <c r="AH386" s="23" t="s">
        <v>197</v>
      </c>
      <c r="AI386" s="23" t="s">
        <v>197</v>
      </c>
      <c r="AJ386" s="23" t="n">
        <v>15</v>
      </c>
      <c r="AK386" s="23" t="s">
        <v>197</v>
      </c>
      <c r="AL386" s="23" t="n">
        <v>90</v>
      </c>
      <c r="AM386" s="9" t="s">
        <v>257</v>
      </c>
      <c r="AN386" s="23" t="s">
        <v>197</v>
      </c>
      <c r="AO386" s="23" t="n">
        <v>2</v>
      </c>
      <c r="AP386" s="23" t="n">
        <v>2.7</v>
      </c>
    </row>
    <row r="387" customFormat="false" ht="21.75" hidden="false" customHeight="true" outlineLevel="0" collapsed="false">
      <c r="B387" s="14" t="n">
        <v>383</v>
      </c>
      <c r="C387" s="7" t="s">
        <v>46</v>
      </c>
      <c r="D387" s="7" t="s">
        <v>20</v>
      </c>
      <c r="E387" s="7" t="s">
        <v>120</v>
      </c>
      <c r="F387" s="7" t="s">
        <v>66</v>
      </c>
      <c r="G387" s="7" t="s">
        <v>1138</v>
      </c>
      <c r="H387" s="7" t="s">
        <v>285</v>
      </c>
      <c r="I387" s="7" t="s">
        <v>1139</v>
      </c>
      <c r="J387" s="7" t="s">
        <v>1140</v>
      </c>
      <c r="K387" s="7" t="s">
        <v>250</v>
      </c>
      <c r="L387" s="7" t="s">
        <v>1095</v>
      </c>
      <c r="M387" s="7" t="s">
        <v>251</v>
      </c>
      <c r="N387" s="7" t="s">
        <v>288</v>
      </c>
      <c r="O387" s="7" t="s">
        <v>998</v>
      </c>
      <c r="P387" s="7" t="s">
        <v>190</v>
      </c>
      <c r="Q387" s="7" t="s">
        <v>1141</v>
      </c>
      <c r="R387" s="7" t="s">
        <v>590</v>
      </c>
      <c r="S387" s="7" t="s">
        <v>1097</v>
      </c>
      <c r="T387" s="7" t="s">
        <v>1142</v>
      </c>
      <c r="U387" s="18" t="n">
        <v>35</v>
      </c>
      <c r="V387" s="7"/>
      <c r="W387" s="7"/>
      <c r="X387" s="7" t="s">
        <v>195</v>
      </c>
      <c r="Y387" s="22" t="n">
        <v>0.026</v>
      </c>
      <c r="Z387" s="22" t="n">
        <v>0.036</v>
      </c>
      <c r="AA387" s="22" t="n">
        <v>12</v>
      </c>
      <c r="AB387" s="7" t="s">
        <v>1095</v>
      </c>
      <c r="AC387" s="7" t="s">
        <v>1121</v>
      </c>
      <c r="AD387" s="22" t="s">
        <v>197</v>
      </c>
      <c r="AE387" s="22" t="s">
        <v>197</v>
      </c>
      <c r="AF387" s="22" t="s">
        <v>197</v>
      </c>
      <c r="AG387" s="22" t="s">
        <v>197</v>
      </c>
      <c r="AH387" s="22" t="s">
        <v>197</v>
      </c>
      <c r="AI387" s="22" t="s">
        <v>197</v>
      </c>
      <c r="AJ387" s="22" t="s">
        <v>197</v>
      </c>
      <c r="AK387" s="22" t="n">
        <v>10</v>
      </c>
      <c r="AL387" s="22" t="n">
        <v>90</v>
      </c>
      <c r="AM387" s="7" t="s">
        <v>292</v>
      </c>
      <c r="AN387" s="22" t="s">
        <v>197</v>
      </c>
      <c r="AO387" s="22" t="n">
        <v>2</v>
      </c>
      <c r="AP387" s="22" t="n">
        <v>3</v>
      </c>
    </row>
    <row r="388" customFormat="false" ht="21.75" hidden="false" customHeight="true" outlineLevel="0" collapsed="false">
      <c r="B388" s="15" t="n">
        <v>384</v>
      </c>
      <c r="C388" s="9" t="s">
        <v>46</v>
      </c>
      <c r="D388" s="9" t="s">
        <v>20</v>
      </c>
      <c r="E388" s="9" t="s">
        <v>120</v>
      </c>
      <c r="F388" s="9" t="s">
        <v>66</v>
      </c>
      <c r="G388" s="9" t="s">
        <v>1143</v>
      </c>
      <c r="H388" s="9" t="s">
        <v>294</v>
      </c>
      <c r="I388" s="9" t="s">
        <v>1139</v>
      </c>
      <c r="J388" s="9" t="s">
        <v>1140</v>
      </c>
      <c r="K388" s="9" t="s">
        <v>250</v>
      </c>
      <c r="L388" s="9" t="s">
        <v>1095</v>
      </c>
      <c r="M388" s="9" t="s">
        <v>251</v>
      </c>
      <c r="N388" s="9" t="s">
        <v>288</v>
      </c>
      <c r="O388" s="9" t="s">
        <v>998</v>
      </c>
      <c r="P388" s="9" t="s">
        <v>190</v>
      </c>
      <c r="Q388" s="9" t="s">
        <v>1141</v>
      </c>
      <c r="R388" s="9" t="s">
        <v>590</v>
      </c>
      <c r="S388" s="9" t="s">
        <v>1097</v>
      </c>
      <c r="T388" s="9" t="s">
        <v>1142</v>
      </c>
      <c r="U388" s="19" t="n">
        <v>55</v>
      </c>
      <c r="V388" s="9"/>
      <c r="W388" s="9"/>
      <c r="X388" s="9" t="s">
        <v>199</v>
      </c>
      <c r="Y388" s="23" t="n">
        <v>0.024</v>
      </c>
      <c r="Z388" s="23" t="n">
        <v>0.034</v>
      </c>
      <c r="AA388" s="23" t="n">
        <v>12</v>
      </c>
      <c r="AB388" s="9" t="s">
        <v>1095</v>
      </c>
      <c r="AC388" s="9" t="s">
        <v>1121</v>
      </c>
      <c r="AD388" s="23" t="s">
        <v>197</v>
      </c>
      <c r="AE388" s="23" t="s">
        <v>197</v>
      </c>
      <c r="AF388" s="23" t="s">
        <v>197</v>
      </c>
      <c r="AG388" s="23" t="s">
        <v>197</v>
      </c>
      <c r="AH388" s="23" t="s">
        <v>197</v>
      </c>
      <c r="AI388" s="23" t="s">
        <v>197</v>
      </c>
      <c r="AJ388" s="23" t="s">
        <v>197</v>
      </c>
      <c r="AK388" s="23" t="n">
        <v>12</v>
      </c>
      <c r="AL388" s="23" t="n">
        <v>90</v>
      </c>
      <c r="AM388" s="9" t="s">
        <v>292</v>
      </c>
      <c r="AN388" s="23" t="s">
        <v>197</v>
      </c>
      <c r="AO388" s="23" t="n">
        <v>2</v>
      </c>
      <c r="AP388" s="23" t="n">
        <v>3</v>
      </c>
    </row>
    <row r="389" customFormat="false" ht="21.75" hidden="false" customHeight="true" outlineLevel="0" collapsed="false">
      <c r="B389" s="14" t="n">
        <v>385</v>
      </c>
      <c r="C389" s="7" t="s">
        <v>46</v>
      </c>
      <c r="D389" s="7" t="s">
        <v>20</v>
      </c>
      <c r="E389" s="7" t="s">
        <v>120</v>
      </c>
      <c r="F389" s="7" t="s">
        <v>66</v>
      </c>
      <c r="G389" s="7" t="s">
        <v>1144</v>
      </c>
      <c r="H389" s="7" t="s">
        <v>296</v>
      </c>
      <c r="I389" s="7" t="s">
        <v>1139</v>
      </c>
      <c r="J389" s="7" t="s">
        <v>1140</v>
      </c>
      <c r="K389" s="7" t="s">
        <v>250</v>
      </c>
      <c r="L389" s="7" t="s">
        <v>1095</v>
      </c>
      <c r="M389" s="7" t="s">
        <v>251</v>
      </c>
      <c r="N389" s="7" t="s">
        <v>288</v>
      </c>
      <c r="O389" s="7" t="s">
        <v>998</v>
      </c>
      <c r="P389" s="7" t="s">
        <v>190</v>
      </c>
      <c r="Q389" s="7" t="s">
        <v>1141</v>
      </c>
      <c r="R389" s="7" t="s">
        <v>590</v>
      </c>
      <c r="S389" s="7" t="s">
        <v>1097</v>
      </c>
      <c r="T389" s="7" t="s">
        <v>1142</v>
      </c>
      <c r="U389" s="18" t="n">
        <v>75</v>
      </c>
      <c r="V389" s="7"/>
      <c r="W389" s="7"/>
      <c r="X389" s="7" t="s">
        <v>1145</v>
      </c>
      <c r="Y389" s="22" t="n">
        <v>0.024</v>
      </c>
      <c r="Z389" s="22" t="n">
        <v>0.034</v>
      </c>
      <c r="AA389" s="22" t="n">
        <v>12</v>
      </c>
      <c r="AB389" s="7" t="s">
        <v>1095</v>
      </c>
      <c r="AC389" s="7" t="s">
        <v>1121</v>
      </c>
      <c r="AD389" s="22" t="s">
        <v>197</v>
      </c>
      <c r="AE389" s="22" t="s">
        <v>197</v>
      </c>
      <c r="AF389" s="22" t="s">
        <v>197</v>
      </c>
      <c r="AG389" s="22" t="s">
        <v>197</v>
      </c>
      <c r="AH389" s="22" t="s">
        <v>197</v>
      </c>
      <c r="AI389" s="22" t="s">
        <v>197</v>
      </c>
      <c r="AJ389" s="22" t="s">
        <v>197</v>
      </c>
      <c r="AK389" s="22" t="n">
        <v>12</v>
      </c>
      <c r="AL389" s="22" t="n">
        <v>90</v>
      </c>
      <c r="AM389" s="7" t="s">
        <v>292</v>
      </c>
      <c r="AN389" s="22" t="s">
        <v>197</v>
      </c>
      <c r="AO389" s="22" t="n">
        <v>2</v>
      </c>
      <c r="AP389" s="22" t="n">
        <v>3</v>
      </c>
    </row>
    <row r="390" customFormat="false" ht="21.75" hidden="false" customHeight="true" outlineLevel="0" collapsed="false">
      <c r="B390" s="15" t="n">
        <v>386</v>
      </c>
      <c r="C390" s="9" t="s">
        <v>46</v>
      </c>
      <c r="D390" s="9" t="s">
        <v>20</v>
      </c>
      <c r="E390" s="9" t="s">
        <v>120</v>
      </c>
      <c r="F390" s="9" t="s">
        <v>66</v>
      </c>
      <c r="G390" s="9" t="s">
        <v>1146</v>
      </c>
      <c r="H390" s="9" t="s">
        <v>299</v>
      </c>
      <c r="I390" s="9" t="s">
        <v>1139</v>
      </c>
      <c r="J390" s="9" t="s">
        <v>1140</v>
      </c>
      <c r="K390" s="9" t="s">
        <v>250</v>
      </c>
      <c r="L390" s="9" t="s">
        <v>1095</v>
      </c>
      <c r="M390" s="9" t="s">
        <v>251</v>
      </c>
      <c r="N390" s="9" t="s">
        <v>288</v>
      </c>
      <c r="O390" s="9" t="s">
        <v>998</v>
      </c>
      <c r="P390" s="9" t="s">
        <v>190</v>
      </c>
      <c r="Q390" s="9" t="s">
        <v>1141</v>
      </c>
      <c r="R390" s="9" t="s">
        <v>590</v>
      </c>
      <c r="S390" s="9" t="s">
        <v>1097</v>
      </c>
      <c r="T390" s="9" t="s">
        <v>1142</v>
      </c>
      <c r="U390" s="19" t="n">
        <v>115</v>
      </c>
      <c r="V390" s="9"/>
      <c r="W390" s="9"/>
      <c r="X390" s="9" t="s">
        <v>203</v>
      </c>
      <c r="Y390" s="23" t="n">
        <v>0.019</v>
      </c>
      <c r="Z390" s="23" t="n">
        <v>0.029</v>
      </c>
      <c r="AA390" s="23" t="n">
        <v>12</v>
      </c>
      <c r="AB390" s="9" t="s">
        <v>1095</v>
      </c>
      <c r="AC390" s="9" t="s">
        <v>1121</v>
      </c>
      <c r="AD390" s="23" t="s">
        <v>197</v>
      </c>
      <c r="AE390" s="23" t="s">
        <v>197</v>
      </c>
      <c r="AF390" s="23" t="s">
        <v>197</v>
      </c>
      <c r="AG390" s="23" t="s">
        <v>197</v>
      </c>
      <c r="AH390" s="23" t="s">
        <v>197</v>
      </c>
      <c r="AI390" s="23" t="s">
        <v>197</v>
      </c>
      <c r="AJ390" s="23" t="s">
        <v>197</v>
      </c>
      <c r="AK390" s="23" t="n">
        <v>15</v>
      </c>
      <c r="AL390" s="23" t="n">
        <v>90</v>
      </c>
      <c r="AM390" s="9" t="s">
        <v>292</v>
      </c>
      <c r="AN390" s="23" t="s">
        <v>197</v>
      </c>
      <c r="AO390" s="23" t="n">
        <v>2</v>
      </c>
      <c r="AP390" s="23" t="n">
        <v>3</v>
      </c>
    </row>
    <row r="391" customFormat="false" ht="21.75" hidden="false" customHeight="true" outlineLevel="0" collapsed="false">
      <c r="B391" s="14" t="n">
        <v>387</v>
      </c>
      <c r="C391" s="7" t="s">
        <v>46</v>
      </c>
      <c r="D391" s="7" t="s">
        <v>20</v>
      </c>
      <c r="E391" s="7" t="s">
        <v>120</v>
      </c>
      <c r="F391" s="7" t="s">
        <v>66</v>
      </c>
      <c r="G391" s="7" t="s">
        <v>1147</v>
      </c>
      <c r="H391" s="7" t="s">
        <v>301</v>
      </c>
      <c r="I391" s="7" t="s">
        <v>1139</v>
      </c>
      <c r="J391" s="7" t="s">
        <v>1140</v>
      </c>
      <c r="K391" s="7" t="s">
        <v>250</v>
      </c>
      <c r="L391" s="7" t="s">
        <v>1095</v>
      </c>
      <c r="M391" s="7" t="s">
        <v>251</v>
      </c>
      <c r="N391" s="7" t="s">
        <v>288</v>
      </c>
      <c r="O391" s="7" t="s">
        <v>998</v>
      </c>
      <c r="P391" s="7" t="s">
        <v>190</v>
      </c>
      <c r="Q391" s="7" t="s">
        <v>1141</v>
      </c>
      <c r="R391" s="7" t="s">
        <v>590</v>
      </c>
      <c r="S391" s="7" t="s">
        <v>1097</v>
      </c>
      <c r="T391" s="7" t="s">
        <v>1142</v>
      </c>
      <c r="U391" s="18" t="n">
        <v>170</v>
      </c>
      <c r="V391" s="7"/>
      <c r="W391" s="7"/>
      <c r="X391" s="7" t="s">
        <v>205</v>
      </c>
      <c r="Y391" s="22" t="n">
        <v>0.02</v>
      </c>
      <c r="Z391" s="22" t="n">
        <v>0.03</v>
      </c>
      <c r="AA391" s="22" t="n">
        <v>12</v>
      </c>
      <c r="AB391" s="7" t="s">
        <v>1095</v>
      </c>
      <c r="AC391" s="7" t="s">
        <v>1121</v>
      </c>
      <c r="AD391" s="22" t="s">
        <v>197</v>
      </c>
      <c r="AE391" s="22" t="s">
        <v>197</v>
      </c>
      <c r="AF391" s="22" t="s">
        <v>197</v>
      </c>
      <c r="AG391" s="22" t="s">
        <v>197</v>
      </c>
      <c r="AH391" s="22" t="s">
        <v>197</v>
      </c>
      <c r="AI391" s="22" t="s">
        <v>197</v>
      </c>
      <c r="AJ391" s="22" t="s">
        <v>197</v>
      </c>
      <c r="AK391" s="22" t="n">
        <v>20</v>
      </c>
      <c r="AL391" s="22" t="n">
        <v>90</v>
      </c>
      <c r="AM391" s="7" t="s">
        <v>292</v>
      </c>
      <c r="AN391" s="22" t="s">
        <v>197</v>
      </c>
      <c r="AO391" s="22" t="n">
        <v>2</v>
      </c>
      <c r="AP391" s="22" t="n">
        <v>3</v>
      </c>
    </row>
    <row r="392" customFormat="false" ht="21.75" hidden="false" customHeight="true" outlineLevel="0" collapsed="false">
      <c r="B392" s="15" t="n">
        <v>388</v>
      </c>
      <c r="C392" s="9" t="s">
        <v>46</v>
      </c>
      <c r="D392" s="9" t="s">
        <v>20</v>
      </c>
      <c r="E392" s="9" t="s">
        <v>120</v>
      </c>
      <c r="F392" s="9" t="s">
        <v>67</v>
      </c>
      <c r="G392" s="9" t="s">
        <v>1148</v>
      </c>
      <c r="H392" s="9" t="s">
        <v>303</v>
      </c>
      <c r="I392" s="9" t="s">
        <v>1149</v>
      </c>
      <c r="J392" s="9" t="s">
        <v>1150</v>
      </c>
      <c r="K392" s="9" t="s">
        <v>250</v>
      </c>
      <c r="L392" s="9" t="s">
        <v>1095</v>
      </c>
      <c r="M392" s="9" t="s">
        <v>306</v>
      </c>
      <c r="N392" s="9" t="s">
        <v>189</v>
      </c>
      <c r="O392" s="9" t="s">
        <v>189</v>
      </c>
      <c r="P392" s="9" t="s">
        <v>190</v>
      </c>
      <c r="Q392" s="9" t="s">
        <v>1151</v>
      </c>
      <c r="R392" s="9" t="s">
        <v>1152</v>
      </c>
      <c r="S392" s="9" t="s">
        <v>1097</v>
      </c>
      <c r="T392" s="9" t="s">
        <v>309</v>
      </c>
      <c r="U392" s="19" t="n">
        <v>8</v>
      </c>
      <c r="V392" s="9"/>
      <c r="W392" s="9"/>
      <c r="X392" s="9" t="s">
        <v>195</v>
      </c>
      <c r="Y392" s="23" t="n">
        <v>0</v>
      </c>
      <c r="Z392" s="23" t="n">
        <v>0</v>
      </c>
      <c r="AA392" s="23" t="s">
        <v>197</v>
      </c>
      <c r="AB392" s="9" t="s">
        <v>1095</v>
      </c>
      <c r="AC392" s="9" t="s">
        <v>1121</v>
      </c>
      <c r="AD392" s="23" t="s">
        <v>197</v>
      </c>
      <c r="AE392" s="23" t="s">
        <v>197</v>
      </c>
      <c r="AF392" s="23" t="s">
        <v>197</v>
      </c>
      <c r="AG392" s="23" t="s">
        <v>197</v>
      </c>
      <c r="AH392" s="23" t="s">
        <v>197</v>
      </c>
      <c r="AI392" s="23" t="s">
        <v>197</v>
      </c>
      <c r="AJ392" s="23" t="s">
        <v>197</v>
      </c>
      <c r="AK392" s="23" t="s">
        <v>197</v>
      </c>
      <c r="AL392" s="23" t="s">
        <v>197</v>
      </c>
      <c r="AM392" s="9" t="s">
        <v>310</v>
      </c>
      <c r="AN392" s="23" t="s">
        <v>197</v>
      </c>
      <c r="AO392" s="23" t="s">
        <v>197</v>
      </c>
      <c r="AP392" s="23" t="s">
        <v>197</v>
      </c>
    </row>
    <row r="393" customFormat="false" ht="21.75" hidden="false" customHeight="true" outlineLevel="0" collapsed="false">
      <c r="B393" s="14" t="n">
        <v>389</v>
      </c>
      <c r="C393" s="7" t="s">
        <v>46</v>
      </c>
      <c r="D393" s="7" t="s">
        <v>20</v>
      </c>
      <c r="E393" s="7" t="s">
        <v>120</v>
      </c>
      <c r="F393" s="7" t="s">
        <v>67</v>
      </c>
      <c r="G393" s="7" t="s">
        <v>1153</v>
      </c>
      <c r="H393" s="7" t="s">
        <v>312</v>
      </c>
      <c r="I393" s="7" t="s">
        <v>1149</v>
      </c>
      <c r="J393" s="7" t="s">
        <v>1150</v>
      </c>
      <c r="K393" s="7" t="s">
        <v>250</v>
      </c>
      <c r="L393" s="7" t="s">
        <v>1095</v>
      </c>
      <c r="M393" s="7" t="s">
        <v>306</v>
      </c>
      <c r="N393" s="7" t="s">
        <v>189</v>
      </c>
      <c r="O393" s="7" t="s">
        <v>189</v>
      </c>
      <c r="P393" s="7" t="s">
        <v>190</v>
      </c>
      <c r="Q393" s="7" t="s">
        <v>1151</v>
      </c>
      <c r="R393" s="7" t="s">
        <v>1152</v>
      </c>
      <c r="S393" s="7" t="s">
        <v>1097</v>
      </c>
      <c r="T393" s="7" t="s">
        <v>309</v>
      </c>
      <c r="U393" s="18" t="n">
        <v>10</v>
      </c>
      <c r="V393" s="7"/>
      <c r="W393" s="7"/>
      <c r="X393" s="7" t="s">
        <v>199</v>
      </c>
      <c r="Y393" s="22" t="n">
        <v>0</v>
      </c>
      <c r="Z393" s="22" t="n">
        <v>0</v>
      </c>
      <c r="AA393" s="22" t="s">
        <v>197</v>
      </c>
      <c r="AB393" s="7" t="s">
        <v>1095</v>
      </c>
      <c r="AC393" s="7" t="s">
        <v>1121</v>
      </c>
      <c r="AD393" s="22" t="s">
        <v>197</v>
      </c>
      <c r="AE393" s="22" t="s">
        <v>197</v>
      </c>
      <c r="AF393" s="22" t="s">
        <v>197</v>
      </c>
      <c r="AG393" s="22" t="s">
        <v>197</v>
      </c>
      <c r="AH393" s="22" t="s">
        <v>197</v>
      </c>
      <c r="AI393" s="22" t="s">
        <v>197</v>
      </c>
      <c r="AJ393" s="22" t="s">
        <v>197</v>
      </c>
      <c r="AK393" s="22" t="s">
        <v>197</v>
      </c>
      <c r="AL393" s="22" t="s">
        <v>197</v>
      </c>
      <c r="AM393" s="7" t="s">
        <v>310</v>
      </c>
      <c r="AN393" s="22" t="s">
        <v>197</v>
      </c>
      <c r="AO393" s="22" t="s">
        <v>197</v>
      </c>
      <c r="AP393" s="22" t="s">
        <v>197</v>
      </c>
    </row>
    <row r="394" customFormat="false" ht="21.75" hidden="false" customHeight="true" outlineLevel="0" collapsed="false">
      <c r="B394" s="15" t="n">
        <v>390</v>
      </c>
      <c r="C394" s="9" t="s">
        <v>46</v>
      </c>
      <c r="D394" s="9" t="s">
        <v>20</v>
      </c>
      <c r="E394" s="9" t="s">
        <v>120</v>
      </c>
      <c r="F394" s="9" t="s">
        <v>67</v>
      </c>
      <c r="G394" s="9" t="s">
        <v>1154</v>
      </c>
      <c r="H394" s="9" t="s">
        <v>314</v>
      </c>
      <c r="I394" s="9" t="s">
        <v>1149</v>
      </c>
      <c r="J394" s="9" t="s">
        <v>1150</v>
      </c>
      <c r="K394" s="9" t="s">
        <v>250</v>
      </c>
      <c r="L394" s="9" t="s">
        <v>1095</v>
      </c>
      <c r="M394" s="9" t="s">
        <v>306</v>
      </c>
      <c r="N394" s="9" t="s">
        <v>189</v>
      </c>
      <c r="O394" s="9" t="s">
        <v>189</v>
      </c>
      <c r="P394" s="9" t="s">
        <v>190</v>
      </c>
      <c r="Q394" s="9" t="s">
        <v>1151</v>
      </c>
      <c r="R394" s="9" t="s">
        <v>1152</v>
      </c>
      <c r="S394" s="9" t="s">
        <v>1097</v>
      </c>
      <c r="T394" s="9" t="s">
        <v>309</v>
      </c>
      <c r="U394" s="19" t="n">
        <v>14</v>
      </c>
      <c r="V394" s="9"/>
      <c r="W394" s="9"/>
      <c r="X394" s="9" t="s">
        <v>1155</v>
      </c>
      <c r="Y394" s="23" t="n">
        <v>0</v>
      </c>
      <c r="Z394" s="23" t="n">
        <v>0</v>
      </c>
      <c r="AA394" s="23" t="s">
        <v>197</v>
      </c>
      <c r="AB394" s="9" t="s">
        <v>1095</v>
      </c>
      <c r="AC394" s="9" t="s">
        <v>1121</v>
      </c>
      <c r="AD394" s="23" t="s">
        <v>197</v>
      </c>
      <c r="AE394" s="23" t="s">
        <v>197</v>
      </c>
      <c r="AF394" s="23" t="s">
        <v>197</v>
      </c>
      <c r="AG394" s="23" t="s">
        <v>197</v>
      </c>
      <c r="AH394" s="23" t="s">
        <v>197</v>
      </c>
      <c r="AI394" s="23" t="s">
        <v>197</v>
      </c>
      <c r="AJ394" s="23" t="s">
        <v>197</v>
      </c>
      <c r="AK394" s="23" t="s">
        <v>197</v>
      </c>
      <c r="AL394" s="23" t="s">
        <v>197</v>
      </c>
      <c r="AM394" s="9" t="s">
        <v>310</v>
      </c>
      <c r="AN394" s="23" t="s">
        <v>197</v>
      </c>
      <c r="AO394" s="23" t="s">
        <v>197</v>
      </c>
      <c r="AP394" s="23" t="s">
        <v>197</v>
      </c>
    </row>
    <row r="395" customFormat="false" ht="21.75" hidden="false" customHeight="true" outlineLevel="0" collapsed="false">
      <c r="B395" s="14" t="n">
        <v>391</v>
      </c>
      <c r="C395" s="7" t="s">
        <v>46</v>
      </c>
      <c r="D395" s="7" t="s">
        <v>20</v>
      </c>
      <c r="E395" s="7" t="s">
        <v>120</v>
      </c>
      <c r="F395" s="7" t="s">
        <v>67</v>
      </c>
      <c r="G395" s="7" t="s">
        <v>1156</v>
      </c>
      <c r="H395" s="7" t="s">
        <v>317</v>
      </c>
      <c r="I395" s="7" t="s">
        <v>1149</v>
      </c>
      <c r="J395" s="7" t="s">
        <v>1150</v>
      </c>
      <c r="K395" s="7" t="s">
        <v>250</v>
      </c>
      <c r="L395" s="7" t="s">
        <v>1095</v>
      </c>
      <c r="M395" s="7" t="s">
        <v>306</v>
      </c>
      <c r="N395" s="7" t="s">
        <v>189</v>
      </c>
      <c r="O395" s="7" t="s">
        <v>189</v>
      </c>
      <c r="P395" s="7" t="s">
        <v>190</v>
      </c>
      <c r="Q395" s="7" t="s">
        <v>1151</v>
      </c>
      <c r="R395" s="7" t="s">
        <v>1152</v>
      </c>
      <c r="S395" s="7" t="s">
        <v>1097</v>
      </c>
      <c r="T395" s="7" t="s">
        <v>309</v>
      </c>
      <c r="U395" s="18" t="n">
        <v>20</v>
      </c>
      <c r="V395" s="7"/>
      <c r="W395" s="7"/>
      <c r="X395" s="7" t="s">
        <v>203</v>
      </c>
      <c r="Y395" s="22" t="n">
        <v>0</v>
      </c>
      <c r="Z395" s="22" t="n">
        <v>0</v>
      </c>
      <c r="AA395" s="22" t="s">
        <v>197</v>
      </c>
      <c r="AB395" s="7" t="s">
        <v>1095</v>
      </c>
      <c r="AC395" s="7" t="s">
        <v>1121</v>
      </c>
      <c r="AD395" s="22" t="s">
        <v>197</v>
      </c>
      <c r="AE395" s="22" t="s">
        <v>197</v>
      </c>
      <c r="AF395" s="22" t="s">
        <v>197</v>
      </c>
      <c r="AG395" s="22" t="s">
        <v>197</v>
      </c>
      <c r="AH395" s="22" t="s">
        <v>197</v>
      </c>
      <c r="AI395" s="22" t="s">
        <v>197</v>
      </c>
      <c r="AJ395" s="22" t="s">
        <v>197</v>
      </c>
      <c r="AK395" s="22" t="s">
        <v>197</v>
      </c>
      <c r="AL395" s="22" t="s">
        <v>197</v>
      </c>
      <c r="AM395" s="7" t="s">
        <v>310</v>
      </c>
      <c r="AN395" s="22" t="s">
        <v>197</v>
      </c>
      <c r="AO395" s="22" t="s">
        <v>197</v>
      </c>
      <c r="AP395" s="22" t="s">
        <v>197</v>
      </c>
    </row>
    <row r="396" customFormat="false" ht="21.75" hidden="false" customHeight="true" outlineLevel="0" collapsed="false">
      <c r="B396" s="15" t="n">
        <v>392</v>
      </c>
      <c r="C396" s="9" t="s">
        <v>46</v>
      </c>
      <c r="D396" s="9" t="s">
        <v>20</v>
      </c>
      <c r="E396" s="9" t="s">
        <v>120</v>
      </c>
      <c r="F396" s="9" t="s">
        <v>67</v>
      </c>
      <c r="G396" s="9" t="s">
        <v>1157</v>
      </c>
      <c r="H396" s="9" t="s">
        <v>319</v>
      </c>
      <c r="I396" s="9" t="s">
        <v>1149</v>
      </c>
      <c r="J396" s="9" t="s">
        <v>1150</v>
      </c>
      <c r="K396" s="9" t="s">
        <v>250</v>
      </c>
      <c r="L396" s="9" t="s">
        <v>1095</v>
      </c>
      <c r="M396" s="9" t="s">
        <v>306</v>
      </c>
      <c r="N396" s="9" t="s">
        <v>189</v>
      </c>
      <c r="O396" s="9" t="s">
        <v>189</v>
      </c>
      <c r="P396" s="9" t="s">
        <v>190</v>
      </c>
      <c r="Q396" s="9" t="s">
        <v>1151</v>
      </c>
      <c r="R396" s="9" t="s">
        <v>1152</v>
      </c>
      <c r="S396" s="9" t="s">
        <v>1097</v>
      </c>
      <c r="T396" s="9" t="s">
        <v>309</v>
      </c>
      <c r="U396" s="19" t="n">
        <v>30</v>
      </c>
      <c r="V396" s="9"/>
      <c r="W396" s="9"/>
      <c r="X396" s="9" t="s">
        <v>205</v>
      </c>
      <c r="Y396" s="23" t="n">
        <v>0</v>
      </c>
      <c r="Z396" s="23" t="n">
        <v>0</v>
      </c>
      <c r="AA396" s="23" t="s">
        <v>197</v>
      </c>
      <c r="AB396" s="9" t="s">
        <v>1095</v>
      </c>
      <c r="AC396" s="9" t="s">
        <v>1121</v>
      </c>
      <c r="AD396" s="23" t="s">
        <v>197</v>
      </c>
      <c r="AE396" s="23" t="s">
        <v>197</v>
      </c>
      <c r="AF396" s="23" t="s">
        <v>197</v>
      </c>
      <c r="AG396" s="23" t="s">
        <v>197</v>
      </c>
      <c r="AH396" s="23" t="s">
        <v>197</v>
      </c>
      <c r="AI396" s="23" t="s">
        <v>197</v>
      </c>
      <c r="AJ396" s="23" t="s">
        <v>197</v>
      </c>
      <c r="AK396" s="23" t="s">
        <v>197</v>
      </c>
      <c r="AL396" s="23" t="s">
        <v>197</v>
      </c>
      <c r="AM396" s="9" t="s">
        <v>310</v>
      </c>
      <c r="AN396" s="23" t="s">
        <v>197</v>
      </c>
      <c r="AO396" s="23" t="s">
        <v>197</v>
      </c>
      <c r="AP396" s="23" t="s">
        <v>197</v>
      </c>
    </row>
    <row r="397" customFormat="false" ht="21.75" hidden="false" customHeight="true" outlineLevel="0" collapsed="false">
      <c r="B397" s="14" t="n">
        <v>393</v>
      </c>
      <c r="C397" s="7" t="s">
        <v>46</v>
      </c>
      <c r="D397" s="7" t="s">
        <v>20</v>
      </c>
      <c r="E397" s="7" t="s">
        <v>120</v>
      </c>
      <c r="F397" s="7" t="s">
        <v>68</v>
      </c>
      <c r="G397" s="7" t="s">
        <v>1158</v>
      </c>
      <c r="H397" s="7" t="s">
        <v>321</v>
      </c>
      <c r="I397" s="7" t="s">
        <v>1159</v>
      </c>
      <c r="J397" s="7" t="s">
        <v>1160</v>
      </c>
      <c r="K397" s="7" t="s">
        <v>250</v>
      </c>
      <c r="L397" s="7" t="s">
        <v>1095</v>
      </c>
      <c r="M397" s="7" t="s">
        <v>251</v>
      </c>
      <c r="N397" s="7" t="s">
        <v>504</v>
      </c>
      <c r="O397" s="7" t="s">
        <v>189</v>
      </c>
      <c r="P397" s="7" t="s">
        <v>190</v>
      </c>
      <c r="Q397" s="7" t="s">
        <v>555</v>
      </c>
      <c r="R397" s="7" t="s">
        <v>1161</v>
      </c>
      <c r="S397" s="7" t="s">
        <v>1097</v>
      </c>
      <c r="T397" s="7" t="s">
        <v>735</v>
      </c>
      <c r="U397" s="18" t="n">
        <v>18</v>
      </c>
      <c r="V397" s="7"/>
      <c r="W397" s="7"/>
      <c r="X397" s="7" t="s">
        <v>195</v>
      </c>
      <c r="Y397" s="22" t="n">
        <v>0.019</v>
      </c>
      <c r="Z397" s="22" t="n">
        <v>0.028</v>
      </c>
      <c r="AA397" s="22" t="n">
        <v>12</v>
      </c>
      <c r="AB397" s="7" t="s">
        <v>1095</v>
      </c>
      <c r="AC397" s="7" t="s">
        <v>1121</v>
      </c>
      <c r="AD397" s="22" t="s">
        <v>197</v>
      </c>
      <c r="AE397" s="22" t="s">
        <v>197</v>
      </c>
      <c r="AF397" s="22" t="s">
        <v>197</v>
      </c>
      <c r="AG397" s="22" t="s">
        <v>197</v>
      </c>
      <c r="AH397" s="22" t="s">
        <v>197</v>
      </c>
      <c r="AI397" s="22" t="s">
        <v>197</v>
      </c>
      <c r="AJ397" s="22" t="n">
        <v>6</v>
      </c>
      <c r="AK397" s="22" t="s">
        <v>197</v>
      </c>
      <c r="AL397" s="22" t="s">
        <v>197</v>
      </c>
      <c r="AM397" s="7" t="s">
        <v>328</v>
      </c>
      <c r="AN397" s="22" t="s">
        <v>197</v>
      </c>
      <c r="AO397" s="22" t="n">
        <v>2</v>
      </c>
      <c r="AP397" s="22" t="n">
        <v>4.6</v>
      </c>
    </row>
    <row r="398" customFormat="false" ht="21.75" hidden="false" customHeight="true" outlineLevel="0" collapsed="false">
      <c r="B398" s="15" t="n">
        <v>394</v>
      </c>
      <c r="C398" s="9" t="s">
        <v>46</v>
      </c>
      <c r="D398" s="9" t="s">
        <v>20</v>
      </c>
      <c r="E398" s="9" t="s">
        <v>120</v>
      </c>
      <c r="F398" s="9" t="s">
        <v>68</v>
      </c>
      <c r="G398" s="9" t="s">
        <v>1162</v>
      </c>
      <c r="H398" s="9" t="s">
        <v>330</v>
      </c>
      <c r="I398" s="9" t="s">
        <v>1159</v>
      </c>
      <c r="J398" s="9" t="s">
        <v>1160</v>
      </c>
      <c r="K398" s="9" t="s">
        <v>250</v>
      </c>
      <c r="L398" s="9" t="s">
        <v>1095</v>
      </c>
      <c r="M398" s="9" t="s">
        <v>251</v>
      </c>
      <c r="N398" s="9" t="s">
        <v>504</v>
      </c>
      <c r="O398" s="9" t="s">
        <v>189</v>
      </c>
      <c r="P398" s="9" t="s">
        <v>190</v>
      </c>
      <c r="Q398" s="9" t="s">
        <v>555</v>
      </c>
      <c r="R398" s="9" t="s">
        <v>1161</v>
      </c>
      <c r="S398" s="9" t="s">
        <v>1097</v>
      </c>
      <c r="T398" s="9" t="s">
        <v>735</v>
      </c>
      <c r="U398" s="19" t="n">
        <v>25</v>
      </c>
      <c r="V398" s="9"/>
      <c r="W398" s="9"/>
      <c r="X398" s="9" t="s">
        <v>199</v>
      </c>
      <c r="Y398" s="23" t="n">
        <v>0.013</v>
      </c>
      <c r="Z398" s="23" t="n">
        <v>0.022</v>
      </c>
      <c r="AA398" s="23" t="n">
        <v>12</v>
      </c>
      <c r="AB398" s="9" t="s">
        <v>1095</v>
      </c>
      <c r="AC398" s="9" t="s">
        <v>1121</v>
      </c>
      <c r="AD398" s="23" t="s">
        <v>197</v>
      </c>
      <c r="AE398" s="23" t="s">
        <v>197</v>
      </c>
      <c r="AF398" s="23" t="s">
        <v>197</v>
      </c>
      <c r="AG398" s="23" t="s">
        <v>197</v>
      </c>
      <c r="AH398" s="23" t="s">
        <v>197</v>
      </c>
      <c r="AI398" s="23" t="s">
        <v>197</v>
      </c>
      <c r="AJ398" s="23" t="n">
        <v>7.6</v>
      </c>
      <c r="AK398" s="23" t="s">
        <v>197</v>
      </c>
      <c r="AL398" s="23" t="s">
        <v>197</v>
      </c>
      <c r="AM398" s="9" t="s">
        <v>328</v>
      </c>
      <c r="AN398" s="23" t="s">
        <v>197</v>
      </c>
      <c r="AO398" s="23" t="n">
        <v>2</v>
      </c>
      <c r="AP398" s="23" t="n">
        <v>4.6</v>
      </c>
    </row>
    <row r="399" customFormat="false" ht="21.75" hidden="false" customHeight="true" outlineLevel="0" collapsed="false">
      <c r="B399" s="14" t="n">
        <v>395</v>
      </c>
      <c r="C399" s="7" t="s">
        <v>46</v>
      </c>
      <c r="D399" s="7" t="s">
        <v>20</v>
      </c>
      <c r="E399" s="7" t="s">
        <v>120</v>
      </c>
      <c r="F399" s="7" t="s">
        <v>68</v>
      </c>
      <c r="G399" s="7" t="s">
        <v>1163</v>
      </c>
      <c r="H399" s="7" t="s">
        <v>332</v>
      </c>
      <c r="I399" s="7" t="s">
        <v>1159</v>
      </c>
      <c r="J399" s="7" t="s">
        <v>1160</v>
      </c>
      <c r="K399" s="7" t="s">
        <v>250</v>
      </c>
      <c r="L399" s="7" t="s">
        <v>1095</v>
      </c>
      <c r="M399" s="7" t="s">
        <v>251</v>
      </c>
      <c r="N399" s="7" t="s">
        <v>504</v>
      </c>
      <c r="O399" s="7" t="s">
        <v>189</v>
      </c>
      <c r="P399" s="7" t="s">
        <v>190</v>
      </c>
      <c r="Q399" s="7" t="s">
        <v>555</v>
      </c>
      <c r="R399" s="7" t="s">
        <v>1161</v>
      </c>
      <c r="S399" s="7" t="s">
        <v>1097</v>
      </c>
      <c r="T399" s="7" t="s">
        <v>735</v>
      </c>
      <c r="U399" s="18" t="n">
        <v>35</v>
      </c>
      <c r="V399" s="7"/>
      <c r="W399" s="7"/>
      <c r="X399" s="7" t="s">
        <v>1164</v>
      </c>
      <c r="Y399" s="22" t="n">
        <v>0.015</v>
      </c>
      <c r="Z399" s="22" t="n">
        <v>0.024</v>
      </c>
      <c r="AA399" s="22" t="n">
        <v>12</v>
      </c>
      <c r="AB399" s="7" t="s">
        <v>1095</v>
      </c>
      <c r="AC399" s="7" t="s">
        <v>1121</v>
      </c>
      <c r="AD399" s="22" t="s">
        <v>197</v>
      </c>
      <c r="AE399" s="22" t="s">
        <v>197</v>
      </c>
      <c r="AF399" s="22" t="s">
        <v>197</v>
      </c>
      <c r="AG399" s="22" t="s">
        <v>197</v>
      </c>
      <c r="AH399" s="22" t="s">
        <v>197</v>
      </c>
      <c r="AI399" s="22" t="s">
        <v>197</v>
      </c>
      <c r="AJ399" s="22" t="n">
        <v>7.6</v>
      </c>
      <c r="AK399" s="22" t="s">
        <v>197</v>
      </c>
      <c r="AL399" s="22" t="s">
        <v>197</v>
      </c>
      <c r="AM399" s="7" t="s">
        <v>328</v>
      </c>
      <c r="AN399" s="22" t="s">
        <v>197</v>
      </c>
      <c r="AO399" s="22" t="n">
        <v>2</v>
      </c>
      <c r="AP399" s="22" t="n">
        <v>4.6</v>
      </c>
    </row>
    <row r="400" customFormat="false" ht="21.75" hidden="false" customHeight="true" outlineLevel="0" collapsed="false">
      <c r="B400" s="15" t="n">
        <v>396</v>
      </c>
      <c r="C400" s="9" t="s">
        <v>46</v>
      </c>
      <c r="D400" s="9" t="s">
        <v>20</v>
      </c>
      <c r="E400" s="9" t="s">
        <v>120</v>
      </c>
      <c r="F400" s="9" t="s">
        <v>68</v>
      </c>
      <c r="G400" s="9" t="s">
        <v>1165</v>
      </c>
      <c r="H400" s="9" t="s">
        <v>335</v>
      </c>
      <c r="I400" s="9" t="s">
        <v>1159</v>
      </c>
      <c r="J400" s="9" t="s">
        <v>1160</v>
      </c>
      <c r="K400" s="9" t="s">
        <v>250</v>
      </c>
      <c r="L400" s="9" t="s">
        <v>1095</v>
      </c>
      <c r="M400" s="9" t="s">
        <v>251</v>
      </c>
      <c r="N400" s="9" t="s">
        <v>504</v>
      </c>
      <c r="O400" s="9" t="s">
        <v>189</v>
      </c>
      <c r="P400" s="9" t="s">
        <v>190</v>
      </c>
      <c r="Q400" s="9" t="s">
        <v>555</v>
      </c>
      <c r="R400" s="9" t="s">
        <v>1161</v>
      </c>
      <c r="S400" s="9" t="s">
        <v>1097</v>
      </c>
      <c r="T400" s="9" t="s">
        <v>735</v>
      </c>
      <c r="U400" s="19" t="n">
        <v>50</v>
      </c>
      <c r="V400" s="9"/>
      <c r="W400" s="9"/>
      <c r="X400" s="9" t="s">
        <v>203</v>
      </c>
      <c r="Y400" s="23" t="n">
        <v>0.019</v>
      </c>
      <c r="Z400" s="23" t="n">
        <v>0.029</v>
      </c>
      <c r="AA400" s="23" t="n">
        <v>12</v>
      </c>
      <c r="AB400" s="9" t="s">
        <v>1095</v>
      </c>
      <c r="AC400" s="9" t="s">
        <v>1121</v>
      </c>
      <c r="AD400" s="23" t="s">
        <v>197</v>
      </c>
      <c r="AE400" s="23" t="s">
        <v>197</v>
      </c>
      <c r="AF400" s="23" t="s">
        <v>197</v>
      </c>
      <c r="AG400" s="23" t="s">
        <v>197</v>
      </c>
      <c r="AH400" s="23" t="s">
        <v>197</v>
      </c>
      <c r="AI400" s="23" t="s">
        <v>197</v>
      </c>
      <c r="AJ400" s="23" t="n">
        <v>9</v>
      </c>
      <c r="AK400" s="23" t="s">
        <v>197</v>
      </c>
      <c r="AL400" s="23" t="s">
        <v>197</v>
      </c>
      <c r="AM400" s="9" t="s">
        <v>328</v>
      </c>
      <c r="AN400" s="23" t="s">
        <v>197</v>
      </c>
      <c r="AO400" s="23" t="n">
        <v>2</v>
      </c>
      <c r="AP400" s="23" t="n">
        <v>4.6</v>
      </c>
    </row>
    <row r="401" customFormat="false" ht="21.75" hidden="false" customHeight="true" outlineLevel="0" collapsed="false">
      <c r="B401" s="14" t="n">
        <v>397</v>
      </c>
      <c r="C401" s="7" t="s">
        <v>46</v>
      </c>
      <c r="D401" s="7" t="s">
        <v>20</v>
      </c>
      <c r="E401" s="7" t="s">
        <v>120</v>
      </c>
      <c r="F401" s="7" t="s">
        <v>68</v>
      </c>
      <c r="G401" s="7" t="s">
        <v>1166</v>
      </c>
      <c r="H401" s="7" t="s">
        <v>337</v>
      </c>
      <c r="I401" s="7" t="s">
        <v>1159</v>
      </c>
      <c r="J401" s="7" t="s">
        <v>1160</v>
      </c>
      <c r="K401" s="7" t="s">
        <v>250</v>
      </c>
      <c r="L401" s="7" t="s">
        <v>1095</v>
      </c>
      <c r="M401" s="7" t="s">
        <v>251</v>
      </c>
      <c r="N401" s="7" t="s">
        <v>504</v>
      </c>
      <c r="O401" s="7" t="s">
        <v>189</v>
      </c>
      <c r="P401" s="7" t="s">
        <v>190</v>
      </c>
      <c r="Q401" s="7" t="s">
        <v>555</v>
      </c>
      <c r="R401" s="7" t="s">
        <v>1161</v>
      </c>
      <c r="S401" s="7" t="s">
        <v>1097</v>
      </c>
      <c r="T401" s="7" t="s">
        <v>735</v>
      </c>
      <c r="U401" s="18" t="n">
        <v>75</v>
      </c>
      <c r="V401" s="7"/>
      <c r="W401" s="7"/>
      <c r="X401" s="7" t="s">
        <v>205</v>
      </c>
      <c r="Y401" s="22" t="n">
        <v>0.012</v>
      </c>
      <c r="Z401" s="22" t="n">
        <v>0.02</v>
      </c>
      <c r="AA401" s="22" t="n">
        <v>12</v>
      </c>
      <c r="AB401" s="7" t="s">
        <v>1095</v>
      </c>
      <c r="AC401" s="7" t="s">
        <v>1121</v>
      </c>
      <c r="AD401" s="22" t="s">
        <v>197</v>
      </c>
      <c r="AE401" s="22" t="s">
        <v>197</v>
      </c>
      <c r="AF401" s="22" t="s">
        <v>197</v>
      </c>
      <c r="AG401" s="22" t="s">
        <v>197</v>
      </c>
      <c r="AH401" s="22" t="s">
        <v>197</v>
      </c>
      <c r="AI401" s="22" t="s">
        <v>197</v>
      </c>
      <c r="AJ401" s="22" t="n">
        <v>9</v>
      </c>
      <c r="AK401" s="22" t="s">
        <v>197</v>
      </c>
      <c r="AL401" s="22" t="s">
        <v>197</v>
      </c>
      <c r="AM401" s="7" t="s">
        <v>328</v>
      </c>
      <c r="AN401" s="22" t="s">
        <v>197</v>
      </c>
      <c r="AO401" s="22" t="n">
        <v>2</v>
      </c>
      <c r="AP401" s="22" t="n">
        <v>4.6</v>
      </c>
    </row>
    <row r="402" customFormat="false" ht="21.75" hidden="false" customHeight="true" outlineLevel="0" collapsed="false">
      <c r="B402" s="15" t="n">
        <v>398</v>
      </c>
      <c r="C402" s="9" t="s">
        <v>46</v>
      </c>
      <c r="D402" s="9" t="s">
        <v>20</v>
      </c>
      <c r="E402" s="9" t="s">
        <v>120</v>
      </c>
      <c r="F402" s="9" t="s">
        <v>69</v>
      </c>
      <c r="G402" s="9" t="s">
        <v>1167</v>
      </c>
      <c r="H402" s="9" t="s">
        <v>339</v>
      </c>
      <c r="I402" s="9" t="s">
        <v>1168</v>
      </c>
      <c r="J402" s="9" t="s">
        <v>1169</v>
      </c>
      <c r="K402" s="9" t="s">
        <v>1107</v>
      </c>
      <c r="L402" s="9" t="s">
        <v>1095</v>
      </c>
      <c r="M402" s="9" t="s">
        <v>1170</v>
      </c>
      <c r="N402" s="9" t="s">
        <v>189</v>
      </c>
      <c r="O402" s="9" t="s">
        <v>531</v>
      </c>
      <c r="P402" s="9" t="s">
        <v>190</v>
      </c>
      <c r="Q402" s="9" t="s">
        <v>567</v>
      </c>
      <c r="R402" s="9" t="s">
        <v>568</v>
      </c>
      <c r="S402" s="9" t="s">
        <v>1097</v>
      </c>
      <c r="T402" s="9" t="s">
        <v>348</v>
      </c>
      <c r="U402" s="19" t="n">
        <v>35</v>
      </c>
      <c r="V402" s="9"/>
      <c r="W402" s="9"/>
      <c r="X402" s="9" t="s">
        <v>195</v>
      </c>
      <c r="Y402" s="23" t="n">
        <v>1.799E-005</v>
      </c>
      <c r="Z402" s="23" t="n">
        <v>0.128</v>
      </c>
      <c r="AA402" s="23" t="n">
        <v>3</v>
      </c>
      <c r="AB402" s="9" t="s">
        <v>1095</v>
      </c>
      <c r="AC402" s="9" t="s">
        <v>1132</v>
      </c>
      <c r="AD402" s="23" t="s">
        <v>197</v>
      </c>
      <c r="AE402" s="23" t="s">
        <v>197</v>
      </c>
      <c r="AF402" s="23" t="s">
        <v>197</v>
      </c>
      <c r="AG402" s="23" t="s">
        <v>197</v>
      </c>
      <c r="AH402" s="23" t="s">
        <v>197</v>
      </c>
      <c r="AI402" s="23" t="s">
        <v>197</v>
      </c>
      <c r="AJ402" s="23" t="s">
        <v>197</v>
      </c>
      <c r="AK402" s="23" t="s">
        <v>197</v>
      </c>
      <c r="AL402" s="23" t="s">
        <v>197</v>
      </c>
      <c r="AM402" s="9" t="s">
        <v>197</v>
      </c>
      <c r="AN402" s="23" t="n">
        <v>3.6</v>
      </c>
      <c r="AO402" s="23" t="n">
        <v>2.5</v>
      </c>
      <c r="AP402" s="23" t="n">
        <v>4.5</v>
      </c>
    </row>
    <row r="403" customFormat="false" ht="21.75" hidden="false" customHeight="true" outlineLevel="0" collapsed="false">
      <c r="B403" s="14" t="n">
        <v>399</v>
      </c>
      <c r="C403" s="7" t="s">
        <v>46</v>
      </c>
      <c r="D403" s="7" t="s">
        <v>20</v>
      </c>
      <c r="E403" s="7" t="s">
        <v>120</v>
      </c>
      <c r="F403" s="7" t="s">
        <v>69</v>
      </c>
      <c r="G403" s="7" t="s">
        <v>1171</v>
      </c>
      <c r="H403" s="7" t="s">
        <v>350</v>
      </c>
      <c r="I403" s="7" t="s">
        <v>1168</v>
      </c>
      <c r="J403" s="7" t="s">
        <v>1169</v>
      </c>
      <c r="K403" s="7" t="s">
        <v>1107</v>
      </c>
      <c r="L403" s="7" t="s">
        <v>1095</v>
      </c>
      <c r="M403" s="7" t="s">
        <v>1170</v>
      </c>
      <c r="N403" s="7" t="s">
        <v>189</v>
      </c>
      <c r="O403" s="7" t="s">
        <v>531</v>
      </c>
      <c r="P403" s="7" t="s">
        <v>190</v>
      </c>
      <c r="Q403" s="7" t="s">
        <v>567</v>
      </c>
      <c r="R403" s="7" t="s">
        <v>568</v>
      </c>
      <c r="S403" s="7" t="s">
        <v>1097</v>
      </c>
      <c r="T403" s="7" t="s">
        <v>348</v>
      </c>
      <c r="U403" s="18" t="n">
        <v>55</v>
      </c>
      <c r="V403" s="7"/>
      <c r="W403" s="7"/>
      <c r="X403" s="7" t="s">
        <v>199</v>
      </c>
      <c r="Y403" s="22" t="n">
        <v>1.501E-005</v>
      </c>
      <c r="Z403" s="22" t="n">
        <v>0.11</v>
      </c>
      <c r="AA403" s="22" t="n">
        <v>3</v>
      </c>
      <c r="AB403" s="7" t="s">
        <v>1095</v>
      </c>
      <c r="AC403" s="7" t="s">
        <v>1132</v>
      </c>
      <c r="AD403" s="22" t="s">
        <v>197</v>
      </c>
      <c r="AE403" s="22" t="s">
        <v>197</v>
      </c>
      <c r="AF403" s="22" t="s">
        <v>197</v>
      </c>
      <c r="AG403" s="22" t="s">
        <v>197</v>
      </c>
      <c r="AH403" s="22" t="s">
        <v>197</v>
      </c>
      <c r="AI403" s="22" t="s">
        <v>197</v>
      </c>
      <c r="AJ403" s="22" t="s">
        <v>197</v>
      </c>
      <c r="AK403" s="22" t="s">
        <v>197</v>
      </c>
      <c r="AL403" s="22" t="s">
        <v>197</v>
      </c>
      <c r="AM403" s="7" t="s">
        <v>197</v>
      </c>
      <c r="AN403" s="22" t="n">
        <v>3</v>
      </c>
      <c r="AO403" s="22" t="n">
        <v>2.5</v>
      </c>
      <c r="AP403" s="22" t="n">
        <v>4.5</v>
      </c>
    </row>
    <row r="404" customFormat="false" ht="21.75" hidden="false" customHeight="true" outlineLevel="0" collapsed="false">
      <c r="B404" s="15" t="n">
        <v>400</v>
      </c>
      <c r="C404" s="9" t="s">
        <v>46</v>
      </c>
      <c r="D404" s="9" t="s">
        <v>20</v>
      </c>
      <c r="E404" s="9" t="s">
        <v>120</v>
      </c>
      <c r="F404" s="9" t="s">
        <v>69</v>
      </c>
      <c r="G404" s="9" t="s">
        <v>1172</v>
      </c>
      <c r="H404" s="9" t="s">
        <v>352</v>
      </c>
      <c r="I404" s="9" t="s">
        <v>1168</v>
      </c>
      <c r="J404" s="9" t="s">
        <v>1169</v>
      </c>
      <c r="K404" s="9" t="s">
        <v>1107</v>
      </c>
      <c r="L404" s="9" t="s">
        <v>1095</v>
      </c>
      <c r="M404" s="9" t="s">
        <v>1170</v>
      </c>
      <c r="N404" s="9" t="s">
        <v>189</v>
      </c>
      <c r="O404" s="9" t="s">
        <v>531</v>
      </c>
      <c r="P404" s="9" t="s">
        <v>190</v>
      </c>
      <c r="Q404" s="9" t="s">
        <v>567</v>
      </c>
      <c r="R404" s="9" t="s">
        <v>568</v>
      </c>
      <c r="S404" s="9" t="s">
        <v>1097</v>
      </c>
      <c r="T404" s="9" t="s">
        <v>348</v>
      </c>
      <c r="U404" s="19" t="n">
        <v>75</v>
      </c>
      <c r="V404" s="9"/>
      <c r="W404" s="9"/>
      <c r="X404" s="9" t="s">
        <v>1173</v>
      </c>
      <c r="Y404" s="23" t="n">
        <v>1.234E-005</v>
      </c>
      <c r="Z404" s="23" t="n">
        <v>0.094</v>
      </c>
      <c r="AA404" s="23" t="n">
        <v>3</v>
      </c>
      <c r="AB404" s="9" t="s">
        <v>1095</v>
      </c>
      <c r="AC404" s="9" t="s">
        <v>1132</v>
      </c>
      <c r="AD404" s="23" t="s">
        <v>197</v>
      </c>
      <c r="AE404" s="23" t="s">
        <v>197</v>
      </c>
      <c r="AF404" s="23" t="s">
        <v>197</v>
      </c>
      <c r="AG404" s="23" t="s">
        <v>197</v>
      </c>
      <c r="AH404" s="23" t="s">
        <v>197</v>
      </c>
      <c r="AI404" s="23" t="s">
        <v>197</v>
      </c>
      <c r="AJ404" s="23" t="s">
        <v>197</v>
      </c>
      <c r="AK404" s="23" t="s">
        <v>197</v>
      </c>
      <c r="AL404" s="23" t="s">
        <v>197</v>
      </c>
      <c r="AM404" s="9" t="s">
        <v>197</v>
      </c>
      <c r="AN404" s="23" t="n">
        <v>2.5</v>
      </c>
      <c r="AO404" s="23" t="n">
        <v>2.5</v>
      </c>
      <c r="AP404" s="23" t="n">
        <v>4.5</v>
      </c>
    </row>
    <row r="405" customFormat="false" ht="21.75" hidden="false" customHeight="true" outlineLevel="0" collapsed="false">
      <c r="B405" s="14" t="n">
        <v>401</v>
      </c>
      <c r="C405" s="7" t="s">
        <v>46</v>
      </c>
      <c r="D405" s="7" t="s">
        <v>20</v>
      </c>
      <c r="E405" s="7" t="s">
        <v>120</v>
      </c>
      <c r="F405" s="7" t="s">
        <v>69</v>
      </c>
      <c r="G405" s="7" t="s">
        <v>1174</v>
      </c>
      <c r="H405" s="7" t="s">
        <v>355</v>
      </c>
      <c r="I405" s="7" t="s">
        <v>1168</v>
      </c>
      <c r="J405" s="7" t="s">
        <v>1169</v>
      </c>
      <c r="K405" s="7" t="s">
        <v>1107</v>
      </c>
      <c r="L405" s="7" t="s">
        <v>1095</v>
      </c>
      <c r="M405" s="7" t="s">
        <v>1170</v>
      </c>
      <c r="N405" s="7" t="s">
        <v>189</v>
      </c>
      <c r="O405" s="7" t="s">
        <v>531</v>
      </c>
      <c r="P405" s="7" t="s">
        <v>190</v>
      </c>
      <c r="Q405" s="7" t="s">
        <v>567</v>
      </c>
      <c r="R405" s="7" t="s">
        <v>568</v>
      </c>
      <c r="S405" s="7" t="s">
        <v>1097</v>
      </c>
      <c r="T405" s="7" t="s">
        <v>348</v>
      </c>
      <c r="U405" s="18" t="n">
        <v>115</v>
      </c>
      <c r="V405" s="7"/>
      <c r="W405" s="7"/>
      <c r="X405" s="7" t="s">
        <v>203</v>
      </c>
      <c r="Y405" s="22" t="n">
        <v>2.576E-005</v>
      </c>
      <c r="Z405" s="22" t="n">
        <v>0.175</v>
      </c>
      <c r="AA405" s="22" t="n">
        <v>3</v>
      </c>
      <c r="AB405" s="7" t="s">
        <v>1095</v>
      </c>
      <c r="AC405" s="7" t="s">
        <v>1132</v>
      </c>
      <c r="AD405" s="22" t="s">
        <v>197</v>
      </c>
      <c r="AE405" s="22" t="s">
        <v>197</v>
      </c>
      <c r="AF405" s="22" t="s">
        <v>197</v>
      </c>
      <c r="AG405" s="22" t="s">
        <v>197</v>
      </c>
      <c r="AH405" s="22" t="s">
        <v>197</v>
      </c>
      <c r="AI405" s="22" t="s">
        <v>197</v>
      </c>
      <c r="AJ405" s="22" t="s">
        <v>197</v>
      </c>
      <c r="AK405" s="22" t="s">
        <v>197</v>
      </c>
      <c r="AL405" s="22" t="s">
        <v>197</v>
      </c>
      <c r="AM405" s="7" t="s">
        <v>197</v>
      </c>
      <c r="AN405" s="22" t="n">
        <v>5.2</v>
      </c>
      <c r="AO405" s="22" t="n">
        <v>2.5</v>
      </c>
      <c r="AP405" s="22" t="n">
        <v>4.5</v>
      </c>
    </row>
    <row r="406" customFormat="false" ht="21.75" hidden="false" customHeight="true" outlineLevel="0" collapsed="false">
      <c r="B406" s="15" t="n">
        <v>402</v>
      </c>
      <c r="C406" s="9" t="s">
        <v>46</v>
      </c>
      <c r="D406" s="9" t="s">
        <v>20</v>
      </c>
      <c r="E406" s="9" t="s">
        <v>120</v>
      </c>
      <c r="F406" s="9" t="s">
        <v>69</v>
      </c>
      <c r="G406" s="9" t="s">
        <v>1175</v>
      </c>
      <c r="H406" s="9" t="s">
        <v>357</v>
      </c>
      <c r="I406" s="9" t="s">
        <v>1168</v>
      </c>
      <c r="J406" s="9" t="s">
        <v>1169</v>
      </c>
      <c r="K406" s="9" t="s">
        <v>1107</v>
      </c>
      <c r="L406" s="9" t="s">
        <v>1095</v>
      </c>
      <c r="M406" s="9" t="s">
        <v>1170</v>
      </c>
      <c r="N406" s="9" t="s">
        <v>189</v>
      </c>
      <c r="O406" s="9" t="s">
        <v>531</v>
      </c>
      <c r="P406" s="9" t="s">
        <v>190</v>
      </c>
      <c r="Q406" s="9" t="s">
        <v>567</v>
      </c>
      <c r="R406" s="9" t="s">
        <v>568</v>
      </c>
      <c r="S406" s="9" t="s">
        <v>1097</v>
      </c>
      <c r="T406" s="9" t="s">
        <v>348</v>
      </c>
      <c r="U406" s="19" t="n">
        <v>170</v>
      </c>
      <c r="V406" s="9"/>
      <c r="W406" s="9"/>
      <c r="X406" s="9" t="s">
        <v>205</v>
      </c>
      <c r="Y406" s="23" t="n">
        <v>2.647E-005</v>
      </c>
      <c r="Z406" s="23" t="n">
        <v>0.179</v>
      </c>
      <c r="AA406" s="23" t="n">
        <v>3</v>
      </c>
      <c r="AB406" s="9" t="s">
        <v>1095</v>
      </c>
      <c r="AC406" s="9" t="s">
        <v>1132</v>
      </c>
      <c r="AD406" s="23" t="s">
        <v>197</v>
      </c>
      <c r="AE406" s="23" t="s">
        <v>197</v>
      </c>
      <c r="AF406" s="23" t="s">
        <v>197</v>
      </c>
      <c r="AG406" s="23" t="s">
        <v>197</v>
      </c>
      <c r="AH406" s="23" t="s">
        <v>197</v>
      </c>
      <c r="AI406" s="23" t="s">
        <v>197</v>
      </c>
      <c r="AJ406" s="23" t="s">
        <v>197</v>
      </c>
      <c r="AK406" s="23" t="s">
        <v>197</v>
      </c>
      <c r="AL406" s="23" t="s">
        <v>197</v>
      </c>
      <c r="AM406" s="9" t="s">
        <v>197</v>
      </c>
      <c r="AN406" s="23" t="n">
        <v>5.3</v>
      </c>
      <c r="AO406" s="23" t="n">
        <v>2.5</v>
      </c>
      <c r="AP406" s="23" t="n">
        <v>4.5</v>
      </c>
    </row>
    <row r="407" customFormat="false" ht="21.75" hidden="false" customHeight="true" outlineLevel="0" collapsed="false">
      <c r="B407" s="14" t="n">
        <v>403</v>
      </c>
      <c r="C407" s="7" t="s">
        <v>46</v>
      </c>
      <c r="D407" s="7" t="s">
        <v>20</v>
      </c>
      <c r="E407" s="7" t="s">
        <v>120</v>
      </c>
      <c r="F407" s="7" t="s">
        <v>70</v>
      </c>
      <c r="G407" s="7" t="s">
        <v>1176</v>
      </c>
      <c r="H407" s="7" t="s">
        <v>359</v>
      </c>
      <c r="I407" s="7" t="s">
        <v>1036</v>
      </c>
      <c r="J407" s="7" t="s">
        <v>753</v>
      </c>
      <c r="K407" s="7" t="s">
        <v>1107</v>
      </c>
      <c r="L407" s="7" t="s">
        <v>1095</v>
      </c>
      <c r="M407" s="7" t="s">
        <v>1177</v>
      </c>
      <c r="N407" s="7" t="s">
        <v>189</v>
      </c>
      <c r="O407" s="7" t="s">
        <v>189</v>
      </c>
      <c r="P407" s="7" t="s">
        <v>190</v>
      </c>
      <c r="Q407" s="7" t="s">
        <v>1178</v>
      </c>
      <c r="R407" s="7" t="s">
        <v>364</v>
      </c>
      <c r="S407" s="7" t="s">
        <v>1097</v>
      </c>
      <c r="T407" s="7" t="s">
        <v>275</v>
      </c>
      <c r="U407" s="18" t="n">
        <v>19</v>
      </c>
      <c r="V407" s="7"/>
      <c r="W407" s="7"/>
      <c r="X407" s="7" t="s">
        <v>195</v>
      </c>
      <c r="Y407" s="22" t="n">
        <v>1.454E-005</v>
      </c>
      <c r="Z407" s="22" t="n">
        <v>0.095</v>
      </c>
      <c r="AA407" s="22" t="n">
        <v>3</v>
      </c>
      <c r="AB407" s="7" t="s">
        <v>1095</v>
      </c>
      <c r="AC407" s="7" t="s">
        <v>1132</v>
      </c>
      <c r="AD407" s="22" t="s">
        <v>197</v>
      </c>
      <c r="AE407" s="22" t="s">
        <v>197</v>
      </c>
      <c r="AF407" s="22" t="s">
        <v>197</v>
      </c>
      <c r="AG407" s="22" t="s">
        <v>197</v>
      </c>
      <c r="AH407" s="22" t="s">
        <v>197</v>
      </c>
      <c r="AI407" s="22" t="s">
        <v>197</v>
      </c>
      <c r="AJ407" s="22" t="s">
        <v>197</v>
      </c>
      <c r="AK407" s="22" t="s">
        <v>197</v>
      </c>
      <c r="AL407" s="22" t="s">
        <v>197</v>
      </c>
      <c r="AM407" s="7" t="s">
        <v>197</v>
      </c>
      <c r="AN407" s="22" t="n">
        <v>3.2</v>
      </c>
      <c r="AO407" s="22" t="n">
        <v>2</v>
      </c>
      <c r="AP407" s="22" t="n">
        <v>3</v>
      </c>
    </row>
    <row r="408" customFormat="false" ht="21.75" hidden="false" customHeight="true" outlineLevel="0" collapsed="false">
      <c r="B408" s="15" t="n">
        <v>404</v>
      </c>
      <c r="C408" s="9" t="s">
        <v>46</v>
      </c>
      <c r="D408" s="9" t="s">
        <v>20</v>
      </c>
      <c r="E408" s="9" t="s">
        <v>120</v>
      </c>
      <c r="F408" s="9" t="s">
        <v>70</v>
      </c>
      <c r="G408" s="9" t="s">
        <v>1179</v>
      </c>
      <c r="H408" s="9" t="s">
        <v>367</v>
      </c>
      <c r="I408" s="9" t="s">
        <v>1036</v>
      </c>
      <c r="J408" s="9" t="s">
        <v>753</v>
      </c>
      <c r="K408" s="9" t="s">
        <v>1107</v>
      </c>
      <c r="L408" s="9" t="s">
        <v>1095</v>
      </c>
      <c r="M408" s="9" t="s">
        <v>1177</v>
      </c>
      <c r="N408" s="9" t="s">
        <v>189</v>
      </c>
      <c r="O408" s="9" t="s">
        <v>189</v>
      </c>
      <c r="P408" s="9" t="s">
        <v>190</v>
      </c>
      <c r="Q408" s="9" t="s">
        <v>1178</v>
      </c>
      <c r="R408" s="9" t="s">
        <v>364</v>
      </c>
      <c r="S408" s="9" t="s">
        <v>1097</v>
      </c>
      <c r="T408" s="9" t="s">
        <v>275</v>
      </c>
      <c r="U408" s="19" t="n">
        <v>25</v>
      </c>
      <c r="V408" s="9"/>
      <c r="W408" s="9"/>
      <c r="X408" s="9" t="s">
        <v>199</v>
      </c>
      <c r="Y408" s="23" t="n">
        <v>1.932E-005</v>
      </c>
      <c r="Z408" s="23" t="n">
        <v>0.12</v>
      </c>
      <c r="AA408" s="23" t="n">
        <v>3</v>
      </c>
      <c r="AB408" s="9" t="s">
        <v>1095</v>
      </c>
      <c r="AC408" s="9" t="s">
        <v>1132</v>
      </c>
      <c r="AD408" s="23" t="s">
        <v>197</v>
      </c>
      <c r="AE408" s="23" t="s">
        <v>197</v>
      </c>
      <c r="AF408" s="23" t="s">
        <v>197</v>
      </c>
      <c r="AG408" s="23" t="s">
        <v>197</v>
      </c>
      <c r="AH408" s="23" t="s">
        <v>197</v>
      </c>
      <c r="AI408" s="23" t="s">
        <v>197</v>
      </c>
      <c r="AJ408" s="23" t="s">
        <v>197</v>
      </c>
      <c r="AK408" s="23" t="s">
        <v>197</v>
      </c>
      <c r="AL408" s="23" t="s">
        <v>197</v>
      </c>
      <c r="AM408" s="9" t="s">
        <v>197</v>
      </c>
      <c r="AN408" s="23" t="n">
        <v>4</v>
      </c>
      <c r="AO408" s="23" t="n">
        <v>2</v>
      </c>
      <c r="AP408" s="23" t="n">
        <v>3</v>
      </c>
    </row>
    <row r="409" customFormat="false" ht="21.75" hidden="false" customHeight="true" outlineLevel="0" collapsed="false">
      <c r="B409" s="14" t="n">
        <v>405</v>
      </c>
      <c r="C409" s="7" t="s">
        <v>46</v>
      </c>
      <c r="D409" s="7" t="s">
        <v>20</v>
      </c>
      <c r="E409" s="7" t="s">
        <v>120</v>
      </c>
      <c r="F409" s="7" t="s">
        <v>70</v>
      </c>
      <c r="G409" s="7" t="s">
        <v>1180</v>
      </c>
      <c r="H409" s="7" t="s">
        <v>369</v>
      </c>
      <c r="I409" s="7" t="s">
        <v>1036</v>
      </c>
      <c r="J409" s="7" t="s">
        <v>753</v>
      </c>
      <c r="K409" s="7" t="s">
        <v>1107</v>
      </c>
      <c r="L409" s="7" t="s">
        <v>1095</v>
      </c>
      <c r="M409" s="7" t="s">
        <v>1177</v>
      </c>
      <c r="N409" s="7" t="s">
        <v>189</v>
      </c>
      <c r="O409" s="7" t="s">
        <v>189</v>
      </c>
      <c r="P409" s="7" t="s">
        <v>190</v>
      </c>
      <c r="Q409" s="7" t="s">
        <v>1178</v>
      </c>
      <c r="R409" s="7" t="s">
        <v>364</v>
      </c>
      <c r="S409" s="7" t="s">
        <v>1097</v>
      </c>
      <c r="T409" s="7" t="s">
        <v>275</v>
      </c>
      <c r="U409" s="18" t="n">
        <v>35</v>
      </c>
      <c r="V409" s="7"/>
      <c r="W409" s="7"/>
      <c r="X409" s="7" t="s">
        <v>1181</v>
      </c>
      <c r="Y409" s="22" t="n">
        <v>1.047E-005</v>
      </c>
      <c r="Z409" s="22" t="n">
        <v>0.073</v>
      </c>
      <c r="AA409" s="22" t="n">
        <v>3</v>
      </c>
      <c r="AB409" s="7" t="s">
        <v>1095</v>
      </c>
      <c r="AC409" s="7" t="s">
        <v>1132</v>
      </c>
      <c r="AD409" s="22" t="s">
        <v>197</v>
      </c>
      <c r="AE409" s="22" t="s">
        <v>197</v>
      </c>
      <c r="AF409" s="22" t="s">
        <v>197</v>
      </c>
      <c r="AG409" s="22" t="s">
        <v>197</v>
      </c>
      <c r="AH409" s="22" t="s">
        <v>197</v>
      </c>
      <c r="AI409" s="22" t="s">
        <v>197</v>
      </c>
      <c r="AJ409" s="22" t="s">
        <v>197</v>
      </c>
      <c r="AK409" s="22" t="s">
        <v>197</v>
      </c>
      <c r="AL409" s="22" t="s">
        <v>197</v>
      </c>
      <c r="AM409" s="7" t="s">
        <v>197</v>
      </c>
      <c r="AN409" s="22" t="n">
        <v>2.4</v>
      </c>
      <c r="AO409" s="22" t="n">
        <v>2</v>
      </c>
      <c r="AP409" s="22" t="n">
        <v>3</v>
      </c>
    </row>
    <row r="410" customFormat="false" ht="21.75" hidden="false" customHeight="true" outlineLevel="0" collapsed="false">
      <c r="B410" s="15" t="n">
        <v>406</v>
      </c>
      <c r="C410" s="9" t="s">
        <v>46</v>
      </c>
      <c r="D410" s="9" t="s">
        <v>20</v>
      </c>
      <c r="E410" s="9" t="s">
        <v>120</v>
      </c>
      <c r="F410" s="9" t="s">
        <v>70</v>
      </c>
      <c r="G410" s="9" t="s">
        <v>1182</v>
      </c>
      <c r="H410" s="9" t="s">
        <v>339</v>
      </c>
      <c r="I410" s="9" t="s">
        <v>1036</v>
      </c>
      <c r="J410" s="9" t="s">
        <v>753</v>
      </c>
      <c r="K410" s="9" t="s">
        <v>1107</v>
      </c>
      <c r="L410" s="9" t="s">
        <v>1095</v>
      </c>
      <c r="M410" s="9" t="s">
        <v>1177</v>
      </c>
      <c r="N410" s="9" t="s">
        <v>189</v>
      </c>
      <c r="O410" s="9" t="s">
        <v>189</v>
      </c>
      <c r="P410" s="9" t="s">
        <v>190</v>
      </c>
      <c r="Q410" s="9" t="s">
        <v>1178</v>
      </c>
      <c r="R410" s="9" t="s">
        <v>364</v>
      </c>
      <c r="S410" s="9" t="s">
        <v>1097</v>
      </c>
      <c r="T410" s="9" t="s">
        <v>275</v>
      </c>
      <c r="U410" s="19" t="n">
        <v>55</v>
      </c>
      <c r="V410" s="9"/>
      <c r="W410" s="9"/>
      <c r="X410" s="9" t="s">
        <v>203</v>
      </c>
      <c r="Y410" s="23" t="n">
        <v>1.316E-005</v>
      </c>
      <c r="Z410" s="23" t="n">
        <v>0.087</v>
      </c>
      <c r="AA410" s="23" t="n">
        <v>3</v>
      </c>
      <c r="AB410" s="9" t="s">
        <v>1095</v>
      </c>
      <c r="AC410" s="9" t="s">
        <v>1132</v>
      </c>
      <c r="AD410" s="23" t="s">
        <v>197</v>
      </c>
      <c r="AE410" s="23" t="s">
        <v>197</v>
      </c>
      <c r="AF410" s="23" t="s">
        <v>197</v>
      </c>
      <c r="AG410" s="23" t="s">
        <v>197</v>
      </c>
      <c r="AH410" s="23" t="s">
        <v>197</v>
      </c>
      <c r="AI410" s="23" t="s">
        <v>197</v>
      </c>
      <c r="AJ410" s="23" t="s">
        <v>197</v>
      </c>
      <c r="AK410" s="23" t="s">
        <v>197</v>
      </c>
      <c r="AL410" s="23" t="s">
        <v>197</v>
      </c>
      <c r="AM410" s="9" t="s">
        <v>197</v>
      </c>
      <c r="AN410" s="23" t="n">
        <v>2.9</v>
      </c>
      <c r="AO410" s="23" t="n">
        <v>2</v>
      </c>
      <c r="AP410" s="23" t="n">
        <v>3</v>
      </c>
    </row>
    <row r="411" customFormat="false" ht="21.75" hidden="false" customHeight="true" outlineLevel="0" collapsed="false">
      <c r="B411" s="14" t="n">
        <v>407</v>
      </c>
      <c r="C411" s="7" t="s">
        <v>46</v>
      </c>
      <c r="D411" s="7" t="s">
        <v>20</v>
      </c>
      <c r="E411" s="7" t="s">
        <v>120</v>
      </c>
      <c r="F411" s="7" t="s">
        <v>70</v>
      </c>
      <c r="G411" s="7" t="s">
        <v>1183</v>
      </c>
      <c r="H411" s="7" t="s">
        <v>352</v>
      </c>
      <c r="I411" s="7" t="s">
        <v>1036</v>
      </c>
      <c r="J411" s="7" t="s">
        <v>753</v>
      </c>
      <c r="K411" s="7" t="s">
        <v>1107</v>
      </c>
      <c r="L411" s="7" t="s">
        <v>1095</v>
      </c>
      <c r="M411" s="7" t="s">
        <v>1177</v>
      </c>
      <c r="N411" s="7" t="s">
        <v>189</v>
      </c>
      <c r="O411" s="7" t="s">
        <v>189</v>
      </c>
      <c r="P411" s="7" t="s">
        <v>190</v>
      </c>
      <c r="Q411" s="7" t="s">
        <v>1178</v>
      </c>
      <c r="R411" s="7" t="s">
        <v>364</v>
      </c>
      <c r="S411" s="7" t="s">
        <v>1097</v>
      </c>
      <c r="T411" s="7" t="s">
        <v>275</v>
      </c>
      <c r="U411" s="18" t="n">
        <v>80</v>
      </c>
      <c r="V411" s="7"/>
      <c r="W411" s="7"/>
      <c r="X411" s="7" t="s">
        <v>205</v>
      </c>
      <c r="Y411" s="22" t="n">
        <v>1.225E-005</v>
      </c>
      <c r="Z411" s="22" t="n">
        <v>0.083</v>
      </c>
      <c r="AA411" s="22" t="n">
        <v>3</v>
      </c>
      <c r="AB411" s="7" t="s">
        <v>1095</v>
      </c>
      <c r="AC411" s="7" t="s">
        <v>1132</v>
      </c>
      <c r="AD411" s="22" t="s">
        <v>197</v>
      </c>
      <c r="AE411" s="22" t="s">
        <v>197</v>
      </c>
      <c r="AF411" s="22" t="s">
        <v>197</v>
      </c>
      <c r="AG411" s="22" t="s">
        <v>197</v>
      </c>
      <c r="AH411" s="22" t="s">
        <v>197</v>
      </c>
      <c r="AI411" s="22" t="s">
        <v>197</v>
      </c>
      <c r="AJ411" s="22" t="s">
        <v>197</v>
      </c>
      <c r="AK411" s="22" t="s">
        <v>197</v>
      </c>
      <c r="AL411" s="22" t="s">
        <v>197</v>
      </c>
      <c r="AM411" s="7" t="s">
        <v>197</v>
      </c>
      <c r="AN411" s="22" t="n">
        <v>2.8</v>
      </c>
      <c r="AO411" s="22" t="n">
        <v>2</v>
      </c>
      <c r="AP411" s="22" t="n">
        <v>3</v>
      </c>
    </row>
    <row r="412" customFormat="false" ht="21.75" hidden="false" customHeight="true" outlineLevel="0" collapsed="false">
      <c r="B412" s="15" t="n">
        <v>408</v>
      </c>
      <c r="C412" s="9" t="s">
        <v>46</v>
      </c>
      <c r="D412" s="9" t="s">
        <v>20</v>
      </c>
      <c r="E412" s="9" t="s">
        <v>120</v>
      </c>
      <c r="F412" s="9" t="s">
        <v>71</v>
      </c>
      <c r="G412" s="9" t="s">
        <v>1184</v>
      </c>
      <c r="H412" s="9" t="s">
        <v>374</v>
      </c>
      <c r="I412" s="9" t="s">
        <v>1185</v>
      </c>
      <c r="J412" s="9" t="s">
        <v>1186</v>
      </c>
      <c r="K412" s="9" t="s">
        <v>1187</v>
      </c>
      <c r="L412" s="9" t="s">
        <v>1095</v>
      </c>
      <c r="M412" s="9" t="s">
        <v>235</v>
      </c>
      <c r="N412" s="9" t="s">
        <v>1188</v>
      </c>
      <c r="O412" s="9" t="s">
        <v>189</v>
      </c>
      <c r="P412" s="9" t="s">
        <v>190</v>
      </c>
      <c r="Q412" s="9" t="s">
        <v>1189</v>
      </c>
      <c r="R412" s="9" t="s">
        <v>1190</v>
      </c>
      <c r="S412" s="9" t="s">
        <v>1097</v>
      </c>
      <c r="T412" s="9" t="s">
        <v>1191</v>
      </c>
      <c r="U412" s="19" t="n">
        <v>40</v>
      </c>
      <c r="V412" s="9"/>
      <c r="W412" s="9"/>
      <c r="X412" s="9" t="s">
        <v>195</v>
      </c>
      <c r="Y412" s="23" t="n">
        <v>0.07</v>
      </c>
      <c r="Z412" s="23" t="n">
        <v>0.275</v>
      </c>
      <c r="AA412" s="23" t="n">
        <v>12</v>
      </c>
      <c r="AB412" s="9" t="s">
        <v>1095</v>
      </c>
      <c r="AC412" s="9" t="s">
        <v>1111</v>
      </c>
      <c r="AD412" s="23" t="s">
        <v>197</v>
      </c>
      <c r="AE412" s="23" t="s">
        <v>197</v>
      </c>
      <c r="AF412" s="23" t="s">
        <v>197</v>
      </c>
      <c r="AG412" s="23" t="s">
        <v>197</v>
      </c>
      <c r="AH412" s="23" t="s">
        <v>197</v>
      </c>
      <c r="AI412" s="23" t="s">
        <v>197</v>
      </c>
      <c r="AJ412" s="23" t="s">
        <v>197</v>
      </c>
      <c r="AK412" s="23" t="s">
        <v>197</v>
      </c>
      <c r="AL412" s="23" t="s">
        <v>197</v>
      </c>
      <c r="AM412" s="9" t="s">
        <v>197</v>
      </c>
      <c r="AN412" s="23" t="s">
        <v>197</v>
      </c>
      <c r="AO412" s="23" t="s">
        <v>197</v>
      </c>
      <c r="AP412" s="23" t="s">
        <v>197</v>
      </c>
    </row>
    <row r="413" customFormat="false" ht="21.75" hidden="false" customHeight="true" outlineLevel="0" collapsed="false">
      <c r="B413" s="14" t="n">
        <v>409</v>
      </c>
      <c r="C413" s="7" t="s">
        <v>46</v>
      </c>
      <c r="D413" s="7" t="s">
        <v>20</v>
      </c>
      <c r="E413" s="7" t="s">
        <v>120</v>
      </c>
      <c r="F413" s="7" t="s">
        <v>71</v>
      </c>
      <c r="G413" s="7" t="s">
        <v>1192</v>
      </c>
      <c r="H413" s="7" t="s">
        <v>383</v>
      </c>
      <c r="I413" s="7" t="s">
        <v>1185</v>
      </c>
      <c r="J413" s="7" t="s">
        <v>1186</v>
      </c>
      <c r="K413" s="7" t="s">
        <v>1187</v>
      </c>
      <c r="L413" s="7" t="s">
        <v>1095</v>
      </c>
      <c r="M413" s="7" t="s">
        <v>235</v>
      </c>
      <c r="N413" s="7" t="s">
        <v>1188</v>
      </c>
      <c r="O413" s="7" t="s">
        <v>189</v>
      </c>
      <c r="P413" s="7" t="s">
        <v>190</v>
      </c>
      <c r="Q413" s="7" t="s">
        <v>1189</v>
      </c>
      <c r="R413" s="7" t="s">
        <v>1190</v>
      </c>
      <c r="S413" s="7" t="s">
        <v>1097</v>
      </c>
      <c r="T413" s="7" t="s">
        <v>1191</v>
      </c>
      <c r="U413" s="18" t="n">
        <v>60</v>
      </c>
      <c r="V413" s="7"/>
      <c r="W413" s="7"/>
      <c r="X413" s="7" t="s">
        <v>199</v>
      </c>
      <c r="Y413" s="22" t="n">
        <v>0.041</v>
      </c>
      <c r="Z413" s="22" t="n">
        <v>0.203</v>
      </c>
      <c r="AA413" s="22" t="n">
        <v>12</v>
      </c>
      <c r="AB413" s="7" t="s">
        <v>1095</v>
      </c>
      <c r="AC413" s="7" t="s">
        <v>1111</v>
      </c>
      <c r="AD413" s="22" t="s">
        <v>197</v>
      </c>
      <c r="AE413" s="22" t="s">
        <v>197</v>
      </c>
      <c r="AF413" s="22" t="s">
        <v>197</v>
      </c>
      <c r="AG413" s="22" t="s">
        <v>197</v>
      </c>
      <c r="AH413" s="22" t="s">
        <v>197</v>
      </c>
      <c r="AI413" s="22" t="s">
        <v>197</v>
      </c>
      <c r="AJ413" s="22" t="s">
        <v>197</v>
      </c>
      <c r="AK413" s="22" t="s">
        <v>197</v>
      </c>
      <c r="AL413" s="22" t="s">
        <v>197</v>
      </c>
      <c r="AM413" s="7" t="s">
        <v>197</v>
      </c>
      <c r="AN413" s="22" t="s">
        <v>197</v>
      </c>
      <c r="AO413" s="22" t="s">
        <v>197</v>
      </c>
      <c r="AP413" s="22" t="s">
        <v>197</v>
      </c>
    </row>
    <row r="414" customFormat="false" ht="21.75" hidden="false" customHeight="true" outlineLevel="0" collapsed="false">
      <c r="B414" s="15" t="n">
        <v>410</v>
      </c>
      <c r="C414" s="9" t="s">
        <v>46</v>
      </c>
      <c r="D414" s="9" t="s">
        <v>20</v>
      </c>
      <c r="E414" s="9" t="s">
        <v>120</v>
      </c>
      <c r="F414" s="9" t="s">
        <v>71</v>
      </c>
      <c r="G414" s="9" t="s">
        <v>1193</v>
      </c>
      <c r="H414" s="9" t="s">
        <v>385</v>
      </c>
      <c r="I414" s="9" t="s">
        <v>1185</v>
      </c>
      <c r="J414" s="9" t="s">
        <v>1186</v>
      </c>
      <c r="K414" s="9" t="s">
        <v>1187</v>
      </c>
      <c r="L414" s="9" t="s">
        <v>1095</v>
      </c>
      <c r="M414" s="9" t="s">
        <v>235</v>
      </c>
      <c r="N414" s="9" t="s">
        <v>1188</v>
      </c>
      <c r="O414" s="9" t="s">
        <v>189</v>
      </c>
      <c r="P414" s="9" t="s">
        <v>190</v>
      </c>
      <c r="Q414" s="9" t="s">
        <v>1189</v>
      </c>
      <c r="R414" s="9" t="s">
        <v>1190</v>
      </c>
      <c r="S414" s="9" t="s">
        <v>1097</v>
      </c>
      <c r="T414" s="9" t="s">
        <v>1191</v>
      </c>
      <c r="U414" s="19" t="n">
        <v>85</v>
      </c>
      <c r="V414" s="9"/>
      <c r="W414" s="9"/>
      <c r="X414" s="9" t="s">
        <v>1194</v>
      </c>
      <c r="Y414" s="23" t="n">
        <v>0.074</v>
      </c>
      <c r="Z414" s="23" t="n">
        <v>0.285</v>
      </c>
      <c r="AA414" s="23" t="n">
        <v>12</v>
      </c>
      <c r="AB414" s="9" t="s">
        <v>1095</v>
      </c>
      <c r="AC414" s="9" t="s">
        <v>1111</v>
      </c>
      <c r="AD414" s="23" t="s">
        <v>197</v>
      </c>
      <c r="AE414" s="23" t="s">
        <v>197</v>
      </c>
      <c r="AF414" s="23" t="s">
        <v>197</v>
      </c>
      <c r="AG414" s="23" t="s">
        <v>197</v>
      </c>
      <c r="AH414" s="23" t="s">
        <v>197</v>
      </c>
      <c r="AI414" s="23" t="s">
        <v>197</v>
      </c>
      <c r="AJ414" s="23" t="s">
        <v>197</v>
      </c>
      <c r="AK414" s="23" t="s">
        <v>197</v>
      </c>
      <c r="AL414" s="23" t="s">
        <v>197</v>
      </c>
      <c r="AM414" s="9" t="s">
        <v>197</v>
      </c>
      <c r="AN414" s="23" t="s">
        <v>197</v>
      </c>
      <c r="AO414" s="23" t="s">
        <v>197</v>
      </c>
      <c r="AP414" s="23" t="s">
        <v>197</v>
      </c>
    </row>
    <row r="415" customFormat="false" ht="21.75" hidden="false" customHeight="true" outlineLevel="0" collapsed="false">
      <c r="B415" s="14" t="n">
        <v>411</v>
      </c>
      <c r="C415" s="7" t="s">
        <v>46</v>
      </c>
      <c r="D415" s="7" t="s">
        <v>20</v>
      </c>
      <c r="E415" s="7" t="s">
        <v>120</v>
      </c>
      <c r="F415" s="7" t="s">
        <v>71</v>
      </c>
      <c r="G415" s="7" t="s">
        <v>1195</v>
      </c>
      <c r="H415" s="7" t="s">
        <v>388</v>
      </c>
      <c r="I415" s="7" t="s">
        <v>1185</v>
      </c>
      <c r="J415" s="7" t="s">
        <v>1186</v>
      </c>
      <c r="K415" s="7" t="s">
        <v>1187</v>
      </c>
      <c r="L415" s="7" t="s">
        <v>1095</v>
      </c>
      <c r="M415" s="7" t="s">
        <v>235</v>
      </c>
      <c r="N415" s="7" t="s">
        <v>1188</v>
      </c>
      <c r="O415" s="7" t="s">
        <v>189</v>
      </c>
      <c r="P415" s="7" t="s">
        <v>190</v>
      </c>
      <c r="Q415" s="7" t="s">
        <v>1189</v>
      </c>
      <c r="R415" s="7" t="s">
        <v>1190</v>
      </c>
      <c r="S415" s="7" t="s">
        <v>1097</v>
      </c>
      <c r="T415" s="7" t="s">
        <v>1191</v>
      </c>
      <c r="U415" s="18" t="n">
        <v>125</v>
      </c>
      <c r="V415" s="7"/>
      <c r="W415" s="7"/>
      <c r="X415" s="7" t="s">
        <v>203</v>
      </c>
      <c r="Y415" s="22" t="n">
        <v>0.081</v>
      </c>
      <c r="Z415" s="22" t="n">
        <v>0.301</v>
      </c>
      <c r="AA415" s="22" t="n">
        <v>12</v>
      </c>
      <c r="AB415" s="7" t="s">
        <v>1095</v>
      </c>
      <c r="AC415" s="7" t="s">
        <v>1111</v>
      </c>
      <c r="AD415" s="22" t="s">
        <v>197</v>
      </c>
      <c r="AE415" s="22" t="s">
        <v>197</v>
      </c>
      <c r="AF415" s="22" t="s">
        <v>197</v>
      </c>
      <c r="AG415" s="22" t="s">
        <v>197</v>
      </c>
      <c r="AH415" s="22" t="s">
        <v>197</v>
      </c>
      <c r="AI415" s="22" t="s">
        <v>197</v>
      </c>
      <c r="AJ415" s="22" t="s">
        <v>197</v>
      </c>
      <c r="AK415" s="22" t="s">
        <v>197</v>
      </c>
      <c r="AL415" s="22" t="s">
        <v>197</v>
      </c>
      <c r="AM415" s="7" t="s">
        <v>197</v>
      </c>
      <c r="AN415" s="22" t="s">
        <v>197</v>
      </c>
      <c r="AO415" s="22" t="s">
        <v>197</v>
      </c>
      <c r="AP415" s="22" t="s">
        <v>197</v>
      </c>
    </row>
    <row r="416" customFormat="false" ht="21.75" hidden="false" customHeight="true" outlineLevel="0" collapsed="false">
      <c r="B416" s="15" t="n">
        <v>412</v>
      </c>
      <c r="C416" s="9" t="s">
        <v>46</v>
      </c>
      <c r="D416" s="9" t="s">
        <v>20</v>
      </c>
      <c r="E416" s="9" t="s">
        <v>120</v>
      </c>
      <c r="F416" s="9" t="s">
        <v>71</v>
      </c>
      <c r="G416" s="9" t="s">
        <v>1196</v>
      </c>
      <c r="H416" s="9" t="s">
        <v>390</v>
      </c>
      <c r="I416" s="9" t="s">
        <v>1185</v>
      </c>
      <c r="J416" s="9" t="s">
        <v>1186</v>
      </c>
      <c r="K416" s="9" t="s">
        <v>1187</v>
      </c>
      <c r="L416" s="9" t="s">
        <v>1095</v>
      </c>
      <c r="M416" s="9" t="s">
        <v>235</v>
      </c>
      <c r="N416" s="9" t="s">
        <v>1188</v>
      </c>
      <c r="O416" s="9" t="s">
        <v>189</v>
      </c>
      <c r="P416" s="9" t="s">
        <v>190</v>
      </c>
      <c r="Q416" s="9" t="s">
        <v>1189</v>
      </c>
      <c r="R416" s="9" t="s">
        <v>1190</v>
      </c>
      <c r="S416" s="9" t="s">
        <v>1097</v>
      </c>
      <c r="T416" s="9" t="s">
        <v>1191</v>
      </c>
      <c r="U416" s="19" t="n">
        <v>185</v>
      </c>
      <c r="V416" s="9"/>
      <c r="W416" s="9"/>
      <c r="X416" s="9" t="s">
        <v>205</v>
      </c>
      <c r="Y416" s="23" t="n">
        <v>0.073</v>
      </c>
      <c r="Z416" s="23" t="n">
        <v>0.283</v>
      </c>
      <c r="AA416" s="23" t="n">
        <v>12</v>
      </c>
      <c r="AB416" s="9" t="s">
        <v>1095</v>
      </c>
      <c r="AC416" s="9" t="s">
        <v>1111</v>
      </c>
      <c r="AD416" s="23" t="s">
        <v>197</v>
      </c>
      <c r="AE416" s="23" t="s">
        <v>197</v>
      </c>
      <c r="AF416" s="23" t="s">
        <v>197</v>
      </c>
      <c r="AG416" s="23" t="s">
        <v>197</v>
      </c>
      <c r="AH416" s="23" t="s">
        <v>197</v>
      </c>
      <c r="AI416" s="23" t="s">
        <v>197</v>
      </c>
      <c r="AJ416" s="23" t="s">
        <v>197</v>
      </c>
      <c r="AK416" s="23" t="s">
        <v>197</v>
      </c>
      <c r="AL416" s="23" t="s">
        <v>197</v>
      </c>
      <c r="AM416" s="9" t="s">
        <v>197</v>
      </c>
      <c r="AN416" s="23" t="s">
        <v>197</v>
      </c>
      <c r="AO416" s="23" t="s">
        <v>197</v>
      </c>
      <c r="AP416" s="23" t="s">
        <v>197</v>
      </c>
    </row>
    <row r="417" customFormat="false" ht="21.75" hidden="false" customHeight="true" outlineLevel="0" collapsed="false">
      <c r="B417" s="14" t="n">
        <v>413</v>
      </c>
      <c r="C417" s="7" t="s">
        <v>46</v>
      </c>
      <c r="D417" s="7" t="s">
        <v>20</v>
      </c>
      <c r="E417" s="7" t="s">
        <v>120</v>
      </c>
      <c r="F417" s="7" t="s">
        <v>72</v>
      </c>
      <c r="G417" s="7" t="s">
        <v>1197</v>
      </c>
      <c r="H417" s="7" t="s">
        <v>1198</v>
      </c>
      <c r="I417" s="7" t="s">
        <v>1199</v>
      </c>
      <c r="J417" s="7" t="s">
        <v>1200</v>
      </c>
      <c r="K417" s="7" t="s">
        <v>250</v>
      </c>
      <c r="L417" s="7" t="s">
        <v>1095</v>
      </c>
      <c r="M417" s="7" t="s">
        <v>251</v>
      </c>
      <c r="N417" s="7" t="s">
        <v>710</v>
      </c>
      <c r="O417" s="7" t="s">
        <v>998</v>
      </c>
      <c r="P417" s="7" t="s">
        <v>190</v>
      </c>
      <c r="Q417" s="7" t="s">
        <v>1201</v>
      </c>
      <c r="R417" s="7" t="s">
        <v>380</v>
      </c>
      <c r="S417" s="7" t="s">
        <v>1097</v>
      </c>
      <c r="T417" s="7" t="s">
        <v>1202</v>
      </c>
      <c r="U417" s="18" t="n">
        <v>40</v>
      </c>
      <c r="V417" s="7"/>
      <c r="W417" s="7"/>
      <c r="X417" s="7" t="s">
        <v>195</v>
      </c>
      <c r="Y417" s="22" t="n">
        <v>0.043</v>
      </c>
      <c r="Z417" s="22" t="n">
        <v>0.054</v>
      </c>
      <c r="AA417" s="22" t="n">
        <v>12</v>
      </c>
      <c r="AB417" s="7" t="s">
        <v>1095</v>
      </c>
      <c r="AC417" s="7" t="s">
        <v>1121</v>
      </c>
      <c r="AD417" s="22" t="s">
        <v>197</v>
      </c>
      <c r="AE417" s="22" t="s">
        <v>197</v>
      </c>
      <c r="AF417" s="22" t="s">
        <v>197</v>
      </c>
      <c r="AG417" s="22" t="s">
        <v>197</v>
      </c>
      <c r="AH417" s="22" t="s">
        <v>197</v>
      </c>
      <c r="AI417" s="22" t="s">
        <v>197</v>
      </c>
      <c r="AJ417" s="22" t="s">
        <v>197</v>
      </c>
      <c r="AK417" s="22" t="n">
        <v>40</v>
      </c>
      <c r="AL417" s="22" t="s">
        <v>197</v>
      </c>
      <c r="AM417" s="7" t="s">
        <v>1203</v>
      </c>
      <c r="AN417" s="22" t="s">
        <v>197</v>
      </c>
      <c r="AO417" s="22" t="n">
        <v>0.5</v>
      </c>
      <c r="AP417" s="22" t="n">
        <v>2.5</v>
      </c>
    </row>
    <row r="418" customFormat="false" ht="21.75" hidden="false" customHeight="true" outlineLevel="0" collapsed="false">
      <c r="B418" s="15" t="n">
        <v>414</v>
      </c>
      <c r="C418" s="9" t="s">
        <v>46</v>
      </c>
      <c r="D418" s="9" t="s">
        <v>20</v>
      </c>
      <c r="E418" s="9" t="s">
        <v>120</v>
      </c>
      <c r="F418" s="9" t="s">
        <v>72</v>
      </c>
      <c r="G418" s="9" t="s">
        <v>1204</v>
      </c>
      <c r="H418" s="9" t="s">
        <v>1205</v>
      </c>
      <c r="I418" s="9" t="s">
        <v>1199</v>
      </c>
      <c r="J418" s="9" t="s">
        <v>1200</v>
      </c>
      <c r="K418" s="9" t="s">
        <v>250</v>
      </c>
      <c r="L418" s="9" t="s">
        <v>1095</v>
      </c>
      <c r="M418" s="9" t="s">
        <v>251</v>
      </c>
      <c r="N418" s="9" t="s">
        <v>710</v>
      </c>
      <c r="O418" s="9" t="s">
        <v>998</v>
      </c>
      <c r="P418" s="9" t="s">
        <v>190</v>
      </c>
      <c r="Q418" s="9" t="s">
        <v>1201</v>
      </c>
      <c r="R418" s="9" t="s">
        <v>380</v>
      </c>
      <c r="S418" s="9" t="s">
        <v>1097</v>
      </c>
      <c r="T418" s="9" t="s">
        <v>1202</v>
      </c>
      <c r="U418" s="19" t="n">
        <v>65</v>
      </c>
      <c r="V418" s="9"/>
      <c r="W418" s="9"/>
      <c r="X418" s="9" t="s">
        <v>199</v>
      </c>
      <c r="Y418" s="23" t="n">
        <v>0.067</v>
      </c>
      <c r="Z418" s="23" t="n">
        <v>0.082</v>
      </c>
      <c r="AA418" s="23" t="n">
        <v>12</v>
      </c>
      <c r="AB418" s="9" t="s">
        <v>1095</v>
      </c>
      <c r="AC418" s="9" t="s">
        <v>1121</v>
      </c>
      <c r="AD418" s="23" t="s">
        <v>197</v>
      </c>
      <c r="AE418" s="23" t="s">
        <v>197</v>
      </c>
      <c r="AF418" s="23" t="s">
        <v>197</v>
      </c>
      <c r="AG418" s="23" t="s">
        <v>197</v>
      </c>
      <c r="AH418" s="23" t="s">
        <v>197</v>
      </c>
      <c r="AI418" s="23" t="s">
        <v>197</v>
      </c>
      <c r="AJ418" s="23" t="s">
        <v>197</v>
      </c>
      <c r="AK418" s="23" t="n">
        <v>60</v>
      </c>
      <c r="AL418" s="23" t="s">
        <v>197</v>
      </c>
      <c r="AM418" s="9" t="s">
        <v>1203</v>
      </c>
      <c r="AN418" s="23" t="s">
        <v>197</v>
      </c>
      <c r="AO418" s="23" t="n">
        <v>0.5</v>
      </c>
      <c r="AP418" s="23" t="n">
        <v>2.5</v>
      </c>
    </row>
    <row r="419" customFormat="false" ht="21.75" hidden="false" customHeight="true" outlineLevel="0" collapsed="false">
      <c r="B419" s="14" t="n">
        <v>415</v>
      </c>
      <c r="C419" s="7" t="s">
        <v>46</v>
      </c>
      <c r="D419" s="7" t="s">
        <v>20</v>
      </c>
      <c r="E419" s="7" t="s">
        <v>120</v>
      </c>
      <c r="F419" s="7" t="s">
        <v>72</v>
      </c>
      <c r="G419" s="7" t="s">
        <v>1206</v>
      </c>
      <c r="H419" s="7" t="s">
        <v>1207</v>
      </c>
      <c r="I419" s="7" t="s">
        <v>1199</v>
      </c>
      <c r="J419" s="7" t="s">
        <v>1200</v>
      </c>
      <c r="K419" s="7" t="s">
        <v>250</v>
      </c>
      <c r="L419" s="7" t="s">
        <v>1095</v>
      </c>
      <c r="M419" s="7" t="s">
        <v>251</v>
      </c>
      <c r="N419" s="7" t="s">
        <v>710</v>
      </c>
      <c r="O419" s="7" t="s">
        <v>998</v>
      </c>
      <c r="P419" s="7" t="s">
        <v>190</v>
      </c>
      <c r="Q419" s="7" t="s">
        <v>1201</v>
      </c>
      <c r="R419" s="7" t="s">
        <v>380</v>
      </c>
      <c r="S419" s="7" t="s">
        <v>1097</v>
      </c>
      <c r="T419" s="7" t="s">
        <v>1202</v>
      </c>
      <c r="U419" s="18" t="n">
        <v>85</v>
      </c>
      <c r="V419" s="7"/>
      <c r="W419" s="7"/>
      <c r="X419" s="7" t="s">
        <v>1208</v>
      </c>
      <c r="Y419" s="22" t="n">
        <v>0.063</v>
      </c>
      <c r="Z419" s="22" t="n">
        <v>0.077</v>
      </c>
      <c r="AA419" s="22" t="n">
        <v>12</v>
      </c>
      <c r="AB419" s="7" t="s">
        <v>1095</v>
      </c>
      <c r="AC419" s="7" t="s">
        <v>1121</v>
      </c>
      <c r="AD419" s="22" t="s">
        <v>197</v>
      </c>
      <c r="AE419" s="22" t="s">
        <v>197</v>
      </c>
      <c r="AF419" s="22" t="s">
        <v>197</v>
      </c>
      <c r="AG419" s="22" t="s">
        <v>197</v>
      </c>
      <c r="AH419" s="22" t="s">
        <v>197</v>
      </c>
      <c r="AI419" s="22" t="s">
        <v>197</v>
      </c>
      <c r="AJ419" s="22" t="s">
        <v>197</v>
      </c>
      <c r="AK419" s="22" t="n">
        <v>100</v>
      </c>
      <c r="AL419" s="22" t="s">
        <v>197</v>
      </c>
      <c r="AM419" s="7" t="s">
        <v>1203</v>
      </c>
      <c r="AN419" s="22" t="s">
        <v>197</v>
      </c>
      <c r="AO419" s="22" t="n">
        <v>0.5</v>
      </c>
      <c r="AP419" s="22" t="n">
        <v>2.5</v>
      </c>
    </row>
    <row r="420" customFormat="false" ht="21.75" hidden="false" customHeight="true" outlineLevel="0" collapsed="false">
      <c r="B420" s="15" t="n">
        <v>416</v>
      </c>
      <c r="C420" s="9" t="s">
        <v>46</v>
      </c>
      <c r="D420" s="9" t="s">
        <v>20</v>
      </c>
      <c r="E420" s="9" t="s">
        <v>120</v>
      </c>
      <c r="F420" s="9" t="s">
        <v>72</v>
      </c>
      <c r="G420" s="9" t="s">
        <v>1209</v>
      </c>
      <c r="H420" s="9" t="s">
        <v>1210</v>
      </c>
      <c r="I420" s="9" t="s">
        <v>1199</v>
      </c>
      <c r="J420" s="9" t="s">
        <v>1200</v>
      </c>
      <c r="K420" s="9" t="s">
        <v>250</v>
      </c>
      <c r="L420" s="9" t="s">
        <v>1095</v>
      </c>
      <c r="M420" s="9" t="s">
        <v>251</v>
      </c>
      <c r="N420" s="9" t="s">
        <v>710</v>
      </c>
      <c r="O420" s="9" t="s">
        <v>998</v>
      </c>
      <c r="P420" s="9" t="s">
        <v>190</v>
      </c>
      <c r="Q420" s="9" t="s">
        <v>1201</v>
      </c>
      <c r="R420" s="9" t="s">
        <v>380</v>
      </c>
      <c r="S420" s="9" t="s">
        <v>1097</v>
      </c>
      <c r="T420" s="9" t="s">
        <v>1202</v>
      </c>
      <c r="U420" s="19" t="n">
        <v>130</v>
      </c>
      <c r="V420" s="9"/>
      <c r="W420" s="9"/>
      <c r="X420" s="9" t="s">
        <v>203</v>
      </c>
      <c r="Y420" s="23" t="n">
        <v>0.042</v>
      </c>
      <c r="Z420" s="23" t="n">
        <v>0.053</v>
      </c>
      <c r="AA420" s="23" t="n">
        <v>12</v>
      </c>
      <c r="AB420" s="9" t="s">
        <v>1095</v>
      </c>
      <c r="AC420" s="9" t="s">
        <v>1121</v>
      </c>
      <c r="AD420" s="23" t="s">
        <v>197</v>
      </c>
      <c r="AE420" s="23" t="s">
        <v>197</v>
      </c>
      <c r="AF420" s="23" t="s">
        <v>197</v>
      </c>
      <c r="AG420" s="23" t="s">
        <v>197</v>
      </c>
      <c r="AH420" s="23" t="s">
        <v>197</v>
      </c>
      <c r="AI420" s="23" t="s">
        <v>197</v>
      </c>
      <c r="AJ420" s="23" t="s">
        <v>197</v>
      </c>
      <c r="AK420" s="23" t="n">
        <v>200</v>
      </c>
      <c r="AL420" s="23" t="s">
        <v>197</v>
      </c>
      <c r="AM420" s="9" t="s">
        <v>1203</v>
      </c>
      <c r="AN420" s="23" t="s">
        <v>197</v>
      </c>
      <c r="AO420" s="23" t="n">
        <v>0.5</v>
      </c>
      <c r="AP420" s="23" t="n">
        <v>2.5</v>
      </c>
    </row>
    <row r="421" customFormat="false" ht="21.75" hidden="false" customHeight="true" outlineLevel="0" collapsed="false">
      <c r="B421" s="14" t="n">
        <v>417</v>
      </c>
      <c r="C421" s="7" t="s">
        <v>46</v>
      </c>
      <c r="D421" s="7" t="s">
        <v>20</v>
      </c>
      <c r="E421" s="7" t="s">
        <v>120</v>
      </c>
      <c r="F421" s="7" t="s">
        <v>72</v>
      </c>
      <c r="G421" s="7" t="s">
        <v>1211</v>
      </c>
      <c r="H421" s="7" t="s">
        <v>1212</v>
      </c>
      <c r="I421" s="7" t="s">
        <v>1199</v>
      </c>
      <c r="J421" s="7" t="s">
        <v>1200</v>
      </c>
      <c r="K421" s="7" t="s">
        <v>250</v>
      </c>
      <c r="L421" s="7" t="s">
        <v>1095</v>
      </c>
      <c r="M421" s="7" t="s">
        <v>251</v>
      </c>
      <c r="N421" s="7" t="s">
        <v>710</v>
      </c>
      <c r="O421" s="7" t="s">
        <v>998</v>
      </c>
      <c r="P421" s="7" t="s">
        <v>190</v>
      </c>
      <c r="Q421" s="7" t="s">
        <v>1201</v>
      </c>
      <c r="R421" s="7" t="s">
        <v>380</v>
      </c>
      <c r="S421" s="7" t="s">
        <v>1097</v>
      </c>
      <c r="T421" s="7" t="s">
        <v>1202</v>
      </c>
      <c r="U421" s="18" t="n">
        <v>190</v>
      </c>
      <c r="V421" s="7"/>
      <c r="W421" s="7"/>
      <c r="X421" s="7" t="s">
        <v>205</v>
      </c>
      <c r="Y421" s="22" t="n">
        <v>0.058</v>
      </c>
      <c r="Z421" s="22" t="n">
        <v>0.072</v>
      </c>
      <c r="AA421" s="22" t="n">
        <v>12</v>
      </c>
      <c r="AB421" s="7" t="s">
        <v>1095</v>
      </c>
      <c r="AC421" s="7" t="s">
        <v>1121</v>
      </c>
      <c r="AD421" s="22" t="s">
        <v>197</v>
      </c>
      <c r="AE421" s="22" t="s">
        <v>197</v>
      </c>
      <c r="AF421" s="22" t="s">
        <v>197</v>
      </c>
      <c r="AG421" s="22" t="s">
        <v>197</v>
      </c>
      <c r="AH421" s="22" t="s">
        <v>197</v>
      </c>
      <c r="AI421" s="22" t="s">
        <v>197</v>
      </c>
      <c r="AJ421" s="22" t="s">
        <v>197</v>
      </c>
      <c r="AK421" s="22" t="n">
        <v>300</v>
      </c>
      <c r="AL421" s="22" t="s">
        <v>197</v>
      </c>
      <c r="AM421" s="7" t="s">
        <v>1203</v>
      </c>
      <c r="AN421" s="22" t="s">
        <v>197</v>
      </c>
      <c r="AO421" s="22" t="n">
        <v>0.5</v>
      </c>
      <c r="AP421" s="22" t="n">
        <v>2.5</v>
      </c>
    </row>
    <row r="422" customFormat="false" ht="21.75" hidden="false" customHeight="true" outlineLevel="0" collapsed="false">
      <c r="B422" s="15" t="n">
        <v>418</v>
      </c>
      <c r="C422" s="9" t="s">
        <v>46</v>
      </c>
      <c r="D422" s="9" t="s">
        <v>20</v>
      </c>
      <c r="E422" s="9" t="s">
        <v>120</v>
      </c>
      <c r="F422" s="9" t="s">
        <v>73</v>
      </c>
      <c r="G422" s="9" t="s">
        <v>391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19"/>
      <c r="V422" s="9"/>
      <c r="W422" s="9"/>
      <c r="X422" s="9" t="s">
        <v>1213</v>
      </c>
      <c r="Y422" s="23" t="s">
        <v>197</v>
      </c>
      <c r="Z422" s="23" t="s">
        <v>197</v>
      </c>
      <c r="AA422" s="23" t="s">
        <v>197</v>
      </c>
      <c r="AB422" s="9" t="s">
        <v>197</v>
      </c>
      <c r="AC422" s="9" t="s">
        <v>197</v>
      </c>
      <c r="AD422" s="23" t="s">
        <v>197</v>
      </c>
      <c r="AE422" s="23" t="s">
        <v>197</v>
      </c>
      <c r="AF422" s="23" t="s">
        <v>197</v>
      </c>
      <c r="AG422" s="23" t="s">
        <v>197</v>
      </c>
      <c r="AH422" s="23" t="s">
        <v>197</v>
      </c>
      <c r="AI422" s="23" t="s">
        <v>197</v>
      </c>
      <c r="AJ422" s="23" t="s">
        <v>197</v>
      </c>
      <c r="AK422" s="23" t="s">
        <v>197</v>
      </c>
      <c r="AL422" s="23" t="s">
        <v>197</v>
      </c>
      <c r="AM422" s="9" t="s">
        <v>197</v>
      </c>
      <c r="AN422" s="23" t="s">
        <v>197</v>
      </c>
      <c r="AO422" s="23" t="s">
        <v>197</v>
      </c>
      <c r="AP422" s="23" t="s">
        <v>197</v>
      </c>
    </row>
    <row r="423" customFormat="false" ht="21.75" hidden="false" customHeight="true" outlineLevel="0" collapsed="false">
      <c r="B423" s="14" t="n">
        <v>419</v>
      </c>
      <c r="C423" s="7" t="s">
        <v>46</v>
      </c>
      <c r="D423" s="7" t="s">
        <v>20</v>
      </c>
      <c r="E423" s="7" t="s">
        <v>120</v>
      </c>
      <c r="F423" s="7" t="s">
        <v>74</v>
      </c>
      <c r="G423" s="7" t="s">
        <v>1214</v>
      </c>
      <c r="H423" s="7" t="s">
        <v>411</v>
      </c>
      <c r="I423" s="7" t="s">
        <v>1215</v>
      </c>
      <c r="J423" s="7" t="s">
        <v>1216</v>
      </c>
      <c r="K423" s="7" t="s">
        <v>1217</v>
      </c>
      <c r="L423" s="7" t="s">
        <v>1095</v>
      </c>
      <c r="M423" s="7" t="s">
        <v>415</v>
      </c>
      <c r="N423" s="7" t="s">
        <v>615</v>
      </c>
      <c r="O423" s="7" t="s">
        <v>189</v>
      </c>
      <c r="P423" s="7" t="s">
        <v>190</v>
      </c>
      <c r="Q423" s="7" t="s">
        <v>616</v>
      </c>
      <c r="R423" s="7" t="s">
        <v>418</v>
      </c>
      <c r="S423" s="7" t="s">
        <v>1097</v>
      </c>
      <c r="T423" s="7" t="s">
        <v>618</v>
      </c>
      <c r="U423" s="18" t="n">
        <v>20</v>
      </c>
      <c r="V423" s="7"/>
      <c r="W423" s="7"/>
      <c r="X423" s="7" t="s">
        <v>195</v>
      </c>
      <c r="Y423" s="22" t="n">
        <v>7.01E-006</v>
      </c>
      <c r="Z423" s="22" t="n">
        <v>3.045E-005</v>
      </c>
      <c r="AA423" s="22" t="n">
        <v>3</v>
      </c>
      <c r="AB423" s="7" t="s">
        <v>1095</v>
      </c>
      <c r="AC423" s="7" t="s">
        <v>1132</v>
      </c>
      <c r="AD423" s="22" t="s">
        <v>197</v>
      </c>
      <c r="AE423" s="22" t="s">
        <v>197</v>
      </c>
      <c r="AF423" s="22" t="s">
        <v>197</v>
      </c>
      <c r="AG423" s="22" t="s">
        <v>197</v>
      </c>
      <c r="AH423" s="22" t="s">
        <v>197</v>
      </c>
      <c r="AI423" s="22" t="s">
        <v>197</v>
      </c>
      <c r="AJ423" s="22" t="s">
        <v>197</v>
      </c>
      <c r="AK423" s="22" t="s">
        <v>197</v>
      </c>
      <c r="AL423" s="22" t="s">
        <v>197</v>
      </c>
      <c r="AM423" s="7" t="s">
        <v>197</v>
      </c>
      <c r="AN423" s="22" t="s">
        <v>197</v>
      </c>
      <c r="AO423" s="22" t="s">
        <v>197</v>
      </c>
      <c r="AP423" s="22" t="s">
        <v>197</v>
      </c>
    </row>
    <row r="424" customFormat="false" ht="21.75" hidden="false" customHeight="true" outlineLevel="0" collapsed="false">
      <c r="B424" s="15" t="n">
        <v>420</v>
      </c>
      <c r="C424" s="9" t="s">
        <v>46</v>
      </c>
      <c r="D424" s="9" t="s">
        <v>20</v>
      </c>
      <c r="E424" s="9" t="s">
        <v>120</v>
      </c>
      <c r="F424" s="9" t="s">
        <v>74</v>
      </c>
      <c r="G424" s="9" t="s">
        <v>1218</v>
      </c>
      <c r="H424" s="9" t="s">
        <v>421</v>
      </c>
      <c r="I424" s="9" t="s">
        <v>1215</v>
      </c>
      <c r="J424" s="9" t="s">
        <v>1216</v>
      </c>
      <c r="K424" s="9" t="s">
        <v>1217</v>
      </c>
      <c r="L424" s="9" t="s">
        <v>1095</v>
      </c>
      <c r="M424" s="9" t="s">
        <v>415</v>
      </c>
      <c r="N424" s="9" t="s">
        <v>615</v>
      </c>
      <c r="O424" s="9" t="s">
        <v>189</v>
      </c>
      <c r="P424" s="9" t="s">
        <v>190</v>
      </c>
      <c r="Q424" s="9" t="s">
        <v>616</v>
      </c>
      <c r="R424" s="9" t="s">
        <v>418</v>
      </c>
      <c r="S424" s="9" t="s">
        <v>1097</v>
      </c>
      <c r="T424" s="9" t="s">
        <v>618</v>
      </c>
      <c r="U424" s="19" t="n">
        <v>30</v>
      </c>
      <c r="V424" s="9"/>
      <c r="W424" s="9"/>
      <c r="X424" s="9" t="s">
        <v>199</v>
      </c>
      <c r="Y424" s="23" t="n">
        <v>6.63E-006</v>
      </c>
      <c r="Z424" s="23" t="n">
        <v>2.87E-005</v>
      </c>
      <c r="AA424" s="23" t="n">
        <v>3</v>
      </c>
      <c r="AB424" s="9" t="s">
        <v>1095</v>
      </c>
      <c r="AC424" s="9" t="s">
        <v>1132</v>
      </c>
      <c r="AD424" s="23" t="s">
        <v>197</v>
      </c>
      <c r="AE424" s="23" t="s">
        <v>197</v>
      </c>
      <c r="AF424" s="23" t="s">
        <v>197</v>
      </c>
      <c r="AG424" s="23" t="s">
        <v>197</v>
      </c>
      <c r="AH424" s="23" t="s">
        <v>197</v>
      </c>
      <c r="AI424" s="23" t="s">
        <v>197</v>
      </c>
      <c r="AJ424" s="23" t="s">
        <v>197</v>
      </c>
      <c r="AK424" s="23" t="s">
        <v>197</v>
      </c>
      <c r="AL424" s="23" t="s">
        <v>197</v>
      </c>
      <c r="AM424" s="9" t="s">
        <v>197</v>
      </c>
      <c r="AN424" s="23" t="s">
        <v>197</v>
      </c>
      <c r="AO424" s="23" t="s">
        <v>197</v>
      </c>
      <c r="AP424" s="23" t="s">
        <v>197</v>
      </c>
    </row>
    <row r="425" customFormat="false" ht="21.75" hidden="false" customHeight="true" outlineLevel="0" collapsed="false">
      <c r="B425" s="14" t="n">
        <v>421</v>
      </c>
      <c r="C425" s="7" t="s">
        <v>46</v>
      </c>
      <c r="D425" s="7" t="s">
        <v>20</v>
      </c>
      <c r="E425" s="7" t="s">
        <v>120</v>
      </c>
      <c r="F425" s="7" t="s">
        <v>74</v>
      </c>
      <c r="G425" s="7" t="s">
        <v>1219</v>
      </c>
      <c r="H425" s="7" t="s">
        <v>423</v>
      </c>
      <c r="I425" s="7" t="s">
        <v>1215</v>
      </c>
      <c r="J425" s="7" t="s">
        <v>1216</v>
      </c>
      <c r="K425" s="7" t="s">
        <v>1217</v>
      </c>
      <c r="L425" s="7" t="s">
        <v>1095</v>
      </c>
      <c r="M425" s="7" t="s">
        <v>415</v>
      </c>
      <c r="N425" s="7" t="s">
        <v>615</v>
      </c>
      <c r="O425" s="7" t="s">
        <v>189</v>
      </c>
      <c r="P425" s="7" t="s">
        <v>190</v>
      </c>
      <c r="Q425" s="7" t="s">
        <v>616</v>
      </c>
      <c r="R425" s="7" t="s">
        <v>418</v>
      </c>
      <c r="S425" s="7" t="s">
        <v>1097</v>
      </c>
      <c r="T425" s="7" t="s">
        <v>618</v>
      </c>
      <c r="U425" s="18" t="n">
        <v>45</v>
      </c>
      <c r="V425" s="7"/>
      <c r="W425" s="7"/>
      <c r="X425" s="7" t="s">
        <v>1220</v>
      </c>
      <c r="Y425" s="22" t="n">
        <v>6.87E-006</v>
      </c>
      <c r="Z425" s="22" t="n">
        <v>2.979E-005</v>
      </c>
      <c r="AA425" s="22" t="n">
        <v>3</v>
      </c>
      <c r="AB425" s="7" t="s">
        <v>1095</v>
      </c>
      <c r="AC425" s="7" t="s">
        <v>1132</v>
      </c>
      <c r="AD425" s="22" t="s">
        <v>197</v>
      </c>
      <c r="AE425" s="22" t="s">
        <v>197</v>
      </c>
      <c r="AF425" s="22" t="s">
        <v>197</v>
      </c>
      <c r="AG425" s="22" t="s">
        <v>197</v>
      </c>
      <c r="AH425" s="22" t="s">
        <v>197</v>
      </c>
      <c r="AI425" s="22" t="s">
        <v>197</v>
      </c>
      <c r="AJ425" s="22" t="s">
        <v>197</v>
      </c>
      <c r="AK425" s="22" t="s">
        <v>197</v>
      </c>
      <c r="AL425" s="22" t="s">
        <v>197</v>
      </c>
      <c r="AM425" s="7" t="s">
        <v>197</v>
      </c>
      <c r="AN425" s="22" t="s">
        <v>197</v>
      </c>
      <c r="AO425" s="22" t="n">
        <v>1.1</v>
      </c>
      <c r="AP425" s="22" t="n">
        <v>1.5</v>
      </c>
    </row>
    <row r="426" customFormat="false" ht="21.75" hidden="false" customHeight="true" outlineLevel="0" collapsed="false">
      <c r="B426" s="15" t="n">
        <v>422</v>
      </c>
      <c r="C426" s="9" t="s">
        <v>46</v>
      </c>
      <c r="D426" s="9" t="s">
        <v>20</v>
      </c>
      <c r="E426" s="9" t="s">
        <v>120</v>
      </c>
      <c r="F426" s="9" t="s">
        <v>74</v>
      </c>
      <c r="G426" s="9" t="s">
        <v>1221</v>
      </c>
      <c r="H426" s="9" t="s">
        <v>426</v>
      </c>
      <c r="I426" s="9" t="s">
        <v>1215</v>
      </c>
      <c r="J426" s="9" t="s">
        <v>1216</v>
      </c>
      <c r="K426" s="9" t="s">
        <v>1217</v>
      </c>
      <c r="L426" s="9" t="s">
        <v>1095</v>
      </c>
      <c r="M426" s="9" t="s">
        <v>415</v>
      </c>
      <c r="N426" s="9" t="s">
        <v>615</v>
      </c>
      <c r="O426" s="9" t="s">
        <v>189</v>
      </c>
      <c r="P426" s="9" t="s">
        <v>190</v>
      </c>
      <c r="Q426" s="9" t="s">
        <v>616</v>
      </c>
      <c r="R426" s="9" t="s">
        <v>418</v>
      </c>
      <c r="S426" s="9" t="s">
        <v>1097</v>
      </c>
      <c r="T426" s="9" t="s">
        <v>618</v>
      </c>
      <c r="U426" s="19" t="n">
        <v>65</v>
      </c>
      <c r="V426" s="9"/>
      <c r="W426" s="9"/>
      <c r="X426" s="9" t="s">
        <v>203</v>
      </c>
      <c r="Y426" s="23" t="n">
        <v>5.79E-006</v>
      </c>
      <c r="Z426" s="23" t="n">
        <v>2.482E-005</v>
      </c>
      <c r="AA426" s="23" t="n">
        <v>3</v>
      </c>
      <c r="AB426" s="9" t="s">
        <v>1095</v>
      </c>
      <c r="AC426" s="9" t="s">
        <v>1132</v>
      </c>
      <c r="AD426" s="23" t="s">
        <v>197</v>
      </c>
      <c r="AE426" s="23" t="s">
        <v>197</v>
      </c>
      <c r="AF426" s="23" t="s">
        <v>197</v>
      </c>
      <c r="AG426" s="23" t="s">
        <v>197</v>
      </c>
      <c r="AH426" s="23" t="s">
        <v>197</v>
      </c>
      <c r="AI426" s="23" t="s">
        <v>197</v>
      </c>
      <c r="AJ426" s="23" t="s">
        <v>197</v>
      </c>
      <c r="AK426" s="23" t="s">
        <v>197</v>
      </c>
      <c r="AL426" s="23" t="s">
        <v>197</v>
      </c>
      <c r="AM426" s="9" t="s">
        <v>197</v>
      </c>
      <c r="AN426" s="23" t="s">
        <v>197</v>
      </c>
      <c r="AO426" s="23" t="n">
        <v>1.1</v>
      </c>
      <c r="AP426" s="23" t="n">
        <v>1.5</v>
      </c>
    </row>
    <row r="427" customFormat="false" ht="21.75" hidden="false" customHeight="true" outlineLevel="0" collapsed="false">
      <c r="B427" s="14" t="n">
        <v>423</v>
      </c>
      <c r="C427" s="7" t="s">
        <v>46</v>
      </c>
      <c r="D427" s="7" t="s">
        <v>20</v>
      </c>
      <c r="E427" s="7" t="s">
        <v>120</v>
      </c>
      <c r="F427" s="7" t="s">
        <v>74</v>
      </c>
      <c r="G427" s="7" t="s">
        <v>1222</v>
      </c>
      <c r="H427" s="7" t="s">
        <v>428</v>
      </c>
      <c r="I427" s="7" t="s">
        <v>1215</v>
      </c>
      <c r="J427" s="7" t="s">
        <v>1216</v>
      </c>
      <c r="K427" s="7" t="s">
        <v>1217</v>
      </c>
      <c r="L427" s="7" t="s">
        <v>1095</v>
      </c>
      <c r="M427" s="7" t="s">
        <v>415</v>
      </c>
      <c r="N427" s="7" t="s">
        <v>615</v>
      </c>
      <c r="O427" s="7" t="s">
        <v>189</v>
      </c>
      <c r="P427" s="7" t="s">
        <v>190</v>
      </c>
      <c r="Q427" s="7" t="s">
        <v>616</v>
      </c>
      <c r="R427" s="7" t="s">
        <v>418</v>
      </c>
      <c r="S427" s="7" t="s">
        <v>1097</v>
      </c>
      <c r="T427" s="7" t="s">
        <v>618</v>
      </c>
      <c r="U427" s="18" t="n">
        <v>95</v>
      </c>
      <c r="V427" s="7"/>
      <c r="W427" s="7"/>
      <c r="X427" s="7" t="s">
        <v>205</v>
      </c>
      <c r="Y427" s="22" t="n">
        <v>5.51E-006</v>
      </c>
      <c r="Z427" s="22" t="n">
        <v>2.356E-005</v>
      </c>
      <c r="AA427" s="22" t="n">
        <v>3</v>
      </c>
      <c r="AB427" s="7" t="s">
        <v>1095</v>
      </c>
      <c r="AC427" s="7" t="s">
        <v>1132</v>
      </c>
      <c r="AD427" s="22" t="s">
        <v>197</v>
      </c>
      <c r="AE427" s="22" t="s">
        <v>197</v>
      </c>
      <c r="AF427" s="22" t="s">
        <v>197</v>
      </c>
      <c r="AG427" s="22" t="s">
        <v>197</v>
      </c>
      <c r="AH427" s="22" t="s">
        <v>197</v>
      </c>
      <c r="AI427" s="22" t="s">
        <v>197</v>
      </c>
      <c r="AJ427" s="22" t="s">
        <v>197</v>
      </c>
      <c r="AK427" s="22" t="s">
        <v>197</v>
      </c>
      <c r="AL427" s="22" t="s">
        <v>197</v>
      </c>
      <c r="AM427" s="7" t="s">
        <v>197</v>
      </c>
      <c r="AN427" s="22" t="s">
        <v>197</v>
      </c>
      <c r="AO427" s="22" t="n">
        <v>1.1</v>
      </c>
      <c r="AP427" s="22" t="n">
        <v>1.5</v>
      </c>
    </row>
    <row r="428" customFormat="false" ht="21.75" hidden="false" customHeight="true" outlineLevel="0" collapsed="false">
      <c r="B428" s="15" t="n">
        <v>424</v>
      </c>
      <c r="C428" s="9" t="s">
        <v>46</v>
      </c>
      <c r="D428" s="9" t="s">
        <v>20</v>
      </c>
      <c r="E428" s="9" t="s">
        <v>120</v>
      </c>
      <c r="F428" s="9" t="s">
        <v>75</v>
      </c>
      <c r="G428" s="9" t="s">
        <v>1223</v>
      </c>
      <c r="H428" s="9" t="s">
        <v>430</v>
      </c>
      <c r="I428" s="9" t="s">
        <v>1224</v>
      </c>
      <c r="J428" s="9" t="s">
        <v>1225</v>
      </c>
      <c r="K428" s="9" t="s">
        <v>1217</v>
      </c>
      <c r="L428" s="9" t="s">
        <v>1095</v>
      </c>
      <c r="M428" s="9" t="s">
        <v>1226</v>
      </c>
      <c r="N428" s="9" t="s">
        <v>189</v>
      </c>
      <c r="O428" s="9" t="s">
        <v>189</v>
      </c>
      <c r="P428" s="9" t="s">
        <v>190</v>
      </c>
      <c r="Q428" s="9" t="s">
        <v>1227</v>
      </c>
      <c r="R428" s="9" t="s">
        <v>1228</v>
      </c>
      <c r="S428" s="9" t="s">
        <v>1097</v>
      </c>
      <c r="T428" s="9" t="s">
        <v>436</v>
      </c>
      <c r="U428" s="19" t="n">
        <v>20</v>
      </c>
      <c r="V428" s="9"/>
      <c r="W428" s="9"/>
      <c r="X428" s="9" t="s">
        <v>195</v>
      </c>
      <c r="Y428" s="23" t="n">
        <v>3.99E-006</v>
      </c>
      <c r="Z428" s="23" t="n">
        <v>1.997E-005</v>
      </c>
      <c r="AA428" s="23" t="n">
        <v>3</v>
      </c>
      <c r="AB428" s="9" t="s">
        <v>1095</v>
      </c>
      <c r="AC428" s="9" t="s">
        <v>1121</v>
      </c>
      <c r="AD428" s="23" t="s">
        <v>197</v>
      </c>
      <c r="AE428" s="23" t="s">
        <v>197</v>
      </c>
      <c r="AF428" s="23" t="s">
        <v>197</v>
      </c>
      <c r="AG428" s="23" t="s">
        <v>197</v>
      </c>
      <c r="AH428" s="23" t="s">
        <v>197</v>
      </c>
      <c r="AI428" s="23" t="s">
        <v>197</v>
      </c>
      <c r="AJ428" s="23" t="s">
        <v>197</v>
      </c>
      <c r="AK428" s="23" t="s">
        <v>197</v>
      </c>
      <c r="AL428" s="23" t="s">
        <v>197</v>
      </c>
      <c r="AM428" s="9" t="s">
        <v>197</v>
      </c>
      <c r="AN428" s="23" t="s">
        <v>197</v>
      </c>
      <c r="AO428" s="23" t="s">
        <v>197</v>
      </c>
      <c r="AP428" s="23" t="s">
        <v>197</v>
      </c>
    </row>
    <row r="429" customFormat="false" ht="21.75" hidden="false" customHeight="true" outlineLevel="0" collapsed="false">
      <c r="B429" s="14" t="n">
        <v>425</v>
      </c>
      <c r="C429" s="7" t="s">
        <v>46</v>
      </c>
      <c r="D429" s="7" t="s">
        <v>20</v>
      </c>
      <c r="E429" s="7" t="s">
        <v>120</v>
      </c>
      <c r="F429" s="7" t="s">
        <v>75</v>
      </c>
      <c r="G429" s="7" t="s">
        <v>1229</v>
      </c>
      <c r="H429" s="7" t="s">
        <v>438</v>
      </c>
      <c r="I429" s="7" t="s">
        <v>1224</v>
      </c>
      <c r="J429" s="7" t="s">
        <v>1225</v>
      </c>
      <c r="K429" s="7" t="s">
        <v>1217</v>
      </c>
      <c r="L429" s="7" t="s">
        <v>1095</v>
      </c>
      <c r="M429" s="7" t="s">
        <v>1226</v>
      </c>
      <c r="N429" s="7" t="s">
        <v>189</v>
      </c>
      <c r="O429" s="7" t="s">
        <v>189</v>
      </c>
      <c r="P429" s="7" t="s">
        <v>190</v>
      </c>
      <c r="Q429" s="7" t="s">
        <v>1227</v>
      </c>
      <c r="R429" s="7" t="s">
        <v>1228</v>
      </c>
      <c r="S429" s="7" t="s">
        <v>1097</v>
      </c>
      <c r="T429" s="7" t="s">
        <v>436</v>
      </c>
      <c r="U429" s="18" t="n">
        <v>30</v>
      </c>
      <c r="V429" s="7"/>
      <c r="W429" s="7"/>
      <c r="X429" s="7" t="s">
        <v>199</v>
      </c>
      <c r="Y429" s="22" t="n">
        <v>5.36E-006</v>
      </c>
      <c r="Z429" s="22" t="n">
        <v>2.68E-005</v>
      </c>
      <c r="AA429" s="22" t="n">
        <v>3</v>
      </c>
      <c r="AB429" s="7" t="s">
        <v>1095</v>
      </c>
      <c r="AC429" s="7" t="s">
        <v>1121</v>
      </c>
      <c r="AD429" s="22" t="s">
        <v>197</v>
      </c>
      <c r="AE429" s="22" t="s">
        <v>197</v>
      </c>
      <c r="AF429" s="22" t="s">
        <v>197</v>
      </c>
      <c r="AG429" s="22" t="s">
        <v>197</v>
      </c>
      <c r="AH429" s="22" t="s">
        <v>197</v>
      </c>
      <c r="AI429" s="22" t="s">
        <v>197</v>
      </c>
      <c r="AJ429" s="22" t="s">
        <v>197</v>
      </c>
      <c r="AK429" s="22" t="s">
        <v>197</v>
      </c>
      <c r="AL429" s="22" t="s">
        <v>197</v>
      </c>
      <c r="AM429" s="7" t="s">
        <v>197</v>
      </c>
      <c r="AN429" s="22" t="s">
        <v>197</v>
      </c>
      <c r="AO429" s="22" t="s">
        <v>197</v>
      </c>
      <c r="AP429" s="22" t="s">
        <v>197</v>
      </c>
    </row>
    <row r="430" customFormat="false" ht="21.75" hidden="false" customHeight="true" outlineLevel="0" collapsed="false">
      <c r="B430" s="15" t="n">
        <v>426</v>
      </c>
      <c r="C430" s="9" t="s">
        <v>46</v>
      </c>
      <c r="D430" s="9" t="s">
        <v>20</v>
      </c>
      <c r="E430" s="9" t="s">
        <v>120</v>
      </c>
      <c r="F430" s="9" t="s">
        <v>75</v>
      </c>
      <c r="G430" s="9" t="s">
        <v>1230</v>
      </c>
      <c r="H430" s="9" t="s">
        <v>440</v>
      </c>
      <c r="I430" s="9" t="s">
        <v>1224</v>
      </c>
      <c r="J430" s="9" t="s">
        <v>1225</v>
      </c>
      <c r="K430" s="9" t="s">
        <v>1217</v>
      </c>
      <c r="L430" s="9" t="s">
        <v>1095</v>
      </c>
      <c r="M430" s="9" t="s">
        <v>1226</v>
      </c>
      <c r="N430" s="9" t="s">
        <v>189</v>
      </c>
      <c r="O430" s="9" t="s">
        <v>189</v>
      </c>
      <c r="P430" s="9" t="s">
        <v>190</v>
      </c>
      <c r="Q430" s="9" t="s">
        <v>1227</v>
      </c>
      <c r="R430" s="9" t="s">
        <v>1228</v>
      </c>
      <c r="S430" s="9" t="s">
        <v>1097</v>
      </c>
      <c r="T430" s="9" t="s">
        <v>436</v>
      </c>
      <c r="U430" s="19" t="n">
        <v>40</v>
      </c>
      <c r="V430" s="9"/>
      <c r="W430" s="9"/>
      <c r="X430" s="9" t="s">
        <v>1231</v>
      </c>
      <c r="Y430" s="23" t="n">
        <v>4.35E-006</v>
      </c>
      <c r="Z430" s="23" t="n">
        <v>2.176E-005</v>
      </c>
      <c r="AA430" s="23" t="n">
        <v>3</v>
      </c>
      <c r="AB430" s="9" t="s">
        <v>1095</v>
      </c>
      <c r="AC430" s="9" t="s">
        <v>1121</v>
      </c>
      <c r="AD430" s="23" t="s">
        <v>197</v>
      </c>
      <c r="AE430" s="23" t="s">
        <v>197</v>
      </c>
      <c r="AF430" s="23" t="s">
        <v>197</v>
      </c>
      <c r="AG430" s="23" t="s">
        <v>197</v>
      </c>
      <c r="AH430" s="23" t="s">
        <v>197</v>
      </c>
      <c r="AI430" s="23" t="s">
        <v>197</v>
      </c>
      <c r="AJ430" s="23" t="s">
        <v>197</v>
      </c>
      <c r="AK430" s="23" t="s">
        <v>197</v>
      </c>
      <c r="AL430" s="23" t="s">
        <v>197</v>
      </c>
      <c r="AM430" s="9" t="s">
        <v>197</v>
      </c>
      <c r="AN430" s="23" t="s">
        <v>197</v>
      </c>
      <c r="AO430" s="23" t="s">
        <v>197</v>
      </c>
      <c r="AP430" s="23" t="s">
        <v>197</v>
      </c>
    </row>
    <row r="431" customFormat="false" ht="21.75" hidden="false" customHeight="true" outlineLevel="0" collapsed="false">
      <c r="B431" s="14" t="n">
        <v>427</v>
      </c>
      <c r="C431" s="7" t="s">
        <v>46</v>
      </c>
      <c r="D431" s="7" t="s">
        <v>20</v>
      </c>
      <c r="E431" s="7" t="s">
        <v>120</v>
      </c>
      <c r="F431" s="7" t="s">
        <v>75</v>
      </c>
      <c r="G431" s="7" t="s">
        <v>1104</v>
      </c>
      <c r="H431" s="7" t="s">
        <v>443</v>
      </c>
      <c r="I431" s="7" t="s">
        <v>1224</v>
      </c>
      <c r="J431" s="7" t="s">
        <v>1225</v>
      </c>
      <c r="K431" s="7" t="s">
        <v>1217</v>
      </c>
      <c r="L431" s="7" t="s">
        <v>1095</v>
      </c>
      <c r="M431" s="7" t="s">
        <v>1226</v>
      </c>
      <c r="N431" s="7" t="s">
        <v>189</v>
      </c>
      <c r="O431" s="7" t="s">
        <v>189</v>
      </c>
      <c r="P431" s="7" t="s">
        <v>190</v>
      </c>
      <c r="Q431" s="7" t="s">
        <v>1227</v>
      </c>
      <c r="R431" s="7" t="s">
        <v>1228</v>
      </c>
      <c r="S431" s="7" t="s">
        <v>1097</v>
      </c>
      <c r="T431" s="7" t="s">
        <v>436</v>
      </c>
      <c r="U431" s="18" t="n">
        <v>60</v>
      </c>
      <c r="V431" s="7"/>
      <c r="W431" s="7"/>
      <c r="X431" s="7" t="s">
        <v>203</v>
      </c>
      <c r="Y431" s="22" t="n">
        <v>2.19E-006</v>
      </c>
      <c r="Z431" s="22" t="n">
        <v>1.097E-005</v>
      </c>
      <c r="AA431" s="22" t="n">
        <v>3</v>
      </c>
      <c r="AB431" s="7" t="s">
        <v>1095</v>
      </c>
      <c r="AC431" s="7" t="s">
        <v>1121</v>
      </c>
      <c r="AD431" s="22" t="s">
        <v>197</v>
      </c>
      <c r="AE431" s="22" t="s">
        <v>197</v>
      </c>
      <c r="AF431" s="22" t="s">
        <v>197</v>
      </c>
      <c r="AG431" s="22" t="s">
        <v>197</v>
      </c>
      <c r="AH431" s="22" t="s">
        <v>197</v>
      </c>
      <c r="AI431" s="22" t="s">
        <v>197</v>
      </c>
      <c r="AJ431" s="22" t="s">
        <v>197</v>
      </c>
      <c r="AK431" s="22" t="s">
        <v>197</v>
      </c>
      <c r="AL431" s="22" t="s">
        <v>197</v>
      </c>
      <c r="AM431" s="7" t="s">
        <v>197</v>
      </c>
      <c r="AN431" s="22" t="s">
        <v>197</v>
      </c>
      <c r="AO431" s="22" t="s">
        <v>197</v>
      </c>
      <c r="AP431" s="22" t="s">
        <v>197</v>
      </c>
    </row>
    <row r="432" customFormat="false" ht="21.75" hidden="false" customHeight="true" outlineLevel="0" collapsed="false">
      <c r="B432" s="15" t="n">
        <v>428</v>
      </c>
      <c r="C432" s="9" t="s">
        <v>46</v>
      </c>
      <c r="D432" s="9" t="s">
        <v>20</v>
      </c>
      <c r="E432" s="9" t="s">
        <v>120</v>
      </c>
      <c r="F432" s="9" t="s">
        <v>75</v>
      </c>
      <c r="G432" s="9" t="s">
        <v>1157</v>
      </c>
      <c r="H432" s="9" t="s">
        <v>444</v>
      </c>
      <c r="I432" s="9" t="s">
        <v>1224</v>
      </c>
      <c r="J432" s="9" t="s">
        <v>1225</v>
      </c>
      <c r="K432" s="9" t="s">
        <v>1217</v>
      </c>
      <c r="L432" s="9" t="s">
        <v>1095</v>
      </c>
      <c r="M432" s="9" t="s">
        <v>1226</v>
      </c>
      <c r="N432" s="9" t="s">
        <v>189</v>
      </c>
      <c r="O432" s="9" t="s">
        <v>189</v>
      </c>
      <c r="P432" s="9" t="s">
        <v>190</v>
      </c>
      <c r="Q432" s="9" t="s">
        <v>1227</v>
      </c>
      <c r="R432" s="9" t="s">
        <v>1228</v>
      </c>
      <c r="S432" s="9" t="s">
        <v>1097</v>
      </c>
      <c r="T432" s="9" t="s">
        <v>436</v>
      </c>
      <c r="U432" s="19" t="n">
        <v>85</v>
      </c>
      <c r="V432" s="9"/>
      <c r="W432" s="9"/>
      <c r="X432" s="9" t="s">
        <v>205</v>
      </c>
      <c r="Y432" s="23" t="n">
        <v>5.3E-006</v>
      </c>
      <c r="Z432" s="23" t="n">
        <v>2.649E-005</v>
      </c>
      <c r="AA432" s="23" t="n">
        <v>3</v>
      </c>
      <c r="AB432" s="9" t="s">
        <v>1095</v>
      </c>
      <c r="AC432" s="9" t="s">
        <v>1121</v>
      </c>
      <c r="AD432" s="23" t="s">
        <v>197</v>
      </c>
      <c r="AE432" s="23" t="s">
        <v>197</v>
      </c>
      <c r="AF432" s="23" t="s">
        <v>197</v>
      </c>
      <c r="AG432" s="23" t="s">
        <v>197</v>
      </c>
      <c r="AH432" s="23" t="s">
        <v>197</v>
      </c>
      <c r="AI432" s="23" t="s">
        <v>197</v>
      </c>
      <c r="AJ432" s="23" t="s">
        <v>197</v>
      </c>
      <c r="AK432" s="23" t="s">
        <v>197</v>
      </c>
      <c r="AL432" s="23" t="s">
        <v>197</v>
      </c>
      <c r="AM432" s="9" t="s">
        <v>197</v>
      </c>
      <c r="AN432" s="23" t="s">
        <v>197</v>
      </c>
      <c r="AO432" s="23" t="s">
        <v>197</v>
      </c>
      <c r="AP432" s="23" t="s">
        <v>197</v>
      </c>
    </row>
    <row r="433" customFormat="false" ht="21.75" hidden="false" customHeight="true" outlineLevel="0" collapsed="false">
      <c r="B433" s="14" t="n">
        <v>429</v>
      </c>
      <c r="C433" s="7" t="s">
        <v>47</v>
      </c>
      <c r="D433" s="7" t="s">
        <v>20</v>
      </c>
      <c r="E433" s="7" t="s">
        <v>121</v>
      </c>
      <c r="F433" s="7" t="s">
        <v>60</v>
      </c>
      <c r="G433" s="7" t="s">
        <v>1232</v>
      </c>
      <c r="H433" s="7" t="s">
        <v>1233</v>
      </c>
      <c r="I433" s="7" t="s">
        <v>1234</v>
      </c>
      <c r="J433" s="7" t="s">
        <v>1235</v>
      </c>
      <c r="K433" s="7" t="s">
        <v>1236</v>
      </c>
      <c r="L433" s="7" t="s">
        <v>1237</v>
      </c>
      <c r="M433" s="7" t="s">
        <v>187</v>
      </c>
      <c r="N433" s="7" t="s">
        <v>210</v>
      </c>
      <c r="O433" s="7" t="s">
        <v>189</v>
      </c>
      <c r="P433" s="7" t="s">
        <v>190</v>
      </c>
      <c r="Q433" s="7" t="s">
        <v>1238</v>
      </c>
      <c r="R433" s="7" t="s">
        <v>1239</v>
      </c>
      <c r="S433" s="7" t="s">
        <v>1240</v>
      </c>
      <c r="T433" s="7" t="s">
        <v>1241</v>
      </c>
      <c r="U433" s="18" t="n">
        <v>130</v>
      </c>
      <c r="V433" s="7"/>
      <c r="W433" s="7"/>
      <c r="X433" s="7" t="s">
        <v>195</v>
      </c>
      <c r="Y433" s="22" t="n">
        <v>0.089</v>
      </c>
      <c r="Z433" s="22" t="n">
        <v>0.6</v>
      </c>
      <c r="AA433" s="22" t="n">
        <v>12</v>
      </c>
      <c r="AB433" s="7" t="s">
        <v>1237</v>
      </c>
      <c r="AC433" s="7" t="s">
        <v>1242</v>
      </c>
      <c r="AD433" s="22" t="n">
        <v>0.089</v>
      </c>
      <c r="AE433" s="22" t="n">
        <v>0.6</v>
      </c>
      <c r="AF433" s="22" t="n">
        <v>2.5</v>
      </c>
      <c r="AG433" s="22" t="n">
        <v>24</v>
      </c>
      <c r="AH433" s="22" t="n">
        <v>3</v>
      </c>
      <c r="AI433" s="22" t="s">
        <v>197</v>
      </c>
      <c r="AJ433" s="22" t="s">
        <v>197</v>
      </c>
      <c r="AK433" s="22" t="s">
        <v>197</v>
      </c>
      <c r="AL433" s="22" t="s">
        <v>197</v>
      </c>
      <c r="AM433" s="7" t="s">
        <v>197</v>
      </c>
      <c r="AN433" s="22" t="s">
        <v>197</v>
      </c>
      <c r="AO433" s="22" t="s">
        <v>197</v>
      </c>
      <c r="AP433" s="22" t="s">
        <v>197</v>
      </c>
    </row>
    <row r="434" customFormat="false" ht="21.75" hidden="false" customHeight="true" outlineLevel="0" collapsed="false">
      <c r="B434" s="15" t="n">
        <v>430</v>
      </c>
      <c r="C434" s="9" t="s">
        <v>47</v>
      </c>
      <c r="D434" s="9" t="s">
        <v>20</v>
      </c>
      <c r="E434" s="9" t="s">
        <v>121</v>
      </c>
      <c r="F434" s="9" t="s">
        <v>60</v>
      </c>
      <c r="G434" s="9" t="s">
        <v>1243</v>
      </c>
      <c r="H434" s="9" t="s">
        <v>1233</v>
      </c>
      <c r="I434" s="9" t="s">
        <v>1234</v>
      </c>
      <c r="J434" s="9" t="s">
        <v>1235</v>
      </c>
      <c r="K434" s="9" t="s">
        <v>1236</v>
      </c>
      <c r="L434" s="9" t="s">
        <v>1237</v>
      </c>
      <c r="M434" s="9" t="s">
        <v>187</v>
      </c>
      <c r="N434" s="9" t="s">
        <v>210</v>
      </c>
      <c r="O434" s="9" t="s">
        <v>189</v>
      </c>
      <c r="P434" s="9" t="s">
        <v>190</v>
      </c>
      <c r="Q434" s="9" t="s">
        <v>1238</v>
      </c>
      <c r="R434" s="9" t="s">
        <v>1239</v>
      </c>
      <c r="S434" s="9" t="s">
        <v>1240</v>
      </c>
      <c r="T434" s="9" t="s">
        <v>1241</v>
      </c>
      <c r="U434" s="19" t="n">
        <v>195</v>
      </c>
      <c r="V434" s="9"/>
      <c r="W434" s="9"/>
      <c r="X434" s="9" t="s">
        <v>199</v>
      </c>
      <c r="Y434" s="23" t="n">
        <v>0.057</v>
      </c>
      <c r="Z434" s="23" t="n">
        <v>0.6</v>
      </c>
      <c r="AA434" s="23" t="n">
        <v>12</v>
      </c>
      <c r="AB434" s="9" t="s">
        <v>1237</v>
      </c>
      <c r="AC434" s="9" t="s">
        <v>1242</v>
      </c>
      <c r="AD434" s="23" t="n">
        <v>0.057</v>
      </c>
      <c r="AE434" s="23" t="n">
        <v>0.6</v>
      </c>
      <c r="AF434" s="23" t="n">
        <v>3</v>
      </c>
      <c r="AG434" s="23" t="n">
        <v>48</v>
      </c>
      <c r="AH434" s="23" t="n">
        <v>4</v>
      </c>
      <c r="AI434" s="23" t="s">
        <v>197</v>
      </c>
      <c r="AJ434" s="23" t="s">
        <v>197</v>
      </c>
      <c r="AK434" s="23" t="s">
        <v>197</v>
      </c>
      <c r="AL434" s="23" t="s">
        <v>197</v>
      </c>
      <c r="AM434" s="9" t="s">
        <v>197</v>
      </c>
      <c r="AN434" s="23" t="s">
        <v>197</v>
      </c>
      <c r="AO434" s="23" t="s">
        <v>197</v>
      </c>
      <c r="AP434" s="23" t="s">
        <v>197</v>
      </c>
    </row>
    <row r="435" customFormat="false" ht="21.75" hidden="false" customHeight="true" outlineLevel="0" collapsed="false">
      <c r="B435" s="14" t="n">
        <v>431</v>
      </c>
      <c r="C435" s="7" t="s">
        <v>47</v>
      </c>
      <c r="D435" s="7" t="s">
        <v>20</v>
      </c>
      <c r="E435" s="7" t="s">
        <v>121</v>
      </c>
      <c r="F435" s="7" t="s">
        <v>60</v>
      </c>
      <c r="G435" s="7" t="s">
        <v>1244</v>
      </c>
      <c r="H435" s="7" t="s">
        <v>1233</v>
      </c>
      <c r="I435" s="7" t="s">
        <v>1234</v>
      </c>
      <c r="J435" s="7" t="s">
        <v>1235</v>
      </c>
      <c r="K435" s="7" t="s">
        <v>1236</v>
      </c>
      <c r="L435" s="7" t="s">
        <v>1237</v>
      </c>
      <c r="M435" s="7" t="s">
        <v>187</v>
      </c>
      <c r="N435" s="7" t="s">
        <v>210</v>
      </c>
      <c r="O435" s="7" t="s">
        <v>189</v>
      </c>
      <c r="P435" s="7" t="s">
        <v>190</v>
      </c>
      <c r="Q435" s="7" t="s">
        <v>1238</v>
      </c>
      <c r="R435" s="7" t="s">
        <v>1239</v>
      </c>
      <c r="S435" s="7" t="s">
        <v>1240</v>
      </c>
      <c r="T435" s="7" t="s">
        <v>1241</v>
      </c>
      <c r="U435" s="18" t="n">
        <v>265</v>
      </c>
      <c r="V435" s="7"/>
      <c r="W435" s="7"/>
      <c r="X435" s="7" t="s">
        <v>1245</v>
      </c>
      <c r="Y435" s="22" t="n">
        <v>0.07</v>
      </c>
      <c r="Z435" s="22" t="n">
        <v>0.6</v>
      </c>
      <c r="AA435" s="22" t="n">
        <v>12</v>
      </c>
      <c r="AB435" s="7" t="s">
        <v>1237</v>
      </c>
      <c r="AC435" s="7" t="s">
        <v>1242</v>
      </c>
      <c r="AD435" s="22" t="n">
        <v>0.07</v>
      </c>
      <c r="AE435" s="22" t="n">
        <v>0.6</v>
      </c>
      <c r="AF435" s="22" t="n">
        <v>3.5</v>
      </c>
      <c r="AG435" s="22" t="n">
        <v>88</v>
      </c>
      <c r="AH435" s="22" t="n">
        <v>8</v>
      </c>
      <c r="AI435" s="22" t="s">
        <v>197</v>
      </c>
      <c r="AJ435" s="22" t="s">
        <v>197</v>
      </c>
      <c r="AK435" s="22" t="s">
        <v>197</v>
      </c>
      <c r="AL435" s="22" t="s">
        <v>197</v>
      </c>
      <c r="AM435" s="7" t="s">
        <v>197</v>
      </c>
      <c r="AN435" s="22" t="s">
        <v>197</v>
      </c>
      <c r="AO435" s="22" t="s">
        <v>197</v>
      </c>
      <c r="AP435" s="22" t="s">
        <v>197</v>
      </c>
    </row>
    <row r="436" customFormat="false" ht="21.75" hidden="false" customHeight="true" outlineLevel="0" collapsed="false">
      <c r="B436" s="15" t="n">
        <v>432</v>
      </c>
      <c r="C436" s="9" t="s">
        <v>47</v>
      </c>
      <c r="D436" s="9" t="s">
        <v>20</v>
      </c>
      <c r="E436" s="9" t="s">
        <v>121</v>
      </c>
      <c r="F436" s="9" t="s">
        <v>60</v>
      </c>
      <c r="G436" s="9" t="s">
        <v>1246</v>
      </c>
      <c r="H436" s="9" t="s">
        <v>1233</v>
      </c>
      <c r="I436" s="9" t="s">
        <v>1234</v>
      </c>
      <c r="J436" s="9" t="s">
        <v>1235</v>
      </c>
      <c r="K436" s="9" t="s">
        <v>1236</v>
      </c>
      <c r="L436" s="9" t="s">
        <v>1237</v>
      </c>
      <c r="M436" s="9" t="s">
        <v>187</v>
      </c>
      <c r="N436" s="9" t="s">
        <v>210</v>
      </c>
      <c r="O436" s="9" t="s">
        <v>189</v>
      </c>
      <c r="P436" s="9" t="s">
        <v>190</v>
      </c>
      <c r="Q436" s="9" t="s">
        <v>1238</v>
      </c>
      <c r="R436" s="9" t="s">
        <v>1239</v>
      </c>
      <c r="S436" s="9" t="s">
        <v>1240</v>
      </c>
      <c r="T436" s="9" t="s">
        <v>1241</v>
      </c>
      <c r="U436" s="19" t="n">
        <v>395</v>
      </c>
      <c r="V436" s="9"/>
      <c r="W436" s="9"/>
      <c r="X436" s="9" t="s">
        <v>203</v>
      </c>
      <c r="Y436" s="23" t="n">
        <v>0.077</v>
      </c>
      <c r="Z436" s="23" t="n">
        <v>0.6</v>
      </c>
      <c r="AA436" s="23" t="n">
        <v>12</v>
      </c>
      <c r="AB436" s="9" t="s">
        <v>1237</v>
      </c>
      <c r="AC436" s="9" t="s">
        <v>1242</v>
      </c>
      <c r="AD436" s="23" t="n">
        <v>0.077</v>
      </c>
      <c r="AE436" s="23" t="n">
        <v>0.6</v>
      </c>
      <c r="AF436" s="23" t="n">
        <v>3.5</v>
      </c>
      <c r="AG436" s="23" t="n">
        <v>168</v>
      </c>
      <c r="AH436" s="23" t="n">
        <v>16</v>
      </c>
      <c r="AI436" s="23" t="s">
        <v>197</v>
      </c>
      <c r="AJ436" s="23" t="s">
        <v>197</v>
      </c>
      <c r="AK436" s="23" t="s">
        <v>197</v>
      </c>
      <c r="AL436" s="23" t="s">
        <v>197</v>
      </c>
      <c r="AM436" s="9" t="s">
        <v>197</v>
      </c>
      <c r="AN436" s="23" t="s">
        <v>197</v>
      </c>
      <c r="AO436" s="23" t="s">
        <v>197</v>
      </c>
      <c r="AP436" s="23" t="s">
        <v>197</v>
      </c>
    </row>
    <row r="437" customFormat="false" ht="21.75" hidden="false" customHeight="true" outlineLevel="0" collapsed="false">
      <c r="B437" s="14" t="n">
        <v>433</v>
      </c>
      <c r="C437" s="7" t="s">
        <v>47</v>
      </c>
      <c r="D437" s="7" t="s">
        <v>20</v>
      </c>
      <c r="E437" s="7" t="s">
        <v>121</v>
      </c>
      <c r="F437" s="7" t="s">
        <v>60</v>
      </c>
      <c r="G437" s="7" t="s">
        <v>1247</v>
      </c>
      <c r="H437" s="7" t="s">
        <v>1233</v>
      </c>
      <c r="I437" s="7" t="s">
        <v>1234</v>
      </c>
      <c r="J437" s="7" t="s">
        <v>1235</v>
      </c>
      <c r="K437" s="7" t="s">
        <v>1236</v>
      </c>
      <c r="L437" s="7" t="s">
        <v>1237</v>
      </c>
      <c r="M437" s="7" t="s">
        <v>187</v>
      </c>
      <c r="N437" s="7" t="s">
        <v>210</v>
      </c>
      <c r="O437" s="7" t="s">
        <v>189</v>
      </c>
      <c r="P437" s="7" t="s">
        <v>190</v>
      </c>
      <c r="Q437" s="7" t="s">
        <v>1238</v>
      </c>
      <c r="R437" s="7" t="s">
        <v>1239</v>
      </c>
      <c r="S437" s="7" t="s">
        <v>1240</v>
      </c>
      <c r="T437" s="7" t="s">
        <v>1241</v>
      </c>
      <c r="U437" s="18" t="n">
        <v>580</v>
      </c>
      <c r="V437" s="7"/>
      <c r="W437" s="7"/>
      <c r="X437" s="7" t="s">
        <v>205</v>
      </c>
      <c r="Y437" s="22" t="n">
        <v>0.084</v>
      </c>
      <c r="Z437" s="22" t="n">
        <v>0.6</v>
      </c>
      <c r="AA437" s="22" t="n">
        <v>12</v>
      </c>
      <c r="AB437" s="7" t="s">
        <v>1237</v>
      </c>
      <c r="AC437" s="7" t="s">
        <v>1242</v>
      </c>
      <c r="AD437" s="22" t="n">
        <v>0.084</v>
      </c>
      <c r="AE437" s="22" t="n">
        <v>0.6</v>
      </c>
      <c r="AF437" s="22" t="n">
        <v>3.5</v>
      </c>
      <c r="AG437" s="22" t="n">
        <v>640</v>
      </c>
      <c r="AH437" s="22" t="n">
        <v>32</v>
      </c>
      <c r="AI437" s="22" t="s">
        <v>197</v>
      </c>
      <c r="AJ437" s="22" t="s">
        <v>197</v>
      </c>
      <c r="AK437" s="22" t="s">
        <v>197</v>
      </c>
      <c r="AL437" s="22" t="s">
        <v>197</v>
      </c>
      <c r="AM437" s="7" t="s">
        <v>197</v>
      </c>
      <c r="AN437" s="22" t="s">
        <v>197</v>
      </c>
      <c r="AO437" s="22" t="s">
        <v>197</v>
      </c>
      <c r="AP437" s="22" t="s">
        <v>197</v>
      </c>
    </row>
    <row r="438" customFormat="false" ht="21.75" hidden="false" customHeight="true" outlineLevel="0" collapsed="false">
      <c r="B438" s="15" t="n">
        <v>434</v>
      </c>
      <c r="C438" s="9" t="s">
        <v>47</v>
      </c>
      <c r="D438" s="9" t="s">
        <v>20</v>
      </c>
      <c r="E438" s="9" t="s">
        <v>121</v>
      </c>
      <c r="F438" s="9" t="s">
        <v>61</v>
      </c>
      <c r="G438" s="9" t="s">
        <v>1232</v>
      </c>
      <c r="H438" s="9" t="s">
        <v>206</v>
      </c>
      <c r="I438" s="9" t="s">
        <v>1248</v>
      </c>
      <c r="J438" s="9" t="s">
        <v>1249</v>
      </c>
      <c r="K438" s="9" t="s">
        <v>1250</v>
      </c>
      <c r="L438" s="9" t="s">
        <v>1237</v>
      </c>
      <c r="M438" s="9" t="s">
        <v>187</v>
      </c>
      <c r="N438" s="9" t="s">
        <v>1251</v>
      </c>
      <c r="O438" s="9" t="s">
        <v>189</v>
      </c>
      <c r="P438" s="9" t="s">
        <v>190</v>
      </c>
      <c r="Q438" s="9" t="s">
        <v>1252</v>
      </c>
      <c r="R438" s="9" t="s">
        <v>212</v>
      </c>
      <c r="S438" s="9" t="s">
        <v>1240</v>
      </c>
      <c r="T438" s="9" t="s">
        <v>213</v>
      </c>
      <c r="U438" s="19" t="n">
        <v>85</v>
      </c>
      <c r="V438" s="9"/>
      <c r="W438" s="9"/>
      <c r="X438" s="9" t="s">
        <v>195</v>
      </c>
      <c r="Y438" s="23" t="n">
        <v>0.089</v>
      </c>
      <c r="Z438" s="23" t="n">
        <v>0.52</v>
      </c>
      <c r="AA438" s="23" t="n">
        <v>12</v>
      </c>
      <c r="AB438" s="9" t="s">
        <v>1237</v>
      </c>
      <c r="AC438" s="9" t="s">
        <v>1242</v>
      </c>
      <c r="AD438" s="23" t="n">
        <v>0.089</v>
      </c>
      <c r="AE438" s="23" t="n">
        <v>0.52</v>
      </c>
      <c r="AF438" s="23" t="n">
        <v>2.5</v>
      </c>
      <c r="AG438" s="23" t="n">
        <v>24</v>
      </c>
      <c r="AH438" s="23" t="n">
        <v>3</v>
      </c>
      <c r="AI438" s="23" t="s">
        <v>197</v>
      </c>
      <c r="AJ438" s="23" t="s">
        <v>197</v>
      </c>
      <c r="AK438" s="23" t="s">
        <v>197</v>
      </c>
      <c r="AL438" s="23" t="s">
        <v>197</v>
      </c>
      <c r="AM438" s="9" t="s">
        <v>197</v>
      </c>
      <c r="AN438" s="23" t="s">
        <v>197</v>
      </c>
      <c r="AO438" s="23" t="s">
        <v>197</v>
      </c>
      <c r="AP438" s="23" t="s">
        <v>197</v>
      </c>
    </row>
    <row r="439" customFormat="false" ht="21.75" hidden="false" customHeight="true" outlineLevel="0" collapsed="false">
      <c r="B439" s="14" t="n">
        <v>435</v>
      </c>
      <c r="C439" s="7" t="s">
        <v>47</v>
      </c>
      <c r="D439" s="7" t="s">
        <v>20</v>
      </c>
      <c r="E439" s="7" t="s">
        <v>121</v>
      </c>
      <c r="F439" s="7" t="s">
        <v>61</v>
      </c>
      <c r="G439" s="7" t="s">
        <v>1243</v>
      </c>
      <c r="H439" s="7" t="s">
        <v>206</v>
      </c>
      <c r="I439" s="7" t="s">
        <v>1248</v>
      </c>
      <c r="J439" s="7" t="s">
        <v>1249</v>
      </c>
      <c r="K439" s="7" t="s">
        <v>1250</v>
      </c>
      <c r="L439" s="7" t="s">
        <v>1237</v>
      </c>
      <c r="M439" s="7" t="s">
        <v>187</v>
      </c>
      <c r="N439" s="7" t="s">
        <v>1251</v>
      </c>
      <c r="O439" s="7" t="s">
        <v>189</v>
      </c>
      <c r="P439" s="7" t="s">
        <v>190</v>
      </c>
      <c r="Q439" s="7" t="s">
        <v>1252</v>
      </c>
      <c r="R439" s="7" t="s">
        <v>212</v>
      </c>
      <c r="S439" s="7" t="s">
        <v>1240</v>
      </c>
      <c r="T439" s="7" t="s">
        <v>213</v>
      </c>
      <c r="U439" s="18" t="n">
        <v>130</v>
      </c>
      <c r="V439" s="7"/>
      <c r="W439" s="7"/>
      <c r="X439" s="7" t="s">
        <v>199</v>
      </c>
      <c r="Y439" s="22" t="n">
        <v>0.057</v>
      </c>
      <c r="Z439" s="22" t="n">
        <v>0.52</v>
      </c>
      <c r="AA439" s="22" t="n">
        <v>12</v>
      </c>
      <c r="AB439" s="7" t="s">
        <v>1237</v>
      </c>
      <c r="AC439" s="7" t="s">
        <v>1242</v>
      </c>
      <c r="AD439" s="22" t="n">
        <v>0.057</v>
      </c>
      <c r="AE439" s="22" t="n">
        <v>0.52</v>
      </c>
      <c r="AF439" s="22" t="n">
        <v>3</v>
      </c>
      <c r="AG439" s="22" t="n">
        <v>48</v>
      </c>
      <c r="AH439" s="22" t="n">
        <v>4</v>
      </c>
      <c r="AI439" s="22" t="s">
        <v>197</v>
      </c>
      <c r="AJ439" s="22" t="s">
        <v>197</v>
      </c>
      <c r="AK439" s="22" t="s">
        <v>197</v>
      </c>
      <c r="AL439" s="22" t="s">
        <v>197</v>
      </c>
      <c r="AM439" s="7" t="s">
        <v>197</v>
      </c>
      <c r="AN439" s="22" t="s">
        <v>197</v>
      </c>
      <c r="AO439" s="22" t="s">
        <v>197</v>
      </c>
      <c r="AP439" s="22" t="s">
        <v>197</v>
      </c>
    </row>
    <row r="440" customFormat="false" ht="21.75" hidden="false" customHeight="true" outlineLevel="0" collapsed="false">
      <c r="B440" s="15" t="n">
        <v>436</v>
      </c>
      <c r="C440" s="9" t="s">
        <v>47</v>
      </c>
      <c r="D440" s="9" t="s">
        <v>20</v>
      </c>
      <c r="E440" s="9" t="s">
        <v>121</v>
      </c>
      <c r="F440" s="9" t="s">
        <v>61</v>
      </c>
      <c r="G440" s="9" t="s">
        <v>1244</v>
      </c>
      <c r="H440" s="9" t="s">
        <v>206</v>
      </c>
      <c r="I440" s="9" t="s">
        <v>1248</v>
      </c>
      <c r="J440" s="9" t="s">
        <v>1249</v>
      </c>
      <c r="K440" s="9" t="s">
        <v>1250</v>
      </c>
      <c r="L440" s="9" t="s">
        <v>1237</v>
      </c>
      <c r="M440" s="9" t="s">
        <v>187</v>
      </c>
      <c r="N440" s="9" t="s">
        <v>1251</v>
      </c>
      <c r="O440" s="9" t="s">
        <v>189</v>
      </c>
      <c r="P440" s="9" t="s">
        <v>190</v>
      </c>
      <c r="Q440" s="9" t="s">
        <v>1252</v>
      </c>
      <c r="R440" s="9" t="s">
        <v>212</v>
      </c>
      <c r="S440" s="9" t="s">
        <v>1240</v>
      </c>
      <c r="T440" s="9" t="s">
        <v>213</v>
      </c>
      <c r="U440" s="19" t="n">
        <v>175</v>
      </c>
      <c r="V440" s="9"/>
      <c r="W440" s="9"/>
      <c r="X440" s="9" t="s">
        <v>1253</v>
      </c>
      <c r="Y440" s="23" t="n">
        <v>0.07</v>
      </c>
      <c r="Z440" s="23" t="n">
        <v>0.52</v>
      </c>
      <c r="AA440" s="23" t="n">
        <v>12</v>
      </c>
      <c r="AB440" s="9" t="s">
        <v>1237</v>
      </c>
      <c r="AC440" s="9" t="s">
        <v>1242</v>
      </c>
      <c r="AD440" s="23" t="n">
        <v>0.07</v>
      </c>
      <c r="AE440" s="23" t="n">
        <v>0.52</v>
      </c>
      <c r="AF440" s="23" t="n">
        <v>3.5</v>
      </c>
      <c r="AG440" s="23" t="n">
        <v>88</v>
      </c>
      <c r="AH440" s="23" t="n">
        <v>8</v>
      </c>
      <c r="AI440" s="23" t="s">
        <v>197</v>
      </c>
      <c r="AJ440" s="23" t="s">
        <v>197</v>
      </c>
      <c r="AK440" s="23" t="s">
        <v>197</v>
      </c>
      <c r="AL440" s="23" t="s">
        <v>197</v>
      </c>
      <c r="AM440" s="9" t="s">
        <v>197</v>
      </c>
      <c r="AN440" s="23" t="s">
        <v>197</v>
      </c>
      <c r="AO440" s="23" t="s">
        <v>197</v>
      </c>
      <c r="AP440" s="23" t="s">
        <v>197</v>
      </c>
    </row>
    <row r="441" customFormat="false" ht="21.75" hidden="false" customHeight="true" outlineLevel="0" collapsed="false">
      <c r="B441" s="14" t="n">
        <v>437</v>
      </c>
      <c r="C441" s="7" t="s">
        <v>47</v>
      </c>
      <c r="D441" s="7" t="s">
        <v>20</v>
      </c>
      <c r="E441" s="7" t="s">
        <v>121</v>
      </c>
      <c r="F441" s="7" t="s">
        <v>61</v>
      </c>
      <c r="G441" s="7" t="s">
        <v>1246</v>
      </c>
      <c r="H441" s="7" t="s">
        <v>206</v>
      </c>
      <c r="I441" s="7" t="s">
        <v>1248</v>
      </c>
      <c r="J441" s="7" t="s">
        <v>1249</v>
      </c>
      <c r="K441" s="7" t="s">
        <v>1250</v>
      </c>
      <c r="L441" s="7" t="s">
        <v>1237</v>
      </c>
      <c r="M441" s="7" t="s">
        <v>187</v>
      </c>
      <c r="N441" s="7" t="s">
        <v>1251</v>
      </c>
      <c r="O441" s="7" t="s">
        <v>189</v>
      </c>
      <c r="P441" s="7" t="s">
        <v>190</v>
      </c>
      <c r="Q441" s="7" t="s">
        <v>1252</v>
      </c>
      <c r="R441" s="7" t="s">
        <v>212</v>
      </c>
      <c r="S441" s="7" t="s">
        <v>1240</v>
      </c>
      <c r="T441" s="7" t="s">
        <v>213</v>
      </c>
      <c r="U441" s="18" t="n">
        <v>265</v>
      </c>
      <c r="V441" s="7"/>
      <c r="W441" s="7"/>
      <c r="X441" s="7" t="s">
        <v>203</v>
      </c>
      <c r="Y441" s="22" t="n">
        <v>0.077</v>
      </c>
      <c r="Z441" s="22" t="n">
        <v>0.52</v>
      </c>
      <c r="AA441" s="22" t="n">
        <v>12</v>
      </c>
      <c r="AB441" s="7" t="s">
        <v>1237</v>
      </c>
      <c r="AC441" s="7" t="s">
        <v>1242</v>
      </c>
      <c r="AD441" s="22" t="n">
        <v>0.077</v>
      </c>
      <c r="AE441" s="22" t="n">
        <v>0.52</v>
      </c>
      <c r="AF441" s="22" t="n">
        <v>3.5</v>
      </c>
      <c r="AG441" s="22" t="n">
        <v>168</v>
      </c>
      <c r="AH441" s="22" t="n">
        <v>16</v>
      </c>
      <c r="AI441" s="22" t="s">
        <v>197</v>
      </c>
      <c r="AJ441" s="22" t="s">
        <v>197</v>
      </c>
      <c r="AK441" s="22" t="s">
        <v>197</v>
      </c>
      <c r="AL441" s="22" t="s">
        <v>197</v>
      </c>
      <c r="AM441" s="7" t="s">
        <v>197</v>
      </c>
      <c r="AN441" s="22" t="s">
        <v>197</v>
      </c>
      <c r="AO441" s="22" t="s">
        <v>197</v>
      </c>
      <c r="AP441" s="22" t="s">
        <v>197</v>
      </c>
    </row>
    <row r="442" customFormat="false" ht="21.75" hidden="false" customHeight="true" outlineLevel="0" collapsed="false">
      <c r="B442" s="15" t="n">
        <v>438</v>
      </c>
      <c r="C442" s="9" t="s">
        <v>47</v>
      </c>
      <c r="D442" s="9" t="s">
        <v>20</v>
      </c>
      <c r="E442" s="9" t="s">
        <v>121</v>
      </c>
      <c r="F442" s="9" t="s">
        <v>61</v>
      </c>
      <c r="G442" s="9" t="s">
        <v>1247</v>
      </c>
      <c r="H442" s="9" t="s">
        <v>206</v>
      </c>
      <c r="I442" s="9" t="s">
        <v>1248</v>
      </c>
      <c r="J442" s="9" t="s">
        <v>1249</v>
      </c>
      <c r="K442" s="9" t="s">
        <v>1250</v>
      </c>
      <c r="L442" s="9" t="s">
        <v>1237</v>
      </c>
      <c r="M442" s="9" t="s">
        <v>187</v>
      </c>
      <c r="N442" s="9" t="s">
        <v>1251</v>
      </c>
      <c r="O442" s="9" t="s">
        <v>189</v>
      </c>
      <c r="P442" s="9" t="s">
        <v>190</v>
      </c>
      <c r="Q442" s="9" t="s">
        <v>1252</v>
      </c>
      <c r="R442" s="9" t="s">
        <v>212</v>
      </c>
      <c r="S442" s="9" t="s">
        <v>1240</v>
      </c>
      <c r="T442" s="9" t="s">
        <v>213</v>
      </c>
      <c r="U442" s="19" t="n">
        <v>390</v>
      </c>
      <c r="V442" s="9"/>
      <c r="W442" s="9"/>
      <c r="X442" s="9" t="s">
        <v>205</v>
      </c>
      <c r="Y442" s="23" t="n">
        <v>0.084</v>
      </c>
      <c r="Z442" s="23" t="n">
        <v>0.52</v>
      </c>
      <c r="AA442" s="23" t="n">
        <v>12</v>
      </c>
      <c r="AB442" s="9" t="s">
        <v>1237</v>
      </c>
      <c r="AC442" s="9" t="s">
        <v>1242</v>
      </c>
      <c r="AD442" s="23" t="n">
        <v>0.084</v>
      </c>
      <c r="AE442" s="23" t="n">
        <v>0.52</v>
      </c>
      <c r="AF442" s="23" t="n">
        <v>3.5</v>
      </c>
      <c r="AG442" s="23" t="n">
        <v>640</v>
      </c>
      <c r="AH442" s="23" t="n">
        <v>32</v>
      </c>
      <c r="AI442" s="23" t="s">
        <v>197</v>
      </c>
      <c r="AJ442" s="23" t="s">
        <v>197</v>
      </c>
      <c r="AK442" s="23" t="s">
        <v>197</v>
      </c>
      <c r="AL442" s="23" t="s">
        <v>197</v>
      </c>
      <c r="AM442" s="9" t="s">
        <v>197</v>
      </c>
      <c r="AN442" s="23" t="s">
        <v>197</v>
      </c>
      <c r="AO442" s="23" t="s">
        <v>197</v>
      </c>
      <c r="AP442" s="23" t="s">
        <v>197</v>
      </c>
    </row>
    <row r="443" customFormat="false" ht="21.75" hidden="false" customHeight="true" outlineLevel="0" collapsed="false">
      <c r="B443" s="14" t="n">
        <v>439</v>
      </c>
      <c r="C443" s="7" t="s">
        <v>47</v>
      </c>
      <c r="D443" s="7" t="s">
        <v>20</v>
      </c>
      <c r="E443" s="7" t="s">
        <v>121</v>
      </c>
      <c r="F443" s="7" t="s">
        <v>62</v>
      </c>
      <c r="G443" s="7" t="s">
        <v>391</v>
      </c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18"/>
      <c r="V443" s="7"/>
      <c r="W443" s="7"/>
      <c r="X443" s="7" t="s">
        <v>1254</v>
      </c>
      <c r="Y443" s="22" t="s">
        <v>197</v>
      </c>
      <c r="Z443" s="22" t="s">
        <v>197</v>
      </c>
      <c r="AA443" s="22" t="s">
        <v>197</v>
      </c>
      <c r="AB443" s="7" t="s">
        <v>197</v>
      </c>
      <c r="AC443" s="7" t="s">
        <v>197</v>
      </c>
      <c r="AD443" s="22" t="s">
        <v>197</v>
      </c>
      <c r="AE443" s="22" t="s">
        <v>197</v>
      </c>
      <c r="AF443" s="22" t="s">
        <v>197</v>
      </c>
      <c r="AG443" s="22" t="s">
        <v>197</v>
      </c>
      <c r="AH443" s="22" t="s">
        <v>197</v>
      </c>
      <c r="AI443" s="22" t="s">
        <v>197</v>
      </c>
      <c r="AJ443" s="22" t="s">
        <v>197</v>
      </c>
      <c r="AK443" s="22" t="s">
        <v>197</v>
      </c>
      <c r="AL443" s="22" t="s">
        <v>197</v>
      </c>
      <c r="AM443" s="7" t="s">
        <v>197</v>
      </c>
      <c r="AN443" s="22" t="s">
        <v>197</v>
      </c>
      <c r="AO443" s="22" t="s">
        <v>197</v>
      </c>
      <c r="AP443" s="22" t="s">
        <v>197</v>
      </c>
    </row>
    <row r="444" customFormat="false" ht="21.75" hidden="false" customHeight="true" outlineLevel="0" collapsed="false">
      <c r="B444" s="15" t="n">
        <v>440</v>
      </c>
      <c r="C444" s="9" t="s">
        <v>47</v>
      </c>
      <c r="D444" s="9" t="s">
        <v>20</v>
      </c>
      <c r="E444" s="9" t="s">
        <v>121</v>
      </c>
      <c r="F444" s="9" t="s">
        <v>63</v>
      </c>
      <c r="G444" s="9" t="s">
        <v>1255</v>
      </c>
      <c r="H444" s="9" t="s">
        <v>1256</v>
      </c>
      <c r="I444" s="9" t="s">
        <v>490</v>
      </c>
      <c r="J444" s="9" t="s">
        <v>1257</v>
      </c>
      <c r="K444" s="9" t="s">
        <v>1258</v>
      </c>
      <c r="L444" s="9" t="s">
        <v>1237</v>
      </c>
      <c r="M444" s="9" t="s">
        <v>235</v>
      </c>
      <c r="N444" s="9" t="s">
        <v>1259</v>
      </c>
      <c r="O444" s="9" t="s">
        <v>189</v>
      </c>
      <c r="P444" s="9" t="s">
        <v>190</v>
      </c>
      <c r="Q444" s="9" t="s">
        <v>1260</v>
      </c>
      <c r="R444" s="9" t="s">
        <v>911</v>
      </c>
      <c r="S444" s="9" t="s">
        <v>1240</v>
      </c>
      <c r="T444" s="9" t="s">
        <v>239</v>
      </c>
      <c r="U444" s="19" t="n">
        <v>45</v>
      </c>
      <c r="V444" s="9"/>
      <c r="W444" s="9"/>
      <c r="X444" s="9" t="s">
        <v>195</v>
      </c>
      <c r="Y444" s="23" t="n">
        <v>0.048</v>
      </c>
      <c r="Z444" s="23" t="n">
        <v>0.09</v>
      </c>
      <c r="AA444" s="23" t="n">
        <v>12</v>
      </c>
      <c r="AB444" s="9" t="s">
        <v>1237</v>
      </c>
      <c r="AC444" s="9" t="s">
        <v>1261</v>
      </c>
      <c r="AD444" s="23" t="s">
        <v>197</v>
      </c>
      <c r="AE444" s="23" t="s">
        <v>197</v>
      </c>
      <c r="AF444" s="23" t="s">
        <v>197</v>
      </c>
      <c r="AG444" s="23" t="s">
        <v>197</v>
      </c>
      <c r="AH444" s="23" t="s">
        <v>197</v>
      </c>
      <c r="AI444" s="23" t="s">
        <v>197</v>
      </c>
      <c r="AJ444" s="23" t="s">
        <v>197</v>
      </c>
      <c r="AK444" s="23" t="s">
        <v>197</v>
      </c>
      <c r="AL444" s="23" t="s">
        <v>197</v>
      </c>
      <c r="AM444" s="9" t="s">
        <v>197</v>
      </c>
      <c r="AN444" s="23" t="s">
        <v>197</v>
      </c>
      <c r="AO444" s="23" t="n">
        <v>1.2</v>
      </c>
      <c r="AP444" s="23" t="n">
        <v>1.6</v>
      </c>
    </row>
    <row r="445" customFormat="false" ht="21.75" hidden="false" customHeight="true" outlineLevel="0" collapsed="false">
      <c r="B445" s="14" t="n">
        <v>441</v>
      </c>
      <c r="C445" s="7" t="s">
        <v>47</v>
      </c>
      <c r="D445" s="7" t="s">
        <v>20</v>
      </c>
      <c r="E445" s="7" t="s">
        <v>121</v>
      </c>
      <c r="F445" s="7" t="s">
        <v>63</v>
      </c>
      <c r="G445" s="7" t="s">
        <v>1262</v>
      </c>
      <c r="H445" s="7" t="s">
        <v>1256</v>
      </c>
      <c r="I445" s="7" t="s">
        <v>490</v>
      </c>
      <c r="J445" s="7" t="s">
        <v>1257</v>
      </c>
      <c r="K445" s="7" t="s">
        <v>1258</v>
      </c>
      <c r="L445" s="7" t="s">
        <v>1237</v>
      </c>
      <c r="M445" s="7" t="s">
        <v>235</v>
      </c>
      <c r="N445" s="7" t="s">
        <v>1259</v>
      </c>
      <c r="O445" s="7" t="s">
        <v>189</v>
      </c>
      <c r="P445" s="7" t="s">
        <v>190</v>
      </c>
      <c r="Q445" s="7" t="s">
        <v>1260</v>
      </c>
      <c r="R445" s="7" t="s">
        <v>911</v>
      </c>
      <c r="S445" s="7" t="s">
        <v>1240</v>
      </c>
      <c r="T445" s="7" t="s">
        <v>239</v>
      </c>
      <c r="U445" s="18" t="n">
        <v>65</v>
      </c>
      <c r="V445" s="7"/>
      <c r="W445" s="7"/>
      <c r="X445" s="7" t="s">
        <v>199</v>
      </c>
      <c r="Y445" s="22" t="n">
        <v>0.059</v>
      </c>
      <c r="Z445" s="22" t="n">
        <v>0.109</v>
      </c>
      <c r="AA445" s="22" t="n">
        <v>12</v>
      </c>
      <c r="AB445" s="7" t="s">
        <v>1237</v>
      </c>
      <c r="AC445" s="7" t="s">
        <v>1261</v>
      </c>
      <c r="AD445" s="22" t="s">
        <v>197</v>
      </c>
      <c r="AE445" s="22" t="s">
        <v>197</v>
      </c>
      <c r="AF445" s="22" t="s">
        <v>197</v>
      </c>
      <c r="AG445" s="22" t="s">
        <v>197</v>
      </c>
      <c r="AH445" s="22" t="s">
        <v>197</v>
      </c>
      <c r="AI445" s="22" t="s">
        <v>197</v>
      </c>
      <c r="AJ445" s="22" t="s">
        <v>197</v>
      </c>
      <c r="AK445" s="22" t="s">
        <v>197</v>
      </c>
      <c r="AL445" s="22" t="s">
        <v>197</v>
      </c>
      <c r="AM445" s="7" t="s">
        <v>197</v>
      </c>
      <c r="AN445" s="22" t="s">
        <v>197</v>
      </c>
      <c r="AO445" s="22" t="n">
        <v>1.2</v>
      </c>
      <c r="AP445" s="22" t="n">
        <v>1.6</v>
      </c>
    </row>
    <row r="446" customFormat="false" ht="21.75" hidden="false" customHeight="true" outlineLevel="0" collapsed="false">
      <c r="B446" s="15" t="n">
        <v>442</v>
      </c>
      <c r="C446" s="9" t="s">
        <v>47</v>
      </c>
      <c r="D446" s="9" t="s">
        <v>20</v>
      </c>
      <c r="E446" s="9" t="s">
        <v>121</v>
      </c>
      <c r="F446" s="9" t="s">
        <v>63</v>
      </c>
      <c r="G446" s="9" t="s">
        <v>1263</v>
      </c>
      <c r="H446" s="9" t="s">
        <v>1256</v>
      </c>
      <c r="I446" s="9" t="s">
        <v>490</v>
      </c>
      <c r="J446" s="9" t="s">
        <v>1257</v>
      </c>
      <c r="K446" s="9" t="s">
        <v>1258</v>
      </c>
      <c r="L446" s="9" t="s">
        <v>1237</v>
      </c>
      <c r="M446" s="9" t="s">
        <v>235</v>
      </c>
      <c r="N446" s="9" t="s">
        <v>1259</v>
      </c>
      <c r="O446" s="9" t="s">
        <v>189</v>
      </c>
      <c r="P446" s="9" t="s">
        <v>190</v>
      </c>
      <c r="Q446" s="9" t="s">
        <v>1260</v>
      </c>
      <c r="R446" s="9" t="s">
        <v>911</v>
      </c>
      <c r="S446" s="9" t="s">
        <v>1240</v>
      </c>
      <c r="T446" s="9" t="s">
        <v>239</v>
      </c>
      <c r="U446" s="19" t="n">
        <v>90</v>
      </c>
      <c r="V446" s="9"/>
      <c r="W446" s="9"/>
      <c r="X446" s="9" t="s">
        <v>1264</v>
      </c>
      <c r="Y446" s="23" t="n">
        <v>0.035</v>
      </c>
      <c r="Z446" s="23" t="n">
        <v>0.068</v>
      </c>
      <c r="AA446" s="23" t="n">
        <v>12</v>
      </c>
      <c r="AB446" s="9" t="s">
        <v>1237</v>
      </c>
      <c r="AC446" s="9" t="s">
        <v>1261</v>
      </c>
      <c r="AD446" s="23" t="s">
        <v>197</v>
      </c>
      <c r="AE446" s="23" t="s">
        <v>197</v>
      </c>
      <c r="AF446" s="23" t="s">
        <v>197</v>
      </c>
      <c r="AG446" s="23" t="s">
        <v>197</v>
      </c>
      <c r="AH446" s="23" t="s">
        <v>197</v>
      </c>
      <c r="AI446" s="23" t="s">
        <v>197</v>
      </c>
      <c r="AJ446" s="23" t="s">
        <v>197</v>
      </c>
      <c r="AK446" s="23" t="s">
        <v>197</v>
      </c>
      <c r="AL446" s="23" t="s">
        <v>197</v>
      </c>
      <c r="AM446" s="9" t="s">
        <v>197</v>
      </c>
      <c r="AN446" s="23" t="s">
        <v>197</v>
      </c>
      <c r="AO446" s="23" t="n">
        <v>1.2</v>
      </c>
      <c r="AP446" s="23" t="n">
        <v>1.6</v>
      </c>
    </row>
    <row r="447" customFormat="false" ht="21.75" hidden="false" customHeight="true" outlineLevel="0" collapsed="false">
      <c r="B447" s="14" t="n">
        <v>443</v>
      </c>
      <c r="C447" s="7" t="s">
        <v>47</v>
      </c>
      <c r="D447" s="7" t="s">
        <v>20</v>
      </c>
      <c r="E447" s="7" t="s">
        <v>121</v>
      </c>
      <c r="F447" s="7" t="s">
        <v>63</v>
      </c>
      <c r="G447" s="7" t="s">
        <v>1265</v>
      </c>
      <c r="H447" s="7" t="s">
        <v>1256</v>
      </c>
      <c r="I447" s="7" t="s">
        <v>490</v>
      </c>
      <c r="J447" s="7" t="s">
        <v>1257</v>
      </c>
      <c r="K447" s="7" t="s">
        <v>1258</v>
      </c>
      <c r="L447" s="7" t="s">
        <v>1237</v>
      </c>
      <c r="M447" s="7" t="s">
        <v>235</v>
      </c>
      <c r="N447" s="7" t="s">
        <v>1259</v>
      </c>
      <c r="O447" s="7" t="s">
        <v>189</v>
      </c>
      <c r="P447" s="7" t="s">
        <v>190</v>
      </c>
      <c r="Q447" s="7" t="s">
        <v>1260</v>
      </c>
      <c r="R447" s="7" t="s">
        <v>911</v>
      </c>
      <c r="S447" s="7" t="s">
        <v>1240</v>
      </c>
      <c r="T447" s="7" t="s">
        <v>239</v>
      </c>
      <c r="U447" s="18" t="n">
        <v>135</v>
      </c>
      <c r="V447" s="7"/>
      <c r="W447" s="7"/>
      <c r="X447" s="7" t="s">
        <v>203</v>
      </c>
      <c r="Y447" s="22" t="n">
        <v>0.038</v>
      </c>
      <c r="Z447" s="22" t="n">
        <v>0.074</v>
      </c>
      <c r="AA447" s="22" t="n">
        <v>12</v>
      </c>
      <c r="AB447" s="7" t="s">
        <v>1237</v>
      </c>
      <c r="AC447" s="7" t="s">
        <v>1261</v>
      </c>
      <c r="AD447" s="22" t="s">
        <v>197</v>
      </c>
      <c r="AE447" s="22" t="s">
        <v>197</v>
      </c>
      <c r="AF447" s="22" t="s">
        <v>197</v>
      </c>
      <c r="AG447" s="22" t="s">
        <v>197</v>
      </c>
      <c r="AH447" s="22" t="s">
        <v>197</v>
      </c>
      <c r="AI447" s="22" t="s">
        <v>197</v>
      </c>
      <c r="AJ447" s="22" t="s">
        <v>197</v>
      </c>
      <c r="AK447" s="22" t="s">
        <v>197</v>
      </c>
      <c r="AL447" s="22" t="s">
        <v>197</v>
      </c>
      <c r="AM447" s="7" t="s">
        <v>197</v>
      </c>
      <c r="AN447" s="22" t="s">
        <v>197</v>
      </c>
      <c r="AO447" s="22" t="n">
        <v>1.2</v>
      </c>
      <c r="AP447" s="22" t="n">
        <v>1.6</v>
      </c>
    </row>
    <row r="448" customFormat="false" ht="21.75" hidden="false" customHeight="true" outlineLevel="0" collapsed="false">
      <c r="B448" s="15" t="n">
        <v>444</v>
      </c>
      <c r="C448" s="9" t="s">
        <v>47</v>
      </c>
      <c r="D448" s="9" t="s">
        <v>20</v>
      </c>
      <c r="E448" s="9" t="s">
        <v>121</v>
      </c>
      <c r="F448" s="9" t="s">
        <v>63</v>
      </c>
      <c r="G448" s="9" t="s">
        <v>1266</v>
      </c>
      <c r="H448" s="9" t="s">
        <v>1256</v>
      </c>
      <c r="I448" s="9" t="s">
        <v>490</v>
      </c>
      <c r="J448" s="9" t="s">
        <v>1257</v>
      </c>
      <c r="K448" s="9" t="s">
        <v>1258</v>
      </c>
      <c r="L448" s="9" t="s">
        <v>1237</v>
      </c>
      <c r="M448" s="9" t="s">
        <v>235</v>
      </c>
      <c r="N448" s="9" t="s">
        <v>1259</v>
      </c>
      <c r="O448" s="9" t="s">
        <v>189</v>
      </c>
      <c r="P448" s="9" t="s">
        <v>190</v>
      </c>
      <c r="Q448" s="9" t="s">
        <v>1260</v>
      </c>
      <c r="R448" s="9" t="s">
        <v>911</v>
      </c>
      <c r="S448" s="9" t="s">
        <v>1240</v>
      </c>
      <c r="T448" s="9" t="s">
        <v>239</v>
      </c>
      <c r="U448" s="19" t="n">
        <v>200</v>
      </c>
      <c r="V448" s="9"/>
      <c r="W448" s="9"/>
      <c r="X448" s="9" t="s">
        <v>205</v>
      </c>
      <c r="Y448" s="23" t="n">
        <v>0.032</v>
      </c>
      <c r="Z448" s="23" t="n">
        <v>0.064</v>
      </c>
      <c r="AA448" s="23" t="n">
        <v>12</v>
      </c>
      <c r="AB448" s="9" t="s">
        <v>1237</v>
      </c>
      <c r="AC448" s="9" t="s">
        <v>1261</v>
      </c>
      <c r="AD448" s="23" t="s">
        <v>197</v>
      </c>
      <c r="AE448" s="23" t="s">
        <v>197</v>
      </c>
      <c r="AF448" s="23" t="s">
        <v>197</v>
      </c>
      <c r="AG448" s="23" t="s">
        <v>197</v>
      </c>
      <c r="AH448" s="23" t="s">
        <v>197</v>
      </c>
      <c r="AI448" s="23" t="s">
        <v>197</v>
      </c>
      <c r="AJ448" s="23" t="s">
        <v>197</v>
      </c>
      <c r="AK448" s="23" t="s">
        <v>197</v>
      </c>
      <c r="AL448" s="23" t="s">
        <v>197</v>
      </c>
      <c r="AM448" s="9" t="s">
        <v>197</v>
      </c>
      <c r="AN448" s="23" t="s">
        <v>197</v>
      </c>
      <c r="AO448" s="23" t="n">
        <v>1.2</v>
      </c>
      <c r="AP448" s="23" t="n">
        <v>1.6</v>
      </c>
    </row>
    <row r="449" customFormat="false" ht="21.75" hidden="false" customHeight="true" outlineLevel="0" collapsed="false">
      <c r="B449" s="14" t="n">
        <v>445</v>
      </c>
      <c r="C449" s="7" t="s">
        <v>47</v>
      </c>
      <c r="D449" s="7" t="s">
        <v>20</v>
      </c>
      <c r="E449" s="7" t="s">
        <v>121</v>
      </c>
      <c r="F449" s="7" t="s">
        <v>64</v>
      </c>
      <c r="G449" s="7" t="s">
        <v>1267</v>
      </c>
      <c r="H449" s="7" t="s">
        <v>247</v>
      </c>
      <c r="I449" s="7" t="s">
        <v>1268</v>
      </c>
      <c r="J449" s="7" t="s">
        <v>1269</v>
      </c>
      <c r="K449" s="7" t="s">
        <v>250</v>
      </c>
      <c r="L449" s="7" t="s">
        <v>1237</v>
      </c>
      <c r="M449" s="7" t="s">
        <v>251</v>
      </c>
      <c r="N449" s="7" t="s">
        <v>504</v>
      </c>
      <c r="O449" s="7" t="s">
        <v>189</v>
      </c>
      <c r="P449" s="7" t="s">
        <v>190</v>
      </c>
      <c r="Q449" s="7" t="s">
        <v>1270</v>
      </c>
      <c r="R449" s="7" t="s">
        <v>556</v>
      </c>
      <c r="S449" s="7" t="s">
        <v>1240</v>
      </c>
      <c r="T449" s="7" t="s">
        <v>690</v>
      </c>
      <c r="U449" s="18" t="n">
        <v>18</v>
      </c>
      <c r="V449" s="7"/>
      <c r="W449" s="7"/>
      <c r="X449" s="7" t="s">
        <v>195</v>
      </c>
      <c r="Y449" s="22" t="n">
        <v>0.01</v>
      </c>
      <c r="Z449" s="22" t="n">
        <v>0.014</v>
      </c>
      <c r="AA449" s="22" t="n">
        <v>12</v>
      </c>
      <c r="AB449" s="7" t="s">
        <v>1237</v>
      </c>
      <c r="AC449" s="7" t="s">
        <v>1271</v>
      </c>
      <c r="AD449" s="22" t="s">
        <v>197</v>
      </c>
      <c r="AE449" s="22" t="s">
        <v>197</v>
      </c>
      <c r="AF449" s="22" t="s">
        <v>197</v>
      </c>
      <c r="AG449" s="22" t="s">
        <v>197</v>
      </c>
      <c r="AH449" s="22" t="s">
        <v>197</v>
      </c>
      <c r="AI449" s="22" t="s">
        <v>197</v>
      </c>
      <c r="AJ449" s="22" t="n">
        <v>8</v>
      </c>
      <c r="AK449" s="22" t="s">
        <v>197</v>
      </c>
      <c r="AL449" s="22" t="n">
        <v>90</v>
      </c>
      <c r="AM449" s="7" t="s">
        <v>257</v>
      </c>
      <c r="AN449" s="22" t="s">
        <v>197</v>
      </c>
      <c r="AO449" s="22" t="n">
        <v>2</v>
      </c>
      <c r="AP449" s="22" t="n">
        <v>2.7</v>
      </c>
    </row>
    <row r="450" customFormat="false" ht="21.75" hidden="false" customHeight="true" outlineLevel="0" collapsed="false">
      <c r="B450" s="15" t="n">
        <v>446</v>
      </c>
      <c r="C450" s="9" t="s">
        <v>47</v>
      </c>
      <c r="D450" s="9" t="s">
        <v>20</v>
      </c>
      <c r="E450" s="9" t="s">
        <v>121</v>
      </c>
      <c r="F450" s="9" t="s">
        <v>64</v>
      </c>
      <c r="G450" s="9" t="s">
        <v>1272</v>
      </c>
      <c r="H450" s="9" t="s">
        <v>259</v>
      </c>
      <c r="I450" s="9" t="s">
        <v>1268</v>
      </c>
      <c r="J450" s="9" t="s">
        <v>1269</v>
      </c>
      <c r="K450" s="9" t="s">
        <v>250</v>
      </c>
      <c r="L450" s="9" t="s">
        <v>1237</v>
      </c>
      <c r="M450" s="9" t="s">
        <v>251</v>
      </c>
      <c r="N450" s="9" t="s">
        <v>504</v>
      </c>
      <c r="O450" s="9" t="s">
        <v>189</v>
      </c>
      <c r="P450" s="9" t="s">
        <v>190</v>
      </c>
      <c r="Q450" s="9" t="s">
        <v>1270</v>
      </c>
      <c r="R450" s="9" t="s">
        <v>556</v>
      </c>
      <c r="S450" s="9" t="s">
        <v>1240</v>
      </c>
      <c r="T450" s="9" t="s">
        <v>690</v>
      </c>
      <c r="U450" s="19" t="n">
        <v>25</v>
      </c>
      <c r="V450" s="9"/>
      <c r="W450" s="9"/>
      <c r="X450" s="9" t="s">
        <v>199</v>
      </c>
      <c r="Y450" s="23" t="n">
        <v>0.018</v>
      </c>
      <c r="Z450" s="23" t="n">
        <v>0.025</v>
      </c>
      <c r="AA450" s="23" t="n">
        <v>12</v>
      </c>
      <c r="AB450" s="9" t="s">
        <v>1237</v>
      </c>
      <c r="AC450" s="9" t="s">
        <v>1271</v>
      </c>
      <c r="AD450" s="23" t="s">
        <v>197</v>
      </c>
      <c r="AE450" s="23" t="s">
        <v>197</v>
      </c>
      <c r="AF450" s="23" t="s">
        <v>197</v>
      </c>
      <c r="AG450" s="23" t="s">
        <v>197</v>
      </c>
      <c r="AH450" s="23" t="s">
        <v>197</v>
      </c>
      <c r="AI450" s="23" t="s">
        <v>197</v>
      </c>
      <c r="AJ450" s="23" t="n">
        <v>10</v>
      </c>
      <c r="AK450" s="23" t="s">
        <v>197</v>
      </c>
      <c r="AL450" s="23" t="n">
        <v>90</v>
      </c>
      <c r="AM450" s="9" t="s">
        <v>257</v>
      </c>
      <c r="AN450" s="23" t="s">
        <v>197</v>
      </c>
      <c r="AO450" s="23" t="n">
        <v>2</v>
      </c>
      <c r="AP450" s="23" t="n">
        <v>2.7</v>
      </c>
    </row>
    <row r="451" customFormat="false" ht="21.75" hidden="false" customHeight="true" outlineLevel="0" collapsed="false">
      <c r="B451" s="14" t="n">
        <v>447</v>
      </c>
      <c r="C451" s="7" t="s">
        <v>47</v>
      </c>
      <c r="D451" s="7" t="s">
        <v>20</v>
      </c>
      <c r="E451" s="7" t="s">
        <v>121</v>
      </c>
      <c r="F451" s="7" t="s">
        <v>64</v>
      </c>
      <c r="G451" s="7" t="s">
        <v>1273</v>
      </c>
      <c r="H451" s="7" t="s">
        <v>261</v>
      </c>
      <c r="I451" s="7" t="s">
        <v>1268</v>
      </c>
      <c r="J451" s="7" t="s">
        <v>1269</v>
      </c>
      <c r="K451" s="7" t="s">
        <v>250</v>
      </c>
      <c r="L451" s="7" t="s">
        <v>1237</v>
      </c>
      <c r="M451" s="7" t="s">
        <v>251</v>
      </c>
      <c r="N451" s="7" t="s">
        <v>504</v>
      </c>
      <c r="O451" s="7" t="s">
        <v>189</v>
      </c>
      <c r="P451" s="7" t="s">
        <v>190</v>
      </c>
      <c r="Q451" s="7" t="s">
        <v>1270</v>
      </c>
      <c r="R451" s="7" t="s">
        <v>556</v>
      </c>
      <c r="S451" s="7" t="s">
        <v>1240</v>
      </c>
      <c r="T451" s="7" t="s">
        <v>690</v>
      </c>
      <c r="U451" s="18" t="n">
        <v>35</v>
      </c>
      <c r="V451" s="7"/>
      <c r="W451" s="7"/>
      <c r="X451" s="7" t="s">
        <v>1274</v>
      </c>
      <c r="Y451" s="22" t="n">
        <v>0.018</v>
      </c>
      <c r="Z451" s="22" t="n">
        <v>0.025</v>
      </c>
      <c r="AA451" s="22" t="n">
        <v>12</v>
      </c>
      <c r="AB451" s="7" t="s">
        <v>1237</v>
      </c>
      <c r="AC451" s="7" t="s">
        <v>1271</v>
      </c>
      <c r="AD451" s="22" t="s">
        <v>197</v>
      </c>
      <c r="AE451" s="22" t="s">
        <v>197</v>
      </c>
      <c r="AF451" s="22" t="s">
        <v>197</v>
      </c>
      <c r="AG451" s="22" t="s">
        <v>197</v>
      </c>
      <c r="AH451" s="22" t="s">
        <v>197</v>
      </c>
      <c r="AI451" s="22" t="s">
        <v>197</v>
      </c>
      <c r="AJ451" s="22" t="n">
        <v>12</v>
      </c>
      <c r="AK451" s="22" t="s">
        <v>197</v>
      </c>
      <c r="AL451" s="22" t="n">
        <v>90</v>
      </c>
      <c r="AM451" s="7" t="s">
        <v>257</v>
      </c>
      <c r="AN451" s="22" t="s">
        <v>197</v>
      </c>
      <c r="AO451" s="22" t="n">
        <v>2</v>
      </c>
      <c r="AP451" s="22" t="n">
        <v>2.7</v>
      </c>
    </row>
    <row r="452" customFormat="false" ht="21.75" hidden="false" customHeight="true" outlineLevel="0" collapsed="false">
      <c r="B452" s="15" t="n">
        <v>448</v>
      </c>
      <c r="C452" s="9" t="s">
        <v>47</v>
      </c>
      <c r="D452" s="9" t="s">
        <v>20</v>
      </c>
      <c r="E452" s="9" t="s">
        <v>121</v>
      </c>
      <c r="F452" s="9" t="s">
        <v>64</v>
      </c>
      <c r="G452" s="9" t="s">
        <v>1275</v>
      </c>
      <c r="H452" s="9" t="s">
        <v>264</v>
      </c>
      <c r="I452" s="9" t="s">
        <v>1268</v>
      </c>
      <c r="J452" s="9" t="s">
        <v>1269</v>
      </c>
      <c r="K452" s="9" t="s">
        <v>250</v>
      </c>
      <c r="L452" s="9" t="s">
        <v>1237</v>
      </c>
      <c r="M452" s="9" t="s">
        <v>251</v>
      </c>
      <c r="N452" s="9" t="s">
        <v>504</v>
      </c>
      <c r="O452" s="9" t="s">
        <v>189</v>
      </c>
      <c r="P452" s="9" t="s">
        <v>190</v>
      </c>
      <c r="Q452" s="9" t="s">
        <v>1270</v>
      </c>
      <c r="R452" s="9" t="s">
        <v>556</v>
      </c>
      <c r="S452" s="9" t="s">
        <v>1240</v>
      </c>
      <c r="T452" s="9" t="s">
        <v>690</v>
      </c>
      <c r="U452" s="19" t="n">
        <v>50</v>
      </c>
      <c r="V452" s="9"/>
      <c r="W452" s="9"/>
      <c r="X452" s="9" t="s">
        <v>203</v>
      </c>
      <c r="Y452" s="23" t="n">
        <v>0.017</v>
      </c>
      <c r="Z452" s="23" t="n">
        <v>0.023</v>
      </c>
      <c r="AA452" s="23" t="n">
        <v>12</v>
      </c>
      <c r="AB452" s="9" t="s">
        <v>1237</v>
      </c>
      <c r="AC452" s="9" t="s">
        <v>1271</v>
      </c>
      <c r="AD452" s="23" t="s">
        <v>197</v>
      </c>
      <c r="AE452" s="23" t="s">
        <v>197</v>
      </c>
      <c r="AF452" s="23" t="s">
        <v>197</v>
      </c>
      <c r="AG452" s="23" t="s">
        <v>197</v>
      </c>
      <c r="AH452" s="23" t="s">
        <v>197</v>
      </c>
      <c r="AI452" s="23" t="s">
        <v>197</v>
      </c>
      <c r="AJ452" s="23" t="n">
        <v>12</v>
      </c>
      <c r="AK452" s="23" t="s">
        <v>197</v>
      </c>
      <c r="AL452" s="23" t="n">
        <v>110</v>
      </c>
      <c r="AM452" s="9" t="s">
        <v>257</v>
      </c>
      <c r="AN452" s="23" t="s">
        <v>197</v>
      </c>
      <c r="AO452" s="23" t="n">
        <v>2</v>
      </c>
      <c r="AP452" s="23" t="n">
        <v>2.7</v>
      </c>
    </row>
    <row r="453" customFormat="false" ht="21.75" hidden="false" customHeight="true" outlineLevel="0" collapsed="false">
      <c r="B453" s="14" t="n">
        <v>449</v>
      </c>
      <c r="C453" s="7" t="s">
        <v>47</v>
      </c>
      <c r="D453" s="7" t="s">
        <v>20</v>
      </c>
      <c r="E453" s="7" t="s">
        <v>121</v>
      </c>
      <c r="F453" s="7" t="s">
        <v>64</v>
      </c>
      <c r="G453" s="7" t="s">
        <v>1276</v>
      </c>
      <c r="H453" s="7" t="s">
        <v>266</v>
      </c>
      <c r="I453" s="7" t="s">
        <v>1268</v>
      </c>
      <c r="J453" s="7" t="s">
        <v>1269</v>
      </c>
      <c r="K453" s="7" t="s">
        <v>250</v>
      </c>
      <c r="L453" s="7" t="s">
        <v>1237</v>
      </c>
      <c r="M453" s="7" t="s">
        <v>251</v>
      </c>
      <c r="N453" s="7" t="s">
        <v>504</v>
      </c>
      <c r="O453" s="7" t="s">
        <v>189</v>
      </c>
      <c r="P453" s="7" t="s">
        <v>190</v>
      </c>
      <c r="Q453" s="7" t="s">
        <v>1270</v>
      </c>
      <c r="R453" s="7" t="s">
        <v>556</v>
      </c>
      <c r="S453" s="7" t="s">
        <v>1240</v>
      </c>
      <c r="T453" s="7" t="s">
        <v>690</v>
      </c>
      <c r="U453" s="18" t="n">
        <v>75</v>
      </c>
      <c r="V453" s="7"/>
      <c r="W453" s="7"/>
      <c r="X453" s="7" t="s">
        <v>205</v>
      </c>
      <c r="Y453" s="22" t="n">
        <v>0.009</v>
      </c>
      <c r="Z453" s="22" t="n">
        <v>0.013</v>
      </c>
      <c r="AA453" s="22" t="n">
        <v>12</v>
      </c>
      <c r="AB453" s="7" t="s">
        <v>1237</v>
      </c>
      <c r="AC453" s="7" t="s">
        <v>1271</v>
      </c>
      <c r="AD453" s="22" t="s">
        <v>197</v>
      </c>
      <c r="AE453" s="22" t="s">
        <v>197</v>
      </c>
      <c r="AF453" s="22" t="s">
        <v>197</v>
      </c>
      <c r="AG453" s="22" t="s">
        <v>197</v>
      </c>
      <c r="AH453" s="22" t="s">
        <v>197</v>
      </c>
      <c r="AI453" s="22" t="s">
        <v>197</v>
      </c>
      <c r="AJ453" s="22" t="n">
        <v>15</v>
      </c>
      <c r="AK453" s="22" t="s">
        <v>197</v>
      </c>
      <c r="AL453" s="22" t="n">
        <v>110</v>
      </c>
      <c r="AM453" s="7" t="s">
        <v>257</v>
      </c>
      <c r="AN453" s="22" t="s">
        <v>197</v>
      </c>
      <c r="AO453" s="22" t="n">
        <v>2</v>
      </c>
      <c r="AP453" s="22" t="n">
        <v>2.7</v>
      </c>
    </row>
    <row r="454" customFormat="false" ht="21.75" hidden="false" customHeight="true" outlineLevel="0" collapsed="false">
      <c r="B454" s="15" t="n">
        <v>450</v>
      </c>
      <c r="C454" s="9" t="s">
        <v>47</v>
      </c>
      <c r="D454" s="9" t="s">
        <v>20</v>
      </c>
      <c r="E454" s="9" t="s">
        <v>121</v>
      </c>
      <c r="F454" s="9" t="s">
        <v>65</v>
      </c>
      <c r="G454" s="9" t="s">
        <v>1277</v>
      </c>
      <c r="H454" s="9" t="s">
        <v>247</v>
      </c>
      <c r="I454" s="9" t="s">
        <v>1278</v>
      </c>
      <c r="J454" s="9" t="s">
        <v>1279</v>
      </c>
      <c r="K454" s="9" t="s">
        <v>1280</v>
      </c>
      <c r="L454" s="9" t="s">
        <v>1237</v>
      </c>
      <c r="M454" s="9" t="s">
        <v>518</v>
      </c>
      <c r="N454" s="9" t="s">
        <v>1130</v>
      </c>
      <c r="O454" s="9" t="s">
        <v>189</v>
      </c>
      <c r="P454" s="9" t="s">
        <v>190</v>
      </c>
      <c r="Q454" s="9" t="s">
        <v>1281</v>
      </c>
      <c r="R454" s="9" t="s">
        <v>734</v>
      </c>
      <c r="S454" s="9" t="s">
        <v>1240</v>
      </c>
      <c r="T454" s="9" t="s">
        <v>275</v>
      </c>
      <c r="U454" s="19" t="n">
        <v>20</v>
      </c>
      <c r="V454" s="9"/>
      <c r="W454" s="9"/>
      <c r="X454" s="9" t="s">
        <v>195</v>
      </c>
      <c r="Y454" s="23" t="n">
        <v>1.246E-005</v>
      </c>
      <c r="Z454" s="23" t="n">
        <v>3.297E-005</v>
      </c>
      <c r="AA454" s="23" t="n">
        <v>3</v>
      </c>
      <c r="AB454" s="9" t="s">
        <v>1237</v>
      </c>
      <c r="AC454" s="9" t="s">
        <v>1282</v>
      </c>
      <c r="AD454" s="23" t="s">
        <v>197</v>
      </c>
      <c r="AE454" s="23" t="s">
        <v>197</v>
      </c>
      <c r="AF454" s="23" t="s">
        <v>197</v>
      </c>
      <c r="AG454" s="23" t="s">
        <v>197</v>
      </c>
      <c r="AH454" s="23" t="s">
        <v>197</v>
      </c>
      <c r="AI454" s="23" t="s">
        <v>197</v>
      </c>
      <c r="AJ454" s="23" t="n">
        <v>8</v>
      </c>
      <c r="AK454" s="23" t="s">
        <v>197</v>
      </c>
      <c r="AL454" s="23" t="n">
        <v>90</v>
      </c>
      <c r="AM454" s="9" t="s">
        <v>257</v>
      </c>
      <c r="AN454" s="23" t="s">
        <v>197</v>
      </c>
      <c r="AO454" s="23" t="n">
        <v>2</v>
      </c>
      <c r="AP454" s="23" t="n">
        <v>2.7</v>
      </c>
    </row>
    <row r="455" customFormat="false" ht="21.75" hidden="false" customHeight="true" outlineLevel="0" collapsed="false">
      <c r="B455" s="14" t="n">
        <v>451</v>
      </c>
      <c r="C455" s="7" t="s">
        <v>47</v>
      </c>
      <c r="D455" s="7" t="s">
        <v>20</v>
      </c>
      <c r="E455" s="7" t="s">
        <v>121</v>
      </c>
      <c r="F455" s="7" t="s">
        <v>65</v>
      </c>
      <c r="G455" s="7" t="s">
        <v>1283</v>
      </c>
      <c r="H455" s="7" t="s">
        <v>259</v>
      </c>
      <c r="I455" s="7" t="s">
        <v>1278</v>
      </c>
      <c r="J455" s="7" t="s">
        <v>1279</v>
      </c>
      <c r="K455" s="7" t="s">
        <v>1280</v>
      </c>
      <c r="L455" s="7" t="s">
        <v>1237</v>
      </c>
      <c r="M455" s="7" t="s">
        <v>518</v>
      </c>
      <c r="N455" s="7" t="s">
        <v>1130</v>
      </c>
      <c r="O455" s="7" t="s">
        <v>189</v>
      </c>
      <c r="P455" s="7" t="s">
        <v>190</v>
      </c>
      <c r="Q455" s="7" t="s">
        <v>1281</v>
      </c>
      <c r="R455" s="7" t="s">
        <v>734</v>
      </c>
      <c r="S455" s="7" t="s">
        <v>1240</v>
      </c>
      <c r="T455" s="7" t="s">
        <v>275</v>
      </c>
      <c r="U455" s="18" t="n">
        <v>35</v>
      </c>
      <c r="V455" s="7"/>
      <c r="W455" s="7"/>
      <c r="X455" s="7" t="s">
        <v>199</v>
      </c>
      <c r="Y455" s="22" t="n">
        <v>1.014E-005</v>
      </c>
      <c r="Z455" s="22" t="n">
        <v>2.882E-005</v>
      </c>
      <c r="AA455" s="22" t="n">
        <v>3</v>
      </c>
      <c r="AB455" s="7" t="s">
        <v>1237</v>
      </c>
      <c r="AC455" s="7" t="s">
        <v>1282</v>
      </c>
      <c r="AD455" s="22" t="s">
        <v>197</v>
      </c>
      <c r="AE455" s="22" t="s">
        <v>197</v>
      </c>
      <c r="AF455" s="22" t="s">
        <v>197</v>
      </c>
      <c r="AG455" s="22" t="s">
        <v>197</v>
      </c>
      <c r="AH455" s="22" t="s">
        <v>197</v>
      </c>
      <c r="AI455" s="22" t="s">
        <v>197</v>
      </c>
      <c r="AJ455" s="22" t="n">
        <v>10</v>
      </c>
      <c r="AK455" s="22" t="s">
        <v>197</v>
      </c>
      <c r="AL455" s="22" t="n">
        <v>90</v>
      </c>
      <c r="AM455" s="7" t="s">
        <v>257</v>
      </c>
      <c r="AN455" s="22" t="s">
        <v>197</v>
      </c>
      <c r="AO455" s="22" t="n">
        <v>2</v>
      </c>
      <c r="AP455" s="22" t="n">
        <v>2.7</v>
      </c>
    </row>
    <row r="456" customFormat="false" ht="21.75" hidden="false" customHeight="true" outlineLevel="0" collapsed="false">
      <c r="B456" s="15" t="n">
        <v>452</v>
      </c>
      <c r="C456" s="9" t="s">
        <v>47</v>
      </c>
      <c r="D456" s="9" t="s">
        <v>20</v>
      </c>
      <c r="E456" s="9" t="s">
        <v>121</v>
      </c>
      <c r="F456" s="9" t="s">
        <v>65</v>
      </c>
      <c r="G456" s="9" t="s">
        <v>1284</v>
      </c>
      <c r="H456" s="9" t="s">
        <v>261</v>
      </c>
      <c r="I456" s="9" t="s">
        <v>1278</v>
      </c>
      <c r="J456" s="9" t="s">
        <v>1279</v>
      </c>
      <c r="K456" s="9" t="s">
        <v>1280</v>
      </c>
      <c r="L456" s="9" t="s">
        <v>1237</v>
      </c>
      <c r="M456" s="9" t="s">
        <v>518</v>
      </c>
      <c r="N456" s="9" t="s">
        <v>1130</v>
      </c>
      <c r="O456" s="9" t="s">
        <v>189</v>
      </c>
      <c r="P456" s="9" t="s">
        <v>190</v>
      </c>
      <c r="Q456" s="9" t="s">
        <v>1281</v>
      </c>
      <c r="R456" s="9" t="s">
        <v>734</v>
      </c>
      <c r="S456" s="9" t="s">
        <v>1240</v>
      </c>
      <c r="T456" s="9" t="s">
        <v>275</v>
      </c>
      <c r="U456" s="19" t="n">
        <v>45</v>
      </c>
      <c r="V456" s="9"/>
      <c r="W456" s="9"/>
      <c r="X456" s="9" t="s">
        <v>1285</v>
      </c>
      <c r="Y456" s="23" t="n">
        <v>1.707E-005</v>
      </c>
      <c r="Z456" s="23" t="n">
        <v>4.12E-005</v>
      </c>
      <c r="AA456" s="23" t="n">
        <v>3</v>
      </c>
      <c r="AB456" s="9" t="s">
        <v>1237</v>
      </c>
      <c r="AC456" s="9" t="s">
        <v>1282</v>
      </c>
      <c r="AD456" s="23" t="s">
        <v>197</v>
      </c>
      <c r="AE456" s="23" t="s">
        <v>197</v>
      </c>
      <c r="AF456" s="23" t="s">
        <v>197</v>
      </c>
      <c r="AG456" s="23" t="s">
        <v>197</v>
      </c>
      <c r="AH456" s="23" t="s">
        <v>197</v>
      </c>
      <c r="AI456" s="23" t="s">
        <v>197</v>
      </c>
      <c r="AJ456" s="23" t="n">
        <v>12</v>
      </c>
      <c r="AK456" s="23" t="s">
        <v>197</v>
      </c>
      <c r="AL456" s="23" t="n">
        <v>90</v>
      </c>
      <c r="AM456" s="9" t="s">
        <v>257</v>
      </c>
      <c r="AN456" s="23" t="s">
        <v>197</v>
      </c>
      <c r="AO456" s="23" t="n">
        <v>2</v>
      </c>
      <c r="AP456" s="23" t="n">
        <v>2.7</v>
      </c>
    </row>
    <row r="457" customFormat="false" ht="21.75" hidden="false" customHeight="true" outlineLevel="0" collapsed="false">
      <c r="B457" s="14" t="n">
        <v>453</v>
      </c>
      <c r="C457" s="7" t="s">
        <v>47</v>
      </c>
      <c r="D457" s="7" t="s">
        <v>20</v>
      </c>
      <c r="E457" s="7" t="s">
        <v>121</v>
      </c>
      <c r="F457" s="7" t="s">
        <v>65</v>
      </c>
      <c r="G457" s="7" t="s">
        <v>1286</v>
      </c>
      <c r="H457" s="7" t="s">
        <v>281</v>
      </c>
      <c r="I457" s="7" t="s">
        <v>1278</v>
      </c>
      <c r="J457" s="7" t="s">
        <v>1279</v>
      </c>
      <c r="K457" s="7" t="s">
        <v>1280</v>
      </c>
      <c r="L457" s="7" t="s">
        <v>1237</v>
      </c>
      <c r="M457" s="7" t="s">
        <v>518</v>
      </c>
      <c r="N457" s="7" t="s">
        <v>1130</v>
      </c>
      <c r="O457" s="7" t="s">
        <v>189</v>
      </c>
      <c r="P457" s="7" t="s">
        <v>190</v>
      </c>
      <c r="Q457" s="7" t="s">
        <v>1281</v>
      </c>
      <c r="R457" s="7" t="s">
        <v>734</v>
      </c>
      <c r="S457" s="7" t="s">
        <v>1240</v>
      </c>
      <c r="T457" s="7" t="s">
        <v>275</v>
      </c>
      <c r="U457" s="18" t="n">
        <v>70</v>
      </c>
      <c r="V457" s="7"/>
      <c r="W457" s="7"/>
      <c r="X457" s="7" t="s">
        <v>203</v>
      </c>
      <c r="Y457" s="22" t="n">
        <v>1.131E-005</v>
      </c>
      <c r="Z457" s="22" t="n">
        <v>3.091E-005</v>
      </c>
      <c r="AA457" s="22" t="n">
        <v>3</v>
      </c>
      <c r="AB457" s="7" t="s">
        <v>1237</v>
      </c>
      <c r="AC457" s="7" t="s">
        <v>1282</v>
      </c>
      <c r="AD457" s="22" t="s">
        <v>197</v>
      </c>
      <c r="AE457" s="22" t="s">
        <v>197</v>
      </c>
      <c r="AF457" s="22" t="s">
        <v>197</v>
      </c>
      <c r="AG457" s="22" t="s">
        <v>197</v>
      </c>
      <c r="AH457" s="22" t="s">
        <v>197</v>
      </c>
      <c r="AI457" s="22" t="s">
        <v>197</v>
      </c>
      <c r="AJ457" s="22" t="n">
        <v>12</v>
      </c>
      <c r="AK457" s="22" t="s">
        <v>197</v>
      </c>
      <c r="AL457" s="22" t="n">
        <v>90</v>
      </c>
      <c r="AM457" s="7" t="s">
        <v>257</v>
      </c>
      <c r="AN457" s="22" t="s">
        <v>197</v>
      </c>
      <c r="AO457" s="22" t="n">
        <v>2</v>
      </c>
      <c r="AP457" s="22" t="n">
        <v>2.7</v>
      </c>
    </row>
    <row r="458" customFormat="false" ht="21.75" hidden="false" customHeight="true" outlineLevel="0" collapsed="false">
      <c r="B458" s="15" t="n">
        <v>454</v>
      </c>
      <c r="C458" s="9" t="s">
        <v>47</v>
      </c>
      <c r="D458" s="9" t="s">
        <v>20</v>
      </c>
      <c r="E458" s="9" t="s">
        <v>121</v>
      </c>
      <c r="F458" s="9" t="s">
        <v>65</v>
      </c>
      <c r="G458" s="9" t="s">
        <v>1287</v>
      </c>
      <c r="H458" s="9" t="s">
        <v>283</v>
      </c>
      <c r="I458" s="9" t="s">
        <v>1278</v>
      </c>
      <c r="J458" s="9" t="s">
        <v>1279</v>
      </c>
      <c r="K458" s="9" t="s">
        <v>1280</v>
      </c>
      <c r="L458" s="9" t="s">
        <v>1237</v>
      </c>
      <c r="M458" s="9" t="s">
        <v>518</v>
      </c>
      <c r="N458" s="9" t="s">
        <v>1130</v>
      </c>
      <c r="O458" s="9" t="s">
        <v>189</v>
      </c>
      <c r="P458" s="9" t="s">
        <v>190</v>
      </c>
      <c r="Q458" s="9" t="s">
        <v>1281</v>
      </c>
      <c r="R458" s="9" t="s">
        <v>734</v>
      </c>
      <c r="S458" s="9" t="s">
        <v>1240</v>
      </c>
      <c r="T458" s="9" t="s">
        <v>275</v>
      </c>
      <c r="U458" s="19" t="n">
        <v>105</v>
      </c>
      <c r="V458" s="9"/>
      <c r="W458" s="9"/>
      <c r="X458" s="9" t="s">
        <v>205</v>
      </c>
      <c r="Y458" s="23" t="n">
        <v>1.807E-005</v>
      </c>
      <c r="Z458" s="23" t="n">
        <v>4.299E-005</v>
      </c>
      <c r="AA458" s="23" t="n">
        <v>3</v>
      </c>
      <c r="AB458" s="9" t="s">
        <v>1237</v>
      </c>
      <c r="AC458" s="9" t="s">
        <v>1282</v>
      </c>
      <c r="AD458" s="23" t="s">
        <v>197</v>
      </c>
      <c r="AE458" s="23" t="s">
        <v>197</v>
      </c>
      <c r="AF458" s="23" t="s">
        <v>197</v>
      </c>
      <c r="AG458" s="23" t="s">
        <v>197</v>
      </c>
      <c r="AH458" s="23" t="s">
        <v>197</v>
      </c>
      <c r="AI458" s="23" t="s">
        <v>197</v>
      </c>
      <c r="AJ458" s="23" t="n">
        <v>15</v>
      </c>
      <c r="AK458" s="23" t="s">
        <v>197</v>
      </c>
      <c r="AL458" s="23" t="n">
        <v>90</v>
      </c>
      <c r="AM458" s="9" t="s">
        <v>257</v>
      </c>
      <c r="AN458" s="23" t="s">
        <v>197</v>
      </c>
      <c r="AO458" s="23" t="n">
        <v>2</v>
      </c>
      <c r="AP458" s="23" t="n">
        <v>2.7</v>
      </c>
    </row>
    <row r="459" customFormat="false" ht="21.75" hidden="false" customHeight="true" outlineLevel="0" collapsed="false">
      <c r="B459" s="14" t="n">
        <v>455</v>
      </c>
      <c r="C459" s="7" t="s">
        <v>47</v>
      </c>
      <c r="D459" s="7" t="s">
        <v>20</v>
      </c>
      <c r="E459" s="7" t="s">
        <v>121</v>
      </c>
      <c r="F459" s="7" t="s">
        <v>66</v>
      </c>
      <c r="G459" s="7" t="s">
        <v>1288</v>
      </c>
      <c r="H459" s="7" t="s">
        <v>285</v>
      </c>
      <c r="I459" s="7" t="s">
        <v>1289</v>
      </c>
      <c r="J459" s="7" t="s">
        <v>1290</v>
      </c>
      <c r="K459" s="7" t="s">
        <v>1280</v>
      </c>
      <c r="L459" s="7" t="s">
        <v>1237</v>
      </c>
      <c r="M459" s="7" t="s">
        <v>518</v>
      </c>
      <c r="N459" s="7" t="s">
        <v>519</v>
      </c>
      <c r="O459" s="7" t="s">
        <v>189</v>
      </c>
      <c r="P459" s="7" t="s">
        <v>190</v>
      </c>
      <c r="Q459" s="7" t="s">
        <v>1291</v>
      </c>
      <c r="R459" s="7" t="s">
        <v>604</v>
      </c>
      <c r="S459" s="7" t="s">
        <v>1240</v>
      </c>
      <c r="T459" s="7" t="s">
        <v>1292</v>
      </c>
      <c r="U459" s="18" t="n">
        <v>30</v>
      </c>
      <c r="V459" s="7"/>
      <c r="W459" s="7"/>
      <c r="X459" s="7" t="s">
        <v>195</v>
      </c>
      <c r="Y459" s="22" t="n">
        <v>0.02</v>
      </c>
      <c r="Z459" s="22" t="n">
        <v>0.03</v>
      </c>
      <c r="AA459" s="22" t="n">
        <v>12</v>
      </c>
      <c r="AB459" s="7" t="s">
        <v>1237</v>
      </c>
      <c r="AC459" s="7" t="s">
        <v>1271</v>
      </c>
      <c r="AD459" s="22" t="s">
        <v>197</v>
      </c>
      <c r="AE459" s="22" t="s">
        <v>197</v>
      </c>
      <c r="AF459" s="22" t="s">
        <v>197</v>
      </c>
      <c r="AG459" s="22" t="s">
        <v>197</v>
      </c>
      <c r="AH459" s="22" t="s">
        <v>197</v>
      </c>
      <c r="AI459" s="22" t="s">
        <v>197</v>
      </c>
      <c r="AJ459" s="22" t="s">
        <v>197</v>
      </c>
      <c r="AK459" s="22" t="n">
        <v>10</v>
      </c>
      <c r="AL459" s="22" t="n">
        <v>90</v>
      </c>
      <c r="AM459" s="7" t="s">
        <v>292</v>
      </c>
      <c r="AN459" s="22" t="s">
        <v>197</v>
      </c>
      <c r="AO459" s="22" t="n">
        <v>2</v>
      </c>
      <c r="AP459" s="22" t="n">
        <v>3</v>
      </c>
    </row>
    <row r="460" customFormat="false" ht="21.75" hidden="false" customHeight="true" outlineLevel="0" collapsed="false">
      <c r="B460" s="15" t="n">
        <v>456</v>
      </c>
      <c r="C460" s="9" t="s">
        <v>47</v>
      </c>
      <c r="D460" s="9" t="s">
        <v>20</v>
      </c>
      <c r="E460" s="9" t="s">
        <v>121</v>
      </c>
      <c r="F460" s="9" t="s">
        <v>66</v>
      </c>
      <c r="G460" s="9" t="s">
        <v>1293</v>
      </c>
      <c r="H460" s="9" t="s">
        <v>294</v>
      </c>
      <c r="I460" s="9" t="s">
        <v>1289</v>
      </c>
      <c r="J460" s="9" t="s">
        <v>1290</v>
      </c>
      <c r="K460" s="9" t="s">
        <v>1280</v>
      </c>
      <c r="L460" s="9" t="s">
        <v>1237</v>
      </c>
      <c r="M460" s="9" t="s">
        <v>518</v>
      </c>
      <c r="N460" s="9" t="s">
        <v>519</v>
      </c>
      <c r="O460" s="9" t="s">
        <v>189</v>
      </c>
      <c r="P460" s="9" t="s">
        <v>190</v>
      </c>
      <c r="Q460" s="9" t="s">
        <v>1291</v>
      </c>
      <c r="R460" s="9" t="s">
        <v>604</v>
      </c>
      <c r="S460" s="9" t="s">
        <v>1240</v>
      </c>
      <c r="T460" s="9" t="s">
        <v>1292</v>
      </c>
      <c r="U460" s="19" t="n">
        <v>45</v>
      </c>
      <c r="V460" s="9"/>
      <c r="W460" s="9"/>
      <c r="X460" s="9" t="s">
        <v>199</v>
      </c>
      <c r="Y460" s="23" t="n">
        <v>0.026</v>
      </c>
      <c r="Z460" s="23" t="n">
        <v>0.036</v>
      </c>
      <c r="AA460" s="23" t="n">
        <v>12</v>
      </c>
      <c r="AB460" s="9" t="s">
        <v>1237</v>
      </c>
      <c r="AC460" s="9" t="s">
        <v>1271</v>
      </c>
      <c r="AD460" s="23" t="s">
        <v>197</v>
      </c>
      <c r="AE460" s="23" t="s">
        <v>197</v>
      </c>
      <c r="AF460" s="23" t="s">
        <v>197</v>
      </c>
      <c r="AG460" s="23" t="s">
        <v>197</v>
      </c>
      <c r="AH460" s="23" t="s">
        <v>197</v>
      </c>
      <c r="AI460" s="23" t="s">
        <v>197</v>
      </c>
      <c r="AJ460" s="23" t="s">
        <v>197</v>
      </c>
      <c r="AK460" s="23" t="n">
        <v>12</v>
      </c>
      <c r="AL460" s="23" t="n">
        <v>90</v>
      </c>
      <c r="AM460" s="9" t="s">
        <v>292</v>
      </c>
      <c r="AN460" s="23" t="s">
        <v>197</v>
      </c>
      <c r="AO460" s="23" t="n">
        <v>2</v>
      </c>
      <c r="AP460" s="23" t="n">
        <v>3</v>
      </c>
    </row>
    <row r="461" customFormat="false" ht="21.75" hidden="false" customHeight="true" outlineLevel="0" collapsed="false">
      <c r="B461" s="14" t="n">
        <v>457</v>
      </c>
      <c r="C461" s="7" t="s">
        <v>47</v>
      </c>
      <c r="D461" s="7" t="s">
        <v>20</v>
      </c>
      <c r="E461" s="7" t="s">
        <v>121</v>
      </c>
      <c r="F461" s="7" t="s">
        <v>66</v>
      </c>
      <c r="G461" s="7" t="s">
        <v>1294</v>
      </c>
      <c r="H461" s="7" t="s">
        <v>296</v>
      </c>
      <c r="I461" s="7" t="s">
        <v>1289</v>
      </c>
      <c r="J461" s="7" t="s">
        <v>1290</v>
      </c>
      <c r="K461" s="7" t="s">
        <v>1280</v>
      </c>
      <c r="L461" s="7" t="s">
        <v>1237</v>
      </c>
      <c r="M461" s="7" t="s">
        <v>518</v>
      </c>
      <c r="N461" s="7" t="s">
        <v>519</v>
      </c>
      <c r="O461" s="7" t="s">
        <v>189</v>
      </c>
      <c r="P461" s="7" t="s">
        <v>190</v>
      </c>
      <c r="Q461" s="7" t="s">
        <v>1291</v>
      </c>
      <c r="R461" s="7" t="s">
        <v>604</v>
      </c>
      <c r="S461" s="7" t="s">
        <v>1240</v>
      </c>
      <c r="T461" s="7" t="s">
        <v>1292</v>
      </c>
      <c r="U461" s="18" t="n">
        <v>60</v>
      </c>
      <c r="V461" s="7"/>
      <c r="W461" s="7"/>
      <c r="X461" s="7" t="s">
        <v>1295</v>
      </c>
      <c r="Y461" s="22" t="n">
        <v>0.025</v>
      </c>
      <c r="Z461" s="22" t="n">
        <v>0.035</v>
      </c>
      <c r="AA461" s="22" t="n">
        <v>12</v>
      </c>
      <c r="AB461" s="7" t="s">
        <v>1237</v>
      </c>
      <c r="AC461" s="7" t="s">
        <v>1271</v>
      </c>
      <c r="AD461" s="22" t="s">
        <v>197</v>
      </c>
      <c r="AE461" s="22" t="s">
        <v>197</v>
      </c>
      <c r="AF461" s="22" t="s">
        <v>197</v>
      </c>
      <c r="AG461" s="22" t="s">
        <v>197</v>
      </c>
      <c r="AH461" s="22" t="s">
        <v>197</v>
      </c>
      <c r="AI461" s="22" t="s">
        <v>197</v>
      </c>
      <c r="AJ461" s="22" t="s">
        <v>197</v>
      </c>
      <c r="AK461" s="22" t="n">
        <v>12</v>
      </c>
      <c r="AL461" s="22" t="n">
        <v>90</v>
      </c>
      <c r="AM461" s="7" t="s">
        <v>292</v>
      </c>
      <c r="AN461" s="22" t="s">
        <v>197</v>
      </c>
      <c r="AO461" s="22" t="n">
        <v>2</v>
      </c>
      <c r="AP461" s="22" t="n">
        <v>3</v>
      </c>
    </row>
    <row r="462" customFormat="false" ht="21.75" hidden="false" customHeight="true" outlineLevel="0" collapsed="false">
      <c r="B462" s="15" t="n">
        <v>458</v>
      </c>
      <c r="C462" s="9" t="s">
        <v>47</v>
      </c>
      <c r="D462" s="9" t="s">
        <v>20</v>
      </c>
      <c r="E462" s="9" t="s">
        <v>121</v>
      </c>
      <c r="F462" s="9" t="s">
        <v>66</v>
      </c>
      <c r="G462" s="9" t="s">
        <v>1296</v>
      </c>
      <c r="H462" s="9" t="s">
        <v>299</v>
      </c>
      <c r="I462" s="9" t="s">
        <v>1289</v>
      </c>
      <c r="J462" s="9" t="s">
        <v>1290</v>
      </c>
      <c r="K462" s="9" t="s">
        <v>1280</v>
      </c>
      <c r="L462" s="9" t="s">
        <v>1237</v>
      </c>
      <c r="M462" s="9" t="s">
        <v>518</v>
      </c>
      <c r="N462" s="9" t="s">
        <v>519</v>
      </c>
      <c r="O462" s="9" t="s">
        <v>189</v>
      </c>
      <c r="P462" s="9" t="s">
        <v>190</v>
      </c>
      <c r="Q462" s="9" t="s">
        <v>1291</v>
      </c>
      <c r="R462" s="9" t="s">
        <v>604</v>
      </c>
      <c r="S462" s="9" t="s">
        <v>1240</v>
      </c>
      <c r="T462" s="9" t="s">
        <v>1292</v>
      </c>
      <c r="U462" s="19" t="n">
        <v>90</v>
      </c>
      <c r="V462" s="9"/>
      <c r="W462" s="9"/>
      <c r="X462" s="9" t="s">
        <v>203</v>
      </c>
      <c r="Y462" s="23" t="n">
        <v>0.028</v>
      </c>
      <c r="Z462" s="23" t="n">
        <v>0.038</v>
      </c>
      <c r="AA462" s="23" t="n">
        <v>12</v>
      </c>
      <c r="AB462" s="9" t="s">
        <v>1237</v>
      </c>
      <c r="AC462" s="9" t="s">
        <v>1271</v>
      </c>
      <c r="AD462" s="23" t="s">
        <v>197</v>
      </c>
      <c r="AE462" s="23" t="s">
        <v>197</v>
      </c>
      <c r="AF462" s="23" t="s">
        <v>197</v>
      </c>
      <c r="AG462" s="23" t="s">
        <v>197</v>
      </c>
      <c r="AH462" s="23" t="s">
        <v>197</v>
      </c>
      <c r="AI462" s="23" t="s">
        <v>197</v>
      </c>
      <c r="AJ462" s="23" t="s">
        <v>197</v>
      </c>
      <c r="AK462" s="23" t="n">
        <v>15</v>
      </c>
      <c r="AL462" s="23" t="n">
        <v>90</v>
      </c>
      <c r="AM462" s="9" t="s">
        <v>292</v>
      </c>
      <c r="AN462" s="23" t="s">
        <v>197</v>
      </c>
      <c r="AO462" s="23" t="n">
        <v>2</v>
      </c>
      <c r="AP462" s="23" t="n">
        <v>3</v>
      </c>
    </row>
    <row r="463" customFormat="false" ht="21.75" hidden="false" customHeight="true" outlineLevel="0" collapsed="false">
      <c r="B463" s="14" t="n">
        <v>459</v>
      </c>
      <c r="C463" s="7" t="s">
        <v>47</v>
      </c>
      <c r="D463" s="7" t="s">
        <v>20</v>
      </c>
      <c r="E463" s="7" t="s">
        <v>121</v>
      </c>
      <c r="F463" s="7" t="s">
        <v>66</v>
      </c>
      <c r="G463" s="7" t="s">
        <v>1297</v>
      </c>
      <c r="H463" s="7" t="s">
        <v>301</v>
      </c>
      <c r="I463" s="7" t="s">
        <v>1289</v>
      </c>
      <c r="J463" s="7" t="s">
        <v>1290</v>
      </c>
      <c r="K463" s="7" t="s">
        <v>1280</v>
      </c>
      <c r="L463" s="7" t="s">
        <v>1237</v>
      </c>
      <c r="M463" s="7" t="s">
        <v>518</v>
      </c>
      <c r="N463" s="7" t="s">
        <v>519</v>
      </c>
      <c r="O463" s="7" t="s">
        <v>189</v>
      </c>
      <c r="P463" s="7" t="s">
        <v>190</v>
      </c>
      <c r="Q463" s="7" t="s">
        <v>1291</v>
      </c>
      <c r="R463" s="7" t="s">
        <v>604</v>
      </c>
      <c r="S463" s="7" t="s">
        <v>1240</v>
      </c>
      <c r="T463" s="7" t="s">
        <v>1292</v>
      </c>
      <c r="U463" s="18" t="n">
        <v>135</v>
      </c>
      <c r="V463" s="7"/>
      <c r="W463" s="7"/>
      <c r="X463" s="7" t="s">
        <v>205</v>
      </c>
      <c r="Y463" s="22" t="n">
        <v>0.03</v>
      </c>
      <c r="Z463" s="22" t="n">
        <v>0.04</v>
      </c>
      <c r="AA463" s="22" t="n">
        <v>12</v>
      </c>
      <c r="AB463" s="7" t="s">
        <v>1237</v>
      </c>
      <c r="AC463" s="7" t="s">
        <v>1271</v>
      </c>
      <c r="AD463" s="22" t="s">
        <v>197</v>
      </c>
      <c r="AE463" s="22" t="s">
        <v>197</v>
      </c>
      <c r="AF463" s="22" t="s">
        <v>197</v>
      </c>
      <c r="AG463" s="22" t="s">
        <v>197</v>
      </c>
      <c r="AH463" s="22" t="s">
        <v>197</v>
      </c>
      <c r="AI463" s="22" t="s">
        <v>197</v>
      </c>
      <c r="AJ463" s="22" t="s">
        <v>197</v>
      </c>
      <c r="AK463" s="22" t="n">
        <v>20</v>
      </c>
      <c r="AL463" s="22" t="n">
        <v>90</v>
      </c>
      <c r="AM463" s="7" t="s">
        <v>292</v>
      </c>
      <c r="AN463" s="22" t="s">
        <v>197</v>
      </c>
      <c r="AO463" s="22" t="n">
        <v>2</v>
      </c>
      <c r="AP463" s="22" t="n">
        <v>3</v>
      </c>
    </row>
    <row r="464" customFormat="false" ht="21.75" hidden="false" customHeight="true" outlineLevel="0" collapsed="false">
      <c r="B464" s="15" t="n">
        <v>460</v>
      </c>
      <c r="C464" s="9" t="s">
        <v>47</v>
      </c>
      <c r="D464" s="9" t="s">
        <v>20</v>
      </c>
      <c r="E464" s="9" t="s">
        <v>121</v>
      </c>
      <c r="F464" s="9" t="s">
        <v>67</v>
      </c>
      <c r="G464" s="9" t="s">
        <v>1298</v>
      </c>
      <c r="H464" s="9" t="s">
        <v>303</v>
      </c>
      <c r="I464" s="9" t="s">
        <v>1299</v>
      </c>
      <c r="J464" s="9" t="s">
        <v>1300</v>
      </c>
      <c r="K464" s="9" t="s">
        <v>1280</v>
      </c>
      <c r="L464" s="9" t="s">
        <v>1237</v>
      </c>
      <c r="M464" s="9" t="s">
        <v>542</v>
      </c>
      <c r="N464" s="9" t="s">
        <v>543</v>
      </c>
      <c r="O464" s="9" t="s">
        <v>189</v>
      </c>
      <c r="P464" s="9" t="s">
        <v>190</v>
      </c>
      <c r="Q464" s="9" t="s">
        <v>882</v>
      </c>
      <c r="R464" s="9" t="s">
        <v>1301</v>
      </c>
      <c r="S464" s="9" t="s">
        <v>1240</v>
      </c>
      <c r="T464" s="9" t="s">
        <v>309</v>
      </c>
      <c r="U464" s="19" t="n">
        <v>19</v>
      </c>
      <c r="V464" s="9"/>
      <c r="W464" s="9"/>
      <c r="X464" s="9" t="s">
        <v>195</v>
      </c>
      <c r="Y464" s="23" t="n">
        <v>0</v>
      </c>
      <c r="Z464" s="23" t="n">
        <v>0</v>
      </c>
      <c r="AA464" s="23" t="s">
        <v>197</v>
      </c>
      <c r="AB464" s="9" t="s">
        <v>1237</v>
      </c>
      <c r="AC464" s="9" t="s">
        <v>1271</v>
      </c>
      <c r="AD464" s="23" t="s">
        <v>197</v>
      </c>
      <c r="AE464" s="23" t="s">
        <v>197</v>
      </c>
      <c r="AF464" s="23" t="s">
        <v>197</v>
      </c>
      <c r="AG464" s="23" t="s">
        <v>197</v>
      </c>
      <c r="AH464" s="23" t="s">
        <v>197</v>
      </c>
      <c r="AI464" s="23" t="s">
        <v>197</v>
      </c>
      <c r="AJ464" s="23" t="s">
        <v>197</v>
      </c>
      <c r="AK464" s="23" t="s">
        <v>197</v>
      </c>
      <c r="AL464" s="23" t="s">
        <v>197</v>
      </c>
      <c r="AM464" s="9" t="s">
        <v>310</v>
      </c>
      <c r="AN464" s="23" t="s">
        <v>197</v>
      </c>
      <c r="AO464" s="23" t="s">
        <v>197</v>
      </c>
      <c r="AP464" s="23" t="s">
        <v>197</v>
      </c>
    </row>
    <row r="465" customFormat="false" ht="21.75" hidden="false" customHeight="true" outlineLevel="0" collapsed="false">
      <c r="B465" s="14" t="n">
        <v>461</v>
      </c>
      <c r="C465" s="7" t="s">
        <v>47</v>
      </c>
      <c r="D465" s="7" t="s">
        <v>20</v>
      </c>
      <c r="E465" s="7" t="s">
        <v>121</v>
      </c>
      <c r="F465" s="7" t="s">
        <v>67</v>
      </c>
      <c r="G465" s="7" t="s">
        <v>1302</v>
      </c>
      <c r="H465" s="7" t="s">
        <v>312</v>
      </c>
      <c r="I465" s="7" t="s">
        <v>1299</v>
      </c>
      <c r="J465" s="7" t="s">
        <v>1300</v>
      </c>
      <c r="K465" s="7" t="s">
        <v>1280</v>
      </c>
      <c r="L465" s="7" t="s">
        <v>1237</v>
      </c>
      <c r="M465" s="7" t="s">
        <v>542</v>
      </c>
      <c r="N465" s="7" t="s">
        <v>543</v>
      </c>
      <c r="O465" s="7" t="s">
        <v>189</v>
      </c>
      <c r="P465" s="7" t="s">
        <v>190</v>
      </c>
      <c r="Q465" s="7" t="s">
        <v>882</v>
      </c>
      <c r="R465" s="7" t="s">
        <v>1301</v>
      </c>
      <c r="S465" s="7" t="s">
        <v>1240</v>
      </c>
      <c r="T465" s="7" t="s">
        <v>309</v>
      </c>
      <c r="U465" s="18" t="n">
        <v>25</v>
      </c>
      <c r="V465" s="7"/>
      <c r="W465" s="7"/>
      <c r="X465" s="7" t="s">
        <v>199</v>
      </c>
      <c r="Y465" s="22" t="n">
        <v>0</v>
      </c>
      <c r="Z465" s="22" t="n">
        <v>0</v>
      </c>
      <c r="AA465" s="22" t="s">
        <v>197</v>
      </c>
      <c r="AB465" s="7" t="s">
        <v>1237</v>
      </c>
      <c r="AC465" s="7" t="s">
        <v>1271</v>
      </c>
      <c r="AD465" s="22" t="s">
        <v>197</v>
      </c>
      <c r="AE465" s="22" t="s">
        <v>197</v>
      </c>
      <c r="AF465" s="22" t="s">
        <v>197</v>
      </c>
      <c r="AG465" s="22" t="s">
        <v>197</v>
      </c>
      <c r="AH465" s="22" t="s">
        <v>197</v>
      </c>
      <c r="AI465" s="22" t="s">
        <v>197</v>
      </c>
      <c r="AJ465" s="22" t="s">
        <v>197</v>
      </c>
      <c r="AK465" s="22" t="s">
        <v>197</v>
      </c>
      <c r="AL465" s="22" t="s">
        <v>197</v>
      </c>
      <c r="AM465" s="7" t="s">
        <v>310</v>
      </c>
      <c r="AN465" s="22" t="s">
        <v>197</v>
      </c>
      <c r="AO465" s="22" t="s">
        <v>197</v>
      </c>
      <c r="AP465" s="22" t="s">
        <v>197</v>
      </c>
    </row>
    <row r="466" customFormat="false" ht="21.75" hidden="false" customHeight="true" outlineLevel="0" collapsed="false">
      <c r="B466" s="15" t="n">
        <v>462</v>
      </c>
      <c r="C466" s="9" t="s">
        <v>47</v>
      </c>
      <c r="D466" s="9" t="s">
        <v>20</v>
      </c>
      <c r="E466" s="9" t="s">
        <v>121</v>
      </c>
      <c r="F466" s="9" t="s">
        <v>67</v>
      </c>
      <c r="G466" s="9" t="s">
        <v>1303</v>
      </c>
      <c r="H466" s="9" t="s">
        <v>314</v>
      </c>
      <c r="I466" s="9" t="s">
        <v>1299</v>
      </c>
      <c r="J466" s="9" t="s">
        <v>1300</v>
      </c>
      <c r="K466" s="9" t="s">
        <v>1280</v>
      </c>
      <c r="L466" s="9" t="s">
        <v>1237</v>
      </c>
      <c r="M466" s="9" t="s">
        <v>542</v>
      </c>
      <c r="N466" s="9" t="s">
        <v>543</v>
      </c>
      <c r="O466" s="9" t="s">
        <v>189</v>
      </c>
      <c r="P466" s="9" t="s">
        <v>190</v>
      </c>
      <c r="Q466" s="9" t="s">
        <v>882</v>
      </c>
      <c r="R466" s="9" t="s">
        <v>1301</v>
      </c>
      <c r="S466" s="9" t="s">
        <v>1240</v>
      </c>
      <c r="T466" s="9" t="s">
        <v>309</v>
      </c>
      <c r="U466" s="19" t="n">
        <v>35</v>
      </c>
      <c r="V466" s="9"/>
      <c r="W466" s="9"/>
      <c r="X466" s="9" t="s">
        <v>728</v>
      </c>
      <c r="Y466" s="23" t="n">
        <v>0</v>
      </c>
      <c r="Z466" s="23" t="n">
        <v>0</v>
      </c>
      <c r="AA466" s="23" t="s">
        <v>197</v>
      </c>
      <c r="AB466" s="9" t="s">
        <v>1237</v>
      </c>
      <c r="AC466" s="9" t="s">
        <v>1271</v>
      </c>
      <c r="AD466" s="23" t="s">
        <v>197</v>
      </c>
      <c r="AE466" s="23" t="s">
        <v>197</v>
      </c>
      <c r="AF466" s="23" t="s">
        <v>197</v>
      </c>
      <c r="AG466" s="23" t="s">
        <v>197</v>
      </c>
      <c r="AH466" s="23" t="s">
        <v>197</v>
      </c>
      <c r="AI466" s="23" t="s">
        <v>197</v>
      </c>
      <c r="AJ466" s="23" t="s">
        <v>197</v>
      </c>
      <c r="AK466" s="23" t="s">
        <v>197</v>
      </c>
      <c r="AL466" s="23" t="s">
        <v>197</v>
      </c>
      <c r="AM466" s="9" t="s">
        <v>310</v>
      </c>
      <c r="AN466" s="23" t="s">
        <v>197</v>
      </c>
      <c r="AO466" s="23" t="s">
        <v>197</v>
      </c>
      <c r="AP466" s="23" t="s">
        <v>197</v>
      </c>
    </row>
    <row r="467" customFormat="false" ht="21.75" hidden="false" customHeight="true" outlineLevel="0" collapsed="false">
      <c r="B467" s="14" t="n">
        <v>463</v>
      </c>
      <c r="C467" s="7" t="s">
        <v>47</v>
      </c>
      <c r="D467" s="7" t="s">
        <v>20</v>
      </c>
      <c r="E467" s="7" t="s">
        <v>121</v>
      </c>
      <c r="F467" s="7" t="s">
        <v>67</v>
      </c>
      <c r="G467" s="7" t="s">
        <v>1304</v>
      </c>
      <c r="H467" s="7" t="s">
        <v>317</v>
      </c>
      <c r="I467" s="7" t="s">
        <v>1299</v>
      </c>
      <c r="J467" s="7" t="s">
        <v>1300</v>
      </c>
      <c r="K467" s="7" t="s">
        <v>1280</v>
      </c>
      <c r="L467" s="7" t="s">
        <v>1237</v>
      </c>
      <c r="M467" s="7" t="s">
        <v>542</v>
      </c>
      <c r="N467" s="7" t="s">
        <v>543</v>
      </c>
      <c r="O467" s="7" t="s">
        <v>189</v>
      </c>
      <c r="P467" s="7" t="s">
        <v>190</v>
      </c>
      <c r="Q467" s="7" t="s">
        <v>882</v>
      </c>
      <c r="R467" s="7" t="s">
        <v>1301</v>
      </c>
      <c r="S467" s="7" t="s">
        <v>1240</v>
      </c>
      <c r="T467" s="7" t="s">
        <v>309</v>
      </c>
      <c r="U467" s="18" t="n">
        <v>55</v>
      </c>
      <c r="V467" s="7"/>
      <c r="W467" s="7"/>
      <c r="X467" s="7" t="s">
        <v>203</v>
      </c>
      <c r="Y467" s="22" t="n">
        <v>0</v>
      </c>
      <c r="Z467" s="22" t="n">
        <v>0</v>
      </c>
      <c r="AA467" s="22" t="s">
        <v>197</v>
      </c>
      <c r="AB467" s="7" t="s">
        <v>1237</v>
      </c>
      <c r="AC467" s="7" t="s">
        <v>1271</v>
      </c>
      <c r="AD467" s="22" t="s">
        <v>197</v>
      </c>
      <c r="AE467" s="22" t="s">
        <v>197</v>
      </c>
      <c r="AF467" s="22" t="s">
        <v>197</v>
      </c>
      <c r="AG467" s="22" t="s">
        <v>197</v>
      </c>
      <c r="AH467" s="22" t="s">
        <v>197</v>
      </c>
      <c r="AI467" s="22" t="s">
        <v>197</v>
      </c>
      <c r="AJ467" s="22" t="s">
        <v>197</v>
      </c>
      <c r="AK467" s="22" t="s">
        <v>197</v>
      </c>
      <c r="AL467" s="22" t="s">
        <v>197</v>
      </c>
      <c r="AM467" s="7" t="s">
        <v>310</v>
      </c>
      <c r="AN467" s="22" t="s">
        <v>197</v>
      </c>
      <c r="AO467" s="22" t="s">
        <v>197</v>
      </c>
      <c r="AP467" s="22" t="s">
        <v>197</v>
      </c>
    </row>
    <row r="468" customFormat="false" ht="21.75" hidden="false" customHeight="true" outlineLevel="0" collapsed="false">
      <c r="B468" s="15" t="n">
        <v>464</v>
      </c>
      <c r="C468" s="9" t="s">
        <v>47</v>
      </c>
      <c r="D468" s="9" t="s">
        <v>20</v>
      </c>
      <c r="E468" s="9" t="s">
        <v>121</v>
      </c>
      <c r="F468" s="9" t="s">
        <v>67</v>
      </c>
      <c r="G468" s="9" t="s">
        <v>1305</v>
      </c>
      <c r="H468" s="9" t="s">
        <v>319</v>
      </c>
      <c r="I468" s="9" t="s">
        <v>1299</v>
      </c>
      <c r="J468" s="9" t="s">
        <v>1300</v>
      </c>
      <c r="K468" s="9" t="s">
        <v>1280</v>
      </c>
      <c r="L468" s="9" t="s">
        <v>1237</v>
      </c>
      <c r="M468" s="9" t="s">
        <v>542</v>
      </c>
      <c r="N468" s="9" t="s">
        <v>543</v>
      </c>
      <c r="O468" s="9" t="s">
        <v>189</v>
      </c>
      <c r="P468" s="9" t="s">
        <v>190</v>
      </c>
      <c r="Q468" s="9" t="s">
        <v>882</v>
      </c>
      <c r="R468" s="9" t="s">
        <v>1301</v>
      </c>
      <c r="S468" s="9" t="s">
        <v>1240</v>
      </c>
      <c r="T468" s="9" t="s">
        <v>309</v>
      </c>
      <c r="U468" s="19" t="n">
        <v>80</v>
      </c>
      <c r="V468" s="9"/>
      <c r="W468" s="9"/>
      <c r="X468" s="9" t="s">
        <v>205</v>
      </c>
      <c r="Y468" s="23" t="n">
        <v>0</v>
      </c>
      <c r="Z468" s="23" t="n">
        <v>0</v>
      </c>
      <c r="AA468" s="23" t="s">
        <v>197</v>
      </c>
      <c r="AB468" s="9" t="s">
        <v>1237</v>
      </c>
      <c r="AC468" s="9" t="s">
        <v>1271</v>
      </c>
      <c r="AD468" s="23" t="s">
        <v>197</v>
      </c>
      <c r="AE468" s="23" t="s">
        <v>197</v>
      </c>
      <c r="AF468" s="23" t="s">
        <v>197</v>
      </c>
      <c r="AG468" s="23" t="s">
        <v>197</v>
      </c>
      <c r="AH468" s="23" t="s">
        <v>197</v>
      </c>
      <c r="AI468" s="23" t="s">
        <v>197</v>
      </c>
      <c r="AJ468" s="23" t="s">
        <v>197</v>
      </c>
      <c r="AK468" s="23" t="s">
        <v>197</v>
      </c>
      <c r="AL468" s="23" t="s">
        <v>197</v>
      </c>
      <c r="AM468" s="9" t="s">
        <v>310</v>
      </c>
      <c r="AN468" s="23" t="s">
        <v>197</v>
      </c>
      <c r="AO468" s="23" t="s">
        <v>197</v>
      </c>
      <c r="AP468" s="23" t="s">
        <v>197</v>
      </c>
    </row>
    <row r="469" customFormat="false" ht="21.75" hidden="false" customHeight="true" outlineLevel="0" collapsed="false">
      <c r="B469" s="14" t="n">
        <v>465</v>
      </c>
      <c r="C469" s="7" t="s">
        <v>47</v>
      </c>
      <c r="D469" s="7" t="s">
        <v>20</v>
      </c>
      <c r="E469" s="7" t="s">
        <v>121</v>
      </c>
      <c r="F469" s="7" t="s">
        <v>68</v>
      </c>
      <c r="G469" s="7" t="s">
        <v>391</v>
      </c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18"/>
      <c r="V469" s="7"/>
      <c r="W469" s="7"/>
      <c r="X469" s="7" t="s">
        <v>1306</v>
      </c>
      <c r="Y469" s="22" t="s">
        <v>197</v>
      </c>
      <c r="Z469" s="22" t="s">
        <v>197</v>
      </c>
      <c r="AA469" s="22" t="s">
        <v>197</v>
      </c>
      <c r="AB469" s="7" t="s">
        <v>197</v>
      </c>
      <c r="AC469" s="7" t="s">
        <v>197</v>
      </c>
      <c r="AD469" s="22" t="s">
        <v>197</v>
      </c>
      <c r="AE469" s="22" t="s">
        <v>197</v>
      </c>
      <c r="AF469" s="22" t="s">
        <v>197</v>
      </c>
      <c r="AG469" s="22" t="s">
        <v>197</v>
      </c>
      <c r="AH469" s="22" t="s">
        <v>197</v>
      </c>
      <c r="AI469" s="22" t="s">
        <v>197</v>
      </c>
      <c r="AJ469" s="22" t="s">
        <v>197</v>
      </c>
      <c r="AK469" s="22" t="s">
        <v>197</v>
      </c>
      <c r="AL469" s="22" t="s">
        <v>197</v>
      </c>
      <c r="AM469" s="7" t="s">
        <v>197</v>
      </c>
      <c r="AN469" s="22" t="s">
        <v>197</v>
      </c>
      <c r="AO469" s="22" t="s">
        <v>197</v>
      </c>
      <c r="AP469" s="22" t="s">
        <v>197</v>
      </c>
    </row>
    <row r="470" customFormat="false" ht="21.75" hidden="false" customHeight="true" outlineLevel="0" collapsed="false">
      <c r="B470" s="15" t="n">
        <v>466</v>
      </c>
      <c r="C470" s="9" t="s">
        <v>47</v>
      </c>
      <c r="D470" s="9" t="s">
        <v>20</v>
      </c>
      <c r="E470" s="9" t="s">
        <v>121</v>
      </c>
      <c r="F470" s="9" t="s">
        <v>69</v>
      </c>
      <c r="G470" s="9" t="s">
        <v>1307</v>
      </c>
      <c r="H470" s="9" t="s">
        <v>339</v>
      </c>
      <c r="I470" s="9" t="s">
        <v>1308</v>
      </c>
      <c r="J470" s="9" t="s">
        <v>1309</v>
      </c>
      <c r="K470" s="9" t="s">
        <v>342</v>
      </c>
      <c r="L470" s="9" t="s">
        <v>1237</v>
      </c>
      <c r="M470" s="9" t="s">
        <v>1310</v>
      </c>
      <c r="N470" s="9" t="s">
        <v>1311</v>
      </c>
      <c r="O470" s="9" t="s">
        <v>345</v>
      </c>
      <c r="P470" s="9" t="s">
        <v>190</v>
      </c>
      <c r="Q470" s="9" t="s">
        <v>1312</v>
      </c>
      <c r="R470" s="9" t="s">
        <v>1313</v>
      </c>
      <c r="S470" s="9" t="s">
        <v>1240</v>
      </c>
      <c r="T470" s="9" t="s">
        <v>1029</v>
      </c>
      <c r="U470" s="19" t="n">
        <v>30</v>
      </c>
      <c r="V470" s="9"/>
      <c r="W470" s="9"/>
      <c r="X470" s="9" t="s">
        <v>195</v>
      </c>
      <c r="Y470" s="23" t="n">
        <v>0.015</v>
      </c>
      <c r="Z470" s="23" t="n">
        <v>0.643</v>
      </c>
      <c r="AA470" s="23" t="n">
        <v>12</v>
      </c>
      <c r="AB470" s="9" t="s">
        <v>1237</v>
      </c>
      <c r="AC470" s="9" t="s">
        <v>1271</v>
      </c>
      <c r="AD470" s="23" t="s">
        <v>197</v>
      </c>
      <c r="AE470" s="23" t="s">
        <v>197</v>
      </c>
      <c r="AF470" s="23" t="s">
        <v>197</v>
      </c>
      <c r="AG470" s="23" t="s">
        <v>197</v>
      </c>
      <c r="AH470" s="23" t="s">
        <v>197</v>
      </c>
      <c r="AI470" s="23" t="s">
        <v>197</v>
      </c>
      <c r="AJ470" s="23" t="s">
        <v>197</v>
      </c>
      <c r="AK470" s="23" t="s">
        <v>197</v>
      </c>
      <c r="AL470" s="23" t="s">
        <v>197</v>
      </c>
      <c r="AM470" s="9" t="s">
        <v>197</v>
      </c>
      <c r="AN470" s="23" t="n">
        <v>29.7</v>
      </c>
      <c r="AO470" s="23" t="n">
        <v>2.5</v>
      </c>
      <c r="AP470" s="23" t="n">
        <v>4.5</v>
      </c>
    </row>
    <row r="471" customFormat="false" ht="21.75" hidden="false" customHeight="true" outlineLevel="0" collapsed="false">
      <c r="B471" s="14" t="n">
        <v>467</v>
      </c>
      <c r="C471" s="7" t="s">
        <v>47</v>
      </c>
      <c r="D471" s="7" t="s">
        <v>20</v>
      </c>
      <c r="E471" s="7" t="s">
        <v>121</v>
      </c>
      <c r="F471" s="7" t="s">
        <v>69</v>
      </c>
      <c r="G471" s="7" t="s">
        <v>1314</v>
      </c>
      <c r="H471" s="7" t="s">
        <v>350</v>
      </c>
      <c r="I471" s="7" t="s">
        <v>1308</v>
      </c>
      <c r="J471" s="7" t="s">
        <v>1309</v>
      </c>
      <c r="K471" s="7" t="s">
        <v>342</v>
      </c>
      <c r="L471" s="7" t="s">
        <v>1237</v>
      </c>
      <c r="M471" s="7" t="s">
        <v>1310</v>
      </c>
      <c r="N471" s="7" t="s">
        <v>1311</v>
      </c>
      <c r="O471" s="7" t="s">
        <v>345</v>
      </c>
      <c r="P471" s="7" t="s">
        <v>190</v>
      </c>
      <c r="Q471" s="7" t="s">
        <v>1312</v>
      </c>
      <c r="R471" s="7" t="s">
        <v>1313</v>
      </c>
      <c r="S471" s="7" t="s">
        <v>1240</v>
      </c>
      <c r="T471" s="7" t="s">
        <v>1029</v>
      </c>
      <c r="U471" s="18" t="n">
        <v>45</v>
      </c>
      <c r="V471" s="7"/>
      <c r="W471" s="7"/>
      <c r="X471" s="7" t="s">
        <v>199</v>
      </c>
      <c r="Y471" s="22" t="n">
        <v>0.005</v>
      </c>
      <c r="Z471" s="22" t="n">
        <v>0.284</v>
      </c>
      <c r="AA471" s="22" t="n">
        <v>12</v>
      </c>
      <c r="AB471" s="7" t="s">
        <v>1237</v>
      </c>
      <c r="AC471" s="7" t="s">
        <v>1271</v>
      </c>
      <c r="AD471" s="22" t="s">
        <v>197</v>
      </c>
      <c r="AE471" s="22" t="s">
        <v>197</v>
      </c>
      <c r="AF471" s="22" t="s">
        <v>197</v>
      </c>
      <c r="AG471" s="22" t="s">
        <v>197</v>
      </c>
      <c r="AH471" s="22" t="s">
        <v>197</v>
      </c>
      <c r="AI471" s="22" t="s">
        <v>197</v>
      </c>
      <c r="AJ471" s="22" t="s">
        <v>197</v>
      </c>
      <c r="AK471" s="22" t="s">
        <v>197</v>
      </c>
      <c r="AL471" s="22" t="s">
        <v>197</v>
      </c>
      <c r="AM471" s="7" t="s">
        <v>197</v>
      </c>
      <c r="AN471" s="22" t="n">
        <v>15.1</v>
      </c>
      <c r="AO471" s="22" t="n">
        <v>2.5</v>
      </c>
      <c r="AP471" s="22" t="n">
        <v>4.5</v>
      </c>
    </row>
    <row r="472" customFormat="false" ht="21.75" hidden="false" customHeight="true" outlineLevel="0" collapsed="false">
      <c r="B472" s="15" t="n">
        <v>468</v>
      </c>
      <c r="C472" s="9" t="s">
        <v>47</v>
      </c>
      <c r="D472" s="9" t="s">
        <v>20</v>
      </c>
      <c r="E472" s="9" t="s">
        <v>121</v>
      </c>
      <c r="F472" s="9" t="s">
        <v>69</v>
      </c>
      <c r="G472" s="9" t="s">
        <v>1315</v>
      </c>
      <c r="H472" s="9" t="s">
        <v>352</v>
      </c>
      <c r="I472" s="9" t="s">
        <v>1308</v>
      </c>
      <c r="J472" s="9" t="s">
        <v>1309</v>
      </c>
      <c r="K472" s="9" t="s">
        <v>342</v>
      </c>
      <c r="L472" s="9" t="s">
        <v>1237</v>
      </c>
      <c r="M472" s="9" t="s">
        <v>1310</v>
      </c>
      <c r="N472" s="9" t="s">
        <v>1311</v>
      </c>
      <c r="O472" s="9" t="s">
        <v>345</v>
      </c>
      <c r="P472" s="9" t="s">
        <v>190</v>
      </c>
      <c r="Q472" s="9" t="s">
        <v>1312</v>
      </c>
      <c r="R472" s="9" t="s">
        <v>1313</v>
      </c>
      <c r="S472" s="9" t="s">
        <v>1240</v>
      </c>
      <c r="T472" s="9" t="s">
        <v>1029</v>
      </c>
      <c r="U472" s="19" t="n">
        <v>60</v>
      </c>
      <c r="V472" s="9"/>
      <c r="W472" s="9"/>
      <c r="X472" s="9" t="s">
        <v>1316</v>
      </c>
      <c r="Y472" s="23" t="n">
        <v>0.006</v>
      </c>
      <c r="Z472" s="23" t="n">
        <v>0.306</v>
      </c>
      <c r="AA472" s="23" t="n">
        <v>12</v>
      </c>
      <c r="AB472" s="9" t="s">
        <v>1237</v>
      </c>
      <c r="AC472" s="9" t="s">
        <v>1271</v>
      </c>
      <c r="AD472" s="23" t="s">
        <v>197</v>
      </c>
      <c r="AE472" s="23" t="s">
        <v>197</v>
      </c>
      <c r="AF472" s="23" t="s">
        <v>197</v>
      </c>
      <c r="AG472" s="23" t="s">
        <v>197</v>
      </c>
      <c r="AH472" s="23" t="s">
        <v>197</v>
      </c>
      <c r="AI472" s="23" t="s">
        <v>197</v>
      </c>
      <c r="AJ472" s="23" t="s">
        <v>197</v>
      </c>
      <c r="AK472" s="23" t="s">
        <v>197</v>
      </c>
      <c r="AL472" s="23" t="s">
        <v>197</v>
      </c>
      <c r="AM472" s="9" t="s">
        <v>197</v>
      </c>
      <c r="AN472" s="23" t="n">
        <v>16</v>
      </c>
      <c r="AO472" s="23" t="n">
        <v>2.5</v>
      </c>
      <c r="AP472" s="23" t="n">
        <v>4.5</v>
      </c>
    </row>
    <row r="473" customFormat="false" ht="21.75" hidden="false" customHeight="true" outlineLevel="0" collapsed="false">
      <c r="B473" s="14" t="n">
        <v>469</v>
      </c>
      <c r="C473" s="7" t="s">
        <v>47</v>
      </c>
      <c r="D473" s="7" t="s">
        <v>20</v>
      </c>
      <c r="E473" s="7" t="s">
        <v>121</v>
      </c>
      <c r="F473" s="7" t="s">
        <v>69</v>
      </c>
      <c r="G473" s="7" t="s">
        <v>1317</v>
      </c>
      <c r="H473" s="7" t="s">
        <v>355</v>
      </c>
      <c r="I473" s="7" t="s">
        <v>1308</v>
      </c>
      <c r="J473" s="7" t="s">
        <v>1309</v>
      </c>
      <c r="K473" s="7" t="s">
        <v>342</v>
      </c>
      <c r="L473" s="7" t="s">
        <v>1237</v>
      </c>
      <c r="M473" s="7" t="s">
        <v>1310</v>
      </c>
      <c r="N473" s="7" t="s">
        <v>1311</v>
      </c>
      <c r="O473" s="7" t="s">
        <v>345</v>
      </c>
      <c r="P473" s="7" t="s">
        <v>190</v>
      </c>
      <c r="Q473" s="7" t="s">
        <v>1312</v>
      </c>
      <c r="R473" s="7" t="s">
        <v>1313</v>
      </c>
      <c r="S473" s="7" t="s">
        <v>1240</v>
      </c>
      <c r="T473" s="7" t="s">
        <v>1029</v>
      </c>
      <c r="U473" s="18" t="n">
        <v>90</v>
      </c>
      <c r="V473" s="7"/>
      <c r="W473" s="7"/>
      <c r="X473" s="7" t="s">
        <v>203</v>
      </c>
      <c r="Y473" s="22" t="n">
        <v>0.009</v>
      </c>
      <c r="Z473" s="22" t="n">
        <v>0.411</v>
      </c>
      <c r="AA473" s="22" t="n">
        <v>12</v>
      </c>
      <c r="AB473" s="7" t="s">
        <v>1237</v>
      </c>
      <c r="AC473" s="7" t="s">
        <v>1271</v>
      </c>
      <c r="AD473" s="22" t="s">
        <v>197</v>
      </c>
      <c r="AE473" s="22" t="s">
        <v>197</v>
      </c>
      <c r="AF473" s="22" t="s">
        <v>197</v>
      </c>
      <c r="AG473" s="22" t="s">
        <v>197</v>
      </c>
      <c r="AH473" s="22" t="s">
        <v>197</v>
      </c>
      <c r="AI473" s="22" t="s">
        <v>197</v>
      </c>
      <c r="AJ473" s="22" t="s">
        <v>197</v>
      </c>
      <c r="AK473" s="22" t="s">
        <v>197</v>
      </c>
      <c r="AL473" s="22" t="s">
        <v>197</v>
      </c>
      <c r="AM473" s="7" t="s">
        <v>197</v>
      </c>
      <c r="AN473" s="22" t="n">
        <v>20.3</v>
      </c>
      <c r="AO473" s="22" t="n">
        <v>2.5</v>
      </c>
      <c r="AP473" s="22" t="n">
        <v>4.5</v>
      </c>
    </row>
    <row r="474" customFormat="false" ht="21.75" hidden="false" customHeight="true" outlineLevel="0" collapsed="false">
      <c r="B474" s="15" t="n">
        <v>470</v>
      </c>
      <c r="C474" s="9" t="s">
        <v>47</v>
      </c>
      <c r="D474" s="9" t="s">
        <v>20</v>
      </c>
      <c r="E474" s="9" t="s">
        <v>121</v>
      </c>
      <c r="F474" s="9" t="s">
        <v>69</v>
      </c>
      <c r="G474" s="9" t="s">
        <v>1318</v>
      </c>
      <c r="H474" s="9" t="s">
        <v>357</v>
      </c>
      <c r="I474" s="9" t="s">
        <v>1308</v>
      </c>
      <c r="J474" s="9" t="s">
        <v>1309</v>
      </c>
      <c r="K474" s="9" t="s">
        <v>342</v>
      </c>
      <c r="L474" s="9" t="s">
        <v>1237</v>
      </c>
      <c r="M474" s="9" t="s">
        <v>1310</v>
      </c>
      <c r="N474" s="9" t="s">
        <v>1311</v>
      </c>
      <c r="O474" s="9" t="s">
        <v>345</v>
      </c>
      <c r="P474" s="9" t="s">
        <v>190</v>
      </c>
      <c r="Q474" s="9" t="s">
        <v>1312</v>
      </c>
      <c r="R474" s="9" t="s">
        <v>1313</v>
      </c>
      <c r="S474" s="9" t="s">
        <v>1240</v>
      </c>
      <c r="T474" s="9" t="s">
        <v>1029</v>
      </c>
      <c r="U474" s="19" t="n">
        <v>135</v>
      </c>
      <c r="V474" s="9"/>
      <c r="W474" s="9"/>
      <c r="X474" s="9" t="s">
        <v>205</v>
      </c>
      <c r="Y474" s="23" t="n">
        <v>0.013</v>
      </c>
      <c r="Z474" s="23" t="n">
        <v>0.568</v>
      </c>
      <c r="AA474" s="23" t="n">
        <v>12</v>
      </c>
      <c r="AB474" s="9" t="s">
        <v>1237</v>
      </c>
      <c r="AC474" s="9" t="s">
        <v>1271</v>
      </c>
      <c r="AD474" s="23" t="s">
        <v>197</v>
      </c>
      <c r="AE474" s="23" t="s">
        <v>197</v>
      </c>
      <c r="AF474" s="23" t="s">
        <v>197</v>
      </c>
      <c r="AG474" s="23" t="s">
        <v>197</v>
      </c>
      <c r="AH474" s="23" t="s">
        <v>197</v>
      </c>
      <c r="AI474" s="23" t="s">
        <v>197</v>
      </c>
      <c r="AJ474" s="23" t="s">
        <v>197</v>
      </c>
      <c r="AK474" s="23" t="s">
        <v>197</v>
      </c>
      <c r="AL474" s="23" t="s">
        <v>197</v>
      </c>
      <c r="AM474" s="9" t="s">
        <v>197</v>
      </c>
      <c r="AN474" s="23" t="n">
        <v>26.7</v>
      </c>
      <c r="AO474" s="23" t="n">
        <v>2.5</v>
      </c>
      <c r="AP474" s="23" t="n">
        <v>4.5</v>
      </c>
    </row>
    <row r="475" customFormat="false" ht="21.75" hidden="false" customHeight="true" outlineLevel="0" collapsed="false">
      <c r="B475" s="14" t="n">
        <v>471</v>
      </c>
      <c r="C475" s="7" t="s">
        <v>47</v>
      </c>
      <c r="D475" s="7" t="s">
        <v>20</v>
      </c>
      <c r="E475" s="7" t="s">
        <v>121</v>
      </c>
      <c r="F475" s="7" t="s">
        <v>70</v>
      </c>
      <c r="G475" s="7" t="s">
        <v>1319</v>
      </c>
      <c r="H475" s="7" t="s">
        <v>359</v>
      </c>
      <c r="I475" s="7" t="s">
        <v>1320</v>
      </c>
      <c r="J475" s="7" t="s">
        <v>1321</v>
      </c>
      <c r="K475" s="7" t="s">
        <v>1280</v>
      </c>
      <c r="L475" s="7" t="s">
        <v>1237</v>
      </c>
      <c r="M475" s="7" t="s">
        <v>1177</v>
      </c>
      <c r="N475" s="7" t="s">
        <v>189</v>
      </c>
      <c r="O475" s="7" t="s">
        <v>189</v>
      </c>
      <c r="P475" s="7" t="s">
        <v>190</v>
      </c>
      <c r="Q475" s="7" t="s">
        <v>1322</v>
      </c>
      <c r="R475" s="7" t="s">
        <v>872</v>
      </c>
      <c r="S475" s="7" t="s">
        <v>1240</v>
      </c>
      <c r="T475" s="7" t="s">
        <v>275</v>
      </c>
      <c r="U475" s="18" t="n">
        <v>17</v>
      </c>
      <c r="V475" s="7"/>
      <c r="W475" s="7"/>
      <c r="X475" s="7" t="s">
        <v>195</v>
      </c>
      <c r="Y475" s="22" t="n">
        <v>1.069E-005</v>
      </c>
      <c r="Z475" s="22" t="n">
        <v>0.074</v>
      </c>
      <c r="AA475" s="22" t="n">
        <v>3</v>
      </c>
      <c r="AB475" s="7" t="s">
        <v>1237</v>
      </c>
      <c r="AC475" s="7" t="s">
        <v>1282</v>
      </c>
      <c r="AD475" s="22" t="s">
        <v>197</v>
      </c>
      <c r="AE475" s="22" t="s">
        <v>197</v>
      </c>
      <c r="AF475" s="22" t="s">
        <v>197</v>
      </c>
      <c r="AG475" s="22" t="s">
        <v>197</v>
      </c>
      <c r="AH475" s="22" t="s">
        <v>197</v>
      </c>
      <c r="AI475" s="22" t="s">
        <v>197</v>
      </c>
      <c r="AJ475" s="22" t="s">
        <v>197</v>
      </c>
      <c r="AK475" s="22" t="s">
        <v>197</v>
      </c>
      <c r="AL475" s="22" t="s">
        <v>197</v>
      </c>
      <c r="AM475" s="7" t="s">
        <v>197</v>
      </c>
      <c r="AN475" s="22" t="n">
        <v>2.5</v>
      </c>
      <c r="AO475" s="22" t="n">
        <v>2</v>
      </c>
      <c r="AP475" s="22" t="n">
        <v>3</v>
      </c>
    </row>
    <row r="476" customFormat="false" ht="21.75" hidden="false" customHeight="true" outlineLevel="0" collapsed="false">
      <c r="B476" s="15" t="n">
        <v>472</v>
      </c>
      <c r="C476" s="9" t="s">
        <v>47</v>
      </c>
      <c r="D476" s="9" t="s">
        <v>20</v>
      </c>
      <c r="E476" s="9" t="s">
        <v>121</v>
      </c>
      <c r="F476" s="9" t="s">
        <v>70</v>
      </c>
      <c r="G476" s="9" t="s">
        <v>1323</v>
      </c>
      <c r="H476" s="9" t="s">
        <v>367</v>
      </c>
      <c r="I476" s="9" t="s">
        <v>1320</v>
      </c>
      <c r="J476" s="9" t="s">
        <v>1321</v>
      </c>
      <c r="K476" s="9" t="s">
        <v>1280</v>
      </c>
      <c r="L476" s="9" t="s">
        <v>1237</v>
      </c>
      <c r="M476" s="9" t="s">
        <v>1177</v>
      </c>
      <c r="N476" s="9" t="s">
        <v>189</v>
      </c>
      <c r="O476" s="9" t="s">
        <v>189</v>
      </c>
      <c r="P476" s="9" t="s">
        <v>190</v>
      </c>
      <c r="Q476" s="9" t="s">
        <v>1322</v>
      </c>
      <c r="R476" s="9" t="s">
        <v>872</v>
      </c>
      <c r="S476" s="9" t="s">
        <v>1240</v>
      </c>
      <c r="T476" s="9" t="s">
        <v>275</v>
      </c>
      <c r="U476" s="19" t="n">
        <v>25</v>
      </c>
      <c r="V476" s="9"/>
      <c r="W476" s="9"/>
      <c r="X476" s="9" t="s">
        <v>199</v>
      </c>
      <c r="Y476" s="23" t="n">
        <v>1.411E-005</v>
      </c>
      <c r="Z476" s="23" t="n">
        <v>0.092</v>
      </c>
      <c r="AA476" s="23" t="n">
        <v>3</v>
      </c>
      <c r="AB476" s="9" t="s">
        <v>1237</v>
      </c>
      <c r="AC476" s="9" t="s">
        <v>1282</v>
      </c>
      <c r="AD476" s="23" t="s">
        <v>197</v>
      </c>
      <c r="AE476" s="23" t="s">
        <v>197</v>
      </c>
      <c r="AF476" s="23" t="s">
        <v>197</v>
      </c>
      <c r="AG476" s="23" t="s">
        <v>197</v>
      </c>
      <c r="AH476" s="23" t="s">
        <v>197</v>
      </c>
      <c r="AI476" s="23" t="s">
        <v>197</v>
      </c>
      <c r="AJ476" s="23" t="s">
        <v>197</v>
      </c>
      <c r="AK476" s="23" t="s">
        <v>197</v>
      </c>
      <c r="AL476" s="23" t="s">
        <v>197</v>
      </c>
      <c r="AM476" s="9" t="s">
        <v>197</v>
      </c>
      <c r="AN476" s="23" t="n">
        <v>3.1</v>
      </c>
      <c r="AO476" s="23" t="n">
        <v>2</v>
      </c>
      <c r="AP476" s="23" t="n">
        <v>3</v>
      </c>
    </row>
    <row r="477" customFormat="false" ht="21.75" hidden="false" customHeight="true" outlineLevel="0" collapsed="false">
      <c r="B477" s="14" t="n">
        <v>473</v>
      </c>
      <c r="C477" s="7" t="s">
        <v>47</v>
      </c>
      <c r="D477" s="7" t="s">
        <v>20</v>
      </c>
      <c r="E477" s="7" t="s">
        <v>121</v>
      </c>
      <c r="F477" s="7" t="s">
        <v>70</v>
      </c>
      <c r="G477" s="7" t="s">
        <v>1324</v>
      </c>
      <c r="H477" s="7" t="s">
        <v>369</v>
      </c>
      <c r="I477" s="7" t="s">
        <v>1320</v>
      </c>
      <c r="J477" s="7" t="s">
        <v>1321</v>
      </c>
      <c r="K477" s="7" t="s">
        <v>1280</v>
      </c>
      <c r="L477" s="7" t="s">
        <v>1237</v>
      </c>
      <c r="M477" s="7" t="s">
        <v>1177</v>
      </c>
      <c r="N477" s="7" t="s">
        <v>189</v>
      </c>
      <c r="O477" s="7" t="s">
        <v>189</v>
      </c>
      <c r="P477" s="7" t="s">
        <v>190</v>
      </c>
      <c r="Q477" s="7" t="s">
        <v>1322</v>
      </c>
      <c r="R477" s="7" t="s">
        <v>872</v>
      </c>
      <c r="S477" s="7" t="s">
        <v>1240</v>
      </c>
      <c r="T477" s="7" t="s">
        <v>275</v>
      </c>
      <c r="U477" s="18" t="n">
        <v>30</v>
      </c>
      <c r="V477" s="7"/>
      <c r="W477" s="7"/>
      <c r="X477" s="7" t="s">
        <v>1325</v>
      </c>
      <c r="Y477" s="22" t="n">
        <v>1.108E-005</v>
      </c>
      <c r="Z477" s="22" t="n">
        <v>0.076</v>
      </c>
      <c r="AA477" s="22" t="n">
        <v>3</v>
      </c>
      <c r="AB477" s="7" t="s">
        <v>1237</v>
      </c>
      <c r="AC477" s="7" t="s">
        <v>1282</v>
      </c>
      <c r="AD477" s="22" t="s">
        <v>197</v>
      </c>
      <c r="AE477" s="22" t="s">
        <v>197</v>
      </c>
      <c r="AF477" s="22" t="s">
        <v>197</v>
      </c>
      <c r="AG477" s="22" t="s">
        <v>197</v>
      </c>
      <c r="AH477" s="22" t="s">
        <v>197</v>
      </c>
      <c r="AI477" s="22" t="s">
        <v>197</v>
      </c>
      <c r="AJ477" s="22" t="s">
        <v>197</v>
      </c>
      <c r="AK477" s="22" t="s">
        <v>197</v>
      </c>
      <c r="AL477" s="22" t="s">
        <v>197</v>
      </c>
      <c r="AM477" s="7" t="s">
        <v>197</v>
      </c>
      <c r="AN477" s="22" t="n">
        <v>2.5</v>
      </c>
      <c r="AO477" s="22" t="n">
        <v>2</v>
      </c>
      <c r="AP477" s="22" t="n">
        <v>3</v>
      </c>
    </row>
    <row r="478" customFormat="false" ht="21.75" hidden="false" customHeight="true" outlineLevel="0" collapsed="false">
      <c r="B478" s="15" t="n">
        <v>474</v>
      </c>
      <c r="C478" s="9" t="s">
        <v>47</v>
      </c>
      <c r="D478" s="9" t="s">
        <v>20</v>
      </c>
      <c r="E478" s="9" t="s">
        <v>121</v>
      </c>
      <c r="F478" s="9" t="s">
        <v>70</v>
      </c>
      <c r="G478" s="9" t="s">
        <v>1326</v>
      </c>
      <c r="H478" s="9" t="s">
        <v>339</v>
      </c>
      <c r="I478" s="9" t="s">
        <v>1320</v>
      </c>
      <c r="J478" s="9" t="s">
        <v>1321</v>
      </c>
      <c r="K478" s="9" t="s">
        <v>1280</v>
      </c>
      <c r="L478" s="9" t="s">
        <v>1237</v>
      </c>
      <c r="M478" s="9" t="s">
        <v>1177</v>
      </c>
      <c r="N478" s="9" t="s">
        <v>189</v>
      </c>
      <c r="O478" s="9" t="s">
        <v>189</v>
      </c>
      <c r="P478" s="9" t="s">
        <v>190</v>
      </c>
      <c r="Q478" s="9" t="s">
        <v>1322</v>
      </c>
      <c r="R478" s="9" t="s">
        <v>872</v>
      </c>
      <c r="S478" s="9" t="s">
        <v>1240</v>
      </c>
      <c r="T478" s="9" t="s">
        <v>275</v>
      </c>
      <c r="U478" s="19" t="n">
        <v>50</v>
      </c>
      <c r="V478" s="9"/>
      <c r="W478" s="9"/>
      <c r="X478" s="9" t="s">
        <v>203</v>
      </c>
      <c r="Y478" s="23" t="n">
        <v>2.384E-005</v>
      </c>
      <c r="Z478" s="23" t="n">
        <v>0.144</v>
      </c>
      <c r="AA478" s="23" t="n">
        <v>3</v>
      </c>
      <c r="AB478" s="9" t="s">
        <v>1237</v>
      </c>
      <c r="AC478" s="9" t="s">
        <v>1282</v>
      </c>
      <c r="AD478" s="23" t="s">
        <v>197</v>
      </c>
      <c r="AE478" s="23" t="s">
        <v>197</v>
      </c>
      <c r="AF478" s="23" t="s">
        <v>197</v>
      </c>
      <c r="AG478" s="23" t="s">
        <v>197</v>
      </c>
      <c r="AH478" s="23" t="s">
        <v>197</v>
      </c>
      <c r="AI478" s="23" t="s">
        <v>197</v>
      </c>
      <c r="AJ478" s="23" t="s">
        <v>197</v>
      </c>
      <c r="AK478" s="23" t="s">
        <v>197</v>
      </c>
      <c r="AL478" s="23" t="s">
        <v>197</v>
      </c>
      <c r="AM478" s="9" t="s">
        <v>197</v>
      </c>
      <c r="AN478" s="23" t="n">
        <v>4.8</v>
      </c>
      <c r="AO478" s="23" t="n">
        <v>2</v>
      </c>
      <c r="AP478" s="23" t="n">
        <v>3</v>
      </c>
    </row>
    <row r="479" customFormat="false" ht="21.75" hidden="false" customHeight="true" outlineLevel="0" collapsed="false">
      <c r="B479" s="14" t="n">
        <v>475</v>
      </c>
      <c r="C479" s="7" t="s">
        <v>47</v>
      </c>
      <c r="D479" s="7" t="s">
        <v>20</v>
      </c>
      <c r="E479" s="7" t="s">
        <v>121</v>
      </c>
      <c r="F479" s="7" t="s">
        <v>70</v>
      </c>
      <c r="G479" s="7" t="s">
        <v>1327</v>
      </c>
      <c r="H479" s="7" t="s">
        <v>352</v>
      </c>
      <c r="I479" s="7" t="s">
        <v>1320</v>
      </c>
      <c r="J479" s="7" t="s">
        <v>1321</v>
      </c>
      <c r="K479" s="7" t="s">
        <v>1280</v>
      </c>
      <c r="L479" s="7" t="s">
        <v>1237</v>
      </c>
      <c r="M479" s="7" t="s">
        <v>1177</v>
      </c>
      <c r="N479" s="7" t="s">
        <v>189</v>
      </c>
      <c r="O479" s="7" t="s">
        <v>189</v>
      </c>
      <c r="P479" s="7" t="s">
        <v>190</v>
      </c>
      <c r="Q479" s="7" t="s">
        <v>1322</v>
      </c>
      <c r="R479" s="7" t="s">
        <v>872</v>
      </c>
      <c r="S479" s="7" t="s">
        <v>1240</v>
      </c>
      <c r="T479" s="7" t="s">
        <v>275</v>
      </c>
      <c r="U479" s="18" t="n">
        <v>70</v>
      </c>
      <c r="V479" s="7"/>
      <c r="W479" s="7"/>
      <c r="X479" s="7" t="s">
        <v>205</v>
      </c>
      <c r="Y479" s="22" t="n">
        <v>1.124E-005</v>
      </c>
      <c r="Z479" s="22" t="n">
        <v>0.077</v>
      </c>
      <c r="AA479" s="22" t="n">
        <v>3</v>
      </c>
      <c r="AB479" s="7" t="s">
        <v>1237</v>
      </c>
      <c r="AC479" s="7" t="s">
        <v>1282</v>
      </c>
      <c r="AD479" s="22" t="s">
        <v>197</v>
      </c>
      <c r="AE479" s="22" t="s">
        <v>197</v>
      </c>
      <c r="AF479" s="22" t="s">
        <v>197</v>
      </c>
      <c r="AG479" s="22" t="s">
        <v>197</v>
      </c>
      <c r="AH479" s="22" t="s">
        <v>197</v>
      </c>
      <c r="AI479" s="22" t="s">
        <v>197</v>
      </c>
      <c r="AJ479" s="22" t="s">
        <v>197</v>
      </c>
      <c r="AK479" s="22" t="s">
        <v>197</v>
      </c>
      <c r="AL479" s="22" t="s">
        <v>197</v>
      </c>
      <c r="AM479" s="7" t="s">
        <v>197</v>
      </c>
      <c r="AN479" s="22" t="n">
        <v>2.6</v>
      </c>
      <c r="AO479" s="22" t="n">
        <v>2</v>
      </c>
      <c r="AP479" s="22" t="n">
        <v>3</v>
      </c>
    </row>
    <row r="480" customFormat="false" ht="21.75" hidden="false" customHeight="true" outlineLevel="0" collapsed="false">
      <c r="B480" s="15" t="n">
        <v>476</v>
      </c>
      <c r="C480" s="9" t="s">
        <v>47</v>
      </c>
      <c r="D480" s="9" t="s">
        <v>20</v>
      </c>
      <c r="E480" s="9" t="s">
        <v>121</v>
      </c>
      <c r="F480" s="9" t="s">
        <v>71</v>
      </c>
      <c r="G480" s="9" t="s">
        <v>1328</v>
      </c>
      <c r="H480" s="9" t="s">
        <v>374</v>
      </c>
      <c r="I480" s="9" t="s">
        <v>1329</v>
      </c>
      <c r="J480" s="9" t="s">
        <v>1330</v>
      </c>
      <c r="K480" s="9" t="s">
        <v>1331</v>
      </c>
      <c r="L480" s="9" t="s">
        <v>1237</v>
      </c>
      <c r="M480" s="9" t="s">
        <v>235</v>
      </c>
      <c r="N480" s="9" t="s">
        <v>1332</v>
      </c>
      <c r="O480" s="9" t="s">
        <v>189</v>
      </c>
      <c r="P480" s="9" t="s">
        <v>190</v>
      </c>
      <c r="Q480" s="9" t="s">
        <v>1189</v>
      </c>
      <c r="R480" s="9" t="s">
        <v>1190</v>
      </c>
      <c r="S480" s="9" t="s">
        <v>1240</v>
      </c>
      <c r="T480" s="9" t="s">
        <v>1191</v>
      </c>
      <c r="U480" s="19" t="n">
        <v>40</v>
      </c>
      <c r="V480" s="9"/>
      <c r="W480" s="9"/>
      <c r="X480" s="9" t="s">
        <v>195</v>
      </c>
      <c r="Y480" s="23" t="n">
        <v>0.062</v>
      </c>
      <c r="Z480" s="23" t="n">
        <v>0.255</v>
      </c>
      <c r="AA480" s="23" t="n">
        <v>12</v>
      </c>
      <c r="AB480" s="9" t="s">
        <v>1237</v>
      </c>
      <c r="AC480" s="9" t="s">
        <v>1261</v>
      </c>
      <c r="AD480" s="23" t="s">
        <v>197</v>
      </c>
      <c r="AE480" s="23" t="s">
        <v>197</v>
      </c>
      <c r="AF480" s="23" t="s">
        <v>197</v>
      </c>
      <c r="AG480" s="23" t="s">
        <v>197</v>
      </c>
      <c r="AH480" s="23" t="s">
        <v>197</v>
      </c>
      <c r="AI480" s="23" t="s">
        <v>197</v>
      </c>
      <c r="AJ480" s="23" t="s">
        <v>197</v>
      </c>
      <c r="AK480" s="23" t="s">
        <v>197</v>
      </c>
      <c r="AL480" s="23" t="s">
        <v>197</v>
      </c>
      <c r="AM480" s="9" t="s">
        <v>197</v>
      </c>
      <c r="AN480" s="23" t="s">
        <v>197</v>
      </c>
      <c r="AO480" s="23" t="s">
        <v>197</v>
      </c>
      <c r="AP480" s="23" t="s">
        <v>197</v>
      </c>
    </row>
    <row r="481" customFormat="false" ht="21.75" hidden="false" customHeight="true" outlineLevel="0" collapsed="false">
      <c r="B481" s="14" t="n">
        <v>477</v>
      </c>
      <c r="C481" s="7" t="s">
        <v>47</v>
      </c>
      <c r="D481" s="7" t="s">
        <v>20</v>
      </c>
      <c r="E481" s="7" t="s">
        <v>121</v>
      </c>
      <c r="F481" s="7" t="s">
        <v>71</v>
      </c>
      <c r="G481" s="7" t="s">
        <v>1333</v>
      </c>
      <c r="H481" s="7" t="s">
        <v>383</v>
      </c>
      <c r="I481" s="7" t="s">
        <v>1329</v>
      </c>
      <c r="J481" s="7" t="s">
        <v>1330</v>
      </c>
      <c r="K481" s="7" t="s">
        <v>1331</v>
      </c>
      <c r="L481" s="7" t="s">
        <v>1237</v>
      </c>
      <c r="M481" s="7" t="s">
        <v>235</v>
      </c>
      <c r="N481" s="7" t="s">
        <v>1332</v>
      </c>
      <c r="O481" s="7" t="s">
        <v>189</v>
      </c>
      <c r="P481" s="7" t="s">
        <v>190</v>
      </c>
      <c r="Q481" s="7" t="s">
        <v>1189</v>
      </c>
      <c r="R481" s="7" t="s">
        <v>1190</v>
      </c>
      <c r="S481" s="7" t="s">
        <v>1240</v>
      </c>
      <c r="T481" s="7" t="s">
        <v>1191</v>
      </c>
      <c r="U481" s="18" t="n">
        <v>65</v>
      </c>
      <c r="V481" s="7"/>
      <c r="W481" s="7"/>
      <c r="X481" s="7" t="s">
        <v>199</v>
      </c>
      <c r="Y481" s="22" t="n">
        <v>0.079</v>
      </c>
      <c r="Z481" s="22" t="n">
        <v>0.297</v>
      </c>
      <c r="AA481" s="22" t="n">
        <v>12</v>
      </c>
      <c r="AB481" s="7" t="s">
        <v>1237</v>
      </c>
      <c r="AC481" s="7" t="s">
        <v>1261</v>
      </c>
      <c r="AD481" s="22" t="s">
        <v>197</v>
      </c>
      <c r="AE481" s="22" t="s">
        <v>197</v>
      </c>
      <c r="AF481" s="22" t="s">
        <v>197</v>
      </c>
      <c r="AG481" s="22" t="s">
        <v>197</v>
      </c>
      <c r="AH481" s="22" t="s">
        <v>197</v>
      </c>
      <c r="AI481" s="22" t="s">
        <v>197</v>
      </c>
      <c r="AJ481" s="22" t="s">
        <v>197</v>
      </c>
      <c r="AK481" s="22" t="s">
        <v>197</v>
      </c>
      <c r="AL481" s="22" t="s">
        <v>197</v>
      </c>
      <c r="AM481" s="7" t="s">
        <v>197</v>
      </c>
      <c r="AN481" s="22" t="s">
        <v>197</v>
      </c>
      <c r="AO481" s="22" t="s">
        <v>197</v>
      </c>
      <c r="AP481" s="22" t="s">
        <v>197</v>
      </c>
    </row>
    <row r="482" customFormat="false" ht="21.75" hidden="false" customHeight="true" outlineLevel="0" collapsed="false">
      <c r="B482" s="15" t="n">
        <v>478</v>
      </c>
      <c r="C482" s="9" t="s">
        <v>47</v>
      </c>
      <c r="D482" s="9" t="s">
        <v>20</v>
      </c>
      <c r="E482" s="9" t="s">
        <v>121</v>
      </c>
      <c r="F482" s="9" t="s">
        <v>71</v>
      </c>
      <c r="G482" s="9" t="s">
        <v>1334</v>
      </c>
      <c r="H482" s="9" t="s">
        <v>385</v>
      </c>
      <c r="I482" s="9" t="s">
        <v>1329</v>
      </c>
      <c r="J482" s="9" t="s">
        <v>1330</v>
      </c>
      <c r="K482" s="9" t="s">
        <v>1331</v>
      </c>
      <c r="L482" s="9" t="s">
        <v>1237</v>
      </c>
      <c r="M482" s="9" t="s">
        <v>235</v>
      </c>
      <c r="N482" s="9" t="s">
        <v>1332</v>
      </c>
      <c r="O482" s="9" t="s">
        <v>189</v>
      </c>
      <c r="P482" s="9" t="s">
        <v>190</v>
      </c>
      <c r="Q482" s="9" t="s">
        <v>1189</v>
      </c>
      <c r="R482" s="9" t="s">
        <v>1190</v>
      </c>
      <c r="S482" s="9" t="s">
        <v>1240</v>
      </c>
      <c r="T482" s="9" t="s">
        <v>1191</v>
      </c>
      <c r="U482" s="19" t="n">
        <v>85</v>
      </c>
      <c r="V482" s="9"/>
      <c r="W482" s="9"/>
      <c r="X482" s="9" t="s">
        <v>1335</v>
      </c>
      <c r="Y482" s="23" t="n">
        <v>0.075</v>
      </c>
      <c r="Z482" s="23" t="n">
        <v>0.287</v>
      </c>
      <c r="AA482" s="23" t="n">
        <v>12</v>
      </c>
      <c r="AB482" s="9" t="s">
        <v>1237</v>
      </c>
      <c r="AC482" s="9" t="s">
        <v>1261</v>
      </c>
      <c r="AD482" s="23" t="s">
        <v>197</v>
      </c>
      <c r="AE482" s="23" t="s">
        <v>197</v>
      </c>
      <c r="AF482" s="23" t="s">
        <v>197</v>
      </c>
      <c r="AG482" s="23" t="s">
        <v>197</v>
      </c>
      <c r="AH482" s="23" t="s">
        <v>197</v>
      </c>
      <c r="AI482" s="23" t="s">
        <v>197</v>
      </c>
      <c r="AJ482" s="23" t="s">
        <v>197</v>
      </c>
      <c r="AK482" s="23" t="s">
        <v>197</v>
      </c>
      <c r="AL482" s="23" t="s">
        <v>197</v>
      </c>
      <c r="AM482" s="9" t="s">
        <v>197</v>
      </c>
      <c r="AN482" s="23" t="s">
        <v>197</v>
      </c>
      <c r="AO482" s="23" t="s">
        <v>197</v>
      </c>
      <c r="AP482" s="23" t="s">
        <v>197</v>
      </c>
    </row>
    <row r="483" customFormat="false" ht="21.75" hidden="false" customHeight="true" outlineLevel="0" collapsed="false">
      <c r="B483" s="14" t="n">
        <v>479</v>
      </c>
      <c r="C483" s="7" t="s">
        <v>47</v>
      </c>
      <c r="D483" s="7" t="s">
        <v>20</v>
      </c>
      <c r="E483" s="7" t="s">
        <v>121</v>
      </c>
      <c r="F483" s="7" t="s">
        <v>71</v>
      </c>
      <c r="G483" s="7" t="s">
        <v>1336</v>
      </c>
      <c r="H483" s="7" t="s">
        <v>388</v>
      </c>
      <c r="I483" s="7" t="s">
        <v>1329</v>
      </c>
      <c r="J483" s="7" t="s">
        <v>1330</v>
      </c>
      <c r="K483" s="7" t="s">
        <v>1331</v>
      </c>
      <c r="L483" s="7" t="s">
        <v>1237</v>
      </c>
      <c r="M483" s="7" t="s">
        <v>235</v>
      </c>
      <c r="N483" s="7" t="s">
        <v>1332</v>
      </c>
      <c r="O483" s="7" t="s">
        <v>189</v>
      </c>
      <c r="P483" s="7" t="s">
        <v>190</v>
      </c>
      <c r="Q483" s="7" t="s">
        <v>1189</v>
      </c>
      <c r="R483" s="7" t="s">
        <v>1190</v>
      </c>
      <c r="S483" s="7" t="s">
        <v>1240</v>
      </c>
      <c r="T483" s="7" t="s">
        <v>1191</v>
      </c>
      <c r="U483" s="18" t="n">
        <v>130</v>
      </c>
      <c r="V483" s="7"/>
      <c r="W483" s="7"/>
      <c r="X483" s="7" t="s">
        <v>203</v>
      </c>
      <c r="Y483" s="22" t="n">
        <v>0.058</v>
      </c>
      <c r="Z483" s="22" t="n">
        <v>0.245</v>
      </c>
      <c r="AA483" s="22" t="n">
        <v>12</v>
      </c>
      <c r="AB483" s="7" t="s">
        <v>1237</v>
      </c>
      <c r="AC483" s="7" t="s">
        <v>1261</v>
      </c>
      <c r="AD483" s="22" t="s">
        <v>197</v>
      </c>
      <c r="AE483" s="22" t="s">
        <v>197</v>
      </c>
      <c r="AF483" s="22" t="s">
        <v>197</v>
      </c>
      <c r="AG483" s="22" t="s">
        <v>197</v>
      </c>
      <c r="AH483" s="22" t="s">
        <v>197</v>
      </c>
      <c r="AI483" s="22" t="s">
        <v>197</v>
      </c>
      <c r="AJ483" s="22" t="s">
        <v>197</v>
      </c>
      <c r="AK483" s="22" t="s">
        <v>197</v>
      </c>
      <c r="AL483" s="22" t="s">
        <v>197</v>
      </c>
      <c r="AM483" s="7" t="s">
        <v>197</v>
      </c>
      <c r="AN483" s="22" t="s">
        <v>197</v>
      </c>
      <c r="AO483" s="22" t="s">
        <v>197</v>
      </c>
      <c r="AP483" s="22" t="s">
        <v>197</v>
      </c>
    </row>
    <row r="484" customFormat="false" ht="21.75" hidden="false" customHeight="true" outlineLevel="0" collapsed="false">
      <c r="B484" s="15" t="n">
        <v>480</v>
      </c>
      <c r="C484" s="9" t="s">
        <v>47</v>
      </c>
      <c r="D484" s="9" t="s">
        <v>20</v>
      </c>
      <c r="E484" s="9" t="s">
        <v>121</v>
      </c>
      <c r="F484" s="9" t="s">
        <v>71</v>
      </c>
      <c r="G484" s="9" t="s">
        <v>1337</v>
      </c>
      <c r="H484" s="9" t="s">
        <v>390</v>
      </c>
      <c r="I484" s="9" t="s">
        <v>1329</v>
      </c>
      <c r="J484" s="9" t="s">
        <v>1330</v>
      </c>
      <c r="K484" s="9" t="s">
        <v>1331</v>
      </c>
      <c r="L484" s="9" t="s">
        <v>1237</v>
      </c>
      <c r="M484" s="9" t="s">
        <v>235</v>
      </c>
      <c r="N484" s="9" t="s">
        <v>1332</v>
      </c>
      <c r="O484" s="9" t="s">
        <v>189</v>
      </c>
      <c r="P484" s="9" t="s">
        <v>190</v>
      </c>
      <c r="Q484" s="9" t="s">
        <v>1189</v>
      </c>
      <c r="R484" s="9" t="s">
        <v>1190</v>
      </c>
      <c r="S484" s="9" t="s">
        <v>1240</v>
      </c>
      <c r="T484" s="9" t="s">
        <v>1191</v>
      </c>
      <c r="U484" s="19" t="n">
        <v>190</v>
      </c>
      <c r="V484" s="9"/>
      <c r="W484" s="9"/>
      <c r="X484" s="9" t="s">
        <v>205</v>
      </c>
      <c r="Y484" s="23" t="n">
        <v>0.08</v>
      </c>
      <c r="Z484" s="23" t="n">
        <v>0.3</v>
      </c>
      <c r="AA484" s="23" t="n">
        <v>12</v>
      </c>
      <c r="AB484" s="9" t="s">
        <v>1237</v>
      </c>
      <c r="AC484" s="9" t="s">
        <v>1261</v>
      </c>
      <c r="AD484" s="23" t="s">
        <v>197</v>
      </c>
      <c r="AE484" s="23" t="s">
        <v>197</v>
      </c>
      <c r="AF484" s="23" t="s">
        <v>197</v>
      </c>
      <c r="AG484" s="23" t="s">
        <v>197</v>
      </c>
      <c r="AH484" s="23" t="s">
        <v>197</v>
      </c>
      <c r="AI484" s="23" t="s">
        <v>197</v>
      </c>
      <c r="AJ484" s="23" t="s">
        <v>197</v>
      </c>
      <c r="AK484" s="23" t="s">
        <v>197</v>
      </c>
      <c r="AL484" s="23" t="s">
        <v>197</v>
      </c>
      <c r="AM484" s="9" t="s">
        <v>197</v>
      </c>
      <c r="AN484" s="23" t="s">
        <v>197</v>
      </c>
      <c r="AO484" s="23" t="s">
        <v>197</v>
      </c>
      <c r="AP484" s="23" t="s">
        <v>197</v>
      </c>
    </row>
    <row r="485" customFormat="false" ht="21.75" hidden="false" customHeight="true" outlineLevel="0" collapsed="false">
      <c r="B485" s="14" t="n">
        <v>481</v>
      </c>
      <c r="C485" s="7" t="s">
        <v>47</v>
      </c>
      <c r="D485" s="7" t="s">
        <v>20</v>
      </c>
      <c r="E485" s="7" t="s">
        <v>121</v>
      </c>
      <c r="F485" s="7" t="s">
        <v>72</v>
      </c>
      <c r="G485" s="7" t="s">
        <v>391</v>
      </c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18"/>
      <c r="V485" s="7"/>
      <c r="W485" s="7"/>
      <c r="X485" s="7" t="s">
        <v>1338</v>
      </c>
      <c r="Y485" s="22" t="s">
        <v>197</v>
      </c>
      <c r="Z485" s="22" t="s">
        <v>197</v>
      </c>
      <c r="AA485" s="22" t="s">
        <v>197</v>
      </c>
      <c r="AB485" s="7" t="s">
        <v>197</v>
      </c>
      <c r="AC485" s="7" t="s">
        <v>197</v>
      </c>
      <c r="AD485" s="22" t="s">
        <v>197</v>
      </c>
      <c r="AE485" s="22" t="s">
        <v>197</v>
      </c>
      <c r="AF485" s="22" t="s">
        <v>197</v>
      </c>
      <c r="AG485" s="22" t="s">
        <v>197</v>
      </c>
      <c r="AH485" s="22" t="s">
        <v>197</v>
      </c>
      <c r="AI485" s="22" t="s">
        <v>197</v>
      </c>
      <c r="AJ485" s="22" t="s">
        <v>197</v>
      </c>
      <c r="AK485" s="22" t="s">
        <v>197</v>
      </c>
      <c r="AL485" s="22" t="s">
        <v>197</v>
      </c>
      <c r="AM485" s="7" t="s">
        <v>197</v>
      </c>
      <c r="AN485" s="22" t="s">
        <v>197</v>
      </c>
      <c r="AO485" s="22" t="s">
        <v>197</v>
      </c>
      <c r="AP485" s="22" t="s">
        <v>197</v>
      </c>
    </row>
    <row r="486" customFormat="false" ht="21.75" hidden="false" customHeight="true" outlineLevel="0" collapsed="false">
      <c r="B486" s="15" t="n">
        <v>482</v>
      </c>
      <c r="C486" s="9" t="s">
        <v>47</v>
      </c>
      <c r="D486" s="9" t="s">
        <v>20</v>
      </c>
      <c r="E486" s="9" t="s">
        <v>121</v>
      </c>
      <c r="F486" s="9" t="s">
        <v>73</v>
      </c>
      <c r="G486" s="9" t="s">
        <v>1339</v>
      </c>
      <c r="H486" s="9" t="s">
        <v>394</v>
      </c>
      <c r="I486" s="9" t="s">
        <v>1340</v>
      </c>
      <c r="J486" s="9" t="s">
        <v>1341</v>
      </c>
      <c r="K486" s="9" t="s">
        <v>1342</v>
      </c>
      <c r="L486" s="9" t="s">
        <v>1237</v>
      </c>
      <c r="M486" s="9" t="s">
        <v>235</v>
      </c>
      <c r="N486" s="9" t="s">
        <v>1343</v>
      </c>
      <c r="O486" s="9" t="s">
        <v>189</v>
      </c>
      <c r="P486" s="9" t="s">
        <v>190</v>
      </c>
      <c r="Q486" s="9" t="s">
        <v>1344</v>
      </c>
      <c r="R486" s="9" t="s">
        <v>364</v>
      </c>
      <c r="S486" s="9" t="s">
        <v>1240</v>
      </c>
      <c r="T486" s="9" t="s">
        <v>1345</v>
      </c>
      <c r="U486" s="19" t="n">
        <v>35</v>
      </c>
      <c r="V486" s="9"/>
      <c r="W486" s="9"/>
      <c r="X486" s="9" t="s">
        <v>195</v>
      </c>
      <c r="Y486" s="23" t="n">
        <v>0.036</v>
      </c>
      <c r="Z486" s="23" t="n">
        <v>0.059</v>
      </c>
      <c r="AA486" s="23" t="n">
        <v>12</v>
      </c>
      <c r="AB486" s="9" t="s">
        <v>1237</v>
      </c>
      <c r="AC486" s="9" t="s">
        <v>1261</v>
      </c>
      <c r="AD486" s="23" t="s">
        <v>197</v>
      </c>
      <c r="AE486" s="23" t="s">
        <v>197</v>
      </c>
      <c r="AF486" s="23" t="s">
        <v>197</v>
      </c>
      <c r="AG486" s="23" t="n">
        <v>4</v>
      </c>
      <c r="AH486" s="23" t="s">
        <v>197</v>
      </c>
      <c r="AI486" s="23" t="s">
        <v>197</v>
      </c>
      <c r="AJ486" s="23" t="s">
        <v>197</v>
      </c>
      <c r="AK486" s="23" t="s">
        <v>197</v>
      </c>
      <c r="AL486" s="23" t="s">
        <v>197</v>
      </c>
      <c r="AM486" s="9" t="s">
        <v>197</v>
      </c>
      <c r="AN486" s="23" t="s">
        <v>197</v>
      </c>
      <c r="AO486" s="23" t="s">
        <v>197</v>
      </c>
      <c r="AP486" s="23" t="s">
        <v>197</v>
      </c>
    </row>
    <row r="487" customFormat="false" ht="21.75" hidden="false" customHeight="true" outlineLevel="0" collapsed="false">
      <c r="B487" s="14" t="n">
        <v>483</v>
      </c>
      <c r="C487" s="7" t="s">
        <v>47</v>
      </c>
      <c r="D487" s="7" t="s">
        <v>20</v>
      </c>
      <c r="E487" s="7" t="s">
        <v>121</v>
      </c>
      <c r="F487" s="7" t="s">
        <v>73</v>
      </c>
      <c r="G487" s="7" t="s">
        <v>1346</v>
      </c>
      <c r="H487" s="7" t="s">
        <v>402</v>
      </c>
      <c r="I487" s="7" t="s">
        <v>1340</v>
      </c>
      <c r="J487" s="7" t="s">
        <v>1341</v>
      </c>
      <c r="K487" s="7" t="s">
        <v>1342</v>
      </c>
      <c r="L487" s="7" t="s">
        <v>1237</v>
      </c>
      <c r="M487" s="7" t="s">
        <v>235</v>
      </c>
      <c r="N487" s="7" t="s">
        <v>1343</v>
      </c>
      <c r="O487" s="7" t="s">
        <v>189</v>
      </c>
      <c r="P487" s="7" t="s">
        <v>190</v>
      </c>
      <c r="Q487" s="7" t="s">
        <v>1344</v>
      </c>
      <c r="R487" s="7" t="s">
        <v>364</v>
      </c>
      <c r="S487" s="7" t="s">
        <v>1240</v>
      </c>
      <c r="T487" s="7" t="s">
        <v>1345</v>
      </c>
      <c r="U487" s="18" t="n">
        <v>55</v>
      </c>
      <c r="V487" s="7"/>
      <c r="W487" s="7"/>
      <c r="X487" s="7" t="s">
        <v>199</v>
      </c>
      <c r="Y487" s="22" t="n">
        <v>0.059</v>
      </c>
      <c r="Z487" s="22" t="n">
        <v>0.089</v>
      </c>
      <c r="AA487" s="22" t="n">
        <v>12</v>
      </c>
      <c r="AB487" s="7" t="s">
        <v>1237</v>
      </c>
      <c r="AC487" s="7" t="s">
        <v>1261</v>
      </c>
      <c r="AD487" s="22" t="s">
        <v>197</v>
      </c>
      <c r="AE487" s="22" t="s">
        <v>197</v>
      </c>
      <c r="AF487" s="22" t="s">
        <v>197</v>
      </c>
      <c r="AG487" s="22" t="n">
        <v>8</v>
      </c>
      <c r="AH487" s="22" t="s">
        <v>197</v>
      </c>
      <c r="AI487" s="22" t="s">
        <v>197</v>
      </c>
      <c r="AJ487" s="22" t="s">
        <v>197</v>
      </c>
      <c r="AK487" s="22" t="s">
        <v>197</v>
      </c>
      <c r="AL487" s="22" t="s">
        <v>197</v>
      </c>
      <c r="AM487" s="7" t="s">
        <v>197</v>
      </c>
      <c r="AN487" s="22" t="s">
        <v>197</v>
      </c>
      <c r="AO487" s="22" t="s">
        <v>197</v>
      </c>
      <c r="AP487" s="22" t="s">
        <v>197</v>
      </c>
    </row>
    <row r="488" customFormat="false" ht="21.75" hidden="false" customHeight="true" outlineLevel="0" collapsed="false">
      <c r="B488" s="15" t="n">
        <v>484</v>
      </c>
      <c r="C488" s="9" t="s">
        <v>47</v>
      </c>
      <c r="D488" s="9" t="s">
        <v>20</v>
      </c>
      <c r="E488" s="9" t="s">
        <v>121</v>
      </c>
      <c r="F488" s="9" t="s">
        <v>73</v>
      </c>
      <c r="G488" s="9" t="s">
        <v>1347</v>
      </c>
      <c r="H488" s="9" t="s">
        <v>404</v>
      </c>
      <c r="I488" s="9" t="s">
        <v>1340</v>
      </c>
      <c r="J488" s="9" t="s">
        <v>1341</v>
      </c>
      <c r="K488" s="9" t="s">
        <v>1342</v>
      </c>
      <c r="L488" s="9" t="s">
        <v>1237</v>
      </c>
      <c r="M488" s="9" t="s">
        <v>235</v>
      </c>
      <c r="N488" s="9" t="s">
        <v>1343</v>
      </c>
      <c r="O488" s="9" t="s">
        <v>189</v>
      </c>
      <c r="P488" s="9" t="s">
        <v>190</v>
      </c>
      <c r="Q488" s="9" t="s">
        <v>1344</v>
      </c>
      <c r="R488" s="9" t="s">
        <v>364</v>
      </c>
      <c r="S488" s="9" t="s">
        <v>1240</v>
      </c>
      <c r="T488" s="9" t="s">
        <v>1345</v>
      </c>
      <c r="U488" s="19" t="n">
        <v>75</v>
      </c>
      <c r="V488" s="9"/>
      <c r="W488" s="9"/>
      <c r="X488" s="9" t="s">
        <v>1348</v>
      </c>
      <c r="Y488" s="23" t="n">
        <v>0.045</v>
      </c>
      <c r="Z488" s="23" t="n">
        <v>0.069</v>
      </c>
      <c r="AA488" s="23" t="n">
        <v>12</v>
      </c>
      <c r="AB488" s="9" t="s">
        <v>1237</v>
      </c>
      <c r="AC488" s="9" t="s">
        <v>1261</v>
      </c>
      <c r="AD488" s="23" t="s">
        <v>197</v>
      </c>
      <c r="AE488" s="23" t="s">
        <v>197</v>
      </c>
      <c r="AF488" s="23" t="s">
        <v>197</v>
      </c>
      <c r="AG488" s="23" t="n">
        <v>8</v>
      </c>
      <c r="AH488" s="23" t="s">
        <v>197</v>
      </c>
      <c r="AI488" s="23" t="s">
        <v>197</v>
      </c>
      <c r="AJ488" s="23" t="s">
        <v>197</v>
      </c>
      <c r="AK488" s="23" t="s">
        <v>197</v>
      </c>
      <c r="AL488" s="23" t="s">
        <v>197</v>
      </c>
      <c r="AM488" s="9" t="s">
        <v>197</v>
      </c>
      <c r="AN488" s="23" t="s">
        <v>197</v>
      </c>
      <c r="AO488" s="23" t="s">
        <v>197</v>
      </c>
      <c r="AP488" s="23" t="s">
        <v>197</v>
      </c>
    </row>
    <row r="489" customFormat="false" ht="21.75" hidden="false" customHeight="true" outlineLevel="0" collapsed="false">
      <c r="B489" s="14" t="n">
        <v>485</v>
      </c>
      <c r="C489" s="7" t="s">
        <v>47</v>
      </c>
      <c r="D489" s="7" t="s">
        <v>20</v>
      </c>
      <c r="E489" s="7" t="s">
        <v>121</v>
      </c>
      <c r="F489" s="7" t="s">
        <v>73</v>
      </c>
      <c r="G489" s="7" t="s">
        <v>1349</v>
      </c>
      <c r="H489" s="7" t="s">
        <v>407</v>
      </c>
      <c r="I489" s="7" t="s">
        <v>1340</v>
      </c>
      <c r="J489" s="7" t="s">
        <v>1341</v>
      </c>
      <c r="K489" s="7" t="s">
        <v>1342</v>
      </c>
      <c r="L489" s="7" t="s">
        <v>1237</v>
      </c>
      <c r="M489" s="7" t="s">
        <v>235</v>
      </c>
      <c r="N489" s="7" t="s">
        <v>1343</v>
      </c>
      <c r="O489" s="7" t="s">
        <v>189</v>
      </c>
      <c r="P489" s="7" t="s">
        <v>190</v>
      </c>
      <c r="Q489" s="7" t="s">
        <v>1344</v>
      </c>
      <c r="R489" s="7" t="s">
        <v>364</v>
      </c>
      <c r="S489" s="7" t="s">
        <v>1240</v>
      </c>
      <c r="T489" s="7" t="s">
        <v>1345</v>
      </c>
      <c r="U489" s="18" t="n">
        <v>115</v>
      </c>
      <c r="V489" s="7"/>
      <c r="W489" s="7"/>
      <c r="X489" s="7" t="s">
        <v>203</v>
      </c>
      <c r="Y489" s="22" t="n">
        <v>0.05</v>
      </c>
      <c r="Z489" s="22" t="n">
        <v>0.076</v>
      </c>
      <c r="AA489" s="22" t="n">
        <v>12</v>
      </c>
      <c r="AB489" s="7" t="s">
        <v>1237</v>
      </c>
      <c r="AC489" s="7" t="s">
        <v>1261</v>
      </c>
      <c r="AD489" s="22" t="s">
        <v>197</v>
      </c>
      <c r="AE489" s="22" t="s">
        <v>197</v>
      </c>
      <c r="AF489" s="22" t="s">
        <v>197</v>
      </c>
      <c r="AG489" s="22" t="n">
        <v>16</v>
      </c>
      <c r="AH489" s="22" t="s">
        <v>197</v>
      </c>
      <c r="AI489" s="22" t="s">
        <v>197</v>
      </c>
      <c r="AJ489" s="22" t="s">
        <v>197</v>
      </c>
      <c r="AK489" s="22" t="s">
        <v>197</v>
      </c>
      <c r="AL489" s="22" t="s">
        <v>197</v>
      </c>
      <c r="AM489" s="7" t="s">
        <v>197</v>
      </c>
      <c r="AN489" s="22" t="s">
        <v>197</v>
      </c>
      <c r="AO489" s="22" t="s">
        <v>197</v>
      </c>
      <c r="AP489" s="22" t="s">
        <v>197</v>
      </c>
    </row>
    <row r="490" customFormat="false" ht="21.75" hidden="false" customHeight="true" outlineLevel="0" collapsed="false">
      <c r="B490" s="15" t="n">
        <v>486</v>
      </c>
      <c r="C490" s="9" t="s">
        <v>47</v>
      </c>
      <c r="D490" s="9" t="s">
        <v>20</v>
      </c>
      <c r="E490" s="9" t="s">
        <v>121</v>
      </c>
      <c r="F490" s="9" t="s">
        <v>73</v>
      </c>
      <c r="G490" s="9" t="s">
        <v>1350</v>
      </c>
      <c r="H490" s="9" t="s">
        <v>409</v>
      </c>
      <c r="I490" s="9" t="s">
        <v>1340</v>
      </c>
      <c r="J490" s="9" t="s">
        <v>1341</v>
      </c>
      <c r="K490" s="9" t="s">
        <v>1342</v>
      </c>
      <c r="L490" s="9" t="s">
        <v>1237</v>
      </c>
      <c r="M490" s="9" t="s">
        <v>235</v>
      </c>
      <c r="N490" s="9" t="s">
        <v>1343</v>
      </c>
      <c r="O490" s="9" t="s">
        <v>189</v>
      </c>
      <c r="P490" s="9" t="s">
        <v>190</v>
      </c>
      <c r="Q490" s="9" t="s">
        <v>1344</v>
      </c>
      <c r="R490" s="9" t="s">
        <v>364</v>
      </c>
      <c r="S490" s="9" t="s">
        <v>1240</v>
      </c>
      <c r="T490" s="9" t="s">
        <v>1345</v>
      </c>
      <c r="U490" s="19" t="n">
        <v>170</v>
      </c>
      <c r="V490" s="9"/>
      <c r="W490" s="9"/>
      <c r="X490" s="9" t="s">
        <v>205</v>
      </c>
      <c r="Y490" s="23" t="n">
        <v>0.038</v>
      </c>
      <c r="Z490" s="23" t="n">
        <v>0.061</v>
      </c>
      <c r="AA490" s="23" t="n">
        <v>12</v>
      </c>
      <c r="AB490" s="9" t="s">
        <v>1237</v>
      </c>
      <c r="AC490" s="9" t="s">
        <v>1261</v>
      </c>
      <c r="AD490" s="23" t="s">
        <v>197</v>
      </c>
      <c r="AE490" s="23" t="s">
        <v>197</v>
      </c>
      <c r="AF490" s="23" t="s">
        <v>197</v>
      </c>
      <c r="AG490" s="23" t="n">
        <v>16</v>
      </c>
      <c r="AH490" s="23" t="s">
        <v>197</v>
      </c>
      <c r="AI490" s="23" t="s">
        <v>197</v>
      </c>
      <c r="AJ490" s="23" t="s">
        <v>197</v>
      </c>
      <c r="AK490" s="23" t="s">
        <v>197</v>
      </c>
      <c r="AL490" s="23" t="s">
        <v>197</v>
      </c>
      <c r="AM490" s="9" t="s">
        <v>197</v>
      </c>
      <c r="AN490" s="23" t="s">
        <v>197</v>
      </c>
      <c r="AO490" s="23" t="s">
        <v>197</v>
      </c>
      <c r="AP490" s="23" t="s">
        <v>197</v>
      </c>
    </row>
    <row r="491" customFormat="false" ht="21.75" hidden="false" customHeight="true" outlineLevel="0" collapsed="false">
      <c r="B491" s="14" t="n">
        <v>487</v>
      </c>
      <c r="C491" s="7" t="s">
        <v>47</v>
      </c>
      <c r="D491" s="7" t="s">
        <v>20</v>
      </c>
      <c r="E491" s="7" t="s">
        <v>121</v>
      </c>
      <c r="F491" s="7" t="s">
        <v>74</v>
      </c>
      <c r="G491" s="7" t="s">
        <v>391</v>
      </c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18"/>
      <c r="V491" s="7"/>
      <c r="W491" s="7"/>
      <c r="X491" s="7" t="s">
        <v>1351</v>
      </c>
      <c r="Y491" s="22" t="s">
        <v>197</v>
      </c>
      <c r="Z491" s="22" t="s">
        <v>197</v>
      </c>
      <c r="AA491" s="22" t="s">
        <v>197</v>
      </c>
      <c r="AB491" s="7" t="s">
        <v>197</v>
      </c>
      <c r="AC491" s="7" t="s">
        <v>197</v>
      </c>
      <c r="AD491" s="22" t="s">
        <v>197</v>
      </c>
      <c r="AE491" s="22" t="s">
        <v>197</v>
      </c>
      <c r="AF491" s="22" t="s">
        <v>197</v>
      </c>
      <c r="AG491" s="22" t="s">
        <v>197</v>
      </c>
      <c r="AH491" s="22" t="s">
        <v>197</v>
      </c>
      <c r="AI491" s="22" t="s">
        <v>197</v>
      </c>
      <c r="AJ491" s="22" t="s">
        <v>197</v>
      </c>
      <c r="AK491" s="22" t="s">
        <v>197</v>
      </c>
      <c r="AL491" s="22" t="s">
        <v>197</v>
      </c>
      <c r="AM491" s="7" t="s">
        <v>197</v>
      </c>
      <c r="AN491" s="22" t="s">
        <v>197</v>
      </c>
      <c r="AO491" s="22" t="s">
        <v>197</v>
      </c>
      <c r="AP491" s="22" t="s">
        <v>197</v>
      </c>
    </row>
    <row r="492" customFormat="false" ht="21.75" hidden="false" customHeight="true" outlineLevel="0" collapsed="false">
      <c r="B492" s="15" t="n">
        <v>488</v>
      </c>
      <c r="C492" s="9" t="s">
        <v>47</v>
      </c>
      <c r="D492" s="9" t="s">
        <v>20</v>
      </c>
      <c r="E492" s="9" t="s">
        <v>121</v>
      </c>
      <c r="F492" s="9" t="s">
        <v>75</v>
      </c>
      <c r="G492" s="9" t="s">
        <v>1352</v>
      </c>
      <c r="H492" s="9" t="s">
        <v>430</v>
      </c>
      <c r="I492" s="9" t="s">
        <v>1353</v>
      </c>
      <c r="J492" s="9" t="s">
        <v>626</v>
      </c>
      <c r="K492" s="9" t="s">
        <v>1354</v>
      </c>
      <c r="L492" s="9" t="s">
        <v>1237</v>
      </c>
      <c r="M492" s="9" t="s">
        <v>415</v>
      </c>
      <c r="N492" s="9" t="s">
        <v>189</v>
      </c>
      <c r="O492" s="9" t="s">
        <v>189</v>
      </c>
      <c r="P492" s="9" t="s">
        <v>190</v>
      </c>
      <c r="Q492" s="9" t="s">
        <v>1355</v>
      </c>
      <c r="R492" s="9" t="s">
        <v>418</v>
      </c>
      <c r="S492" s="9" t="s">
        <v>1240</v>
      </c>
      <c r="T492" s="9" t="s">
        <v>436</v>
      </c>
      <c r="U492" s="19" t="n">
        <v>18</v>
      </c>
      <c r="V492" s="9"/>
      <c r="W492" s="9"/>
      <c r="X492" s="9" t="s">
        <v>195</v>
      </c>
      <c r="Y492" s="23" t="n">
        <v>5.37E-006</v>
      </c>
      <c r="Z492" s="23" t="n">
        <v>2.686E-005</v>
      </c>
      <c r="AA492" s="23" t="n">
        <v>3</v>
      </c>
      <c r="AB492" s="9" t="s">
        <v>1237</v>
      </c>
      <c r="AC492" s="9" t="s">
        <v>1282</v>
      </c>
      <c r="AD492" s="23" t="s">
        <v>197</v>
      </c>
      <c r="AE492" s="23" t="s">
        <v>197</v>
      </c>
      <c r="AF492" s="23" t="s">
        <v>197</v>
      </c>
      <c r="AG492" s="23" t="s">
        <v>197</v>
      </c>
      <c r="AH492" s="23" t="s">
        <v>197</v>
      </c>
      <c r="AI492" s="23" t="s">
        <v>197</v>
      </c>
      <c r="AJ492" s="23" t="s">
        <v>197</v>
      </c>
      <c r="AK492" s="23" t="s">
        <v>197</v>
      </c>
      <c r="AL492" s="23" t="s">
        <v>197</v>
      </c>
      <c r="AM492" s="9" t="s">
        <v>197</v>
      </c>
      <c r="AN492" s="23" t="s">
        <v>197</v>
      </c>
      <c r="AO492" s="23" t="s">
        <v>197</v>
      </c>
      <c r="AP492" s="23" t="s">
        <v>197</v>
      </c>
    </row>
    <row r="493" customFormat="false" ht="21.75" hidden="false" customHeight="true" outlineLevel="0" collapsed="false">
      <c r="B493" s="14" t="n">
        <v>489</v>
      </c>
      <c r="C493" s="7" t="s">
        <v>47</v>
      </c>
      <c r="D493" s="7" t="s">
        <v>20</v>
      </c>
      <c r="E493" s="7" t="s">
        <v>121</v>
      </c>
      <c r="F493" s="7" t="s">
        <v>75</v>
      </c>
      <c r="G493" s="7" t="s">
        <v>1356</v>
      </c>
      <c r="H493" s="7" t="s">
        <v>438</v>
      </c>
      <c r="I493" s="7" t="s">
        <v>1353</v>
      </c>
      <c r="J493" s="7" t="s">
        <v>626</v>
      </c>
      <c r="K493" s="7" t="s">
        <v>1354</v>
      </c>
      <c r="L493" s="7" t="s">
        <v>1237</v>
      </c>
      <c r="M493" s="7" t="s">
        <v>415</v>
      </c>
      <c r="N493" s="7" t="s">
        <v>189</v>
      </c>
      <c r="O493" s="7" t="s">
        <v>189</v>
      </c>
      <c r="P493" s="7" t="s">
        <v>190</v>
      </c>
      <c r="Q493" s="7" t="s">
        <v>1355</v>
      </c>
      <c r="R493" s="7" t="s">
        <v>418</v>
      </c>
      <c r="S493" s="7" t="s">
        <v>1240</v>
      </c>
      <c r="T493" s="7" t="s">
        <v>436</v>
      </c>
      <c r="U493" s="18" t="n">
        <v>25</v>
      </c>
      <c r="V493" s="7"/>
      <c r="W493" s="7"/>
      <c r="X493" s="7" t="s">
        <v>199</v>
      </c>
      <c r="Y493" s="22" t="n">
        <v>3.45E-006</v>
      </c>
      <c r="Z493" s="22" t="n">
        <v>1.725E-005</v>
      </c>
      <c r="AA493" s="22" t="n">
        <v>3</v>
      </c>
      <c r="AB493" s="7" t="s">
        <v>1237</v>
      </c>
      <c r="AC493" s="7" t="s">
        <v>1282</v>
      </c>
      <c r="AD493" s="22" t="s">
        <v>197</v>
      </c>
      <c r="AE493" s="22" t="s">
        <v>197</v>
      </c>
      <c r="AF493" s="22" t="s">
        <v>197</v>
      </c>
      <c r="AG493" s="22" t="s">
        <v>197</v>
      </c>
      <c r="AH493" s="22" t="s">
        <v>197</v>
      </c>
      <c r="AI493" s="22" t="s">
        <v>197</v>
      </c>
      <c r="AJ493" s="22" t="s">
        <v>197</v>
      </c>
      <c r="AK493" s="22" t="s">
        <v>197</v>
      </c>
      <c r="AL493" s="22" t="s">
        <v>197</v>
      </c>
      <c r="AM493" s="7" t="s">
        <v>197</v>
      </c>
      <c r="AN493" s="22" t="s">
        <v>197</v>
      </c>
      <c r="AO493" s="22" t="s">
        <v>197</v>
      </c>
      <c r="AP493" s="22" t="s">
        <v>197</v>
      </c>
    </row>
    <row r="494" customFormat="false" ht="21.75" hidden="false" customHeight="true" outlineLevel="0" collapsed="false">
      <c r="B494" s="15" t="n">
        <v>490</v>
      </c>
      <c r="C494" s="9" t="s">
        <v>47</v>
      </c>
      <c r="D494" s="9" t="s">
        <v>20</v>
      </c>
      <c r="E494" s="9" t="s">
        <v>121</v>
      </c>
      <c r="F494" s="9" t="s">
        <v>75</v>
      </c>
      <c r="G494" s="9" t="s">
        <v>1357</v>
      </c>
      <c r="H494" s="9" t="s">
        <v>440</v>
      </c>
      <c r="I494" s="9" t="s">
        <v>1353</v>
      </c>
      <c r="J494" s="9" t="s">
        <v>626</v>
      </c>
      <c r="K494" s="9" t="s">
        <v>1354</v>
      </c>
      <c r="L494" s="9" t="s">
        <v>1237</v>
      </c>
      <c r="M494" s="9" t="s">
        <v>415</v>
      </c>
      <c r="N494" s="9" t="s">
        <v>189</v>
      </c>
      <c r="O494" s="9" t="s">
        <v>189</v>
      </c>
      <c r="P494" s="9" t="s">
        <v>190</v>
      </c>
      <c r="Q494" s="9" t="s">
        <v>1355</v>
      </c>
      <c r="R494" s="9" t="s">
        <v>418</v>
      </c>
      <c r="S494" s="9" t="s">
        <v>1240</v>
      </c>
      <c r="T494" s="9" t="s">
        <v>436</v>
      </c>
      <c r="U494" s="19" t="n">
        <v>35</v>
      </c>
      <c r="V494" s="9"/>
      <c r="W494" s="9"/>
      <c r="X494" s="9" t="s">
        <v>1358</v>
      </c>
      <c r="Y494" s="23" t="n">
        <v>3.37E-006</v>
      </c>
      <c r="Z494" s="23" t="n">
        <v>1.683E-005</v>
      </c>
      <c r="AA494" s="23" t="n">
        <v>3</v>
      </c>
      <c r="AB494" s="9" t="s">
        <v>1237</v>
      </c>
      <c r="AC494" s="9" t="s">
        <v>1282</v>
      </c>
      <c r="AD494" s="23" t="s">
        <v>197</v>
      </c>
      <c r="AE494" s="23" t="s">
        <v>197</v>
      </c>
      <c r="AF494" s="23" t="s">
        <v>197</v>
      </c>
      <c r="AG494" s="23" t="s">
        <v>197</v>
      </c>
      <c r="AH494" s="23" t="s">
        <v>197</v>
      </c>
      <c r="AI494" s="23" t="s">
        <v>197</v>
      </c>
      <c r="AJ494" s="23" t="s">
        <v>197</v>
      </c>
      <c r="AK494" s="23" t="s">
        <v>197</v>
      </c>
      <c r="AL494" s="23" t="s">
        <v>197</v>
      </c>
      <c r="AM494" s="9" t="s">
        <v>197</v>
      </c>
      <c r="AN494" s="23" t="s">
        <v>197</v>
      </c>
      <c r="AO494" s="23" t="s">
        <v>197</v>
      </c>
      <c r="AP494" s="23" t="s">
        <v>197</v>
      </c>
    </row>
    <row r="495" customFormat="false" ht="21.75" hidden="false" customHeight="true" outlineLevel="0" collapsed="false">
      <c r="B495" s="14" t="n">
        <v>491</v>
      </c>
      <c r="C495" s="7" t="s">
        <v>47</v>
      </c>
      <c r="D495" s="7" t="s">
        <v>20</v>
      </c>
      <c r="E495" s="7" t="s">
        <v>121</v>
      </c>
      <c r="F495" s="7" t="s">
        <v>75</v>
      </c>
      <c r="G495" s="7" t="s">
        <v>1359</v>
      </c>
      <c r="H495" s="7" t="s">
        <v>443</v>
      </c>
      <c r="I495" s="7" t="s">
        <v>1353</v>
      </c>
      <c r="J495" s="7" t="s">
        <v>626</v>
      </c>
      <c r="K495" s="7" t="s">
        <v>1354</v>
      </c>
      <c r="L495" s="7" t="s">
        <v>1237</v>
      </c>
      <c r="M495" s="7" t="s">
        <v>415</v>
      </c>
      <c r="N495" s="7" t="s">
        <v>189</v>
      </c>
      <c r="O495" s="7" t="s">
        <v>189</v>
      </c>
      <c r="P495" s="7" t="s">
        <v>190</v>
      </c>
      <c r="Q495" s="7" t="s">
        <v>1355</v>
      </c>
      <c r="R495" s="7" t="s">
        <v>418</v>
      </c>
      <c r="S495" s="7" t="s">
        <v>1240</v>
      </c>
      <c r="T495" s="7" t="s">
        <v>436</v>
      </c>
      <c r="U495" s="18" t="n">
        <v>50</v>
      </c>
      <c r="V495" s="7"/>
      <c r="W495" s="7"/>
      <c r="X495" s="7" t="s">
        <v>203</v>
      </c>
      <c r="Y495" s="22" t="n">
        <v>4.46E-006</v>
      </c>
      <c r="Z495" s="22" t="n">
        <v>2.23E-005</v>
      </c>
      <c r="AA495" s="22" t="n">
        <v>3</v>
      </c>
      <c r="AB495" s="7" t="s">
        <v>1237</v>
      </c>
      <c r="AC495" s="7" t="s">
        <v>1282</v>
      </c>
      <c r="AD495" s="22" t="s">
        <v>197</v>
      </c>
      <c r="AE495" s="22" t="s">
        <v>197</v>
      </c>
      <c r="AF495" s="22" t="s">
        <v>197</v>
      </c>
      <c r="AG495" s="22" t="s">
        <v>197</v>
      </c>
      <c r="AH495" s="22" t="s">
        <v>197</v>
      </c>
      <c r="AI495" s="22" t="s">
        <v>197</v>
      </c>
      <c r="AJ495" s="22" t="s">
        <v>197</v>
      </c>
      <c r="AK495" s="22" t="s">
        <v>197</v>
      </c>
      <c r="AL495" s="22" t="s">
        <v>197</v>
      </c>
      <c r="AM495" s="7" t="s">
        <v>197</v>
      </c>
      <c r="AN495" s="22" t="s">
        <v>197</v>
      </c>
      <c r="AO495" s="22" t="s">
        <v>197</v>
      </c>
      <c r="AP495" s="22" t="s">
        <v>197</v>
      </c>
    </row>
    <row r="496" customFormat="false" ht="21.75" hidden="false" customHeight="true" outlineLevel="0" collapsed="false">
      <c r="B496" s="15" t="n">
        <v>492</v>
      </c>
      <c r="C496" s="9" t="s">
        <v>47</v>
      </c>
      <c r="D496" s="9" t="s">
        <v>20</v>
      </c>
      <c r="E496" s="9" t="s">
        <v>121</v>
      </c>
      <c r="F496" s="9" t="s">
        <v>75</v>
      </c>
      <c r="G496" s="9" t="s">
        <v>1360</v>
      </c>
      <c r="H496" s="9" t="s">
        <v>444</v>
      </c>
      <c r="I496" s="9" t="s">
        <v>1353</v>
      </c>
      <c r="J496" s="9" t="s">
        <v>626</v>
      </c>
      <c r="K496" s="9" t="s">
        <v>1354</v>
      </c>
      <c r="L496" s="9" t="s">
        <v>1237</v>
      </c>
      <c r="M496" s="9" t="s">
        <v>415</v>
      </c>
      <c r="N496" s="9" t="s">
        <v>189</v>
      </c>
      <c r="O496" s="9" t="s">
        <v>189</v>
      </c>
      <c r="P496" s="9" t="s">
        <v>190</v>
      </c>
      <c r="Q496" s="9" t="s">
        <v>1355</v>
      </c>
      <c r="R496" s="9" t="s">
        <v>418</v>
      </c>
      <c r="S496" s="9" t="s">
        <v>1240</v>
      </c>
      <c r="T496" s="9" t="s">
        <v>436</v>
      </c>
      <c r="U496" s="19" t="n">
        <v>75</v>
      </c>
      <c r="V496" s="9"/>
      <c r="W496" s="9"/>
      <c r="X496" s="9" t="s">
        <v>205</v>
      </c>
      <c r="Y496" s="23" t="n">
        <v>2.66E-006</v>
      </c>
      <c r="Z496" s="23" t="n">
        <v>1.328E-005</v>
      </c>
      <c r="AA496" s="23" t="n">
        <v>3</v>
      </c>
      <c r="AB496" s="9" t="s">
        <v>1237</v>
      </c>
      <c r="AC496" s="9" t="s">
        <v>1282</v>
      </c>
      <c r="AD496" s="23" t="s">
        <v>197</v>
      </c>
      <c r="AE496" s="23" t="s">
        <v>197</v>
      </c>
      <c r="AF496" s="23" t="s">
        <v>197</v>
      </c>
      <c r="AG496" s="23" t="s">
        <v>197</v>
      </c>
      <c r="AH496" s="23" t="s">
        <v>197</v>
      </c>
      <c r="AI496" s="23" t="s">
        <v>197</v>
      </c>
      <c r="AJ496" s="23" t="s">
        <v>197</v>
      </c>
      <c r="AK496" s="23" t="s">
        <v>197</v>
      </c>
      <c r="AL496" s="23" t="s">
        <v>197</v>
      </c>
      <c r="AM496" s="9" t="s">
        <v>197</v>
      </c>
      <c r="AN496" s="23" t="s">
        <v>197</v>
      </c>
      <c r="AO496" s="23" t="s">
        <v>197</v>
      </c>
      <c r="AP496" s="23" t="s">
        <v>197</v>
      </c>
    </row>
    <row r="497" customFormat="false" ht="21.75" hidden="false" customHeight="true" outlineLevel="0" collapsed="false">
      <c r="B497" s="14" t="n">
        <v>493</v>
      </c>
      <c r="C497" s="7" t="s">
        <v>48</v>
      </c>
      <c r="D497" s="7" t="s">
        <v>20</v>
      </c>
      <c r="E497" s="7" t="s">
        <v>120</v>
      </c>
      <c r="F497" s="7" t="s">
        <v>60</v>
      </c>
      <c r="G497" s="7" t="s">
        <v>1361</v>
      </c>
      <c r="H497" s="7" t="s">
        <v>182</v>
      </c>
      <c r="I497" s="7" t="s">
        <v>1362</v>
      </c>
      <c r="J497" s="7" t="s">
        <v>1363</v>
      </c>
      <c r="K497" s="7" t="s">
        <v>1364</v>
      </c>
      <c r="L497" s="7" t="s">
        <v>1365</v>
      </c>
      <c r="M497" s="7" t="s">
        <v>187</v>
      </c>
      <c r="N497" s="7" t="s">
        <v>1366</v>
      </c>
      <c r="O497" s="7" t="s">
        <v>189</v>
      </c>
      <c r="P497" s="7" t="s">
        <v>190</v>
      </c>
      <c r="Q497" s="7" t="s">
        <v>1367</v>
      </c>
      <c r="R497" s="7" t="s">
        <v>1368</v>
      </c>
      <c r="S497" s="7" t="s">
        <v>1369</v>
      </c>
      <c r="T497" s="7" t="s">
        <v>455</v>
      </c>
      <c r="U497" s="18" t="n">
        <v>155</v>
      </c>
      <c r="V497" s="7"/>
      <c r="W497" s="7"/>
      <c r="X497" s="7" t="s">
        <v>195</v>
      </c>
      <c r="Y497" s="22" t="n">
        <v>0.06</v>
      </c>
      <c r="Z497" s="22" t="n">
        <v>0.58</v>
      </c>
      <c r="AA497" s="22" t="n">
        <v>12</v>
      </c>
      <c r="AB497" s="7" t="s">
        <v>1365</v>
      </c>
      <c r="AC497" s="7" t="s">
        <v>1370</v>
      </c>
      <c r="AD497" s="22" t="n">
        <v>0.06</v>
      </c>
      <c r="AE497" s="22" t="n">
        <v>0.58</v>
      </c>
      <c r="AF497" s="22" t="n">
        <v>3.5</v>
      </c>
      <c r="AG497" s="22" t="n">
        <v>128</v>
      </c>
      <c r="AH497" s="22" t="n">
        <v>8</v>
      </c>
      <c r="AI497" s="22" t="s">
        <v>197</v>
      </c>
      <c r="AJ497" s="22" t="s">
        <v>197</v>
      </c>
      <c r="AK497" s="22" t="s">
        <v>197</v>
      </c>
      <c r="AL497" s="22" t="s">
        <v>197</v>
      </c>
      <c r="AM497" s="7" t="s">
        <v>197</v>
      </c>
      <c r="AN497" s="22" t="s">
        <v>197</v>
      </c>
      <c r="AO497" s="22" t="s">
        <v>197</v>
      </c>
      <c r="AP497" s="22" t="s">
        <v>197</v>
      </c>
    </row>
    <row r="498" customFormat="false" ht="21.75" hidden="false" customHeight="true" outlineLevel="0" collapsed="false">
      <c r="B498" s="15" t="n">
        <v>494</v>
      </c>
      <c r="C498" s="9" t="s">
        <v>48</v>
      </c>
      <c r="D498" s="9" t="s">
        <v>20</v>
      </c>
      <c r="E498" s="9" t="s">
        <v>120</v>
      </c>
      <c r="F498" s="9" t="s">
        <v>60</v>
      </c>
      <c r="G498" s="9" t="s">
        <v>1371</v>
      </c>
      <c r="H498" s="9" t="s">
        <v>182</v>
      </c>
      <c r="I498" s="9" t="s">
        <v>1362</v>
      </c>
      <c r="J498" s="9" t="s">
        <v>1363</v>
      </c>
      <c r="K498" s="9" t="s">
        <v>1364</v>
      </c>
      <c r="L498" s="9" t="s">
        <v>1365</v>
      </c>
      <c r="M498" s="9" t="s">
        <v>187</v>
      </c>
      <c r="N498" s="9" t="s">
        <v>1366</v>
      </c>
      <c r="O498" s="9" t="s">
        <v>189</v>
      </c>
      <c r="P498" s="9" t="s">
        <v>190</v>
      </c>
      <c r="Q498" s="9" t="s">
        <v>1367</v>
      </c>
      <c r="R498" s="9" t="s">
        <v>1368</v>
      </c>
      <c r="S498" s="9" t="s">
        <v>1369</v>
      </c>
      <c r="T498" s="9" t="s">
        <v>455</v>
      </c>
      <c r="U498" s="19" t="n">
        <v>235</v>
      </c>
      <c r="V498" s="9"/>
      <c r="W498" s="9"/>
      <c r="X498" s="9" t="s">
        <v>199</v>
      </c>
      <c r="Y498" s="23" t="n">
        <v>0.097</v>
      </c>
      <c r="Z498" s="23" t="n">
        <v>0.58</v>
      </c>
      <c r="AA498" s="23" t="n">
        <v>12</v>
      </c>
      <c r="AB498" s="9" t="s">
        <v>1365</v>
      </c>
      <c r="AC498" s="9" t="s">
        <v>1370</v>
      </c>
      <c r="AD498" s="23" t="n">
        <v>0.097</v>
      </c>
      <c r="AE498" s="23" t="n">
        <v>0.58</v>
      </c>
      <c r="AF498" s="23" t="n">
        <v>3.5</v>
      </c>
      <c r="AG498" s="23" t="n">
        <v>128</v>
      </c>
      <c r="AH498" s="23" t="n">
        <v>8</v>
      </c>
      <c r="AI498" s="23" t="s">
        <v>197</v>
      </c>
      <c r="AJ498" s="23" t="s">
        <v>197</v>
      </c>
      <c r="AK498" s="23" t="s">
        <v>197</v>
      </c>
      <c r="AL498" s="23" t="s">
        <v>197</v>
      </c>
      <c r="AM498" s="9" t="s">
        <v>197</v>
      </c>
      <c r="AN498" s="23" t="s">
        <v>197</v>
      </c>
      <c r="AO498" s="23" t="s">
        <v>197</v>
      </c>
      <c r="AP498" s="23" t="s">
        <v>197</v>
      </c>
    </row>
    <row r="499" customFormat="false" ht="21.75" hidden="false" customHeight="true" outlineLevel="0" collapsed="false">
      <c r="B499" s="14" t="n">
        <v>495</v>
      </c>
      <c r="C499" s="7" t="s">
        <v>48</v>
      </c>
      <c r="D499" s="7" t="s">
        <v>20</v>
      </c>
      <c r="E499" s="7" t="s">
        <v>120</v>
      </c>
      <c r="F499" s="7" t="s">
        <v>60</v>
      </c>
      <c r="G499" s="7" t="s">
        <v>1372</v>
      </c>
      <c r="H499" s="7" t="s">
        <v>182</v>
      </c>
      <c r="I499" s="7" t="s">
        <v>1362</v>
      </c>
      <c r="J499" s="7" t="s">
        <v>1363</v>
      </c>
      <c r="K499" s="7" t="s">
        <v>1364</v>
      </c>
      <c r="L499" s="7" t="s">
        <v>1365</v>
      </c>
      <c r="M499" s="7" t="s">
        <v>187</v>
      </c>
      <c r="N499" s="7" t="s">
        <v>1366</v>
      </c>
      <c r="O499" s="7" t="s">
        <v>189</v>
      </c>
      <c r="P499" s="7" t="s">
        <v>190</v>
      </c>
      <c r="Q499" s="7" t="s">
        <v>1367</v>
      </c>
      <c r="R499" s="7" t="s">
        <v>1368</v>
      </c>
      <c r="S499" s="7" t="s">
        <v>1369</v>
      </c>
      <c r="T499" s="7" t="s">
        <v>455</v>
      </c>
      <c r="U499" s="18" t="n">
        <v>315</v>
      </c>
      <c r="V499" s="7"/>
      <c r="W499" s="7"/>
      <c r="X499" s="7" t="s">
        <v>1373</v>
      </c>
      <c r="Y499" s="22" t="n">
        <v>0.078</v>
      </c>
      <c r="Z499" s="22" t="n">
        <v>0.58</v>
      </c>
      <c r="AA499" s="22" t="n">
        <v>12</v>
      </c>
      <c r="AB499" s="7" t="s">
        <v>1365</v>
      </c>
      <c r="AC499" s="7" t="s">
        <v>1370</v>
      </c>
      <c r="AD499" s="22" t="n">
        <v>0.078</v>
      </c>
      <c r="AE499" s="22" t="n">
        <v>0.58</v>
      </c>
      <c r="AF499" s="22" t="n">
        <v>3.5</v>
      </c>
      <c r="AG499" s="22" t="n">
        <v>128</v>
      </c>
      <c r="AH499" s="22" t="n">
        <v>8</v>
      </c>
      <c r="AI499" s="22" t="s">
        <v>197</v>
      </c>
      <c r="AJ499" s="22" t="s">
        <v>197</v>
      </c>
      <c r="AK499" s="22" t="s">
        <v>197</v>
      </c>
      <c r="AL499" s="22" t="s">
        <v>197</v>
      </c>
      <c r="AM499" s="7" t="s">
        <v>197</v>
      </c>
      <c r="AN499" s="22" t="s">
        <v>197</v>
      </c>
      <c r="AO499" s="22" t="s">
        <v>197</v>
      </c>
      <c r="AP499" s="22" t="s">
        <v>197</v>
      </c>
    </row>
    <row r="500" customFormat="false" ht="21.75" hidden="false" customHeight="true" outlineLevel="0" collapsed="false">
      <c r="B500" s="15" t="n">
        <v>496</v>
      </c>
      <c r="C500" s="9" t="s">
        <v>48</v>
      </c>
      <c r="D500" s="9" t="s">
        <v>20</v>
      </c>
      <c r="E500" s="9" t="s">
        <v>120</v>
      </c>
      <c r="F500" s="9" t="s">
        <v>60</v>
      </c>
      <c r="G500" s="9" t="s">
        <v>1374</v>
      </c>
      <c r="H500" s="9" t="s">
        <v>182</v>
      </c>
      <c r="I500" s="9" t="s">
        <v>1362</v>
      </c>
      <c r="J500" s="9" t="s">
        <v>1363</v>
      </c>
      <c r="K500" s="9" t="s">
        <v>1364</v>
      </c>
      <c r="L500" s="9" t="s">
        <v>1365</v>
      </c>
      <c r="M500" s="9" t="s">
        <v>187</v>
      </c>
      <c r="N500" s="9" t="s">
        <v>1366</v>
      </c>
      <c r="O500" s="9" t="s">
        <v>189</v>
      </c>
      <c r="P500" s="9" t="s">
        <v>190</v>
      </c>
      <c r="Q500" s="9" t="s">
        <v>1367</v>
      </c>
      <c r="R500" s="9" t="s">
        <v>1368</v>
      </c>
      <c r="S500" s="9" t="s">
        <v>1369</v>
      </c>
      <c r="T500" s="9" t="s">
        <v>455</v>
      </c>
      <c r="U500" s="19" t="n">
        <v>470</v>
      </c>
      <c r="V500" s="9"/>
      <c r="W500" s="9"/>
      <c r="X500" s="9" t="s">
        <v>203</v>
      </c>
      <c r="Y500" s="23" t="n">
        <v>0.091</v>
      </c>
      <c r="Z500" s="23" t="n">
        <v>0.58</v>
      </c>
      <c r="AA500" s="23" t="n">
        <v>12</v>
      </c>
      <c r="AB500" s="9" t="s">
        <v>1365</v>
      </c>
      <c r="AC500" s="9" t="s">
        <v>1370</v>
      </c>
      <c r="AD500" s="23" t="n">
        <v>0.091</v>
      </c>
      <c r="AE500" s="23" t="n">
        <v>0.58</v>
      </c>
      <c r="AF500" s="23" t="n">
        <v>3.5</v>
      </c>
      <c r="AG500" s="23" t="n">
        <v>128</v>
      </c>
      <c r="AH500" s="23" t="n">
        <v>8</v>
      </c>
      <c r="AI500" s="23" t="s">
        <v>197</v>
      </c>
      <c r="AJ500" s="23" t="s">
        <v>197</v>
      </c>
      <c r="AK500" s="23" t="s">
        <v>197</v>
      </c>
      <c r="AL500" s="23" t="s">
        <v>197</v>
      </c>
      <c r="AM500" s="9" t="s">
        <v>197</v>
      </c>
      <c r="AN500" s="23" t="s">
        <v>197</v>
      </c>
      <c r="AO500" s="23" t="s">
        <v>197</v>
      </c>
      <c r="AP500" s="23" t="s">
        <v>197</v>
      </c>
    </row>
    <row r="501" customFormat="false" ht="21.75" hidden="false" customHeight="true" outlineLevel="0" collapsed="false">
      <c r="B501" s="14" t="n">
        <v>497</v>
      </c>
      <c r="C501" s="7" t="s">
        <v>48</v>
      </c>
      <c r="D501" s="7" t="s">
        <v>20</v>
      </c>
      <c r="E501" s="7" t="s">
        <v>120</v>
      </c>
      <c r="F501" s="7" t="s">
        <v>60</v>
      </c>
      <c r="G501" s="7" t="s">
        <v>1375</v>
      </c>
      <c r="H501" s="7" t="s">
        <v>182</v>
      </c>
      <c r="I501" s="7" t="s">
        <v>1362</v>
      </c>
      <c r="J501" s="7" t="s">
        <v>1363</v>
      </c>
      <c r="K501" s="7" t="s">
        <v>1364</v>
      </c>
      <c r="L501" s="7" t="s">
        <v>1365</v>
      </c>
      <c r="M501" s="7" t="s">
        <v>187</v>
      </c>
      <c r="N501" s="7" t="s">
        <v>1366</v>
      </c>
      <c r="O501" s="7" t="s">
        <v>189</v>
      </c>
      <c r="P501" s="7" t="s">
        <v>190</v>
      </c>
      <c r="Q501" s="7" t="s">
        <v>1367</v>
      </c>
      <c r="R501" s="7" t="s">
        <v>1368</v>
      </c>
      <c r="S501" s="7" t="s">
        <v>1369</v>
      </c>
      <c r="T501" s="7" t="s">
        <v>455</v>
      </c>
      <c r="U501" s="18" t="n">
        <v>690</v>
      </c>
      <c r="V501" s="7"/>
      <c r="W501" s="7"/>
      <c r="X501" s="7" t="s">
        <v>205</v>
      </c>
      <c r="Y501" s="22" t="n">
        <v>0.082</v>
      </c>
      <c r="Z501" s="22" t="n">
        <v>0.58</v>
      </c>
      <c r="AA501" s="22" t="n">
        <v>12</v>
      </c>
      <c r="AB501" s="7" t="s">
        <v>1365</v>
      </c>
      <c r="AC501" s="7" t="s">
        <v>1370</v>
      </c>
      <c r="AD501" s="22" t="n">
        <v>0.082</v>
      </c>
      <c r="AE501" s="22" t="n">
        <v>0.58</v>
      </c>
      <c r="AF501" s="22" t="n">
        <v>3.5</v>
      </c>
      <c r="AG501" s="22" t="n">
        <v>128</v>
      </c>
      <c r="AH501" s="22" t="n">
        <v>8</v>
      </c>
      <c r="AI501" s="22" t="s">
        <v>197</v>
      </c>
      <c r="AJ501" s="22" t="s">
        <v>197</v>
      </c>
      <c r="AK501" s="22" t="s">
        <v>197</v>
      </c>
      <c r="AL501" s="22" t="s">
        <v>197</v>
      </c>
      <c r="AM501" s="7" t="s">
        <v>197</v>
      </c>
      <c r="AN501" s="22" t="s">
        <v>197</v>
      </c>
      <c r="AO501" s="22" t="s">
        <v>197</v>
      </c>
      <c r="AP501" s="22" t="s">
        <v>197</v>
      </c>
    </row>
    <row r="502" customFormat="false" ht="21.75" hidden="false" customHeight="true" outlineLevel="0" collapsed="false">
      <c r="B502" s="15" t="n">
        <v>498</v>
      </c>
      <c r="C502" s="9" t="s">
        <v>48</v>
      </c>
      <c r="D502" s="9" t="s">
        <v>20</v>
      </c>
      <c r="E502" s="9" t="s">
        <v>120</v>
      </c>
      <c r="F502" s="9" t="s">
        <v>61</v>
      </c>
      <c r="G502" s="9" t="s">
        <v>391</v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19"/>
      <c r="V502" s="9"/>
      <c r="W502" s="9"/>
      <c r="X502" s="9" t="s">
        <v>1376</v>
      </c>
      <c r="Y502" s="23" t="s">
        <v>197</v>
      </c>
      <c r="Z502" s="23" t="s">
        <v>197</v>
      </c>
      <c r="AA502" s="23" t="s">
        <v>197</v>
      </c>
      <c r="AB502" s="9" t="s">
        <v>197</v>
      </c>
      <c r="AC502" s="9" t="s">
        <v>197</v>
      </c>
      <c r="AD502" s="23" t="s">
        <v>197</v>
      </c>
      <c r="AE502" s="23" t="s">
        <v>197</v>
      </c>
      <c r="AF502" s="23" t="s">
        <v>197</v>
      </c>
      <c r="AG502" s="23" t="s">
        <v>197</v>
      </c>
      <c r="AH502" s="23" t="s">
        <v>197</v>
      </c>
      <c r="AI502" s="23" t="s">
        <v>197</v>
      </c>
      <c r="AJ502" s="23" t="s">
        <v>197</v>
      </c>
      <c r="AK502" s="23" t="s">
        <v>197</v>
      </c>
      <c r="AL502" s="23" t="s">
        <v>197</v>
      </c>
      <c r="AM502" s="9" t="s">
        <v>197</v>
      </c>
      <c r="AN502" s="23" t="s">
        <v>197</v>
      </c>
      <c r="AO502" s="23" t="s">
        <v>197</v>
      </c>
      <c r="AP502" s="23" t="s">
        <v>197</v>
      </c>
    </row>
    <row r="503" customFormat="false" ht="21.75" hidden="false" customHeight="true" outlineLevel="0" collapsed="false">
      <c r="B503" s="14" t="n">
        <v>499</v>
      </c>
      <c r="C503" s="7" t="s">
        <v>48</v>
      </c>
      <c r="D503" s="7" t="s">
        <v>20</v>
      </c>
      <c r="E503" s="7" t="s">
        <v>120</v>
      </c>
      <c r="F503" s="7" t="s">
        <v>62</v>
      </c>
      <c r="G503" s="7" t="s">
        <v>1377</v>
      </c>
      <c r="H503" s="7" t="s">
        <v>1378</v>
      </c>
      <c r="I503" s="7" t="s">
        <v>1379</v>
      </c>
      <c r="J503" s="7" t="s">
        <v>1380</v>
      </c>
      <c r="K503" s="7" t="s">
        <v>1381</v>
      </c>
      <c r="L503" s="7" t="s">
        <v>1365</v>
      </c>
      <c r="M503" s="7" t="s">
        <v>478</v>
      </c>
      <c r="N503" s="7" t="s">
        <v>1382</v>
      </c>
      <c r="O503" s="7" t="s">
        <v>189</v>
      </c>
      <c r="P503" s="7" t="s">
        <v>190</v>
      </c>
      <c r="Q503" s="7" t="s">
        <v>1383</v>
      </c>
      <c r="R503" s="7" t="s">
        <v>481</v>
      </c>
      <c r="S503" s="7" t="s">
        <v>1369</v>
      </c>
      <c r="T503" s="7" t="s">
        <v>225</v>
      </c>
      <c r="U503" s="18" t="n">
        <v>115</v>
      </c>
      <c r="V503" s="7"/>
      <c r="W503" s="7"/>
      <c r="X503" s="7" t="s">
        <v>195</v>
      </c>
      <c r="Y503" s="22" t="n">
        <v>0.076</v>
      </c>
      <c r="Z503" s="22" t="n">
        <v>0.42</v>
      </c>
      <c r="AA503" s="22" t="n">
        <v>12</v>
      </c>
      <c r="AB503" s="7" t="s">
        <v>1365</v>
      </c>
      <c r="AC503" s="7" t="s">
        <v>1370</v>
      </c>
      <c r="AD503" s="22" t="n">
        <v>0.076</v>
      </c>
      <c r="AE503" s="22" t="n">
        <v>0.42</v>
      </c>
      <c r="AF503" s="22" t="n">
        <v>2</v>
      </c>
      <c r="AG503" s="22" t="n">
        <v>48</v>
      </c>
      <c r="AH503" s="22" t="n">
        <v>2</v>
      </c>
      <c r="AI503" s="22" t="s">
        <v>197</v>
      </c>
      <c r="AJ503" s="22" t="s">
        <v>197</v>
      </c>
      <c r="AK503" s="22" t="s">
        <v>197</v>
      </c>
      <c r="AL503" s="22" t="s">
        <v>197</v>
      </c>
      <c r="AM503" s="7" t="s">
        <v>197</v>
      </c>
      <c r="AN503" s="22" t="s">
        <v>197</v>
      </c>
      <c r="AO503" s="22" t="s">
        <v>197</v>
      </c>
      <c r="AP503" s="22" t="s">
        <v>197</v>
      </c>
    </row>
    <row r="504" customFormat="false" ht="21.75" hidden="false" customHeight="true" outlineLevel="0" collapsed="false">
      <c r="B504" s="15" t="n">
        <v>500</v>
      </c>
      <c r="C504" s="9" t="s">
        <v>48</v>
      </c>
      <c r="D504" s="9" t="s">
        <v>20</v>
      </c>
      <c r="E504" s="9" t="s">
        <v>120</v>
      </c>
      <c r="F504" s="9" t="s">
        <v>62</v>
      </c>
      <c r="G504" s="9" t="s">
        <v>1384</v>
      </c>
      <c r="H504" s="9" t="s">
        <v>1378</v>
      </c>
      <c r="I504" s="9" t="s">
        <v>1379</v>
      </c>
      <c r="J504" s="9" t="s">
        <v>1380</v>
      </c>
      <c r="K504" s="9" t="s">
        <v>1381</v>
      </c>
      <c r="L504" s="9" t="s">
        <v>1365</v>
      </c>
      <c r="M504" s="9" t="s">
        <v>478</v>
      </c>
      <c r="N504" s="9" t="s">
        <v>1382</v>
      </c>
      <c r="O504" s="9" t="s">
        <v>189</v>
      </c>
      <c r="P504" s="9" t="s">
        <v>190</v>
      </c>
      <c r="Q504" s="9" t="s">
        <v>1383</v>
      </c>
      <c r="R504" s="9" t="s">
        <v>481</v>
      </c>
      <c r="S504" s="9" t="s">
        <v>1369</v>
      </c>
      <c r="T504" s="9" t="s">
        <v>225</v>
      </c>
      <c r="U504" s="19" t="n">
        <v>175</v>
      </c>
      <c r="V504" s="9"/>
      <c r="W504" s="9"/>
      <c r="X504" s="9" t="s">
        <v>199</v>
      </c>
      <c r="Y504" s="23" t="n">
        <v>0.094</v>
      </c>
      <c r="Z504" s="23" t="n">
        <v>0.42</v>
      </c>
      <c r="AA504" s="23" t="n">
        <v>12</v>
      </c>
      <c r="AB504" s="9" t="s">
        <v>1365</v>
      </c>
      <c r="AC504" s="9" t="s">
        <v>1370</v>
      </c>
      <c r="AD504" s="23" t="n">
        <v>0.094</v>
      </c>
      <c r="AE504" s="23" t="n">
        <v>0.42</v>
      </c>
      <c r="AF504" s="23" t="n">
        <v>2</v>
      </c>
      <c r="AG504" s="23" t="n">
        <v>48</v>
      </c>
      <c r="AH504" s="23" t="n">
        <v>2</v>
      </c>
      <c r="AI504" s="23" t="s">
        <v>197</v>
      </c>
      <c r="AJ504" s="23" t="s">
        <v>197</v>
      </c>
      <c r="AK504" s="23" t="s">
        <v>197</v>
      </c>
      <c r="AL504" s="23" t="s">
        <v>197</v>
      </c>
      <c r="AM504" s="9" t="s">
        <v>197</v>
      </c>
      <c r="AN504" s="23" t="s">
        <v>197</v>
      </c>
      <c r="AO504" s="23" t="s">
        <v>197</v>
      </c>
      <c r="AP504" s="23" t="s">
        <v>197</v>
      </c>
    </row>
    <row r="505" customFormat="false" ht="21.75" hidden="false" customHeight="true" outlineLevel="0" collapsed="false">
      <c r="B505" s="14" t="n">
        <v>501</v>
      </c>
      <c r="C505" s="7" t="s">
        <v>48</v>
      </c>
      <c r="D505" s="7" t="s">
        <v>20</v>
      </c>
      <c r="E505" s="7" t="s">
        <v>120</v>
      </c>
      <c r="F505" s="7" t="s">
        <v>62</v>
      </c>
      <c r="G505" s="7" t="s">
        <v>1385</v>
      </c>
      <c r="H505" s="7" t="s">
        <v>1378</v>
      </c>
      <c r="I505" s="7" t="s">
        <v>1379</v>
      </c>
      <c r="J505" s="7" t="s">
        <v>1380</v>
      </c>
      <c r="K505" s="7" t="s">
        <v>1381</v>
      </c>
      <c r="L505" s="7" t="s">
        <v>1365</v>
      </c>
      <c r="M505" s="7" t="s">
        <v>478</v>
      </c>
      <c r="N505" s="7" t="s">
        <v>1382</v>
      </c>
      <c r="O505" s="7" t="s">
        <v>189</v>
      </c>
      <c r="P505" s="7" t="s">
        <v>190</v>
      </c>
      <c r="Q505" s="7" t="s">
        <v>1383</v>
      </c>
      <c r="R505" s="7" t="s">
        <v>481</v>
      </c>
      <c r="S505" s="7" t="s">
        <v>1369</v>
      </c>
      <c r="T505" s="7" t="s">
        <v>225</v>
      </c>
      <c r="U505" s="18" t="n">
        <v>235</v>
      </c>
      <c r="V505" s="7"/>
      <c r="W505" s="7"/>
      <c r="X505" s="7" t="s">
        <v>1386</v>
      </c>
      <c r="Y505" s="22" t="n">
        <v>0.077</v>
      </c>
      <c r="Z505" s="22" t="n">
        <v>0.42</v>
      </c>
      <c r="AA505" s="22" t="n">
        <v>12</v>
      </c>
      <c r="AB505" s="7" t="s">
        <v>1365</v>
      </c>
      <c r="AC505" s="7" t="s">
        <v>1370</v>
      </c>
      <c r="AD505" s="22" t="n">
        <v>0.077</v>
      </c>
      <c r="AE505" s="22" t="n">
        <v>0.42</v>
      </c>
      <c r="AF505" s="22" t="n">
        <v>2</v>
      </c>
      <c r="AG505" s="22" t="n">
        <v>48</v>
      </c>
      <c r="AH505" s="22" t="n">
        <v>2</v>
      </c>
      <c r="AI505" s="22" t="s">
        <v>197</v>
      </c>
      <c r="AJ505" s="22" t="s">
        <v>197</v>
      </c>
      <c r="AK505" s="22" t="s">
        <v>197</v>
      </c>
      <c r="AL505" s="22" t="s">
        <v>197</v>
      </c>
      <c r="AM505" s="7" t="s">
        <v>197</v>
      </c>
      <c r="AN505" s="22" t="s">
        <v>197</v>
      </c>
      <c r="AO505" s="22" t="s">
        <v>197</v>
      </c>
      <c r="AP505" s="22" t="s">
        <v>197</v>
      </c>
    </row>
    <row r="506" customFormat="false" ht="21.75" hidden="false" customHeight="true" outlineLevel="0" collapsed="false">
      <c r="B506" s="15" t="n">
        <v>502</v>
      </c>
      <c r="C506" s="9" t="s">
        <v>48</v>
      </c>
      <c r="D506" s="9" t="s">
        <v>20</v>
      </c>
      <c r="E506" s="9" t="s">
        <v>120</v>
      </c>
      <c r="F506" s="9" t="s">
        <v>62</v>
      </c>
      <c r="G506" s="9" t="s">
        <v>1387</v>
      </c>
      <c r="H506" s="9" t="s">
        <v>1378</v>
      </c>
      <c r="I506" s="9" t="s">
        <v>1379</v>
      </c>
      <c r="J506" s="9" t="s">
        <v>1380</v>
      </c>
      <c r="K506" s="9" t="s">
        <v>1381</v>
      </c>
      <c r="L506" s="9" t="s">
        <v>1365</v>
      </c>
      <c r="M506" s="9" t="s">
        <v>478</v>
      </c>
      <c r="N506" s="9" t="s">
        <v>1382</v>
      </c>
      <c r="O506" s="9" t="s">
        <v>189</v>
      </c>
      <c r="P506" s="9" t="s">
        <v>190</v>
      </c>
      <c r="Q506" s="9" t="s">
        <v>1383</v>
      </c>
      <c r="R506" s="9" t="s">
        <v>481</v>
      </c>
      <c r="S506" s="9" t="s">
        <v>1369</v>
      </c>
      <c r="T506" s="9" t="s">
        <v>225</v>
      </c>
      <c r="U506" s="19" t="n">
        <v>350</v>
      </c>
      <c r="V506" s="9"/>
      <c r="W506" s="9"/>
      <c r="X506" s="9" t="s">
        <v>203</v>
      </c>
      <c r="Y506" s="23" t="n">
        <v>0.095</v>
      </c>
      <c r="Z506" s="23" t="n">
        <v>0.42</v>
      </c>
      <c r="AA506" s="23" t="n">
        <v>12</v>
      </c>
      <c r="AB506" s="9" t="s">
        <v>1365</v>
      </c>
      <c r="AC506" s="9" t="s">
        <v>1370</v>
      </c>
      <c r="AD506" s="23" t="n">
        <v>0.095</v>
      </c>
      <c r="AE506" s="23" t="n">
        <v>0.42</v>
      </c>
      <c r="AF506" s="23" t="n">
        <v>2</v>
      </c>
      <c r="AG506" s="23" t="n">
        <v>48</v>
      </c>
      <c r="AH506" s="23" t="n">
        <v>2</v>
      </c>
      <c r="AI506" s="23" t="s">
        <v>197</v>
      </c>
      <c r="AJ506" s="23" t="s">
        <v>197</v>
      </c>
      <c r="AK506" s="23" t="s">
        <v>197</v>
      </c>
      <c r="AL506" s="23" t="s">
        <v>197</v>
      </c>
      <c r="AM506" s="9" t="s">
        <v>197</v>
      </c>
      <c r="AN506" s="23" t="s">
        <v>197</v>
      </c>
      <c r="AO506" s="23" t="s">
        <v>197</v>
      </c>
      <c r="AP506" s="23" t="s">
        <v>197</v>
      </c>
    </row>
    <row r="507" customFormat="false" ht="21.75" hidden="false" customHeight="true" outlineLevel="0" collapsed="false">
      <c r="B507" s="14" t="n">
        <v>503</v>
      </c>
      <c r="C507" s="7" t="s">
        <v>48</v>
      </c>
      <c r="D507" s="7" t="s">
        <v>20</v>
      </c>
      <c r="E507" s="7" t="s">
        <v>120</v>
      </c>
      <c r="F507" s="7" t="s">
        <v>62</v>
      </c>
      <c r="G507" s="7" t="s">
        <v>1388</v>
      </c>
      <c r="H507" s="7" t="s">
        <v>1378</v>
      </c>
      <c r="I507" s="7" t="s">
        <v>1379</v>
      </c>
      <c r="J507" s="7" t="s">
        <v>1380</v>
      </c>
      <c r="K507" s="7" t="s">
        <v>1381</v>
      </c>
      <c r="L507" s="7" t="s">
        <v>1365</v>
      </c>
      <c r="M507" s="7" t="s">
        <v>478</v>
      </c>
      <c r="N507" s="7" t="s">
        <v>1382</v>
      </c>
      <c r="O507" s="7" t="s">
        <v>189</v>
      </c>
      <c r="P507" s="7" t="s">
        <v>190</v>
      </c>
      <c r="Q507" s="7" t="s">
        <v>1383</v>
      </c>
      <c r="R507" s="7" t="s">
        <v>481</v>
      </c>
      <c r="S507" s="7" t="s">
        <v>1369</v>
      </c>
      <c r="T507" s="7" t="s">
        <v>225</v>
      </c>
      <c r="U507" s="18" t="n">
        <v>515</v>
      </c>
      <c r="V507" s="7"/>
      <c r="W507" s="7"/>
      <c r="X507" s="7" t="s">
        <v>205</v>
      </c>
      <c r="Y507" s="22" t="n">
        <v>0.062</v>
      </c>
      <c r="Z507" s="22" t="n">
        <v>0.42</v>
      </c>
      <c r="AA507" s="22" t="n">
        <v>12</v>
      </c>
      <c r="AB507" s="7" t="s">
        <v>1365</v>
      </c>
      <c r="AC507" s="7" t="s">
        <v>1370</v>
      </c>
      <c r="AD507" s="22" t="n">
        <v>0.062</v>
      </c>
      <c r="AE507" s="22" t="n">
        <v>0.42</v>
      </c>
      <c r="AF507" s="22" t="n">
        <v>2</v>
      </c>
      <c r="AG507" s="22" t="n">
        <v>48</v>
      </c>
      <c r="AH507" s="22" t="n">
        <v>2</v>
      </c>
      <c r="AI507" s="22" t="s">
        <v>197</v>
      </c>
      <c r="AJ507" s="22" t="s">
        <v>197</v>
      </c>
      <c r="AK507" s="22" t="s">
        <v>197</v>
      </c>
      <c r="AL507" s="22" t="s">
        <v>197</v>
      </c>
      <c r="AM507" s="7" t="s">
        <v>197</v>
      </c>
      <c r="AN507" s="22" t="s">
        <v>197</v>
      </c>
      <c r="AO507" s="22" t="s">
        <v>197</v>
      </c>
      <c r="AP507" s="22" t="s">
        <v>197</v>
      </c>
    </row>
    <row r="508" customFormat="false" ht="21.75" hidden="false" customHeight="true" outlineLevel="0" collapsed="false">
      <c r="B508" s="15" t="n">
        <v>504</v>
      </c>
      <c r="C508" s="9" t="s">
        <v>48</v>
      </c>
      <c r="D508" s="9" t="s">
        <v>20</v>
      </c>
      <c r="E508" s="9" t="s">
        <v>120</v>
      </c>
      <c r="F508" s="9" t="s">
        <v>63</v>
      </c>
      <c r="G508" s="9" t="s">
        <v>1389</v>
      </c>
      <c r="H508" s="9" t="s">
        <v>1390</v>
      </c>
      <c r="I508" s="9" t="s">
        <v>1391</v>
      </c>
      <c r="J508" s="9" t="s">
        <v>1392</v>
      </c>
      <c r="K508" s="9" t="s">
        <v>1393</v>
      </c>
      <c r="L508" s="9" t="s">
        <v>1365</v>
      </c>
      <c r="M508" s="9" t="s">
        <v>235</v>
      </c>
      <c r="N508" s="9" t="s">
        <v>493</v>
      </c>
      <c r="O508" s="9" t="s">
        <v>189</v>
      </c>
      <c r="P508" s="9" t="s">
        <v>190</v>
      </c>
      <c r="Q508" s="9" t="s">
        <v>1394</v>
      </c>
      <c r="R508" s="9" t="s">
        <v>399</v>
      </c>
      <c r="S508" s="9" t="s">
        <v>1369</v>
      </c>
      <c r="T508" s="9" t="s">
        <v>239</v>
      </c>
      <c r="U508" s="19" t="n">
        <v>40</v>
      </c>
      <c r="V508" s="9"/>
      <c r="W508" s="9"/>
      <c r="X508" s="9" t="s">
        <v>195</v>
      </c>
      <c r="Y508" s="23" t="n">
        <v>0.031</v>
      </c>
      <c r="Z508" s="23" t="n">
        <v>0.061</v>
      </c>
      <c r="AA508" s="23" t="n">
        <v>12</v>
      </c>
      <c r="AB508" s="9" t="s">
        <v>1365</v>
      </c>
      <c r="AC508" s="9" t="s">
        <v>1395</v>
      </c>
      <c r="AD508" s="23" t="s">
        <v>197</v>
      </c>
      <c r="AE508" s="23" t="s">
        <v>197</v>
      </c>
      <c r="AF508" s="23" t="s">
        <v>197</v>
      </c>
      <c r="AG508" s="23" t="s">
        <v>197</v>
      </c>
      <c r="AH508" s="23" t="s">
        <v>197</v>
      </c>
      <c r="AI508" s="23" t="s">
        <v>197</v>
      </c>
      <c r="AJ508" s="23" t="s">
        <v>197</v>
      </c>
      <c r="AK508" s="23" t="s">
        <v>197</v>
      </c>
      <c r="AL508" s="23" t="s">
        <v>197</v>
      </c>
      <c r="AM508" s="9" t="s">
        <v>197</v>
      </c>
      <c r="AN508" s="23" t="s">
        <v>197</v>
      </c>
      <c r="AO508" s="23" t="n">
        <v>1.2</v>
      </c>
      <c r="AP508" s="23" t="n">
        <v>1.6</v>
      </c>
    </row>
    <row r="509" customFormat="false" ht="21.75" hidden="false" customHeight="true" outlineLevel="0" collapsed="false">
      <c r="B509" s="14" t="n">
        <v>505</v>
      </c>
      <c r="C509" s="7" t="s">
        <v>48</v>
      </c>
      <c r="D509" s="7" t="s">
        <v>20</v>
      </c>
      <c r="E509" s="7" t="s">
        <v>120</v>
      </c>
      <c r="F509" s="7" t="s">
        <v>63</v>
      </c>
      <c r="G509" s="7" t="s">
        <v>1396</v>
      </c>
      <c r="H509" s="7" t="s">
        <v>1390</v>
      </c>
      <c r="I509" s="7" t="s">
        <v>1391</v>
      </c>
      <c r="J509" s="7" t="s">
        <v>1392</v>
      </c>
      <c r="K509" s="7" t="s">
        <v>1393</v>
      </c>
      <c r="L509" s="7" t="s">
        <v>1365</v>
      </c>
      <c r="M509" s="7" t="s">
        <v>235</v>
      </c>
      <c r="N509" s="7" t="s">
        <v>493</v>
      </c>
      <c r="O509" s="7" t="s">
        <v>189</v>
      </c>
      <c r="P509" s="7" t="s">
        <v>190</v>
      </c>
      <c r="Q509" s="7" t="s">
        <v>1394</v>
      </c>
      <c r="R509" s="7" t="s">
        <v>399</v>
      </c>
      <c r="S509" s="7" t="s">
        <v>1369</v>
      </c>
      <c r="T509" s="7" t="s">
        <v>239</v>
      </c>
      <c r="U509" s="18" t="n">
        <v>60</v>
      </c>
      <c r="V509" s="7"/>
      <c r="W509" s="7"/>
      <c r="X509" s="7" t="s">
        <v>199</v>
      </c>
      <c r="Y509" s="22" t="n">
        <v>0.037</v>
      </c>
      <c r="Z509" s="22" t="n">
        <v>0.072</v>
      </c>
      <c r="AA509" s="22" t="n">
        <v>12</v>
      </c>
      <c r="AB509" s="7" t="s">
        <v>1365</v>
      </c>
      <c r="AC509" s="7" t="s">
        <v>1395</v>
      </c>
      <c r="AD509" s="22" t="s">
        <v>197</v>
      </c>
      <c r="AE509" s="22" t="s">
        <v>197</v>
      </c>
      <c r="AF509" s="22" t="s">
        <v>197</v>
      </c>
      <c r="AG509" s="22" t="s">
        <v>197</v>
      </c>
      <c r="AH509" s="22" t="s">
        <v>197</v>
      </c>
      <c r="AI509" s="22" t="s">
        <v>197</v>
      </c>
      <c r="AJ509" s="22" t="s">
        <v>197</v>
      </c>
      <c r="AK509" s="22" t="s">
        <v>197</v>
      </c>
      <c r="AL509" s="22" t="s">
        <v>197</v>
      </c>
      <c r="AM509" s="7" t="s">
        <v>197</v>
      </c>
      <c r="AN509" s="22" t="s">
        <v>197</v>
      </c>
      <c r="AO509" s="22" t="n">
        <v>1.2</v>
      </c>
      <c r="AP509" s="22" t="n">
        <v>1.6</v>
      </c>
    </row>
    <row r="510" customFormat="false" ht="21.75" hidden="false" customHeight="true" outlineLevel="0" collapsed="false">
      <c r="B510" s="15" t="n">
        <v>506</v>
      </c>
      <c r="C510" s="9" t="s">
        <v>48</v>
      </c>
      <c r="D510" s="9" t="s">
        <v>20</v>
      </c>
      <c r="E510" s="9" t="s">
        <v>120</v>
      </c>
      <c r="F510" s="9" t="s">
        <v>63</v>
      </c>
      <c r="G510" s="9" t="s">
        <v>1397</v>
      </c>
      <c r="H510" s="9" t="s">
        <v>1390</v>
      </c>
      <c r="I510" s="9" t="s">
        <v>1391</v>
      </c>
      <c r="J510" s="9" t="s">
        <v>1392</v>
      </c>
      <c r="K510" s="9" t="s">
        <v>1393</v>
      </c>
      <c r="L510" s="9" t="s">
        <v>1365</v>
      </c>
      <c r="M510" s="9" t="s">
        <v>235</v>
      </c>
      <c r="N510" s="9" t="s">
        <v>493</v>
      </c>
      <c r="O510" s="9" t="s">
        <v>189</v>
      </c>
      <c r="P510" s="9" t="s">
        <v>190</v>
      </c>
      <c r="Q510" s="9" t="s">
        <v>1394</v>
      </c>
      <c r="R510" s="9" t="s">
        <v>399</v>
      </c>
      <c r="S510" s="9" t="s">
        <v>1369</v>
      </c>
      <c r="T510" s="9" t="s">
        <v>239</v>
      </c>
      <c r="U510" s="19" t="n">
        <v>85</v>
      </c>
      <c r="V510" s="9"/>
      <c r="W510" s="9"/>
      <c r="X510" s="9" t="s">
        <v>1398</v>
      </c>
      <c r="Y510" s="23" t="n">
        <v>0.058</v>
      </c>
      <c r="Z510" s="23" t="n">
        <v>0.107</v>
      </c>
      <c r="AA510" s="23" t="n">
        <v>12</v>
      </c>
      <c r="AB510" s="9" t="s">
        <v>1365</v>
      </c>
      <c r="AC510" s="9" t="s">
        <v>1395</v>
      </c>
      <c r="AD510" s="23" t="s">
        <v>197</v>
      </c>
      <c r="AE510" s="23" t="s">
        <v>197</v>
      </c>
      <c r="AF510" s="23" t="s">
        <v>197</v>
      </c>
      <c r="AG510" s="23" t="s">
        <v>197</v>
      </c>
      <c r="AH510" s="23" t="s">
        <v>197</v>
      </c>
      <c r="AI510" s="23" t="s">
        <v>197</v>
      </c>
      <c r="AJ510" s="23" t="s">
        <v>197</v>
      </c>
      <c r="AK510" s="23" t="s">
        <v>197</v>
      </c>
      <c r="AL510" s="23" t="s">
        <v>197</v>
      </c>
      <c r="AM510" s="9" t="s">
        <v>197</v>
      </c>
      <c r="AN510" s="23" t="s">
        <v>197</v>
      </c>
      <c r="AO510" s="23" t="n">
        <v>1.2</v>
      </c>
      <c r="AP510" s="23" t="n">
        <v>1.6</v>
      </c>
    </row>
    <row r="511" customFormat="false" ht="21.75" hidden="false" customHeight="true" outlineLevel="0" collapsed="false">
      <c r="B511" s="14" t="n">
        <v>507</v>
      </c>
      <c r="C511" s="7" t="s">
        <v>48</v>
      </c>
      <c r="D511" s="7" t="s">
        <v>20</v>
      </c>
      <c r="E511" s="7" t="s">
        <v>120</v>
      </c>
      <c r="F511" s="7" t="s">
        <v>63</v>
      </c>
      <c r="G511" s="7" t="s">
        <v>1399</v>
      </c>
      <c r="H511" s="7" t="s">
        <v>1390</v>
      </c>
      <c r="I511" s="7" t="s">
        <v>1391</v>
      </c>
      <c r="J511" s="7" t="s">
        <v>1392</v>
      </c>
      <c r="K511" s="7" t="s">
        <v>1393</v>
      </c>
      <c r="L511" s="7" t="s">
        <v>1365</v>
      </c>
      <c r="M511" s="7" t="s">
        <v>235</v>
      </c>
      <c r="N511" s="7" t="s">
        <v>493</v>
      </c>
      <c r="O511" s="7" t="s">
        <v>189</v>
      </c>
      <c r="P511" s="7" t="s">
        <v>190</v>
      </c>
      <c r="Q511" s="7" t="s">
        <v>1394</v>
      </c>
      <c r="R511" s="7" t="s">
        <v>399</v>
      </c>
      <c r="S511" s="7" t="s">
        <v>1369</v>
      </c>
      <c r="T511" s="7" t="s">
        <v>239</v>
      </c>
      <c r="U511" s="18" t="n">
        <v>125</v>
      </c>
      <c r="V511" s="7"/>
      <c r="W511" s="7"/>
      <c r="X511" s="7" t="s">
        <v>203</v>
      </c>
      <c r="Y511" s="22" t="n">
        <v>0.042</v>
      </c>
      <c r="Z511" s="22" t="n">
        <v>0.079</v>
      </c>
      <c r="AA511" s="22" t="n">
        <v>12</v>
      </c>
      <c r="AB511" s="7" t="s">
        <v>1365</v>
      </c>
      <c r="AC511" s="7" t="s">
        <v>1395</v>
      </c>
      <c r="AD511" s="22" t="s">
        <v>197</v>
      </c>
      <c r="AE511" s="22" t="s">
        <v>197</v>
      </c>
      <c r="AF511" s="22" t="s">
        <v>197</v>
      </c>
      <c r="AG511" s="22" t="s">
        <v>197</v>
      </c>
      <c r="AH511" s="22" t="s">
        <v>197</v>
      </c>
      <c r="AI511" s="22" t="s">
        <v>197</v>
      </c>
      <c r="AJ511" s="22" t="s">
        <v>197</v>
      </c>
      <c r="AK511" s="22" t="s">
        <v>197</v>
      </c>
      <c r="AL511" s="22" t="s">
        <v>197</v>
      </c>
      <c r="AM511" s="7" t="s">
        <v>197</v>
      </c>
      <c r="AN511" s="22" t="s">
        <v>197</v>
      </c>
      <c r="AO511" s="22" t="n">
        <v>1.2</v>
      </c>
      <c r="AP511" s="22" t="n">
        <v>1.6</v>
      </c>
    </row>
    <row r="512" customFormat="false" ht="21.75" hidden="false" customHeight="true" outlineLevel="0" collapsed="false">
      <c r="B512" s="15" t="n">
        <v>508</v>
      </c>
      <c r="C512" s="9" t="s">
        <v>48</v>
      </c>
      <c r="D512" s="9" t="s">
        <v>20</v>
      </c>
      <c r="E512" s="9" t="s">
        <v>120</v>
      </c>
      <c r="F512" s="9" t="s">
        <v>63</v>
      </c>
      <c r="G512" s="9" t="s">
        <v>1400</v>
      </c>
      <c r="H512" s="9" t="s">
        <v>1390</v>
      </c>
      <c r="I512" s="9" t="s">
        <v>1391</v>
      </c>
      <c r="J512" s="9" t="s">
        <v>1392</v>
      </c>
      <c r="K512" s="9" t="s">
        <v>1393</v>
      </c>
      <c r="L512" s="9" t="s">
        <v>1365</v>
      </c>
      <c r="M512" s="9" t="s">
        <v>235</v>
      </c>
      <c r="N512" s="9" t="s">
        <v>493</v>
      </c>
      <c r="O512" s="9" t="s">
        <v>189</v>
      </c>
      <c r="P512" s="9" t="s">
        <v>190</v>
      </c>
      <c r="Q512" s="9" t="s">
        <v>1394</v>
      </c>
      <c r="R512" s="9" t="s">
        <v>399</v>
      </c>
      <c r="S512" s="9" t="s">
        <v>1369</v>
      </c>
      <c r="T512" s="9" t="s">
        <v>239</v>
      </c>
      <c r="U512" s="19" t="n">
        <v>185</v>
      </c>
      <c r="V512" s="9"/>
      <c r="W512" s="9"/>
      <c r="X512" s="9" t="s">
        <v>205</v>
      </c>
      <c r="Y512" s="23" t="n">
        <v>0.049</v>
      </c>
      <c r="Z512" s="23" t="n">
        <v>0.091</v>
      </c>
      <c r="AA512" s="23" t="n">
        <v>12</v>
      </c>
      <c r="AB512" s="9" t="s">
        <v>1365</v>
      </c>
      <c r="AC512" s="9" t="s">
        <v>1395</v>
      </c>
      <c r="AD512" s="23" t="s">
        <v>197</v>
      </c>
      <c r="AE512" s="23" t="s">
        <v>197</v>
      </c>
      <c r="AF512" s="23" t="s">
        <v>197</v>
      </c>
      <c r="AG512" s="23" t="s">
        <v>197</v>
      </c>
      <c r="AH512" s="23" t="s">
        <v>197</v>
      </c>
      <c r="AI512" s="23" t="s">
        <v>197</v>
      </c>
      <c r="AJ512" s="23" t="s">
        <v>197</v>
      </c>
      <c r="AK512" s="23" t="s">
        <v>197</v>
      </c>
      <c r="AL512" s="23" t="s">
        <v>197</v>
      </c>
      <c r="AM512" s="9" t="s">
        <v>197</v>
      </c>
      <c r="AN512" s="23" t="s">
        <v>197</v>
      </c>
      <c r="AO512" s="23" t="n">
        <v>1.2</v>
      </c>
      <c r="AP512" s="23" t="n">
        <v>1.6</v>
      </c>
    </row>
    <row r="513" customFormat="false" ht="21.75" hidden="false" customHeight="true" outlineLevel="0" collapsed="false">
      <c r="B513" s="14" t="n">
        <v>509</v>
      </c>
      <c r="C513" s="7" t="s">
        <v>48</v>
      </c>
      <c r="D513" s="7" t="s">
        <v>20</v>
      </c>
      <c r="E513" s="7" t="s">
        <v>120</v>
      </c>
      <c r="F513" s="7" t="s">
        <v>64</v>
      </c>
      <c r="G513" s="7" t="s">
        <v>1401</v>
      </c>
      <c r="H513" s="7" t="s">
        <v>247</v>
      </c>
      <c r="I513" s="7" t="s">
        <v>1402</v>
      </c>
      <c r="J513" s="7" t="s">
        <v>1403</v>
      </c>
      <c r="K513" s="7" t="s">
        <v>250</v>
      </c>
      <c r="L513" s="7" t="s">
        <v>1365</v>
      </c>
      <c r="M513" s="7" t="s">
        <v>251</v>
      </c>
      <c r="N513" s="7" t="s">
        <v>504</v>
      </c>
      <c r="O513" s="7" t="s">
        <v>189</v>
      </c>
      <c r="P513" s="7" t="s">
        <v>190</v>
      </c>
      <c r="Q513" s="7" t="s">
        <v>1404</v>
      </c>
      <c r="R513" s="7" t="s">
        <v>734</v>
      </c>
      <c r="S513" s="7" t="s">
        <v>1369</v>
      </c>
      <c r="T513" s="7" t="s">
        <v>690</v>
      </c>
      <c r="U513" s="18" t="n">
        <v>17</v>
      </c>
      <c r="V513" s="7"/>
      <c r="W513" s="7"/>
      <c r="X513" s="7" t="s">
        <v>195</v>
      </c>
      <c r="Y513" s="22" t="n">
        <v>0.011</v>
      </c>
      <c r="Z513" s="22" t="n">
        <v>0.015</v>
      </c>
      <c r="AA513" s="22" t="n">
        <v>12</v>
      </c>
      <c r="AB513" s="7" t="s">
        <v>1365</v>
      </c>
      <c r="AC513" s="7" t="s">
        <v>1405</v>
      </c>
      <c r="AD513" s="22" t="s">
        <v>197</v>
      </c>
      <c r="AE513" s="22" t="s">
        <v>197</v>
      </c>
      <c r="AF513" s="22" t="s">
        <v>197</v>
      </c>
      <c r="AG513" s="22" t="s">
        <v>197</v>
      </c>
      <c r="AH513" s="22" t="s">
        <v>197</v>
      </c>
      <c r="AI513" s="22" t="s">
        <v>197</v>
      </c>
      <c r="AJ513" s="22" t="n">
        <v>8</v>
      </c>
      <c r="AK513" s="22" t="s">
        <v>197</v>
      </c>
      <c r="AL513" s="22" t="n">
        <v>90</v>
      </c>
      <c r="AM513" s="7" t="s">
        <v>257</v>
      </c>
      <c r="AN513" s="22" t="s">
        <v>197</v>
      </c>
      <c r="AO513" s="22" t="n">
        <v>2</v>
      </c>
      <c r="AP513" s="22" t="n">
        <v>2.7</v>
      </c>
    </row>
    <row r="514" customFormat="false" ht="21.75" hidden="false" customHeight="true" outlineLevel="0" collapsed="false">
      <c r="B514" s="15" t="n">
        <v>510</v>
      </c>
      <c r="C514" s="9" t="s">
        <v>48</v>
      </c>
      <c r="D514" s="9" t="s">
        <v>20</v>
      </c>
      <c r="E514" s="9" t="s">
        <v>120</v>
      </c>
      <c r="F514" s="9" t="s">
        <v>64</v>
      </c>
      <c r="G514" s="9" t="s">
        <v>1406</v>
      </c>
      <c r="H514" s="9" t="s">
        <v>259</v>
      </c>
      <c r="I514" s="9" t="s">
        <v>1402</v>
      </c>
      <c r="J514" s="9" t="s">
        <v>1403</v>
      </c>
      <c r="K514" s="9" t="s">
        <v>250</v>
      </c>
      <c r="L514" s="9" t="s">
        <v>1365</v>
      </c>
      <c r="M514" s="9" t="s">
        <v>251</v>
      </c>
      <c r="N514" s="9" t="s">
        <v>504</v>
      </c>
      <c r="O514" s="9" t="s">
        <v>189</v>
      </c>
      <c r="P514" s="9" t="s">
        <v>190</v>
      </c>
      <c r="Q514" s="9" t="s">
        <v>1404</v>
      </c>
      <c r="R514" s="9" t="s">
        <v>734</v>
      </c>
      <c r="S514" s="9" t="s">
        <v>1369</v>
      </c>
      <c r="T514" s="9" t="s">
        <v>690</v>
      </c>
      <c r="U514" s="19" t="n">
        <v>25</v>
      </c>
      <c r="V514" s="9"/>
      <c r="W514" s="9"/>
      <c r="X514" s="9" t="s">
        <v>199</v>
      </c>
      <c r="Y514" s="23" t="n">
        <v>0.008</v>
      </c>
      <c r="Z514" s="23" t="n">
        <v>0.012</v>
      </c>
      <c r="AA514" s="23" t="n">
        <v>12</v>
      </c>
      <c r="AB514" s="9" t="s">
        <v>1365</v>
      </c>
      <c r="AC514" s="9" t="s">
        <v>1405</v>
      </c>
      <c r="AD514" s="23" t="s">
        <v>197</v>
      </c>
      <c r="AE514" s="23" t="s">
        <v>197</v>
      </c>
      <c r="AF514" s="23" t="s">
        <v>197</v>
      </c>
      <c r="AG514" s="23" t="s">
        <v>197</v>
      </c>
      <c r="AH514" s="23" t="s">
        <v>197</v>
      </c>
      <c r="AI514" s="23" t="s">
        <v>197</v>
      </c>
      <c r="AJ514" s="23" t="n">
        <v>10</v>
      </c>
      <c r="AK514" s="23" t="s">
        <v>197</v>
      </c>
      <c r="AL514" s="23" t="n">
        <v>90</v>
      </c>
      <c r="AM514" s="9" t="s">
        <v>257</v>
      </c>
      <c r="AN514" s="23" t="s">
        <v>197</v>
      </c>
      <c r="AO514" s="23" t="n">
        <v>2</v>
      </c>
      <c r="AP514" s="23" t="n">
        <v>2.7</v>
      </c>
    </row>
    <row r="515" customFormat="false" ht="21.75" hidden="false" customHeight="true" outlineLevel="0" collapsed="false">
      <c r="B515" s="14" t="n">
        <v>511</v>
      </c>
      <c r="C515" s="7" t="s">
        <v>48</v>
      </c>
      <c r="D515" s="7" t="s">
        <v>20</v>
      </c>
      <c r="E515" s="7" t="s">
        <v>120</v>
      </c>
      <c r="F515" s="7" t="s">
        <v>64</v>
      </c>
      <c r="G515" s="7" t="s">
        <v>1407</v>
      </c>
      <c r="H515" s="7" t="s">
        <v>261</v>
      </c>
      <c r="I515" s="7" t="s">
        <v>1402</v>
      </c>
      <c r="J515" s="7" t="s">
        <v>1403</v>
      </c>
      <c r="K515" s="7" t="s">
        <v>250</v>
      </c>
      <c r="L515" s="7" t="s">
        <v>1365</v>
      </c>
      <c r="M515" s="7" t="s">
        <v>251</v>
      </c>
      <c r="N515" s="7" t="s">
        <v>504</v>
      </c>
      <c r="O515" s="7" t="s">
        <v>189</v>
      </c>
      <c r="P515" s="7" t="s">
        <v>190</v>
      </c>
      <c r="Q515" s="7" t="s">
        <v>1404</v>
      </c>
      <c r="R515" s="7" t="s">
        <v>734</v>
      </c>
      <c r="S515" s="7" t="s">
        <v>1369</v>
      </c>
      <c r="T515" s="7" t="s">
        <v>690</v>
      </c>
      <c r="U515" s="18" t="n">
        <v>30</v>
      </c>
      <c r="V515" s="7"/>
      <c r="W515" s="7"/>
      <c r="X515" s="7" t="s">
        <v>1408</v>
      </c>
      <c r="Y515" s="22" t="n">
        <v>0.013</v>
      </c>
      <c r="Z515" s="22" t="n">
        <v>0.019</v>
      </c>
      <c r="AA515" s="22" t="n">
        <v>12</v>
      </c>
      <c r="AB515" s="7" t="s">
        <v>1365</v>
      </c>
      <c r="AC515" s="7" t="s">
        <v>1405</v>
      </c>
      <c r="AD515" s="22" t="s">
        <v>197</v>
      </c>
      <c r="AE515" s="22" t="s">
        <v>197</v>
      </c>
      <c r="AF515" s="22" t="s">
        <v>197</v>
      </c>
      <c r="AG515" s="22" t="s">
        <v>197</v>
      </c>
      <c r="AH515" s="22" t="s">
        <v>197</v>
      </c>
      <c r="AI515" s="22" t="s">
        <v>197</v>
      </c>
      <c r="AJ515" s="22" t="n">
        <v>12</v>
      </c>
      <c r="AK515" s="22" t="s">
        <v>197</v>
      </c>
      <c r="AL515" s="22" t="n">
        <v>90</v>
      </c>
      <c r="AM515" s="7" t="s">
        <v>257</v>
      </c>
      <c r="AN515" s="22" t="s">
        <v>197</v>
      </c>
      <c r="AO515" s="22" t="n">
        <v>2</v>
      </c>
      <c r="AP515" s="22" t="n">
        <v>2.7</v>
      </c>
    </row>
    <row r="516" customFormat="false" ht="21.75" hidden="false" customHeight="true" outlineLevel="0" collapsed="false">
      <c r="B516" s="15" t="n">
        <v>512</v>
      </c>
      <c r="C516" s="9" t="s">
        <v>48</v>
      </c>
      <c r="D516" s="9" t="s">
        <v>20</v>
      </c>
      <c r="E516" s="9" t="s">
        <v>120</v>
      </c>
      <c r="F516" s="9" t="s">
        <v>64</v>
      </c>
      <c r="G516" s="9" t="s">
        <v>1409</v>
      </c>
      <c r="H516" s="9" t="s">
        <v>264</v>
      </c>
      <c r="I516" s="9" t="s">
        <v>1402</v>
      </c>
      <c r="J516" s="9" t="s">
        <v>1403</v>
      </c>
      <c r="K516" s="9" t="s">
        <v>250</v>
      </c>
      <c r="L516" s="9" t="s">
        <v>1365</v>
      </c>
      <c r="M516" s="9" t="s">
        <v>251</v>
      </c>
      <c r="N516" s="9" t="s">
        <v>504</v>
      </c>
      <c r="O516" s="9" t="s">
        <v>189</v>
      </c>
      <c r="P516" s="9" t="s">
        <v>190</v>
      </c>
      <c r="Q516" s="9" t="s">
        <v>1404</v>
      </c>
      <c r="R516" s="9" t="s">
        <v>734</v>
      </c>
      <c r="S516" s="9" t="s">
        <v>1369</v>
      </c>
      <c r="T516" s="9" t="s">
        <v>690</v>
      </c>
      <c r="U516" s="19" t="n">
        <v>50</v>
      </c>
      <c r="V516" s="9"/>
      <c r="W516" s="9"/>
      <c r="X516" s="9" t="s">
        <v>203</v>
      </c>
      <c r="Y516" s="23" t="n">
        <v>0.013</v>
      </c>
      <c r="Z516" s="23" t="n">
        <v>0.019</v>
      </c>
      <c r="AA516" s="23" t="n">
        <v>12</v>
      </c>
      <c r="AB516" s="9" t="s">
        <v>1365</v>
      </c>
      <c r="AC516" s="9" t="s">
        <v>1405</v>
      </c>
      <c r="AD516" s="23" t="s">
        <v>197</v>
      </c>
      <c r="AE516" s="23" t="s">
        <v>197</v>
      </c>
      <c r="AF516" s="23" t="s">
        <v>197</v>
      </c>
      <c r="AG516" s="23" t="s">
        <v>197</v>
      </c>
      <c r="AH516" s="23" t="s">
        <v>197</v>
      </c>
      <c r="AI516" s="23" t="s">
        <v>197</v>
      </c>
      <c r="AJ516" s="23" t="n">
        <v>12</v>
      </c>
      <c r="AK516" s="23" t="s">
        <v>197</v>
      </c>
      <c r="AL516" s="23" t="n">
        <v>110</v>
      </c>
      <c r="AM516" s="9" t="s">
        <v>257</v>
      </c>
      <c r="AN516" s="23" t="s">
        <v>197</v>
      </c>
      <c r="AO516" s="23" t="n">
        <v>2</v>
      </c>
      <c r="AP516" s="23" t="n">
        <v>2.7</v>
      </c>
    </row>
    <row r="517" customFormat="false" ht="21.75" hidden="false" customHeight="true" outlineLevel="0" collapsed="false">
      <c r="B517" s="14" t="n">
        <v>513</v>
      </c>
      <c r="C517" s="7" t="s">
        <v>48</v>
      </c>
      <c r="D517" s="7" t="s">
        <v>20</v>
      </c>
      <c r="E517" s="7" t="s">
        <v>120</v>
      </c>
      <c r="F517" s="7" t="s">
        <v>64</v>
      </c>
      <c r="G517" s="7" t="s">
        <v>1410</v>
      </c>
      <c r="H517" s="7" t="s">
        <v>266</v>
      </c>
      <c r="I517" s="7" t="s">
        <v>1402</v>
      </c>
      <c r="J517" s="7" t="s">
        <v>1403</v>
      </c>
      <c r="K517" s="7" t="s">
        <v>250</v>
      </c>
      <c r="L517" s="7" t="s">
        <v>1365</v>
      </c>
      <c r="M517" s="7" t="s">
        <v>251</v>
      </c>
      <c r="N517" s="7" t="s">
        <v>504</v>
      </c>
      <c r="O517" s="7" t="s">
        <v>189</v>
      </c>
      <c r="P517" s="7" t="s">
        <v>190</v>
      </c>
      <c r="Q517" s="7" t="s">
        <v>1404</v>
      </c>
      <c r="R517" s="7" t="s">
        <v>734</v>
      </c>
      <c r="S517" s="7" t="s">
        <v>1369</v>
      </c>
      <c r="T517" s="7" t="s">
        <v>690</v>
      </c>
      <c r="U517" s="18" t="n">
        <v>70</v>
      </c>
      <c r="V517" s="7"/>
      <c r="W517" s="7"/>
      <c r="X517" s="7" t="s">
        <v>205</v>
      </c>
      <c r="Y517" s="22" t="n">
        <v>0.012</v>
      </c>
      <c r="Z517" s="22" t="n">
        <v>0.017</v>
      </c>
      <c r="AA517" s="22" t="n">
        <v>12</v>
      </c>
      <c r="AB517" s="7" t="s">
        <v>1365</v>
      </c>
      <c r="AC517" s="7" t="s">
        <v>1405</v>
      </c>
      <c r="AD517" s="22" t="s">
        <v>197</v>
      </c>
      <c r="AE517" s="22" t="s">
        <v>197</v>
      </c>
      <c r="AF517" s="22" t="s">
        <v>197</v>
      </c>
      <c r="AG517" s="22" t="s">
        <v>197</v>
      </c>
      <c r="AH517" s="22" t="s">
        <v>197</v>
      </c>
      <c r="AI517" s="22" t="s">
        <v>197</v>
      </c>
      <c r="AJ517" s="22" t="n">
        <v>15</v>
      </c>
      <c r="AK517" s="22" t="s">
        <v>197</v>
      </c>
      <c r="AL517" s="22" t="n">
        <v>110</v>
      </c>
      <c r="AM517" s="7" t="s">
        <v>257</v>
      </c>
      <c r="AN517" s="22" t="s">
        <v>197</v>
      </c>
      <c r="AO517" s="22" t="n">
        <v>2</v>
      </c>
      <c r="AP517" s="22" t="n">
        <v>2.7</v>
      </c>
    </row>
    <row r="518" customFormat="false" ht="21.75" hidden="false" customHeight="true" outlineLevel="0" collapsed="false">
      <c r="B518" s="15" t="n">
        <v>514</v>
      </c>
      <c r="C518" s="9" t="s">
        <v>48</v>
      </c>
      <c r="D518" s="9" t="s">
        <v>20</v>
      </c>
      <c r="E518" s="9" t="s">
        <v>120</v>
      </c>
      <c r="F518" s="9" t="s">
        <v>65</v>
      </c>
      <c r="G518" s="9" t="s">
        <v>1411</v>
      </c>
      <c r="H518" s="9" t="s">
        <v>247</v>
      </c>
      <c r="I518" s="9" t="s">
        <v>1412</v>
      </c>
      <c r="J518" s="9" t="s">
        <v>1413</v>
      </c>
      <c r="K518" s="9" t="s">
        <v>1414</v>
      </c>
      <c r="L518" s="9" t="s">
        <v>1365</v>
      </c>
      <c r="M518" s="9" t="s">
        <v>518</v>
      </c>
      <c r="N518" s="9" t="s">
        <v>1130</v>
      </c>
      <c r="O518" s="9" t="s">
        <v>189</v>
      </c>
      <c r="P518" s="9" t="s">
        <v>190</v>
      </c>
      <c r="Q518" s="9" t="s">
        <v>1131</v>
      </c>
      <c r="R518" s="9" t="s">
        <v>689</v>
      </c>
      <c r="S518" s="9" t="s">
        <v>1369</v>
      </c>
      <c r="T518" s="9" t="s">
        <v>275</v>
      </c>
      <c r="U518" s="19" t="n">
        <v>20</v>
      </c>
      <c r="V518" s="9"/>
      <c r="W518" s="9"/>
      <c r="X518" s="9" t="s">
        <v>195</v>
      </c>
      <c r="Y518" s="23" t="n">
        <v>1.859E-005</v>
      </c>
      <c r="Z518" s="23" t="n">
        <v>4.39E-005</v>
      </c>
      <c r="AA518" s="23" t="n">
        <v>3</v>
      </c>
      <c r="AB518" s="9" t="s">
        <v>1365</v>
      </c>
      <c r="AC518" s="9" t="s">
        <v>1415</v>
      </c>
      <c r="AD518" s="23" t="s">
        <v>197</v>
      </c>
      <c r="AE518" s="23" t="s">
        <v>197</v>
      </c>
      <c r="AF518" s="23" t="s">
        <v>197</v>
      </c>
      <c r="AG518" s="23" t="s">
        <v>197</v>
      </c>
      <c r="AH518" s="23" t="s">
        <v>197</v>
      </c>
      <c r="AI518" s="23" t="s">
        <v>197</v>
      </c>
      <c r="AJ518" s="23" t="n">
        <v>8</v>
      </c>
      <c r="AK518" s="23" t="s">
        <v>197</v>
      </c>
      <c r="AL518" s="23" t="n">
        <v>90</v>
      </c>
      <c r="AM518" s="9" t="s">
        <v>257</v>
      </c>
      <c r="AN518" s="23" t="s">
        <v>197</v>
      </c>
      <c r="AO518" s="23" t="n">
        <v>2</v>
      </c>
      <c r="AP518" s="23" t="n">
        <v>2.7</v>
      </c>
    </row>
    <row r="519" customFormat="false" ht="21.75" hidden="false" customHeight="true" outlineLevel="0" collapsed="false">
      <c r="B519" s="14" t="n">
        <v>515</v>
      </c>
      <c r="C519" s="7" t="s">
        <v>48</v>
      </c>
      <c r="D519" s="7" t="s">
        <v>20</v>
      </c>
      <c r="E519" s="7" t="s">
        <v>120</v>
      </c>
      <c r="F519" s="7" t="s">
        <v>65</v>
      </c>
      <c r="G519" s="7" t="s">
        <v>1416</v>
      </c>
      <c r="H519" s="7" t="s">
        <v>259</v>
      </c>
      <c r="I519" s="7" t="s">
        <v>1412</v>
      </c>
      <c r="J519" s="7" t="s">
        <v>1413</v>
      </c>
      <c r="K519" s="7" t="s">
        <v>1414</v>
      </c>
      <c r="L519" s="7" t="s">
        <v>1365</v>
      </c>
      <c r="M519" s="7" t="s">
        <v>518</v>
      </c>
      <c r="N519" s="7" t="s">
        <v>1130</v>
      </c>
      <c r="O519" s="7" t="s">
        <v>189</v>
      </c>
      <c r="P519" s="7" t="s">
        <v>190</v>
      </c>
      <c r="Q519" s="7" t="s">
        <v>1131</v>
      </c>
      <c r="R519" s="7" t="s">
        <v>689</v>
      </c>
      <c r="S519" s="7" t="s">
        <v>1369</v>
      </c>
      <c r="T519" s="7" t="s">
        <v>275</v>
      </c>
      <c r="U519" s="18" t="n">
        <v>30</v>
      </c>
      <c r="V519" s="7"/>
      <c r="W519" s="7"/>
      <c r="X519" s="7" t="s">
        <v>199</v>
      </c>
      <c r="Y519" s="22" t="n">
        <v>1.891E-005</v>
      </c>
      <c r="Z519" s="22" t="n">
        <v>4.449E-005</v>
      </c>
      <c r="AA519" s="22" t="n">
        <v>3</v>
      </c>
      <c r="AB519" s="7" t="s">
        <v>1365</v>
      </c>
      <c r="AC519" s="7" t="s">
        <v>1415</v>
      </c>
      <c r="AD519" s="22" t="s">
        <v>197</v>
      </c>
      <c r="AE519" s="22" t="s">
        <v>197</v>
      </c>
      <c r="AF519" s="22" t="s">
        <v>197</v>
      </c>
      <c r="AG519" s="22" t="s">
        <v>197</v>
      </c>
      <c r="AH519" s="22" t="s">
        <v>197</v>
      </c>
      <c r="AI519" s="22" t="s">
        <v>197</v>
      </c>
      <c r="AJ519" s="22" t="n">
        <v>10</v>
      </c>
      <c r="AK519" s="22" t="s">
        <v>197</v>
      </c>
      <c r="AL519" s="22" t="n">
        <v>90</v>
      </c>
      <c r="AM519" s="7" t="s">
        <v>257</v>
      </c>
      <c r="AN519" s="22" t="s">
        <v>197</v>
      </c>
      <c r="AO519" s="22" t="n">
        <v>2</v>
      </c>
      <c r="AP519" s="22" t="n">
        <v>2.7</v>
      </c>
    </row>
    <row r="520" customFormat="false" ht="21.75" hidden="false" customHeight="true" outlineLevel="0" collapsed="false">
      <c r="B520" s="15" t="n">
        <v>516</v>
      </c>
      <c r="C520" s="9" t="s">
        <v>48</v>
      </c>
      <c r="D520" s="9" t="s">
        <v>20</v>
      </c>
      <c r="E520" s="9" t="s">
        <v>120</v>
      </c>
      <c r="F520" s="9" t="s">
        <v>65</v>
      </c>
      <c r="G520" s="9" t="s">
        <v>1417</v>
      </c>
      <c r="H520" s="9" t="s">
        <v>261</v>
      </c>
      <c r="I520" s="9" t="s">
        <v>1412</v>
      </c>
      <c r="J520" s="9" t="s">
        <v>1413</v>
      </c>
      <c r="K520" s="9" t="s">
        <v>1414</v>
      </c>
      <c r="L520" s="9" t="s">
        <v>1365</v>
      </c>
      <c r="M520" s="9" t="s">
        <v>518</v>
      </c>
      <c r="N520" s="9" t="s">
        <v>1130</v>
      </c>
      <c r="O520" s="9" t="s">
        <v>189</v>
      </c>
      <c r="P520" s="9" t="s">
        <v>190</v>
      </c>
      <c r="Q520" s="9" t="s">
        <v>1131</v>
      </c>
      <c r="R520" s="9" t="s">
        <v>689</v>
      </c>
      <c r="S520" s="9" t="s">
        <v>1369</v>
      </c>
      <c r="T520" s="9" t="s">
        <v>275</v>
      </c>
      <c r="U520" s="19" t="n">
        <v>45</v>
      </c>
      <c r="V520" s="9"/>
      <c r="W520" s="9"/>
      <c r="X520" s="9" t="s">
        <v>1418</v>
      </c>
      <c r="Y520" s="23" t="n">
        <v>2.109E-005</v>
      </c>
      <c r="Z520" s="23" t="n">
        <v>4.838E-005</v>
      </c>
      <c r="AA520" s="23" t="n">
        <v>3</v>
      </c>
      <c r="AB520" s="9" t="s">
        <v>1365</v>
      </c>
      <c r="AC520" s="9" t="s">
        <v>1415</v>
      </c>
      <c r="AD520" s="23" t="s">
        <v>197</v>
      </c>
      <c r="AE520" s="23" t="s">
        <v>197</v>
      </c>
      <c r="AF520" s="23" t="s">
        <v>197</v>
      </c>
      <c r="AG520" s="23" t="s">
        <v>197</v>
      </c>
      <c r="AH520" s="23" t="s">
        <v>197</v>
      </c>
      <c r="AI520" s="23" t="s">
        <v>197</v>
      </c>
      <c r="AJ520" s="23" t="n">
        <v>12</v>
      </c>
      <c r="AK520" s="23" t="s">
        <v>197</v>
      </c>
      <c r="AL520" s="23" t="n">
        <v>90</v>
      </c>
      <c r="AM520" s="9" t="s">
        <v>257</v>
      </c>
      <c r="AN520" s="23" t="s">
        <v>197</v>
      </c>
      <c r="AO520" s="23" t="n">
        <v>2</v>
      </c>
      <c r="AP520" s="23" t="n">
        <v>2.7</v>
      </c>
    </row>
    <row r="521" customFormat="false" ht="21.75" hidden="false" customHeight="true" outlineLevel="0" collapsed="false">
      <c r="B521" s="14" t="n">
        <v>517</v>
      </c>
      <c r="C521" s="7" t="s">
        <v>48</v>
      </c>
      <c r="D521" s="7" t="s">
        <v>20</v>
      </c>
      <c r="E521" s="7" t="s">
        <v>120</v>
      </c>
      <c r="F521" s="7" t="s">
        <v>65</v>
      </c>
      <c r="G521" s="7" t="s">
        <v>1419</v>
      </c>
      <c r="H521" s="7" t="s">
        <v>281</v>
      </c>
      <c r="I521" s="7" t="s">
        <v>1412</v>
      </c>
      <c r="J521" s="7" t="s">
        <v>1413</v>
      </c>
      <c r="K521" s="7" t="s">
        <v>1414</v>
      </c>
      <c r="L521" s="7" t="s">
        <v>1365</v>
      </c>
      <c r="M521" s="7" t="s">
        <v>518</v>
      </c>
      <c r="N521" s="7" t="s">
        <v>1130</v>
      </c>
      <c r="O521" s="7" t="s">
        <v>189</v>
      </c>
      <c r="P521" s="7" t="s">
        <v>190</v>
      </c>
      <c r="Q521" s="7" t="s">
        <v>1131</v>
      </c>
      <c r="R521" s="7" t="s">
        <v>689</v>
      </c>
      <c r="S521" s="7" t="s">
        <v>1369</v>
      </c>
      <c r="T521" s="7" t="s">
        <v>275</v>
      </c>
      <c r="U521" s="18" t="n">
        <v>65</v>
      </c>
      <c r="V521" s="7"/>
      <c r="W521" s="7"/>
      <c r="X521" s="7" t="s">
        <v>203</v>
      </c>
      <c r="Y521" s="22" t="n">
        <v>1.623E-005</v>
      </c>
      <c r="Z521" s="22" t="n">
        <v>3.969E-005</v>
      </c>
      <c r="AA521" s="22" t="n">
        <v>3</v>
      </c>
      <c r="AB521" s="7" t="s">
        <v>1365</v>
      </c>
      <c r="AC521" s="7" t="s">
        <v>1415</v>
      </c>
      <c r="AD521" s="22" t="s">
        <v>197</v>
      </c>
      <c r="AE521" s="22" t="s">
        <v>197</v>
      </c>
      <c r="AF521" s="22" t="s">
        <v>197</v>
      </c>
      <c r="AG521" s="22" t="s">
        <v>197</v>
      </c>
      <c r="AH521" s="22" t="s">
        <v>197</v>
      </c>
      <c r="AI521" s="22" t="s">
        <v>197</v>
      </c>
      <c r="AJ521" s="22" t="n">
        <v>12</v>
      </c>
      <c r="AK521" s="22" t="s">
        <v>197</v>
      </c>
      <c r="AL521" s="22" t="n">
        <v>90</v>
      </c>
      <c r="AM521" s="7" t="s">
        <v>257</v>
      </c>
      <c r="AN521" s="22" t="s">
        <v>197</v>
      </c>
      <c r="AO521" s="22" t="n">
        <v>2</v>
      </c>
      <c r="AP521" s="22" t="n">
        <v>2.7</v>
      </c>
    </row>
    <row r="522" customFormat="false" ht="21.75" hidden="false" customHeight="true" outlineLevel="0" collapsed="false">
      <c r="B522" s="15" t="n">
        <v>518</v>
      </c>
      <c r="C522" s="9" t="s">
        <v>48</v>
      </c>
      <c r="D522" s="9" t="s">
        <v>20</v>
      </c>
      <c r="E522" s="9" t="s">
        <v>120</v>
      </c>
      <c r="F522" s="9" t="s">
        <v>65</v>
      </c>
      <c r="G522" s="9" t="s">
        <v>1420</v>
      </c>
      <c r="H522" s="9" t="s">
        <v>283</v>
      </c>
      <c r="I522" s="9" t="s">
        <v>1412</v>
      </c>
      <c r="J522" s="9" t="s">
        <v>1413</v>
      </c>
      <c r="K522" s="9" t="s">
        <v>1414</v>
      </c>
      <c r="L522" s="9" t="s">
        <v>1365</v>
      </c>
      <c r="M522" s="9" t="s">
        <v>518</v>
      </c>
      <c r="N522" s="9" t="s">
        <v>1130</v>
      </c>
      <c r="O522" s="9" t="s">
        <v>189</v>
      </c>
      <c r="P522" s="9" t="s">
        <v>190</v>
      </c>
      <c r="Q522" s="9" t="s">
        <v>1131</v>
      </c>
      <c r="R522" s="9" t="s">
        <v>689</v>
      </c>
      <c r="S522" s="9" t="s">
        <v>1369</v>
      </c>
      <c r="T522" s="9" t="s">
        <v>275</v>
      </c>
      <c r="U522" s="19" t="n">
        <v>100</v>
      </c>
      <c r="V522" s="9"/>
      <c r="W522" s="9"/>
      <c r="X522" s="9" t="s">
        <v>205</v>
      </c>
      <c r="Y522" s="23" t="n">
        <v>1.585E-005</v>
      </c>
      <c r="Z522" s="23" t="n">
        <v>3.902E-005</v>
      </c>
      <c r="AA522" s="23" t="n">
        <v>3</v>
      </c>
      <c r="AB522" s="9" t="s">
        <v>1365</v>
      </c>
      <c r="AC522" s="9" t="s">
        <v>1415</v>
      </c>
      <c r="AD522" s="23" t="s">
        <v>197</v>
      </c>
      <c r="AE522" s="23" t="s">
        <v>197</v>
      </c>
      <c r="AF522" s="23" t="s">
        <v>197</v>
      </c>
      <c r="AG522" s="23" t="s">
        <v>197</v>
      </c>
      <c r="AH522" s="23" t="s">
        <v>197</v>
      </c>
      <c r="AI522" s="23" t="s">
        <v>197</v>
      </c>
      <c r="AJ522" s="23" t="n">
        <v>15</v>
      </c>
      <c r="AK522" s="23" t="s">
        <v>197</v>
      </c>
      <c r="AL522" s="23" t="n">
        <v>90</v>
      </c>
      <c r="AM522" s="9" t="s">
        <v>257</v>
      </c>
      <c r="AN522" s="23" t="s">
        <v>197</v>
      </c>
      <c r="AO522" s="23" t="n">
        <v>2</v>
      </c>
      <c r="AP522" s="23" t="n">
        <v>2.7</v>
      </c>
    </row>
    <row r="523" customFormat="false" ht="21.75" hidden="false" customHeight="true" outlineLevel="0" collapsed="false">
      <c r="B523" s="14" t="n">
        <v>519</v>
      </c>
      <c r="C523" s="7" t="s">
        <v>48</v>
      </c>
      <c r="D523" s="7" t="s">
        <v>20</v>
      </c>
      <c r="E523" s="7" t="s">
        <v>120</v>
      </c>
      <c r="F523" s="7" t="s">
        <v>66</v>
      </c>
      <c r="G523" s="7" t="s">
        <v>1421</v>
      </c>
      <c r="H523" s="7" t="s">
        <v>285</v>
      </c>
      <c r="I523" s="7" t="s">
        <v>1422</v>
      </c>
      <c r="J523" s="7" t="s">
        <v>1423</v>
      </c>
      <c r="K523" s="7" t="s">
        <v>1424</v>
      </c>
      <c r="L523" s="7" t="s">
        <v>1365</v>
      </c>
      <c r="M523" s="7" t="s">
        <v>251</v>
      </c>
      <c r="N523" s="7" t="s">
        <v>1425</v>
      </c>
      <c r="O523" s="7" t="s">
        <v>998</v>
      </c>
      <c r="P523" s="7" t="s">
        <v>190</v>
      </c>
      <c r="Q523" s="7" t="s">
        <v>1426</v>
      </c>
      <c r="R523" s="7" t="s">
        <v>1427</v>
      </c>
      <c r="S523" s="7" t="s">
        <v>1369</v>
      </c>
      <c r="T523" s="7" t="s">
        <v>1428</v>
      </c>
      <c r="U523" s="18" t="n">
        <v>55</v>
      </c>
      <c r="V523" s="7"/>
      <c r="W523" s="7"/>
      <c r="X523" s="7" t="s">
        <v>195</v>
      </c>
      <c r="Y523" s="22" t="n">
        <v>0.029</v>
      </c>
      <c r="Z523" s="22" t="n">
        <v>0.039</v>
      </c>
      <c r="AA523" s="22" t="n">
        <v>12</v>
      </c>
      <c r="AB523" s="7" t="s">
        <v>1365</v>
      </c>
      <c r="AC523" s="7" t="s">
        <v>1405</v>
      </c>
      <c r="AD523" s="22" t="s">
        <v>197</v>
      </c>
      <c r="AE523" s="22" t="s">
        <v>197</v>
      </c>
      <c r="AF523" s="22" t="s">
        <v>197</v>
      </c>
      <c r="AG523" s="22" t="s">
        <v>197</v>
      </c>
      <c r="AH523" s="22" t="s">
        <v>197</v>
      </c>
      <c r="AI523" s="22" t="s">
        <v>197</v>
      </c>
      <c r="AJ523" s="22" t="s">
        <v>197</v>
      </c>
      <c r="AK523" s="22" t="n">
        <v>10</v>
      </c>
      <c r="AL523" s="22" t="n">
        <v>90</v>
      </c>
      <c r="AM523" s="7" t="s">
        <v>292</v>
      </c>
      <c r="AN523" s="22" t="s">
        <v>197</v>
      </c>
      <c r="AO523" s="22" t="n">
        <v>2</v>
      </c>
      <c r="AP523" s="22" t="n">
        <v>3</v>
      </c>
    </row>
    <row r="524" customFormat="false" ht="21.75" hidden="false" customHeight="true" outlineLevel="0" collapsed="false">
      <c r="B524" s="15" t="n">
        <v>520</v>
      </c>
      <c r="C524" s="9" t="s">
        <v>48</v>
      </c>
      <c r="D524" s="9" t="s">
        <v>20</v>
      </c>
      <c r="E524" s="9" t="s">
        <v>120</v>
      </c>
      <c r="F524" s="9" t="s">
        <v>66</v>
      </c>
      <c r="G524" s="9" t="s">
        <v>1429</v>
      </c>
      <c r="H524" s="9" t="s">
        <v>294</v>
      </c>
      <c r="I524" s="9" t="s">
        <v>1422</v>
      </c>
      <c r="J524" s="9" t="s">
        <v>1423</v>
      </c>
      <c r="K524" s="9" t="s">
        <v>1424</v>
      </c>
      <c r="L524" s="9" t="s">
        <v>1365</v>
      </c>
      <c r="M524" s="9" t="s">
        <v>251</v>
      </c>
      <c r="N524" s="9" t="s">
        <v>1425</v>
      </c>
      <c r="O524" s="9" t="s">
        <v>998</v>
      </c>
      <c r="P524" s="9" t="s">
        <v>190</v>
      </c>
      <c r="Q524" s="9" t="s">
        <v>1426</v>
      </c>
      <c r="R524" s="9" t="s">
        <v>1427</v>
      </c>
      <c r="S524" s="9" t="s">
        <v>1369</v>
      </c>
      <c r="T524" s="9" t="s">
        <v>1428</v>
      </c>
      <c r="U524" s="19" t="n">
        <v>85</v>
      </c>
      <c r="V524" s="9"/>
      <c r="W524" s="9"/>
      <c r="X524" s="9" t="s">
        <v>199</v>
      </c>
      <c r="Y524" s="23" t="n">
        <v>0.016</v>
      </c>
      <c r="Z524" s="23" t="n">
        <v>0.026</v>
      </c>
      <c r="AA524" s="23" t="n">
        <v>12</v>
      </c>
      <c r="AB524" s="9" t="s">
        <v>1365</v>
      </c>
      <c r="AC524" s="9" t="s">
        <v>1405</v>
      </c>
      <c r="AD524" s="23" t="s">
        <v>197</v>
      </c>
      <c r="AE524" s="23" t="s">
        <v>197</v>
      </c>
      <c r="AF524" s="23" t="s">
        <v>197</v>
      </c>
      <c r="AG524" s="23" t="s">
        <v>197</v>
      </c>
      <c r="AH524" s="23" t="s">
        <v>197</v>
      </c>
      <c r="AI524" s="23" t="s">
        <v>197</v>
      </c>
      <c r="AJ524" s="23" t="s">
        <v>197</v>
      </c>
      <c r="AK524" s="23" t="n">
        <v>12</v>
      </c>
      <c r="AL524" s="23" t="n">
        <v>90</v>
      </c>
      <c r="AM524" s="9" t="s">
        <v>292</v>
      </c>
      <c r="AN524" s="23" t="s">
        <v>197</v>
      </c>
      <c r="AO524" s="23" t="n">
        <v>2</v>
      </c>
      <c r="AP524" s="23" t="n">
        <v>3</v>
      </c>
    </row>
    <row r="525" customFormat="false" ht="21.75" hidden="false" customHeight="true" outlineLevel="0" collapsed="false">
      <c r="B525" s="14" t="n">
        <v>521</v>
      </c>
      <c r="C525" s="7" t="s">
        <v>48</v>
      </c>
      <c r="D525" s="7" t="s">
        <v>20</v>
      </c>
      <c r="E525" s="7" t="s">
        <v>120</v>
      </c>
      <c r="F525" s="7" t="s">
        <v>66</v>
      </c>
      <c r="G525" s="7" t="s">
        <v>1430</v>
      </c>
      <c r="H525" s="7" t="s">
        <v>296</v>
      </c>
      <c r="I525" s="7" t="s">
        <v>1422</v>
      </c>
      <c r="J525" s="7" t="s">
        <v>1423</v>
      </c>
      <c r="K525" s="7" t="s">
        <v>1424</v>
      </c>
      <c r="L525" s="7" t="s">
        <v>1365</v>
      </c>
      <c r="M525" s="7" t="s">
        <v>251</v>
      </c>
      <c r="N525" s="7" t="s">
        <v>1425</v>
      </c>
      <c r="O525" s="7" t="s">
        <v>998</v>
      </c>
      <c r="P525" s="7" t="s">
        <v>190</v>
      </c>
      <c r="Q525" s="7" t="s">
        <v>1426</v>
      </c>
      <c r="R525" s="7" t="s">
        <v>1427</v>
      </c>
      <c r="S525" s="7" t="s">
        <v>1369</v>
      </c>
      <c r="T525" s="7" t="s">
        <v>1428</v>
      </c>
      <c r="U525" s="18" t="n">
        <v>115</v>
      </c>
      <c r="V525" s="7"/>
      <c r="W525" s="7"/>
      <c r="X525" s="7" t="s">
        <v>1431</v>
      </c>
      <c r="Y525" s="22" t="n">
        <v>0.024</v>
      </c>
      <c r="Z525" s="22" t="n">
        <v>0.034</v>
      </c>
      <c r="AA525" s="22" t="n">
        <v>12</v>
      </c>
      <c r="AB525" s="7" t="s">
        <v>1365</v>
      </c>
      <c r="AC525" s="7" t="s">
        <v>1405</v>
      </c>
      <c r="AD525" s="22" t="s">
        <v>197</v>
      </c>
      <c r="AE525" s="22" t="s">
        <v>197</v>
      </c>
      <c r="AF525" s="22" t="s">
        <v>197</v>
      </c>
      <c r="AG525" s="22" t="s">
        <v>197</v>
      </c>
      <c r="AH525" s="22" t="s">
        <v>197</v>
      </c>
      <c r="AI525" s="22" t="s">
        <v>197</v>
      </c>
      <c r="AJ525" s="22" t="s">
        <v>197</v>
      </c>
      <c r="AK525" s="22" t="n">
        <v>12</v>
      </c>
      <c r="AL525" s="22" t="n">
        <v>90</v>
      </c>
      <c r="AM525" s="7" t="s">
        <v>292</v>
      </c>
      <c r="AN525" s="22" t="s">
        <v>197</v>
      </c>
      <c r="AO525" s="22" t="n">
        <v>2</v>
      </c>
      <c r="AP525" s="22" t="n">
        <v>3</v>
      </c>
    </row>
    <row r="526" customFormat="false" ht="21.75" hidden="false" customHeight="true" outlineLevel="0" collapsed="false">
      <c r="B526" s="15" t="n">
        <v>522</v>
      </c>
      <c r="C526" s="9" t="s">
        <v>48</v>
      </c>
      <c r="D526" s="9" t="s">
        <v>20</v>
      </c>
      <c r="E526" s="9" t="s">
        <v>120</v>
      </c>
      <c r="F526" s="9" t="s">
        <v>66</v>
      </c>
      <c r="G526" s="9" t="s">
        <v>1432</v>
      </c>
      <c r="H526" s="9" t="s">
        <v>299</v>
      </c>
      <c r="I526" s="9" t="s">
        <v>1422</v>
      </c>
      <c r="J526" s="9" t="s">
        <v>1423</v>
      </c>
      <c r="K526" s="9" t="s">
        <v>1424</v>
      </c>
      <c r="L526" s="9" t="s">
        <v>1365</v>
      </c>
      <c r="M526" s="9" t="s">
        <v>251</v>
      </c>
      <c r="N526" s="9" t="s">
        <v>1425</v>
      </c>
      <c r="O526" s="9" t="s">
        <v>998</v>
      </c>
      <c r="P526" s="9" t="s">
        <v>190</v>
      </c>
      <c r="Q526" s="9" t="s">
        <v>1426</v>
      </c>
      <c r="R526" s="9" t="s">
        <v>1427</v>
      </c>
      <c r="S526" s="9" t="s">
        <v>1369</v>
      </c>
      <c r="T526" s="9" t="s">
        <v>1428</v>
      </c>
      <c r="U526" s="19" t="n">
        <v>170</v>
      </c>
      <c r="V526" s="9"/>
      <c r="W526" s="9"/>
      <c r="X526" s="9" t="s">
        <v>203</v>
      </c>
      <c r="Y526" s="23" t="n">
        <v>0.019</v>
      </c>
      <c r="Z526" s="23" t="n">
        <v>0.029</v>
      </c>
      <c r="AA526" s="23" t="n">
        <v>12</v>
      </c>
      <c r="AB526" s="9" t="s">
        <v>1365</v>
      </c>
      <c r="AC526" s="9" t="s">
        <v>1405</v>
      </c>
      <c r="AD526" s="23" t="s">
        <v>197</v>
      </c>
      <c r="AE526" s="23" t="s">
        <v>197</v>
      </c>
      <c r="AF526" s="23" t="s">
        <v>197</v>
      </c>
      <c r="AG526" s="23" t="s">
        <v>197</v>
      </c>
      <c r="AH526" s="23" t="s">
        <v>197</v>
      </c>
      <c r="AI526" s="23" t="s">
        <v>197</v>
      </c>
      <c r="AJ526" s="23" t="s">
        <v>197</v>
      </c>
      <c r="AK526" s="23" t="n">
        <v>15</v>
      </c>
      <c r="AL526" s="23" t="n">
        <v>90</v>
      </c>
      <c r="AM526" s="9" t="s">
        <v>292</v>
      </c>
      <c r="AN526" s="23" t="s">
        <v>197</v>
      </c>
      <c r="AO526" s="23" t="n">
        <v>2</v>
      </c>
      <c r="AP526" s="23" t="n">
        <v>3</v>
      </c>
    </row>
    <row r="527" customFormat="false" ht="21.75" hidden="false" customHeight="true" outlineLevel="0" collapsed="false">
      <c r="B527" s="14" t="n">
        <v>523</v>
      </c>
      <c r="C527" s="7" t="s">
        <v>48</v>
      </c>
      <c r="D527" s="7" t="s">
        <v>20</v>
      </c>
      <c r="E527" s="7" t="s">
        <v>120</v>
      </c>
      <c r="F527" s="7" t="s">
        <v>66</v>
      </c>
      <c r="G527" s="7" t="s">
        <v>1433</v>
      </c>
      <c r="H527" s="7" t="s">
        <v>301</v>
      </c>
      <c r="I527" s="7" t="s">
        <v>1422</v>
      </c>
      <c r="J527" s="7" t="s">
        <v>1423</v>
      </c>
      <c r="K527" s="7" t="s">
        <v>1424</v>
      </c>
      <c r="L527" s="7" t="s">
        <v>1365</v>
      </c>
      <c r="M527" s="7" t="s">
        <v>251</v>
      </c>
      <c r="N527" s="7" t="s">
        <v>1425</v>
      </c>
      <c r="O527" s="7" t="s">
        <v>998</v>
      </c>
      <c r="P527" s="7" t="s">
        <v>190</v>
      </c>
      <c r="Q527" s="7" t="s">
        <v>1426</v>
      </c>
      <c r="R527" s="7" t="s">
        <v>1427</v>
      </c>
      <c r="S527" s="7" t="s">
        <v>1369</v>
      </c>
      <c r="T527" s="7" t="s">
        <v>1428</v>
      </c>
      <c r="U527" s="18" t="n">
        <v>250</v>
      </c>
      <c r="V527" s="7"/>
      <c r="W527" s="7"/>
      <c r="X527" s="7" t="s">
        <v>205</v>
      </c>
      <c r="Y527" s="22" t="n">
        <v>0.024</v>
      </c>
      <c r="Z527" s="22" t="n">
        <v>0.034</v>
      </c>
      <c r="AA527" s="22" t="n">
        <v>12</v>
      </c>
      <c r="AB527" s="7" t="s">
        <v>1365</v>
      </c>
      <c r="AC527" s="7" t="s">
        <v>1405</v>
      </c>
      <c r="AD527" s="22" t="s">
        <v>197</v>
      </c>
      <c r="AE527" s="22" t="s">
        <v>197</v>
      </c>
      <c r="AF527" s="22" t="s">
        <v>197</v>
      </c>
      <c r="AG527" s="22" t="s">
        <v>197</v>
      </c>
      <c r="AH527" s="22" t="s">
        <v>197</v>
      </c>
      <c r="AI527" s="22" t="s">
        <v>197</v>
      </c>
      <c r="AJ527" s="22" t="s">
        <v>197</v>
      </c>
      <c r="AK527" s="22" t="n">
        <v>20</v>
      </c>
      <c r="AL527" s="22" t="n">
        <v>90</v>
      </c>
      <c r="AM527" s="7" t="s">
        <v>292</v>
      </c>
      <c r="AN527" s="22" t="s">
        <v>197</v>
      </c>
      <c r="AO527" s="22" t="n">
        <v>2</v>
      </c>
      <c r="AP527" s="22" t="n">
        <v>3</v>
      </c>
    </row>
    <row r="528" customFormat="false" ht="21.75" hidden="false" customHeight="true" outlineLevel="0" collapsed="false">
      <c r="B528" s="15" t="n">
        <v>524</v>
      </c>
      <c r="C528" s="9" t="s">
        <v>48</v>
      </c>
      <c r="D528" s="9" t="s">
        <v>20</v>
      </c>
      <c r="E528" s="9" t="s">
        <v>120</v>
      </c>
      <c r="F528" s="9" t="s">
        <v>67</v>
      </c>
      <c r="G528" s="9" t="s">
        <v>1434</v>
      </c>
      <c r="H528" s="9" t="s">
        <v>303</v>
      </c>
      <c r="I528" s="9" t="s">
        <v>1435</v>
      </c>
      <c r="J528" s="9" t="s">
        <v>1436</v>
      </c>
      <c r="K528" s="9" t="s">
        <v>1414</v>
      </c>
      <c r="L528" s="9" t="s">
        <v>1365</v>
      </c>
      <c r="M528" s="9" t="s">
        <v>542</v>
      </c>
      <c r="N528" s="9" t="s">
        <v>1437</v>
      </c>
      <c r="O528" s="9" t="s">
        <v>189</v>
      </c>
      <c r="P528" s="9" t="s">
        <v>190</v>
      </c>
      <c r="Q528" s="9" t="s">
        <v>1438</v>
      </c>
      <c r="R528" s="9" t="s">
        <v>545</v>
      </c>
      <c r="S528" s="9" t="s">
        <v>1369</v>
      </c>
      <c r="T528" s="9" t="s">
        <v>309</v>
      </c>
      <c r="U528" s="19" t="n">
        <v>19</v>
      </c>
      <c r="V528" s="9"/>
      <c r="W528" s="9"/>
      <c r="X528" s="9" t="s">
        <v>195</v>
      </c>
      <c r="Y528" s="23" t="n">
        <v>0</v>
      </c>
      <c r="Z528" s="23" t="n">
        <v>0</v>
      </c>
      <c r="AA528" s="23" t="s">
        <v>197</v>
      </c>
      <c r="AB528" s="9" t="s">
        <v>1365</v>
      </c>
      <c r="AC528" s="9" t="s">
        <v>1405</v>
      </c>
      <c r="AD528" s="23" t="s">
        <v>197</v>
      </c>
      <c r="AE528" s="23" t="s">
        <v>197</v>
      </c>
      <c r="AF528" s="23" t="s">
        <v>197</v>
      </c>
      <c r="AG528" s="23" t="s">
        <v>197</v>
      </c>
      <c r="AH528" s="23" t="s">
        <v>197</v>
      </c>
      <c r="AI528" s="23" t="s">
        <v>197</v>
      </c>
      <c r="AJ528" s="23" t="s">
        <v>197</v>
      </c>
      <c r="AK528" s="23" t="s">
        <v>197</v>
      </c>
      <c r="AL528" s="23" t="s">
        <v>197</v>
      </c>
      <c r="AM528" s="9" t="s">
        <v>310</v>
      </c>
      <c r="AN528" s="23" t="s">
        <v>197</v>
      </c>
      <c r="AO528" s="23" t="s">
        <v>197</v>
      </c>
      <c r="AP528" s="23" t="s">
        <v>197</v>
      </c>
    </row>
    <row r="529" customFormat="false" ht="21.75" hidden="false" customHeight="true" outlineLevel="0" collapsed="false">
      <c r="B529" s="14" t="n">
        <v>525</v>
      </c>
      <c r="C529" s="7" t="s">
        <v>48</v>
      </c>
      <c r="D529" s="7" t="s">
        <v>20</v>
      </c>
      <c r="E529" s="7" t="s">
        <v>120</v>
      </c>
      <c r="F529" s="7" t="s">
        <v>67</v>
      </c>
      <c r="G529" s="7" t="s">
        <v>1439</v>
      </c>
      <c r="H529" s="7" t="s">
        <v>312</v>
      </c>
      <c r="I529" s="7" t="s">
        <v>1435</v>
      </c>
      <c r="J529" s="7" t="s">
        <v>1436</v>
      </c>
      <c r="K529" s="7" t="s">
        <v>1414</v>
      </c>
      <c r="L529" s="7" t="s">
        <v>1365</v>
      </c>
      <c r="M529" s="7" t="s">
        <v>542</v>
      </c>
      <c r="N529" s="7" t="s">
        <v>1437</v>
      </c>
      <c r="O529" s="7" t="s">
        <v>189</v>
      </c>
      <c r="P529" s="7" t="s">
        <v>190</v>
      </c>
      <c r="Q529" s="7" t="s">
        <v>1438</v>
      </c>
      <c r="R529" s="7" t="s">
        <v>545</v>
      </c>
      <c r="S529" s="7" t="s">
        <v>1369</v>
      </c>
      <c r="T529" s="7" t="s">
        <v>309</v>
      </c>
      <c r="U529" s="18" t="n">
        <v>25</v>
      </c>
      <c r="V529" s="7"/>
      <c r="W529" s="7"/>
      <c r="X529" s="7" t="s">
        <v>199</v>
      </c>
      <c r="Y529" s="22" t="n">
        <v>0</v>
      </c>
      <c r="Z529" s="22" t="n">
        <v>0</v>
      </c>
      <c r="AA529" s="22" t="s">
        <v>197</v>
      </c>
      <c r="AB529" s="7" t="s">
        <v>1365</v>
      </c>
      <c r="AC529" s="7" t="s">
        <v>1405</v>
      </c>
      <c r="AD529" s="22" t="s">
        <v>197</v>
      </c>
      <c r="AE529" s="22" t="s">
        <v>197</v>
      </c>
      <c r="AF529" s="22" t="s">
        <v>197</v>
      </c>
      <c r="AG529" s="22" t="s">
        <v>197</v>
      </c>
      <c r="AH529" s="22" t="s">
        <v>197</v>
      </c>
      <c r="AI529" s="22" t="s">
        <v>197</v>
      </c>
      <c r="AJ529" s="22" t="s">
        <v>197</v>
      </c>
      <c r="AK529" s="22" t="s">
        <v>197</v>
      </c>
      <c r="AL529" s="22" t="s">
        <v>197</v>
      </c>
      <c r="AM529" s="7" t="s">
        <v>310</v>
      </c>
      <c r="AN529" s="22" t="s">
        <v>197</v>
      </c>
      <c r="AO529" s="22" t="s">
        <v>197</v>
      </c>
      <c r="AP529" s="22" t="s">
        <v>197</v>
      </c>
    </row>
    <row r="530" customFormat="false" ht="21.75" hidden="false" customHeight="true" outlineLevel="0" collapsed="false">
      <c r="B530" s="15" t="n">
        <v>526</v>
      </c>
      <c r="C530" s="9" t="s">
        <v>48</v>
      </c>
      <c r="D530" s="9" t="s">
        <v>20</v>
      </c>
      <c r="E530" s="9" t="s">
        <v>120</v>
      </c>
      <c r="F530" s="9" t="s">
        <v>67</v>
      </c>
      <c r="G530" s="9" t="s">
        <v>1440</v>
      </c>
      <c r="H530" s="9" t="s">
        <v>314</v>
      </c>
      <c r="I530" s="9" t="s">
        <v>1435</v>
      </c>
      <c r="J530" s="9" t="s">
        <v>1436</v>
      </c>
      <c r="K530" s="9" t="s">
        <v>1414</v>
      </c>
      <c r="L530" s="9" t="s">
        <v>1365</v>
      </c>
      <c r="M530" s="9" t="s">
        <v>542</v>
      </c>
      <c r="N530" s="9" t="s">
        <v>1437</v>
      </c>
      <c r="O530" s="9" t="s">
        <v>189</v>
      </c>
      <c r="P530" s="9" t="s">
        <v>190</v>
      </c>
      <c r="Q530" s="9" t="s">
        <v>1438</v>
      </c>
      <c r="R530" s="9" t="s">
        <v>545</v>
      </c>
      <c r="S530" s="9" t="s">
        <v>1369</v>
      </c>
      <c r="T530" s="9" t="s">
        <v>309</v>
      </c>
      <c r="U530" s="19" t="n">
        <v>35</v>
      </c>
      <c r="V530" s="9"/>
      <c r="W530" s="9"/>
      <c r="X530" s="9" t="s">
        <v>728</v>
      </c>
      <c r="Y530" s="23" t="n">
        <v>0</v>
      </c>
      <c r="Z530" s="23" t="n">
        <v>0</v>
      </c>
      <c r="AA530" s="23" t="s">
        <v>197</v>
      </c>
      <c r="AB530" s="9" t="s">
        <v>1365</v>
      </c>
      <c r="AC530" s="9" t="s">
        <v>1405</v>
      </c>
      <c r="AD530" s="23" t="s">
        <v>197</v>
      </c>
      <c r="AE530" s="23" t="s">
        <v>197</v>
      </c>
      <c r="AF530" s="23" t="s">
        <v>197</v>
      </c>
      <c r="AG530" s="23" t="s">
        <v>197</v>
      </c>
      <c r="AH530" s="23" t="s">
        <v>197</v>
      </c>
      <c r="AI530" s="23" t="s">
        <v>197</v>
      </c>
      <c r="AJ530" s="23" t="s">
        <v>197</v>
      </c>
      <c r="AK530" s="23" t="s">
        <v>197</v>
      </c>
      <c r="AL530" s="23" t="s">
        <v>197</v>
      </c>
      <c r="AM530" s="9" t="s">
        <v>310</v>
      </c>
      <c r="AN530" s="23" t="s">
        <v>197</v>
      </c>
      <c r="AO530" s="23" t="s">
        <v>197</v>
      </c>
      <c r="AP530" s="23" t="s">
        <v>197</v>
      </c>
    </row>
    <row r="531" customFormat="false" ht="21.75" hidden="false" customHeight="true" outlineLevel="0" collapsed="false">
      <c r="B531" s="14" t="n">
        <v>527</v>
      </c>
      <c r="C531" s="7" t="s">
        <v>48</v>
      </c>
      <c r="D531" s="7" t="s">
        <v>20</v>
      </c>
      <c r="E531" s="7" t="s">
        <v>120</v>
      </c>
      <c r="F531" s="7" t="s">
        <v>67</v>
      </c>
      <c r="G531" s="7" t="s">
        <v>1441</v>
      </c>
      <c r="H531" s="7" t="s">
        <v>317</v>
      </c>
      <c r="I531" s="7" t="s">
        <v>1435</v>
      </c>
      <c r="J531" s="7" t="s">
        <v>1436</v>
      </c>
      <c r="K531" s="7" t="s">
        <v>1414</v>
      </c>
      <c r="L531" s="7" t="s">
        <v>1365</v>
      </c>
      <c r="M531" s="7" t="s">
        <v>542</v>
      </c>
      <c r="N531" s="7" t="s">
        <v>1437</v>
      </c>
      <c r="O531" s="7" t="s">
        <v>189</v>
      </c>
      <c r="P531" s="7" t="s">
        <v>190</v>
      </c>
      <c r="Q531" s="7" t="s">
        <v>1438</v>
      </c>
      <c r="R531" s="7" t="s">
        <v>545</v>
      </c>
      <c r="S531" s="7" t="s">
        <v>1369</v>
      </c>
      <c r="T531" s="7" t="s">
        <v>309</v>
      </c>
      <c r="U531" s="18" t="n">
        <v>55</v>
      </c>
      <c r="V531" s="7"/>
      <c r="W531" s="7"/>
      <c r="X531" s="7" t="s">
        <v>203</v>
      </c>
      <c r="Y531" s="22" t="n">
        <v>0</v>
      </c>
      <c r="Z531" s="22" t="n">
        <v>0</v>
      </c>
      <c r="AA531" s="22" t="s">
        <v>197</v>
      </c>
      <c r="AB531" s="7" t="s">
        <v>1365</v>
      </c>
      <c r="AC531" s="7" t="s">
        <v>1405</v>
      </c>
      <c r="AD531" s="22" t="s">
        <v>197</v>
      </c>
      <c r="AE531" s="22" t="s">
        <v>197</v>
      </c>
      <c r="AF531" s="22" t="s">
        <v>197</v>
      </c>
      <c r="AG531" s="22" t="s">
        <v>197</v>
      </c>
      <c r="AH531" s="22" t="s">
        <v>197</v>
      </c>
      <c r="AI531" s="22" t="s">
        <v>197</v>
      </c>
      <c r="AJ531" s="22" t="s">
        <v>197</v>
      </c>
      <c r="AK531" s="22" t="s">
        <v>197</v>
      </c>
      <c r="AL531" s="22" t="s">
        <v>197</v>
      </c>
      <c r="AM531" s="7" t="s">
        <v>310</v>
      </c>
      <c r="AN531" s="22" t="s">
        <v>197</v>
      </c>
      <c r="AO531" s="22" t="s">
        <v>197</v>
      </c>
      <c r="AP531" s="22" t="s">
        <v>197</v>
      </c>
    </row>
    <row r="532" customFormat="false" ht="21.75" hidden="false" customHeight="true" outlineLevel="0" collapsed="false">
      <c r="B532" s="15" t="n">
        <v>528</v>
      </c>
      <c r="C532" s="9" t="s">
        <v>48</v>
      </c>
      <c r="D532" s="9" t="s">
        <v>20</v>
      </c>
      <c r="E532" s="9" t="s">
        <v>120</v>
      </c>
      <c r="F532" s="9" t="s">
        <v>67</v>
      </c>
      <c r="G532" s="9" t="s">
        <v>1442</v>
      </c>
      <c r="H532" s="9" t="s">
        <v>319</v>
      </c>
      <c r="I532" s="9" t="s">
        <v>1435</v>
      </c>
      <c r="J532" s="9" t="s">
        <v>1436</v>
      </c>
      <c r="K532" s="9" t="s">
        <v>1414</v>
      </c>
      <c r="L532" s="9" t="s">
        <v>1365</v>
      </c>
      <c r="M532" s="9" t="s">
        <v>542</v>
      </c>
      <c r="N532" s="9" t="s">
        <v>1437</v>
      </c>
      <c r="O532" s="9" t="s">
        <v>189</v>
      </c>
      <c r="P532" s="9" t="s">
        <v>190</v>
      </c>
      <c r="Q532" s="9" t="s">
        <v>1438</v>
      </c>
      <c r="R532" s="9" t="s">
        <v>545</v>
      </c>
      <c r="S532" s="9" t="s">
        <v>1369</v>
      </c>
      <c r="T532" s="9" t="s">
        <v>309</v>
      </c>
      <c r="U532" s="19" t="n">
        <v>80</v>
      </c>
      <c r="V532" s="9"/>
      <c r="W532" s="9"/>
      <c r="X532" s="9" t="s">
        <v>205</v>
      </c>
      <c r="Y532" s="23" t="n">
        <v>0</v>
      </c>
      <c r="Z532" s="23" t="n">
        <v>0</v>
      </c>
      <c r="AA532" s="23" t="s">
        <v>197</v>
      </c>
      <c r="AB532" s="9" t="s">
        <v>1365</v>
      </c>
      <c r="AC532" s="9" t="s">
        <v>1405</v>
      </c>
      <c r="AD532" s="23" t="s">
        <v>197</v>
      </c>
      <c r="AE532" s="23" t="s">
        <v>197</v>
      </c>
      <c r="AF532" s="23" t="s">
        <v>197</v>
      </c>
      <c r="AG532" s="23" t="s">
        <v>197</v>
      </c>
      <c r="AH532" s="23" t="s">
        <v>197</v>
      </c>
      <c r="AI532" s="23" t="s">
        <v>197</v>
      </c>
      <c r="AJ532" s="23" t="s">
        <v>197</v>
      </c>
      <c r="AK532" s="23" t="s">
        <v>197</v>
      </c>
      <c r="AL532" s="23" t="s">
        <v>197</v>
      </c>
      <c r="AM532" s="9" t="s">
        <v>310</v>
      </c>
      <c r="AN532" s="23" t="s">
        <v>197</v>
      </c>
      <c r="AO532" s="23" t="s">
        <v>197</v>
      </c>
      <c r="AP532" s="23" t="s">
        <v>197</v>
      </c>
    </row>
    <row r="533" customFormat="false" ht="21.75" hidden="false" customHeight="true" outlineLevel="0" collapsed="false">
      <c r="B533" s="14" t="n">
        <v>529</v>
      </c>
      <c r="C533" s="7" t="s">
        <v>48</v>
      </c>
      <c r="D533" s="7" t="s">
        <v>20</v>
      </c>
      <c r="E533" s="7" t="s">
        <v>120</v>
      </c>
      <c r="F533" s="7" t="s">
        <v>68</v>
      </c>
      <c r="G533" s="7" t="s">
        <v>391</v>
      </c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18"/>
      <c r="V533" s="7"/>
      <c r="W533" s="7"/>
      <c r="X533" s="7" t="s">
        <v>1443</v>
      </c>
      <c r="Y533" s="22" t="s">
        <v>197</v>
      </c>
      <c r="Z533" s="22" t="s">
        <v>197</v>
      </c>
      <c r="AA533" s="22" t="s">
        <v>197</v>
      </c>
      <c r="AB533" s="7" t="s">
        <v>197</v>
      </c>
      <c r="AC533" s="7" t="s">
        <v>197</v>
      </c>
      <c r="AD533" s="22" t="s">
        <v>197</v>
      </c>
      <c r="AE533" s="22" t="s">
        <v>197</v>
      </c>
      <c r="AF533" s="22" t="s">
        <v>197</v>
      </c>
      <c r="AG533" s="22" t="s">
        <v>197</v>
      </c>
      <c r="AH533" s="22" t="s">
        <v>197</v>
      </c>
      <c r="AI533" s="22" t="s">
        <v>197</v>
      </c>
      <c r="AJ533" s="22" t="s">
        <v>197</v>
      </c>
      <c r="AK533" s="22" t="s">
        <v>197</v>
      </c>
      <c r="AL533" s="22" t="s">
        <v>197</v>
      </c>
      <c r="AM533" s="7" t="s">
        <v>197</v>
      </c>
      <c r="AN533" s="22" t="s">
        <v>197</v>
      </c>
      <c r="AO533" s="22" t="s">
        <v>197</v>
      </c>
      <c r="AP533" s="22" t="s">
        <v>197</v>
      </c>
    </row>
    <row r="534" customFormat="false" ht="21.75" hidden="false" customHeight="true" outlineLevel="0" collapsed="false">
      <c r="B534" s="15" t="n">
        <v>530</v>
      </c>
      <c r="C534" s="9" t="s">
        <v>48</v>
      </c>
      <c r="D534" s="9" t="s">
        <v>20</v>
      </c>
      <c r="E534" s="9" t="s">
        <v>120</v>
      </c>
      <c r="F534" s="9" t="s">
        <v>69</v>
      </c>
      <c r="G534" s="9" t="s">
        <v>1444</v>
      </c>
      <c r="H534" s="9" t="s">
        <v>339</v>
      </c>
      <c r="I534" s="9" t="s">
        <v>1445</v>
      </c>
      <c r="J534" s="9" t="s">
        <v>1446</v>
      </c>
      <c r="K534" s="9" t="s">
        <v>342</v>
      </c>
      <c r="L534" s="9" t="s">
        <v>1365</v>
      </c>
      <c r="M534" s="9" t="s">
        <v>251</v>
      </c>
      <c r="N534" s="9" t="s">
        <v>566</v>
      </c>
      <c r="O534" s="9" t="s">
        <v>345</v>
      </c>
      <c r="P534" s="9" t="s">
        <v>190</v>
      </c>
      <c r="Q534" s="9" t="s">
        <v>346</v>
      </c>
      <c r="R534" s="9" t="s">
        <v>1447</v>
      </c>
      <c r="S534" s="9" t="s">
        <v>1369</v>
      </c>
      <c r="T534" s="9" t="s">
        <v>348</v>
      </c>
      <c r="U534" s="19" t="n">
        <v>25</v>
      </c>
      <c r="V534" s="9"/>
      <c r="W534" s="9"/>
      <c r="X534" s="9" t="s">
        <v>195</v>
      </c>
      <c r="Y534" s="23" t="n">
        <v>0.007</v>
      </c>
      <c r="Z534" s="23" t="n">
        <v>0.357</v>
      </c>
      <c r="AA534" s="23" t="n">
        <v>12</v>
      </c>
      <c r="AB534" s="9" t="s">
        <v>1365</v>
      </c>
      <c r="AC534" s="9" t="s">
        <v>1405</v>
      </c>
      <c r="AD534" s="23" t="s">
        <v>197</v>
      </c>
      <c r="AE534" s="23" t="s">
        <v>197</v>
      </c>
      <c r="AF534" s="23" t="s">
        <v>197</v>
      </c>
      <c r="AG534" s="23" t="s">
        <v>197</v>
      </c>
      <c r="AH534" s="23" t="s">
        <v>197</v>
      </c>
      <c r="AI534" s="23" t="s">
        <v>197</v>
      </c>
      <c r="AJ534" s="23" t="s">
        <v>197</v>
      </c>
      <c r="AK534" s="23" t="s">
        <v>197</v>
      </c>
      <c r="AL534" s="23" t="s">
        <v>197</v>
      </c>
      <c r="AM534" s="9" t="s">
        <v>197</v>
      </c>
      <c r="AN534" s="23" t="n">
        <v>18.1</v>
      </c>
      <c r="AO534" s="23" t="n">
        <v>2.5</v>
      </c>
      <c r="AP534" s="23" t="n">
        <v>4.5</v>
      </c>
    </row>
    <row r="535" customFormat="false" ht="21.75" hidden="false" customHeight="true" outlineLevel="0" collapsed="false">
      <c r="B535" s="14" t="n">
        <v>531</v>
      </c>
      <c r="C535" s="7" t="s">
        <v>48</v>
      </c>
      <c r="D535" s="7" t="s">
        <v>20</v>
      </c>
      <c r="E535" s="7" t="s">
        <v>120</v>
      </c>
      <c r="F535" s="7" t="s">
        <v>69</v>
      </c>
      <c r="G535" s="7" t="s">
        <v>1448</v>
      </c>
      <c r="H535" s="7" t="s">
        <v>350</v>
      </c>
      <c r="I535" s="7" t="s">
        <v>1445</v>
      </c>
      <c r="J535" s="7" t="s">
        <v>1446</v>
      </c>
      <c r="K535" s="7" t="s">
        <v>342</v>
      </c>
      <c r="L535" s="7" t="s">
        <v>1365</v>
      </c>
      <c r="M535" s="7" t="s">
        <v>251</v>
      </c>
      <c r="N535" s="7" t="s">
        <v>566</v>
      </c>
      <c r="O535" s="7" t="s">
        <v>345</v>
      </c>
      <c r="P535" s="7" t="s">
        <v>190</v>
      </c>
      <c r="Q535" s="7" t="s">
        <v>346</v>
      </c>
      <c r="R535" s="7" t="s">
        <v>1447</v>
      </c>
      <c r="S535" s="7" t="s">
        <v>1369</v>
      </c>
      <c r="T535" s="7" t="s">
        <v>348</v>
      </c>
      <c r="U535" s="18" t="n">
        <v>40</v>
      </c>
      <c r="V535" s="7"/>
      <c r="W535" s="7"/>
      <c r="X535" s="7" t="s">
        <v>199</v>
      </c>
      <c r="Y535" s="22" t="n">
        <v>0.01</v>
      </c>
      <c r="Z535" s="22" t="n">
        <v>0.465</v>
      </c>
      <c r="AA535" s="22" t="n">
        <v>12</v>
      </c>
      <c r="AB535" s="7" t="s">
        <v>1365</v>
      </c>
      <c r="AC535" s="7" t="s">
        <v>1405</v>
      </c>
      <c r="AD535" s="22" t="s">
        <v>197</v>
      </c>
      <c r="AE535" s="22" t="s">
        <v>197</v>
      </c>
      <c r="AF535" s="22" t="s">
        <v>197</v>
      </c>
      <c r="AG535" s="22" t="s">
        <v>197</v>
      </c>
      <c r="AH535" s="22" t="s">
        <v>197</v>
      </c>
      <c r="AI535" s="22" t="s">
        <v>197</v>
      </c>
      <c r="AJ535" s="22" t="s">
        <v>197</v>
      </c>
      <c r="AK535" s="22" t="s">
        <v>197</v>
      </c>
      <c r="AL535" s="22" t="s">
        <v>197</v>
      </c>
      <c r="AM535" s="7" t="s">
        <v>197</v>
      </c>
      <c r="AN535" s="22" t="n">
        <v>22.5</v>
      </c>
      <c r="AO535" s="22" t="n">
        <v>2.5</v>
      </c>
      <c r="AP535" s="22" t="n">
        <v>4.5</v>
      </c>
    </row>
    <row r="536" customFormat="false" ht="21.75" hidden="false" customHeight="true" outlineLevel="0" collapsed="false">
      <c r="B536" s="15" t="n">
        <v>532</v>
      </c>
      <c r="C536" s="9" t="s">
        <v>48</v>
      </c>
      <c r="D536" s="9" t="s">
        <v>20</v>
      </c>
      <c r="E536" s="9" t="s">
        <v>120</v>
      </c>
      <c r="F536" s="9" t="s">
        <v>69</v>
      </c>
      <c r="G536" s="9" t="s">
        <v>1449</v>
      </c>
      <c r="H536" s="9" t="s">
        <v>352</v>
      </c>
      <c r="I536" s="9" t="s">
        <v>1445</v>
      </c>
      <c r="J536" s="9" t="s">
        <v>1446</v>
      </c>
      <c r="K536" s="9" t="s">
        <v>342</v>
      </c>
      <c r="L536" s="9" t="s">
        <v>1365</v>
      </c>
      <c r="M536" s="9" t="s">
        <v>251</v>
      </c>
      <c r="N536" s="9" t="s">
        <v>566</v>
      </c>
      <c r="O536" s="9" t="s">
        <v>345</v>
      </c>
      <c r="P536" s="9" t="s">
        <v>190</v>
      </c>
      <c r="Q536" s="9" t="s">
        <v>346</v>
      </c>
      <c r="R536" s="9" t="s">
        <v>1447</v>
      </c>
      <c r="S536" s="9" t="s">
        <v>1369</v>
      </c>
      <c r="T536" s="9" t="s">
        <v>348</v>
      </c>
      <c r="U536" s="19" t="n">
        <v>55</v>
      </c>
      <c r="V536" s="9"/>
      <c r="W536" s="9"/>
      <c r="X536" s="9" t="s">
        <v>1450</v>
      </c>
      <c r="Y536" s="23" t="n">
        <v>0.008</v>
      </c>
      <c r="Z536" s="23" t="n">
        <v>0.378</v>
      </c>
      <c r="AA536" s="23" t="n">
        <v>12</v>
      </c>
      <c r="AB536" s="9" t="s">
        <v>1365</v>
      </c>
      <c r="AC536" s="9" t="s">
        <v>1405</v>
      </c>
      <c r="AD536" s="23" t="s">
        <v>197</v>
      </c>
      <c r="AE536" s="23" t="s">
        <v>197</v>
      </c>
      <c r="AF536" s="23" t="s">
        <v>197</v>
      </c>
      <c r="AG536" s="23" t="s">
        <v>197</v>
      </c>
      <c r="AH536" s="23" t="s">
        <v>197</v>
      </c>
      <c r="AI536" s="23" t="s">
        <v>197</v>
      </c>
      <c r="AJ536" s="23" t="s">
        <v>197</v>
      </c>
      <c r="AK536" s="23" t="s">
        <v>197</v>
      </c>
      <c r="AL536" s="23" t="s">
        <v>197</v>
      </c>
      <c r="AM536" s="9" t="s">
        <v>197</v>
      </c>
      <c r="AN536" s="23" t="n">
        <v>19</v>
      </c>
      <c r="AO536" s="23" t="n">
        <v>2.5</v>
      </c>
      <c r="AP536" s="23" t="n">
        <v>4.5</v>
      </c>
    </row>
    <row r="537" customFormat="false" ht="21.75" hidden="false" customHeight="true" outlineLevel="0" collapsed="false">
      <c r="B537" s="14" t="n">
        <v>533</v>
      </c>
      <c r="C537" s="7" t="s">
        <v>48</v>
      </c>
      <c r="D537" s="7" t="s">
        <v>20</v>
      </c>
      <c r="E537" s="7" t="s">
        <v>120</v>
      </c>
      <c r="F537" s="7" t="s">
        <v>69</v>
      </c>
      <c r="G537" s="7" t="s">
        <v>1451</v>
      </c>
      <c r="H537" s="7" t="s">
        <v>355</v>
      </c>
      <c r="I537" s="7" t="s">
        <v>1445</v>
      </c>
      <c r="J537" s="7" t="s">
        <v>1446</v>
      </c>
      <c r="K537" s="7" t="s">
        <v>342</v>
      </c>
      <c r="L537" s="7" t="s">
        <v>1365</v>
      </c>
      <c r="M537" s="7" t="s">
        <v>251</v>
      </c>
      <c r="N537" s="7" t="s">
        <v>566</v>
      </c>
      <c r="O537" s="7" t="s">
        <v>345</v>
      </c>
      <c r="P537" s="7" t="s">
        <v>190</v>
      </c>
      <c r="Q537" s="7" t="s">
        <v>346</v>
      </c>
      <c r="R537" s="7" t="s">
        <v>1447</v>
      </c>
      <c r="S537" s="7" t="s">
        <v>1369</v>
      </c>
      <c r="T537" s="7" t="s">
        <v>348</v>
      </c>
      <c r="U537" s="18" t="n">
        <v>80</v>
      </c>
      <c r="V537" s="7"/>
      <c r="W537" s="7"/>
      <c r="X537" s="7" t="s">
        <v>203</v>
      </c>
      <c r="Y537" s="22" t="n">
        <v>0.013</v>
      </c>
      <c r="Z537" s="22" t="n">
        <v>0.564</v>
      </c>
      <c r="AA537" s="22" t="n">
        <v>12</v>
      </c>
      <c r="AB537" s="7" t="s">
        <v>1365</v>
      </c>
      <c r="AC537" s="7" t="s">
        <v>1405</v>
      </c>
      <c r="AD537" s="22" t="s">
        <v>197</v>
      </c>
      <c r="AE537" s="22" t="s">
        <v>197</v>
      </c>
      <c r="AF537" s="22" t="s">
        <v>197</v>
      </c>
      <c r="AG537" s="22" t="s">
        <v>197</v>
      </c>
      <c r="AH537" s="22" t="s">
        <v>197</v>
      </c>
      <c r="AI537" s="22" t="s">
        <v>197</v>
      </c>
      <c r="AJ537" s="22" t="s">
        <v>197</v>
      </c>
      <c r="AK537" s="22" t="s">
        <v>197</v>
      </c>
      <c r="AL537" s="22" t="s">
        <v>197</v>
      </c>
      <c r="AM537" s="7" t="s">
        <v>197</v>
      </c>
      <c r="AN537" s="22" t="n">
        <v>26.5</v>
      </c>
      <c r="AO537" s="22" t="n">
        <v>2.5</v>
      </c>
      <c r="AP537" s="22" t="n">
        <v>4.5</v>
      </c>
    </row>
    <row r="538" customFormat="false" ht="21.75" hidden="false" customHeight="true" outlineLevel="0" collapsed="false">
      <c r="B538" s="15" t="n">
        <v>534</v>
      </c>
      <c r="C538" s="9" t="s">
        <v>48</v>
      </c>
      <c r="D538" s="9" t="s">
        <v>20</v>
      </c>
      <c r="E538" s="9" t="s">
        <v>120</v>
      </c>
      <c r="F538" s="9" t="s">
        <v>69</v>
      </c>
      <c r="G538" s="9" t="s">
        <v>1452</v>
      </c>
      <c r="H538" s="9" t="s">
        <v>357</v>
      </c>
      <c r="I538" s="9" t="s">
        <v>1445</v>
      </c>
      <c r="J538" s="9" t="s">
        <v>1446</v>
      </c>
      <c r="K538" s="9" t="s">
        <v>342</v>
      </c>
      <c r="L538" s="9" t="s">
        <v>1365</v>
      </c>
      <c r="M538" s="9" t="s">
        <v>251</v>
      </c>
      <c r="N538" s="9" t="s">
        <v>566</v>
      </c>
      <c r="O538" s="9" t="s">
        <v>345</v>
      </c>
      <c r="P538" s="9" t="s">
        <v>190</v>
      </c>
      <c r="Q538" s="9" t="s">
        <v>346</v>
      </c>
      <c r="R538" s="9" t="s">
        <v>1447</v>
      </c>
      <c r="S538" s="9" t="s">
        <v>1369</v>
      </c>
      <c r="T538" s="9" t="s">
        <v>348</v>
      </c>
      <c r="U538" s="19" t="n">
        <v>120</v>
      </c>
      <c r="V538" s="9"/>
      <c r="W538" s="9"/>
      <c r="X538" s="9" t="s">
        <v>205</v>
      </c>
      <c r="Y538" s="23" t="n">
        <v>0.006</v>
      </c>
      <c r="Z538" s="23" t="n">
        <v>0.334</v>
      </c>
      <c r="AA538" s="23" t="n">
        <v>12</v>
      </c>
      <c r="AB538" s="9" t="s">
        <v>1365</v>
      </c>
      <c r="AC538" s="9" t="s">
        <v>1405</v>
      </c>
      <c r="AD538" s="23" t="s">
        <v>197</v>
      </c>
      <c r="AE538" s="23" t="s">
        <v>197</v>
      </c>
      <c r="AF538" s="23" t="s">
        <v>197</v>
      </c>
      <c r="AG538" s="23" t="s">
        <v>197</v>
      </c>
      <c r="AH538" s="23" t="s">
        <v>197</v>
      </c>
      <c r="AI538" s="23" t="s">
        <v>197</v>
      </c>
      <c r="AJ538" s="23" t="s">
        <v>197</v>
      </c>
      <c r="AK538" s="23" t="s">
        <v>197</v>
      </c>
      <c r="AL538" s="23" t="s">
        <v>197</v>
      </c>
      <c r="AM538" s="9" t="s">
        <v>197</v>
      </c>
      <c r="AN538" s="23" t="n">
        <v>17.2</v>
      </c>
      <c r="AO538" s="23" t="n">
        <v>2.5</v>
      </c>
      <c r="AP538" s="23" t="n">
        <v>4.5</v>
      </c>
    </row>
    <row r="539" customFormat="false" ht="21.75" hidden="false" customHeight="true" outlineLevel="0" collapsed="false">
      <c r="B539" s="14" t="n">
        <v>535</v>
      </c>
      <c r="C539" s="7" t="s">
        <v>48</v>
      </c>
      <c r="D539" s="7" t="s">
        <v>20</v>
      </c>
      <c r="E539" s="7" t="s">
        <v>120</v>
      </c>
      <c r="F539" s="7" t="s">
        <v>70</v>
      </c>
      <c r="G539" s="7" t="s">
        <v>1453</v>
      </c>
      <c r="H539" s="7" t="s">
        <v>359</v>
      </c>
      <c r="I539" s="7" t="s">
        <v>752</v>
      </c>
      <c r="J539" s="7" t="s">
        <v>753</v>
      </c>
      <c r="K539" s="7" t="s">
        <v>342</v>
      </c>
      <c r="L539" s="7" t="s">
        <v>1365</v>
      </c>
      <c r="M539" s="7" t="s">
        <v>251</v>
      </c>
      <c r="N539" s="7" t="s">
        <v>754</v>
      </c>
      <c r="O539" s="7" t="s">
        <v>189</v>
      </c>
      <c r="P539" s="7" t="s">
        <v>190</v>
      </c>
      <c r="Q539" s="7" t="s">
        <v>1454</v>
      </c>
      <c r="R539" s="7" t="s">
        <v>1455</v>
      </c>
      <c r="S539" s="7" t="s">
        <v>1369</v>
      </c>
      <c r="T539" s="7" t="s">
        <v>275</v>
      </c>
      <c r="U539" s="18" t="n">
        <v>15</v>
      </c>
      <c r="V539" s="7"/>
      <c r="W539" s="7"/>
      <c r="X539" s="7" t="s">
        <v>195</v>
      </c>
      <c r="Y539" s="22" t="n">
        <v>0.003</v>
      </c>
      <c r="Z539" s="22" t="n">
        <v>0.2</v>
      </c>
      <c r="AA539" s="22" t="n">
        <v>12</v>
      </c>
      <c r="AB539" s="7" t="s">
        <v>1365</v>
      </c>
      <c r="AC539" s="7" t="s">
        <v>1405</v>
      </c>
      <c r="AD539" s="22" t="s">
        <v>197</v>
      </c>
      <c r="AE539" s="22" t="s">
        <v>197</v>
      </c>
      <c r="AF539" s="22" t="s">
        <v>197</v>
      </c>
      <c r="AG539" s="22" t="s">
        <v>197</v>
      </c>
      <c r="AH539" s="22" t="s">
        <v>197</v>
      </c>
      <c r="AI539" s="22" t="s">
        <v>197</v>
      </c>
      <c r="AJ539" s="22" t="s">
        <v>197</v>
      </c>
      <c r="AK539" s="22" t="s">
        <v>197</v>
      </c>
      <c r="AL539" s="22" t="s">
        <v>197</v>
      </c>
      <c r="AM539" s="7" t="s">
        <v>197</v>
      </c>
      <c r="AN539" s="22" t="n">
        <v>12</v>
      </c>
      <c r="AO539" s="22" t="n">
        <v>2</v>
      </c>
      <c r="AP539" s="22" t="n">
        <v>3</v>
      </c>
    </row>
    <row r="540" customFormat="false" ht="21.75" hidden="false" customHeight="true" outlineLevel="0" collapsed="false">
      <c r="B540" s="15" t="n">
        <v>536</v>
      </c>
      <c r="C540" s="9" t="s">
        <v>48</v>
      </c>
      <c r="D540" s="9" t="s">
        <v>20</v>
      </c>
      <c r="E540" s="9" t="s">
        <v>120</v>
      </c>
      <c r="F540" s="9" t="s">
        <v>70</v>
      </c>
      <c r="G540" s="9" t="s">
        <v>1456</v>
      </c>
      <c r="H540" s="9" t="s">
        <v>367</v>
      </c>
      <c r="I540" s="9" t="s">
        <v>752</v>
      </c>
      <c r="J540" s="9" t="s">
        <v>753</v>
      </c>
      <c r="K540" s="9" t="s">
        <v>342</v>
      </c>
      <c r="L540" s="9" t="s">
        <v>1365</v>
      </c>
      <c r="M540" s="9" t="s">
        <v>251</v>
      </c>
      <c r="N540" s="9" t="s">
        <v>754</v>
      </c>
      <c r="O540" s="9" t="s">
        <v>189</v>
      </c>
      <c r="P540" s="9" t="s">
        <v>190</v>
      </c>
      <c r="Q540" s="9" t="s">
        <v>1454</v>
      </c>
      <c r="R540" s="9" t="s">
        <v>1455</v>
      </c>
      <c r="S540" s="9" t="s">
        <v>1369</v>
      </c>
      <c r="T540" s="9" t="s">
        <v>275</v>
      </c>
      <c r="U540" s="19" t="n">
        <v>20</v>
      </c>
      <c r="V540" s="9"/>
      <c r="W540" s="9"/>
      <c r="X540" s="9" t="s">
        <v>199</v>
      </c>
      <c r="Y540" s="23" t="n">
        <v>0.001</v>
      </c>
      <c r="Z540" s="23" t="n">
        <v>0.152</v>
      </c>
      <c r="AA540" s="23" t="n">
        <v>12</v>
      </c>
      <c r="AB540" s="9" t="s">
        <v>1365</v>
      </c>
      <c r="AC540" s="9" t="s">
        <v>1405</v>
      </c>
      <c r="AD540" s="23" t="s">
        <v>197</v>
      </c>
      <c r="AE540" s="23" t="s">
        <v>197</v>
      </c>
      <c r="AF540" s="23" t="s">
        <v>197</v>
      </c>
      <c r="AG540" s="23" t="s">
        <v>197</v>
      </c>
      <c r="AH540" s="23" t="s">
        <v>197</v>
      </c>
      <c r="AI540" s="23" t="s">
        <v>197</v>
      </c>
      <c r="AJ540" s="23" t="s">
        <v>197</v>
      </c>
      <c r="AK540" s="23" t="s">
        <v>197</v>
      </c>
      <c r="AL540" s="23" t="s">
        <v>197</v>
      </c>
      <c r="AM540" s="9" t="s">
        <v>197</v>
      </c>
      <c r="AN540" s="23" t="n">
        <v>10.1</v>
      </c>
      <c r="AO540" s="23" t="n">
        <v>2</v>
      </c>
      <c r="AP540" s="23" t="n">
        <v>3</v>
      </c>
    </row>
    <row r="541" customFormat="false" ht="21.75" hidden="false" customHeight="true" outlineLevel="0" collapsed="false">
      <c r="B541" s="14" t="n">
        <v>537</v>
      </c>
      <c r="C541" s="7" t="s">
        <v>48</v>
      </c>
      <c r="D541" s="7" t="s">
        <v>20</v>
      </c>
      <c r="E541" s="7" t="s">
        <v>120</v>
      </c>
      <c r="F541" s="7" t="s">
        <v>70</v>
      </c>
      <c r="G541" s="7" t="s">
        <v>759</v>
      </c>
      <c r="H541" s="7" t="s">
        <v>369</v>
      </c>
      <c r="I541" s="7" t="s">
        <v>752</v>
      </c>
      <c r="J541" s="7" t="s">
        <v>753</v>
      </c>
      <c r="K541" s="7" t="s">
        <v>342</v>
      </c>
      <c r="L541" s="7" t="s">
        <v>1365</v>
      </c>
      <c r="M541" s="7" t="s">
        <v>251</v>
      </c>
      <c r="N541" s="7" t="s">
        <v>754</v>
      </c>
      <c r="O541" s="7" t="s">
        <v>189</v>
      </c>
      <c r="P541" s="7" t="s">
        <v>190</v>
      </c>
      <c r="Q541" s="7" t="s">
        <v>1454</v>
      </c>
      <c r="R541" s="7" t="s">
        <v>1455</v>
      </c>
      <c r="S541" s="7" t="s">
        <v>1369</v>
      </c>
      <c r="T541" s="7" t="s">
        <v>275</v>
      </c>
      <c r="U541" s="18" t="n">
        <v>30</v>
      </c>
      <c r="V541" s="7"/>
      <c r="W541" s="7"/>
      <c r="X541" s="7" t="s">
        <v>1457</v>
      </c>
      <c r="Y541" s="22" t="n">
        <v>0.005</v>
      </c>
      <c r="Z541" s="22" t="n">
        <v>0.263</v>
      </c>
      <c r="AA541" s="22" t="n">
        <v>12</v>
      </c>
      <c r="AB541" s="7" t="s">
        <v>1365</v>
      </c>
      <c r="AC541" s="7" t="s">
        <v>1405</v>
      </c>
      <c r="AD541" s="22" t="s">
        <v>197</v>
      </c>
      <c r="AE541" s="22" t="s">
        <v>197</v>
      </c>
      <c r="AF541" s="22" t="s">
        <v>197</v>
      </c>
      <c r="AG541" s="22" t="s">
        <v>197</v>
      </c>
      <c r="AH541" s="22" t="s">
        <v>197</v>
      </c>
      <c r="AI541" s="22" t="s">
        <v>197</v>
      </c>
      <c r="AJ541" s="22" t="s">
        <v>197</v>
      </c>
      <c r="AK541" s="22" t="s">
        <v>197</v>
      </c>
      <c r="AL541" s="22" t="s">
        <v>197</v>
      </c>
      <c r="AM541" s="7" t="s">
        <v>197</v>
      </c>
      <c r="AN541" s="22" t="n">
        <v>14.5</v>
      </c>
      <c r="AO541" s="22" t="n">
        <v>2</v>
      </c>
      <c r="AP541" s="22" t="n">
        <v>3</v>
      </c>
    </row>
    <row r="542" customFormat="false" ht="21.75" hidden="false" customHeight="true" outlineLevel="0" collapsed="false">
      <c r="B542" s="15" t="n">
        <v>538</v>
      </c>
      <c r="C542" s="9" t="s">
        <v>48</v>
      </c>
      <c r="D542" s="9" t="s">
        <v>20</v>
      </c>
      <c r="E542" s="9" t="s">
        <v>120</v>
      </c>
      <c r="F542" s="9" t="s">
        <v>70</v>
      </c>
      <c r="G542" s="9" t="s">
        <v>1458</v>
      </c>
      <c r="H542" s="9" t="s">
        <v>339</v>
      </c>
      <c r="I542" s="9" t="s">
        <v>752</v>
      </c>
      <c r="J542" s="9" t="s">
        <v>753</v>
      </c>
      <c r="K542" s="9" t="s">
        <v>342</v>
      </c>
      <c r="L542" s="9" t="s">
        <v>1365</v>
      </c>
      <c r="M542" s="9" t="s">
        <v>251</v>
      </c>
      <c r="N542" s="9" t="s">
        <v>754</v>
      </c>
      <c r="O542" s="9" t="s">
        <v>189</v>
      </c>
      <c r="P542" s="9" t="s">
        <v>190</v>
      </c>
      <c r="Q542" s="9" t="s">
        <v>1454</v>
      </c>
      <c r="R542" s="9" t="s">
        <v>1455</v>
      </c>
      <c r="S542" s="9" t="s">
        <v>1369</v>
      </c>
      <c r="T542" s="9" t="s">
        <v>275</v>
      </c>
      <c r="U542" s="19" t="n">
        <v>45</v>
      </c>
      <c r="V542" s="9"/>
      <c r="W542" s="9"/>
      <c r="X542" s="9" t="s">
        <v>203</v>
      </c>
      <c r="Y542" s="23" t="n">
        <v>0.008</v>
      </c>
      <c r="Z542" s="23" t="n">
        <v>0.357</v>
      </c>
      <c r="AA542" s="23" t="n">
        <v>12</v>
      </c>
      <c r="AB542" s="9" t="s">
        <v>1365</v>
      </c>
      <c r="AC542" s="9" t="s">
        <v>1405</v>
      </c>
      <c r="AD542" s="23" t="s">
        <v>197</v>
      </c>
      <c r="AE542" s="23" t="s">
        <v>197</v>
      </c>
      <c r="AF542" s="23" t="s">
        <v>197</v>
      </c>
      <c r="AG542" s="23" t="s">
        <v>197</v>
      </c>
      <c r="AH542" s="23" t="s">
        <v>197</v>
      </c>
      <c r="AI542" s="23" t="s">
        <v>197</v>
      </c>
      <c r="AJ542" s="23" t="s">
        <v>197</v>
      </c>
      <c r="AK542" s="23" t="s">
        <v>197</v>
      </c>
      <c r="AL542" s="23" t="s">
        <v>197</v>
      </c>
      <c r="AM542" s="9" t="s">
        <v>197</v>
      </c>
      <c r="AN542" s="23" t="n">
        <v>18.3</v>
      </c>
      <c r="AO542" s="23" t="n">
        <v>2</v>
      </c>
      <c r="AP542" s="23" t="n">
        <v>3</v>
      </c>
    </row>
    <row r="543" customFormat="false" ht="21.75" hidden="false" customHeight="true" outlineLevel="0" collapsed="false">
      <c r="B543" s="14" t="n">
        <v>539</v>
      </c>
      <c r="C543" s="7" t="s">
        <v>48</v>
      </c>
      <c r="D543" s="7" t="s">
        <v>20</v>
      </c>
      <c r="E543" s="7" t="s">
        <v>120</v>
      </c>
      <c r="F543" s="7" t="s">
        <v>70</v>
      </c>
      <c r="G543" s="7" t="s">
        <v>1459</v>
      </c>
      <c r="H543" s="7" t="s">
        <v>352</v>
      </c>
      <c r="I543" s="7" t="s">
        <v>752</v>
      </c>
      <c r="J543" s="7" t="s">
        <v>753</v>
      </c>
      <c r="K543" s="7" t="s">
        <v>342</v>
      </c>
      <c r="L543" s="7" t="s">
        <v>1365</v>
      </c>
      <c r="M543" s="7" t="s">
        <v>251</v>
      </c>
      <c r="N543" s="7" t="s">
        <v>754</v>
      </c>
      <c r="O543" s="7" t="s">
        <v>189</v>
      </c>
      <c r="P543" s="7" t="s">
        <v>190</v>
      </c>
      <c r="Q543" s="7" t="s">
        <v>1454</v>
      </c>
      <c r="R543" s="7" t="s">
        <v>1455</v>
      </c>
      <c r="S543" s="7" t="s">
        <v>1369</v>
      </c>
      <c r="T543" s="7" t="s">
        <v>275</v>
      </c>
      <c r="U543" s="18" t="n">
        <v>65</v>
      </c>
      <c r="V543" s="7"/>
      <c r="W543" s="7"/>
      <c r="X543" s="7" t="s">
        <v>205</v>
      </c>
      <c r="Y543" s="22" t="n">
        <v>0.006</v>
      </c>
      <c r="Z543" s="22" t="n">
        <v>0.286</v>
      </c>
      <c r="AA543" s="22" t="n">
        <v>12</v>
      </c>
      <c r="AB543" s="7" t="s">
        <v>1365</v>
      </c>
      <c r="AC543" s="7" t="s">
        <v>1405</v>
      </c>
      <c r="AD543" s="22" t="s">
        <v>197</v>
      </c>
      <c r="AE543" s="22" t="s">
        <v>197</v>
      </c>
      <c r="AF543" s="22" t="s">
        <v>197</v>
      </c>
      <c r="AG543" s="22" t="s">
        <v>197</v>
      </c>
      <c r="AH543" s="22" t="s">
        <v>197</v>
      </c>
      <c r="AI543" s="22" t="s">
        <v>197</v>
      </c>
      <c r="AJ543" s="22" t="s">
        <v>197</v>
      </c>
      <c r="AK543" s="22" t="s">
        <v>197</v>
      </c>
      <c r="AL543" s="22" t="s">
        <v>197</v>
      </c>
      <c r="AM543" s="7" t="s">
        <v>197</v>
      </c>
      <c r="AN543" s="22" t="n">
        <v>15.5</v>
      </c>
      <c r="AO543" s="22" t="n">
        <v>2</v>
      </c>
      <c r="AP543" s="22" t="n">
        <v>3</v>
      </c>
    </row>
    <row r="544" customFormat="false" ht="21.75" hidden="false" customHeight="true" outlineLevel="0" collapsed="false">
      <c r="B544" s="15" t="n">
        <v>540</v>
      </c>
      <c r="C544" s="9" t="s">
        <v>48</v>
      </c>
      <c r="D544" s="9" t="s">
        <v>20</v>
      </c>
      <c r="E544" s="9" t="s">
        <v>120</v>
      </c>
      <c r="F544" s="9" t="s">
        <v>71</v>
      </c>
      <c r="G544" s="9" t="s">
        <v>1460</v>
      </c>
      <c r="H544" s="9" t="s">
        <v>374</v>
      </c>
      <c r="I544" s="9" t="s">
        <v>1461</v>
      </c>
      <c r="J544" s="9" t="s">
        <v>1462</v>
      </c>
      <c r="K544" s="9" t="s">
        <v>1463</v>
      </c>
      <c r="L544" s="9" t="s">
        <v>1365</v>
      </c>
      <c r="M544" s="9" t="s">
        <v>235</v>
      </c>
      <c r="N544" s="9" t="s">
        <v>236</v>
      </c>
      <c r="O544" s="9" t="s">
        <v>189</v>
      </c>
      <c r="P544" s="9" t="s">
        <v>190</v>
      </c>
      <c r="Q544" s="9" t="s">
        <v>1464</v>
      </c>
      <c r="R544" s="9" t="s">
        <v>838</v>
      </c>
      <c r="S544" s="9" t="s">
        <v>1369</v>
      </c>
      <c r="T544" s="9" t="s">
        <v>1465</v>
      </c>
      <c r="U544" s="19" t="n">
        <v>55</v>
      </c>
      <c r="V544" s="9"/>
      <c r="W544" s="9"/>
      <c r="X544" s="9" t="s">
        <v>195</v>
      </c>
      <c r="Y544" s="23" t="n">
        <v>0.057</v>
      </c>
      <c r="Z544" s="23" t="n">
        <v>0.244</v>
      </c>
      <c r="AA544" s="23" t="n">
        <v>12</v>
      </c>
      <c r="AB544" s="9" t="s">
        <v>1365</v>
      </c>
      <c r="AC544" s="9" t="s">
        <v>1395</v>
      </c>
      <c r="AD544" s="23" t="s">
        <v>197</v>
      </c>
      <c r="AE544" s="23" t="s">
        <v>197</v>
      </c>
      <c r="AF544" s="23" t="s">
        <v>197</v>
      </c>
      <c r="AG544" s="23" t="s">
        <v>197</v>
      </c>
      <c r="AH544" s="23" t="s">
        <v>197</v>
      </c>
      <c r="AI544" s="23" t="s">
        <v>197</v>
      </c>
      <c r="AJ544" s="23" t="s">
        <v>197</v>
      </c>
      <c r="AK544" s="23" t="s">
        <v>197</v>
      </c>
      <c r="AL544" s="23" t="s">
        <v>197</v>
      </c>
      <c r="AM544" s="9" t="s">
        <v>197</v>
      </c>
      <c r="AN544" s="23" t="s">
        <v>197</v>
      </c>
      <c r="AO544" s="23" t="s">
        <v>197</v>
      </c>
      <c r="AP544" s="23" t="s">
        <v>197</v>
      </c>
    </row>
    <row r="545" customFormat="false" ht="21.75" hidden="false" customHeight="true" outlineLevel="0" collapsed="false">
      <c r="B545" s="14" t="n">
        <v>541</v>
      </c>
      <c r="C545" s="7" t="s">
        <v>48</v>
      </c>
      <c r="D545" s="7" t="s">
        <v>20</v>
      </c>
      <c r="E545" s="7" t="s">
        <v>120</v>
      </c>
      <c r="F545" s="7" t="s">
        <v>71</v>
      </c>
      <c r="G545" s="7" t="s">
        <v>1466</v>
      </c>
      <c r="H545" s="7" t="s">
        <v>383</v>
      </c>
      <c r="I545" s="7" t="s">
        <v>1461</v>
      </c>
      <c r="J545" s="7" t="s">
        <v>1462</v>
      </c>
      <c r="K545" s="7" t="s">
        <v>1463</v>
      </c>
      <c r="L545" s="7" t="s">
        <v>1365</v>
      </c>
      <c r="M545" s="7" t="s">
        <v>235</v>
      </c>
      <c r="N545" s="7" t="s">
        <v>236</v>
      </c>
      <c r="O545" s="7" t="s">
        <v>189</v>
      </c>
      <c r="P545" s="7" t="s">
        <v>190</v>
      </c>
      <c r="Q545" s="7" t="s">
        <v>1464</v>
      </c>
      <c r="R545" s="7" t="s">
        <v>838</v>
      </c>
      <c r="S545" s="7" t="s">
        <v>1369</v>
      </c>
      <c r="T545" s="7" t="s">
        <v>1465</v>
      </c>
      <c r="U545" s="18" t="n">
        <v>80</v>
      </c>
      <c r="V545" s="7"/>
      <c r="W545" s="7"/>
      <c r="X545" s="7" t="s">
        <v>199</v>
      </c>
      <c r="Y545" s="22" t="n">
        <v>0.076</v>
      </c>
      <c r="Z545" s="22" t="n">
        <v>0.29</v>
      </c>
      <c r="AA545" s="22" t="n">
        <v>12</v>
      </c>
      <c r="AB545" s="7" t="s">
        <v>1365</v>
      </c>
      <c r="AC545" s="7" t="s">
        <v>1395</v>
      </c>
      <c r="AD545" s="22" t="s">
        <v>197</v>
      </c>
      <c r="AE545" s="22" t="s">
        <v>197</v>
      </c>
      <c r="AF545" s="22" t="s">
        <v>197</v>
      </c>
      <c r="AG545" s="22" t="s">
        <v>197</v>
      </c>
      <c r="AH545" s="22" t="s">
        <v>197</v>
      </c>
      <c r="AI545" s="22" t="s">
        <v>197</v>
      </c>
      <c r="AJ545" s="22" t="s">
        <v>197</v>
      </c>
      <c r="AK545" s="22" t="s">
        <v>197</v>
      </c>
      <c r="AL545" s="22" t="s">
        <v>197</v>
      </c>
      <c r="AM545" s="7" t="s">
        <v>197</v>
      </c>
      <c r="AN545" s="22" t="s">
        <v>197</v>
      </c>
      <c r="AO545" s="22" t="s">
        <v>197</v>
      </c>
      <c r="AP545" s="22" t="s">
        <v>197</v>
      </c>
    </row>
    <row r="546" customFormat="false" ht="21.75" hidden="false" customHeight="true" outlineLevel="0" collapsed="false">
      <c r="B546" s="15" t="n">
        <v>542</v>
      </c>
      <c r="C546" s="9" t="s">
        <v>48</v>
      </c>
      <c r="D546" s="9" t="s">
        <v>20</v>
      </c>
      <c r="E546" s="9" t="s">
        <v>120</v>
      </c>
      <c r="F546" s="9" t="s">
        <v>71</v>
      </c>
      <c r="G546" s="9" t="s">
        <v>1467</v>
      </c>
      <c r="H546" s="9" t="s">
        <v>385</v>
      </c>
      <c r="I546" s="9" t="s">
        <v>1461</v>
      </c>
      <c r="J546" s="9" t="s">
        <v>1462</v>
      </c>
      <c r="K546" s="9" t="s">
        <v>1463</v>
      </c>
      <c r="L546" s="9" t="s">
        <v>1365</v>
      </c>
      <c r="M546" s="9" t="s">
        <v>235</v>
      </c>
      <c r="N546" s="9" t="s">
        <v>236</v>
      </c>
      <c r="O546" s="9" t="s">
        <v>189</v>
      </c>
      <c r="P546" s="9" t="s">
        <v>190</v>
      </c>
      <c r="Q546" s="9" t="s">
        <v>1464</v>
      </c>
      <c r="R546" s="9" t="s">
        <v>838</v>
      </c>
      <c r="S546" s="9" t="s">
        <v>1369</v>
      </c>
      <c r="T546" s="9" t="s">
        <v>1465</v>
      </c>
      <c r="U546" s="19" t="n">
        <v>110</v>
      </c>
      <c r="V546" s="9"/>
      <c r="W546" s="9"/>
      <c r="X546" s="9" t="s">
        <v>1468</v>
      </c>
      <c r="Y546" s="23" t="n">
        <v>0.094</v>
      </c>
      <c r="Z546" s="23" t="n">
        <v>0.334</v>
      </c>
      <c r="AA546" s="23" t="n">
        <v>12</v>
      </c>
      <c r="AB546" s="9" t="s">
        <v>1365</v>
      </c>
      <c r="AC546" s="9" t="s">
        <v>1395</v>
      </c>
      <c r="AD546" s="23" t="s">
        <v>197</v>
      </c>
      <c r="AE546" s="23" t="s">
        <v>197</v>
      </c>
      <c r="AF546" s="23" t="s">
        <v>197</v>
      </c>
      <c r="AG546" s="23" t="s">
        <v>197</v>
      </c>
      <c r="AH546" s="23" t="s">
        <v>197</v>
      </c>
      <c r="AI546" s="23" t="s">
        <v>197</v>
      </c>
      <c r="AJ546" s="23" t="s">
        <v>197</v>
      </c>
      <c r="AK546" s="23" t="s">
        <v>197</v>
      </c>
      <c r="AL546" s="23" t="s">
        <v>197</v>
      </c>
      <c r="AM546" s="9" t="s">
        <v>197</v>
      </c>
      <c r="AN546" s="23" t="s">
        <v>197</v>
      </c>
      <c r="AO546" s="23" t="s">
        <v>197</v>
      </c>
      <c r="AP546" s="23" t="s">
        <v>197</v>
      </c>
    </row>
    <row r="547" customFormat="false" ht="21.75" hidden="false" customHeight="true" outlineLevel="0" collapsed="false">
      <c r="B547" s="14" t="n">
        <v>543</v>
      </c>
      <c r="C547" s="7" t="s">
        <v>48</v>
      </c>
      <c r="D547" s="7" t="s">
        <v>20</v>
      </c>
      <c r="E547" s="7" t="s">
        <v>120</v>
      </c>
      <c r="F547" s="7" t="s">
        <v>71</v>
      </c>
      <c r="G547" s="7" t="s">
        <v>1469</v>
      </c>
      <c r="H547" s="7" t="s">
        <v>388</v>
      </c>
      <c r="I547" s="7" t="s">
        <v>1461</v>
      </c>
      <c r="J547" s="7" t="s">
        <v>1462</v>
      </c>
      <c r="K547" s="7" t="s">
        <v>1463</v>
      </c>
      <c r="L547" s="7" t="s">
        <v>1365</v>
      </c>
      <c r="M547" s="7" t="s">
        <v>235</v>
      </c>
      <c r="N547" s="7" t="s">
        <v>236</v>
      </c>
      <c r="O547" s="7" t="s">
        <v>189</v>
      </c>
      <c r="P547" s="7" t="s">
        <v>190</v>
      </c>
      <c r="Q547" s="7" t="s">
        <v>1464</v>
      </c>
      <c r="R547" s="7" t="s">
        <v>838</v>
      </c>
      <c r="S547" s="7" t="s">
        <v>1369</v>
      </c>
      <c r="T547" s="7" t="s">
        <v>1465</v>
      </c>
      <c r="U547" s="18" t="n">
        <v>165</v>
      </c>
      <c r="V547" s="7"/>
      <c r="W547" s="7"/>
      <c r="X547" s="7" t="s">
        <v>203</v>
      </c>
      <c r="Y547" s="22" t="n">
        <v>0.075</v>
      </c>
      <c r="Z547" s="22" t="n">
        <v>0.286</v>
      </c>
      <c r="AA547" s="22" t="n">
        <v>12</v>
      </c>
      <c r="AB547" s="7" t="s">
        <v>1365</v>
      </c>
      <c r="AC547" s="7" t="s">
        <v>1395</v>
      </c>
      <c r="AD547" s="22" t="s">
        <v>197</v>
      </c>
      <c r="AE547" s="22" t="s">
        <v>197</v>
      </c>
      <c r="AF547" s="22" t="s">
        <v>197</v>
      </c>
      <c r="AG547" s="22" t="s">
        <v>197</v>
      </c>
      <c r="AH547" s="22" t="s">
        <v>197</v>
      </c>
      <c r="AI547" s="22" t="s">
        <v>197</v>
      </c>
      <c r="AJ547" s="22" t="s">
        <v>197</v>
      </c>
      <c r="AK547" s="22" t="s">
        <v>197</v>
      </c>
      <c r="AL547" s="22" t="s">
        <v>197</v>
      </c>
      <c r="AM547" s="7" t="s">
        <v>197</v>
      </c>
      <c r="AN547" s="22" t="s">
        <v>197</v>
      </c>
      <c r="AO547" s="22" t="s">
        <v>197</v>
      </c>
      <c r="AP547" s="22" t="s">
        <v>197</v>
      </c>
    </row>
    <row r="548" customFormat="false" ht="21.75" hidden="false" customHeight="true" outlineLevel="0" collapsed="false">
      <c r="B548" s="15" t="n">
        <v>544</v>
      </c>
      <c r="C548" s="9" t="s">
        <v>48</v>
      </c>
      <c r="D548" s="9" t="s">
        <v>20</v>
      </c>
      <c r="E548" s="9" t="s">
        <v>120</v>
      </c>
      <c r="F548" s="9" t="s">
        <v>71</v>
      </c>
      <c r="G548" s="9" t="s">
        <v>1470</v>
      </c>
      <c r="H548" s="9" t="s">
        <v>390</v>
      </c>
      <c r="I548" s="9" t="s">
        <v>1461</v>
      </c>
      <c r="J548" s="9" t="s">
        <v>1462</v>
      </c>
      <c r="K548" s="9" t="s">
        <v>1463</v>
      </c>
      <c r="L548" s="9" t="s">
        <v>1365</v>
      </c>
      <c r="M548" s="9" t="s">
        <v>235</v>
      </c>
      <c r="N548" s="9" t="s">
        <v>236</v>
      </c>
      <c r="O548" s="9" t="s">
        <v>189</v>
      </c>
      <c r="P548" s="9" t="s">
        <v>190</v>
      </c>
      <c r="Q548" s="9" t="s">
        <v>1464</v>
      </c>
      <c r="R548" s="9" t="s">
        <v>838</v>
      </c>
      <c r="S548" s="9" t="s">
        <v>1369</v>
      </c>
      <c r="T548" s="9" t="s">
        <v>1465</v>
      </c>
      <c r="U548" s="19" t="n">
        <v>240</v>
      </c>
      <c r="V548" s="9"/>
      <c r="W548" s="9"/>
      <c r="X548" s="9" t="s">
        <v>205</v>
      </c>
      <c r="Y548" s="23" t="n">
        <v>0.088</v>
      </c>
      <c r="Z548" s="23" t="n">
        <v>0.321</v>
      </c>
      <c r="AA548" s="23" t="n">
        <v>12</v>
      </c>
      <c r="AB548" s="9" t="s">
        <v>1365</v>
      </c>
      <c r="AC548" s="9" t="s">
        <v>1395</v>
      </c>
      <c r="AD548" s="23" t="s">
        <v>197</v>
      </c>
      <c r="AE548" s="23" t="s">
        <v>197</v>
      </c>
      <c r="AF548" s="23" t="s">
        <v>197</v>
      </c>
      <c r="AG548" s="23" t="s">
        <v>197</v>
      </c>
      <c r="AH548" s="23" t="s">
        <v>197</v>
      </c>
      <c r="AI548" s="23" t="s">
        <v>197</v>
      </c>
      <c r="AJ548" s="23" t="s">
        <v>197</v>
      </c>
      <c r="AK548" s="23" t="s">
        <v>197</v>
      </c>
      <c r="AL548" s="23" t="s">
        <v>197</v>
      </c>
      <c r="AM548" s="9" t="s">
        <v>197</v>
      </c>
      <c r="AN548" s="23" t="s">
        <v>197</v>
      </c>
      <c r="AO548" s="23" t="s">
        <v>197</v>
      </c>
      <c r="AP548" s="23" t="s">
        <v>197</v>
      </c>
    </row>
    <row r="549" customFormat="false" ht="21.75" hidden="false" customHeight="true" outlineLevel="0" collapsed="false">
      <c r="B549" s="14" t="n">
        <v>545</v>
      </c>
      <c r="C549" s="7" t="s">
        <v>48</v>
      </c>
      <c r="D549" s="7" t="s">
        <v>20</v>
      </c>
      <c r="E549" s="7" t="s">
        <v>120</v>
      </c>
      <c r="F549" s="7" t="s">
        <v>72</v>
      </c>
      <c r="G549" s="7" t="s">
        <v>1471</v>
      </c>
      <c r="H549" s="7" t="s">
        <v>1198</v>
      </c>
      <c r="I549" s="7" t="s">
        <v>1472</v>
      </c>
      <c r="J549" s="7" t="s">
        <v>1473</v>
      </c>
      <c r="K549" s="7" t="s">
        <v>1414</v>
      </c>
      <c r="L549" s="7" t="s">
        <v>1365</v>
      </c>
      <c r="M549" s="7" t="s">
        <v>1474</v>
      </c>
      <c r="N549" s="7" t="s">
        <v>1475</v>
      </c>
      <c r="O549" s="7" t="s">
        <v>998</v>
      </c>
      <c r="P549" s="7" t="s">
        <v>190</v>
      </c>
      <c r="Q549" s="7" t="s">
        <v>1426</v>
      </c>
      <c r="R549" s="7" t="s">
        <v>1476</v>
      </c>
      <c r="S549" s="7" t="s">
        <v>1369</v>
      </c>
      <c r="T549" s="7" t="s">
        <v>1001</v>
      </c>
      <c r="U549" s="18" t="n">
        <v>60</v>
      </c>
      <c r="V549" s="7"/>
      <c r="W549" s="7"/>
      <c r="X549" s="7" t="s">
        <v>195</v>
      </c>
      <c r="Y549" s="22" t="n">
        <v>0.046</v>
      </c>
      <c r="Z549" s="22" t="n">
        <v>0.058</v>
      </c>
      <c r="AA549" s="22" t="n">
        <v>12</v>
      </c>
      <c r="AB549" s="7" t="s">
        <v>1365</v>
      </c>
      <c r="AC549" s="7" t="s">
        <v>1415</v>
      </c>
      <c r="AD549" s="22" t="s">
        <v>197</v>
      </c>
      <c r="AE549" s="22" t="s">
        <v>197</v>
      </c>
      <c r="AF549" s="22" t="s">
        <v>197</v>
      </c>
      <c r="AG549" s="22" t="s">
        <v>197</v>
      </c>
      <c r="AH549" s="22" t="s">
        <v>197</v>
      </c>
      <c r="AI549" s="22" t="s">
        <v>197</v>
      </c>
      <c r="AJ549" s="22" t="s">
        <v>197</v>
      </c>
      <c r="AK549" s="22" t="n">
        <v>40</v>
      </c>
      <c r="AL549" s="22" t="s">
        <v>197</v>
      </c>
      <c r="AM549" s="7" t="s">
        <v>1203</v>
      </c>
      <c r="AN549" s="22" t="s">
        <v>197</v>
      </c>
      <c r="AO549" s="22" t="n">
        <v>0.5</v>
      </c>
      <c r="AP549" s="22" t="n">
        <v>2.5</v>
      </c>
    </row>
    <row r="550" customFormat="false" ht="21.75" hidden="false" customHeight="true" outlineLevel="0" collapsed="false">
      <c r="B550" s="15" t="n">
        <v>546</v>
      </c>
      <c r="C550" s="9" t="s">
        <v>48</v>
      </c>
      <c r="D550" s="9" t="s">
        <v>20</v>
      </c>
      <c r="E550" s="9" t="s">
        <v>120</v>
      </c>
      <c r="F550" s="9" t="s">
        <v>72</v>
      </c>
      <c r="G550" s="9" t="s">
        <v>1477</v>
      </c>
      <c r="H550" s="9" t="s">
        <v>1205</v>
      </c>
      <c r="I550" s="9" t="s">
        <v>1472</v>
      </c>
      <c r="J550" s="9" t="s">
        <v>1473</v>
      </c>
      <c r="K550" s="9" t="s">
        <v>1414</v>
      </c>
      <c r="L550" s="9" t="s">
        <v>1365</v>
      </c>
      <c r="M550" s="9" t="s">
        <v>1474</v>
      </c>
      <c r="N550" s="9" t="s">
        <v>1475</v>
      </c>
      <c r="O550" s="9" t="s">
        <v>998</v>
      </c>
      <c r="P550" s="9" t="s">
        <v>190</v>
      </c>
      <c r="Q550" s="9" t="s">
        <v>1426</v>
      </c>
      <c r="R550" s="9" t="s">
        <v>1476</v>
      </c>
      <c r="S550" s="9" t="s">
        <v>1369</v>
      </c>
      <c r="T550" s="9" t="s">
        <v>1001</v>
      </c>
      <c r="U550" s="19" t="n">
        <v>95</v>
      </c>
      <c r="V550" s="9"/>
      <c r="W550" s="9"/>
      <c r="X550" s="9" t="s">
        <v>199</v>
      </c>
      <c r="Y550" s="23" t="n">
        <v>0.056</v>
      </c>
      <c r="Z550" s="23" t="n">
        <v>0.069</v>
      </c>
      <c r="AA550" s="23" t="n">
        <v>12</v>
      </c>
      <c r="AB550" s="9" t="s">
        <v>1365</v>
      </c>
      <c r="AC550" s="9" t="s">
        <v>1415</v>
      </c>
      <c r="AD550" s="23" t="s">
        <v>197</v>
      </c>
      <c r="AE550" s="23" t="s">
        <v>197</v>
      </c>
      <c r="AF550" s="23" t="s">
        <v>197</v>
      </c>
      <c r="AG550" s="23" t="s">
        <v>197</v>
      </c>
      <c r="AH550" s="23" t="s">
        <v>197</v>
      </c>
      <c r="AI550" s="23" t="s">
        <v>197</v>
      </c>
      <c r="AJ550" s="23" t="s">
        <v>197</v>
      </c>
      <c r="AK550" s="23" t="n">
        <v>60</v>
      </c>
      <c r="AL550" s="23" t="s">
        <v>197</v>
      </c>
      <c r="AM550" s="9" t="s">
        <v>1203</v>
      </c>
      <c r="AN550" s="23" t="s">
        <v>197</v>
      </c>
      <c r="AO550" s="23" t="n">
        <v>0.5</v>
      </c>
      <c r="AP550" s="23" t="n">
        <v>2.5</v>
      </c>
    </row>
    <row r="551" customFormat="false" ht="21.75" hidden="false" customHeight="true" outlineLevel="0" collapsed="false">
      <c r="B551" s="14" t="n">
        <v>547</v>
      </c>
      <c r="C551" s="7" t="s">
        <v>48</v>
      </c>
      <c r="D551" s="7" t="s">
        <v>20</v>
      </c>
      <c r="E551" s="7" t="s">
        <v>120</v>
      </c>
      <c r="F551" s="7" t="s">
        <v>72</v>
      </c>
      <c r="G551" s="7" t="s">
        <v>1478</v>
      </c>
      <c r="H551" s="7" t="s">
        <v>1207</v>
      </c>
      <c r="I551" s="7" t="s">
        <v>1472</v>
      </c>
      <c r="J551" s="7" t="s">
        <v>1473</v>
      </c>
      <c r="K551" s="7" t="s">
        <v>1414</v>
      </c>
      <c r="L551" s="7" t="s">
        <v>1365</v>
      </c>
      <c r="M551" s="7" t="s">
        <v>1474</v>
      </c>
      <c r="N551" s="7" t="s">
        <v>1475</v>
      </c>
      <c r="O551" s="7" t="s">
        <v>998</v>
      </c>
      <c r="P551" s="7" t="s">
        <v>190</v>
      </c>
      <c r="Q551" s="7" t="s">
        <v>1426</v>
      </c>
      <c r="R551" s="7" t="s">
        <v>1476</v>
      </c>
      <c r="S551" s="7" t="s">
        <v>1369</v>
      </c>
      <c r="T551" s="7" t="s">
        <v>1001</v>
      </c>
      <c r="U551" s="18" t="n">
        <v>125</v>
      </c>
      <c r="V551" s="7"/>
      <c r="W551" s="7"/>
      <c r="X551" s="7" t="s">
        <v>1479</v>
      </c>
      <c r="Y551" s="22" t="n">
        <v>0.045</v>
      </c>
      <c r="Z551" s="22" t="n">
        <v>0.057</v>
      </c>
      <c r="AA551" s="22" t="n">
        <v>12</v>
      </c>
      <c r="AB551" s="7" t="s">
        <v>1365</v>
      </c>
      <c r="AC551" s="7" t="s">
        <v>1415</v>
      </c>
      <c r="AD551" s="22" t="s">
        <v>197</v>
      </c>
      <c r="AE551" s="22" t="s">
        <v>197</v>
      </c>
      <c r="AF551" s="22" t="s">
        <v>197</v>
      </c>
      <c r="AG551" s="22" t="s">
        <v>197</v>
      </c>
      <c r="AH551" s="22" t="s">
        <v>197</v>
      </c>
      <c r="AI551" s="22" t="s">
        <v>197</v>
      </c>
      <c r="AJ551" s="22" t="s">
        <v>197</v>
      </c>
      <c r="AK551" s="22" t="n">
        <v>100</v>
      </c>
      <c r="AL551" s="22" t="s">
        <v>197</v>
      </c>
      <c r="AM551" s="7" t="s">
        <v>1203</v>
      </c>
      <c r="AN551" s="22" t="s">
        <v>197</v>
      </c>
      <c r="AO551" s="22" t="n">
        <v>0.5</v>
      </c>
      <c r="AP551" s="22" t="n">
        <v>2.5</v>
      </c>
    </row>
    <row r="552" customFormat="false" ht="21.75" hidden="false" customHeight="true" outlineLevel="0" collapsed="false">
      <c r="B552" s="15" t="n">
        <v>548</v>
      </c>
      <c r="C552" s="9" t="s">
        <v>48</v>
      </c>
      <c r="D552" s="9" t="s">
        <v>20</v>
      </c>
      <c r="E552" s="9" t="s">
        <v>120</v>
      </c>
      <c r="F552" s="9" t="s">
        <v>72</v>
      </c>
      <c r="G552" s="9" t="s">
        <v>1480</v>
      </c>
      <c r="H552" s="9" t="s">
        <v>1210</v>
      </c>
      <c r="I552" s="9" t="s">
        <v>1472</v>
      </c>
      <c r="J552" s="9" t="s">
        <v>1473</v>
      </c>
      <c r="K552" s="9" t="s">
        <v>1414</v>
      </c>
      <c r="L552" s="9" t="s">
        <v>1365</v>
      </c>
      <c r="M552" s="9" t="s">
        <v>1474</v>
      </c>
      <c r="N552" s="9" t="s">
        <v>1475</v>
      </c>
      <c r="O552" s="9" t="s">
        <v>998</v>
      </c>
      <c r="P552" s="9" t="s">
        <v>190</v>
      </c>
      <c r="Q552" s="9" t="s">
        <v>1426</v>
      </c>
      <c r="R552" s="9" t="s">
        <v>1476</v>
      </c>
      <c r="S552" s="9" t="s">
        <v>1369</v>
      </c>
      <c r="T552" s="9" t="s">
        <v>1001</v>
      </c>
      <c r="U552" s="19" t="n">
        <v>190</v>
      </c>
      <c r="V552" s="9"/>
      <c r="W552" s="9"/>
      <c r="X552" s="9" t="s">
        <v>203</v>
      </c>
      <c r="Y552" s="23" t="n">
        <v>0.05</v>
      </c>
      <c r="Z552" s="23" t="n">
        <v>0.062</v>
      </c>
      <c r="AA552" s="23" t="n">
        <v>12</v>
      </c>
      <c r="AB552" s="9" t="s">
        <v>1365</v>
      </c>
      <c r="AC552" s="9" t="s">
        <v>1415</v>
      </c>
      <c r="AD552" s="23" t="s">
        <v>197</v>
      </c>
      <c r="AE552" s="23" t="s">
        <v>197</v>
      </c>
      <c r="AF552" s="23" t="s">
        <v>197</v>
      </c>
      <c r="AG552" s="23" t="s">
        <v>197</v>
      </c>
      <c r="AH552" s="23" t="s">
        <v>197</v>
      </c>
      <c r="AI552" s="23" t="s">
        <v>197</v>
      </c>
      <c r="AJ552" s="23" t="s">
        <v>197</v>
      </c>
      <c r="AK552" s="23" t="n">
        <v>200</v>
      </c>
      <c r="AL552" s="23" t="s">
        <v>197</v>
      </c>
      <c r="AM552" s="9" t="s">
        <v>1203</v>
      </c>
      <c r="AN552" s="23" t="s">
        <v>197</v>
      </c>
      <c r="AO552" s="23" t="n">
        <v>0.5</v>
      </c>
      <c r="AP552" s="23" t="n">
        <v>2.5</v>
      </c>
    </row>
    <row r="553" customFormat="false" ht="21.75" hidden="false" customHeight="true" outlineLevel="0" collapsed="false">
      <c r="B553" s="14" t="n">
        <v>549</v>
      </c>
      <c r="C553" s="7" t="s">
        <v>48</v>
      </c>
      <c r="D553" s="7" t="s">
        <v>20</v>
      </c>
      <c r="E553" s="7" t="s">
        <v>120</v>
      </c>
      <c r="F553" s="7" t="s">
        <v>72</v>
      </c>
      <c r="G553" s="7" t="s">
        <v>1481</v>
      </c>
      <c r="H553" s="7" t="s">
        <v>1212</v>
      </c>
      <c r="I553" s="7" t="s">
        <v>1472</v>
      </c>
      <c r="J553" s="7" t="s">
        <v>1473</v>
      </c>
      <c r="K553" s="7" t="s">
        <v>1414</v>
      </c>
      <c r="L553" s="7" t="s">
        <v>1365</v>
      </c>
      <c r="M553" s="7" t="s">
        <v>1474</v>
      </c>
      <c r="N553" s="7" t="s">
        <v>1475</v>
      </c>
      <c r="O553" s="7" t="s">
        <v>998</v>
      </c>
      <c r="P553" s="7" t="s">
        <v>190</v>
      </c>
      <c r="Q553" s="7" t="s">
        <v>1426</v>
      </c>
      <c r="R553" s="7" t="s">
        <v>1476</v>
      </c>
      <c r="S553" s="7" t="s">
        <v>1369</v>
      </c>
      <c r="T553" s="7" t="s">
        <v>1001</v>
      </c>
      <c r="U553" s="18" t="n">
        <v>280</v>
      </c>
      <c r="V553" s="7"/>
      <c r="W553" s="7"/>
      <c r="X553" s="7" t="s">
        <v>205</v>
      </c>
      <c r="Y553" s="22" t="n">
        <v>0.05</v>
      </c>
      <c r="Z553" s="22" t="n">
        <v>0.063</v>
      </c>
      <c r="AA553" s="22" t="n">
        <v>12</v>
      </c>
      <c r="AB553" s="7" t="s">
        <v>1365</v>
      </c>
      <c r="AC553" s="7" t="s">
        <v>1415</v>
      </c>
      <c r="AD553" s="22" t="s">
        <v>197</v>
      </c>
      <c r="AE553" s="22" t="s">
        <v>197</v>
      </c>
      <c r="AF553" s="22" t="s">
        <v>197</v>
      </c>
      <c r="AG553" s="22" t="s">
        <v>197</v>
      </c>
      <c r="AH553" s="22" t="s">
        <v>197</v>
      </c>
      <c r="AI553" s="22" t="s">
        <v>197</v>
      </c>
      <c r="AJ553" s="22" t="s">
        <v>197</v>
      </c>
      <c r="AK553" s="22" t="n">
        <v>300</v>
      </c>
      <c r="AL553" s="22" t="s">
        <v>197</v>
      </c>
      <c r="AM553" s="7" t="s">
        <v>1203</v>
      </c>
      <c r="AN553" s="22" t="s">
        <v>197</v>
      </c>
      <c r="AO553" s="22" t="n">
        <v>0.5</v>
      </c>
      <c r="AP553" s="22" t="n">
        <v>2.5</v>
      </c>
    </row>
    <row r="554" customFormat="false" ht="21.75" hidden="false" customHeight="true" outlineLevel="0" collapsed="false">
      <c r="B554" s="15" t="n">
        <v>550</v>
      </c>
      <c r="C554" s="9" t="s">
        <v>48</v>
      </c>
      <c r="D554" s="9" t="s">
        <v>20</v>
      </c>
      <c r="E554" s="9" t="s">
        <v>120</v>
      </c>
      <c r="F554" s="9" t="s">
        <v>73</v>
      </c>
      <c r="G554" s="9" t="s">
        <v>1482</v>
      </c>
      <c r="H554" s="9" t="s">
        <v>394</v>
      </c>
      <c r="I554" s="9" t="s">
        <v>1483</v>
      </c>
      <c r="J554" s="9" t="s">
        <v>1484</v>
      </c>
      <c r="K554" s="9" t="s">
        <v>1393</v>
      </c>
      <c r="L554" s="9" t="s">
        <v>1365</v>
      </c>
      <c r="M554" s="9" t="s">
        <v>235</v>
      </c>
      <c r="N554" s="9" t="s">
        <v>778</v>
      </c>
      <c r="O554" s="9" t="s">
        <v>189</v>
      </c>
      <c r="P554" s="9" t="s">
        <v>190</v>
      </c>
      <c r="Q554" s="9" t="s">
        <v>1485</v>
      </c>
      <c r="R554" s="9" t="s">
        <v>1486</v>
      </c>
      <c r="S554" s="9" t="s">
        <v>1369</v>
      </c>
      <c r="T554" s="9" t="s">
        <v>1487</v>
      </c>
      <c r="U554" s="19" t="n">
        <v>30</v>
      </c>
      <c r="V554" s="9"/>
      <c r="W554" s="9"/>
      <c r="X554" s="9" t="s">
        <v>195</v>
      </c>
      <c r="Y554" s="23" t="n">
        <v>0.043</v>
      </c>
      <c r="Z554" s="23" t="n">
        <v>0.068</v>
      </c>
      <c r="AA554" s="23" t="n">
        <v>12</v>
      </c>
      <c r="AB554" s="9" t="s">
        <v>1365</v>
      </c>
      <c r="AC554" s="9" t="s">
        <v>1395</v>
      </c>
      <c r="AD554" s="23" t="s">
        <v>197</v>
      </c>
      <c r="AE554" s="23" t="s">
        <v>197</v>
      </c>
      <c r="AF554" s="23" t="s">
        <v>197</v>
      </c>
      <c r="AG554" s="23" t="n">
        <v>4</v>
      </c>
      <c r="AH554" s="23" t="s">
        <v>197</v>
      </c>
      <c r="AI554" s="23" t="s">
        <v>197</v>
      </c>
      <c r="AJ554" s="23" t="s">
        <v>197</v>
      </c>
      <c r="AK554" s="23" t="s">
        <v>197</v>
      </c>
      <c r="AL554" s="23" t="s">
        <v>197</v>
      </c>
      <c r="AM554" s="9" t="s">
        <v>197</v>
      </c>
      <c r="AN554" s="23" t="s">
        <v>197</v>
      </c>
      <c r="AO554" s="23" t="s">
        <v>197</v>
      </c>
      <c r="AP554" s="23" t="s">
        <v>197</v>
      </c>
    </row>
    <row r="555" customFormat="false" ht="21.75" hidden="false" customHeight="true" outlineLevel="0" collapsed="false">
      <c r="B555" s="14" t="n">
        <v>551</v>
      </c>
      <c r="C555" s="7" t="s">
        <v>48</v>
      </c>
      <c r="D555" s="7" t="s">
        <v>20</v>
      </c>
      <c r="E555" s="7" t="s">
        <v>120</v>
      </c>
      <c r="F555" s="7" t="s">
        <v>73</v>
      </c>
      <c r="G555" s="7" t="s">
        <v>1488</v>
      </c>
      <c r="H555" s="7" t="s">
        <v>402</v>
      </c>
      <c r="I555" s="7" t="s">
        <v>1483</v>
      </c>
      <c r="J555" s="7" t="s">
        <v>1484</v>
      </c>
      <c r="K555" s="7" t="s">
        <v>1393</v>
      </c>
      <c r="L555" s="7" t="s">
        <v>1365</v>
      </c>
      <c r="M555" s="7" t="s">
        <v>235</v>
      </c>
      <c r="N555" s="7" t="s">
        <v>778</v>
      </c>
      <c r="O555" s="7" t="s">
        <v>189</v>
      </c>
      <c r="P555" s="7" t="s">
        <v>190</v>
      </c>
      <c r="Q555" s="7" t="s">
        <v>1485</v>
      </c>
      <c r="R555" s="7" t="s">
        <v>1486</v>
      </c>
      <c r="S555" s="7" t="s">
        <v>1369</v>
      </c>
      <c r="T555" s="7" t="s">
        <v>1487</v>
      </c>
      <c r="U555" s="18" t="n">
        <v>45</v>
      </c>
      <c r="V555" s="7"/>
      <c r="W555" s="7"/>
      <c r="X555" s="7" t="s">
        <v>199</v>
      </c>
      <c r="Y555" s="22" t="n">
        <v>0.042</v>
      </c>
      <c r="Z555" s="22" t="n">
        <v>0.066</v>
      </c>
      <c r="AA555" s="22" t="n">
        <v>12</v>
      </c>
      <c r="AB555" s="7" t="s">
        <v>1365</v>
      </c>
      <c r="AC555" s="7" t="s">
        <v>1395</v>
      </c>
      <c r="AD555" s="22" t="s">
        <v>197</v>
      </c>
      <c r="AE555" s="22" t="s">
        <v>197</v>
      </c>
      <c r="AF555" s="22" t="s">
        <v>197</v>
      </c>
      <c r="AG555" s="22" t="n">
        <v>8</v>
      </c>
      <c r="AH555" s="22" t="s">
        <v>197</v>
      </c>
      <c r="AI555" s="22" t="s">
        <v>197</v>
      </c>
      <c r="AJ555" s="22" t="s">
        <v>197</v>
      </c>
      <c r="AK555" s="22" t="s">
        <v>197</v>
      </c>
      <c r="AL555" s="22" t="s">
        <v>197</v>
      </c>
      <c r="AM555" s="7" t="s">
        <v>197</v>
      </c>
      <c r="AN555" s="22" t="s">
        <v>197</v>
      </c>
      <c r="AO555" s="22" t="s">
        <v>197</v>
      </c>
      <c r="AP555" s="22" t="s">
        <v>197</v>
      </c>
    </row>
    <row r="556" customFormat="false" ht="21.75" hidden="false" customHeight="true" outlineLevel="0" collapsed="false">
      <c r="B556" s="15" t="n">
        <v>552</v>
      </c>
      <c r="C556" s="9" t="s">
        <v>48</v>
      </c>
      <c r="D556" s="9" t="s">
        <v>20</v>
      </c>
      <c r="E556" s="9" t="s">
        <v>120</v>
      </c>
      <c r="F556" s="9" t="s">
        <v>73</v>
      </c>
      <c r="G556" s="9" t="s">
        <v>1489</v>
      </c>
      <c r="H556" s="9" t="s">
        <v>404</v>
      </c>
      <c r="I556" s="9" t="s">
        <v>1483</v>
      </c>
      <c r="J556" s="9" t="s">
        <v>1484</v>
      </c>
      <c r="K556" s="9" t="s">
        <v>1393</v>
      </c>
      <c r="L556" s="9" t="s">
        <v>1365</v>
      </c>
      <c r="M556" s="9" t="s">
        <v>235</v>
      </c>
      <c r="N556" s="9" t="s">
        <v>778</v>
      </c>
      <c r="O556" s="9" t="s">
        <v>189</v>
      </c>
      <c r="P556" s="9" t="s">
        <v>190</v>
      </c>
      <c r="Q556" s="9" t="s">
        <v>1485</v>
      </c>
      <c r="R556" s="9" t="s">
        <v>1486</v>
      </c>
      <c r="S556" s="9" t="s">
        <v>1369</v>
      </c>
      <c r="T556" s="9" t="s">
        <v>1487</v>
      </c>
      <c r="U556" s="19" t="n">
        <v>65</v>
      </c>
      <c r="V556" s="9"/>
      <c r="W556" s="9"/>
      <c r="X556" s="9" t="s">
        <v>1490</v>
      </c>
      <c r="Y556" s="23" t="n">
        <v>0.045</v>
      </c>
      <c r="Z556" s="23" t="n">
        <v>0.07</v>
      </c>
      <c r="AA556" s="23" t="n">
        <v>12</v>
      </c>
      <c r="AB556" s="9" t="s">
        <v>1365</v>
      </c>
      <c r="AC556" s="9" t="s">
        <v>1395</v>
      </c>
      <c r="AD556" s="23" t="s">
        <v>197</v>
      </c>
      <c r="AE556" s="23" t="s">
        <v>197</v>
      </c>
      <c r="AF556" s="23" t="s">
        <v>197</v>
      </c>
      <c r="AG556" s="23" t="n">
        <v>8</v>
      </c>
      <c r="AH556" s="23" t="s">
        <v>197</v>
      </c>
      <c r="AI556" s="23" t="s">
        <v>197</v>
      </c>
      <c r="AJ556" s="23" t="s">
        <v>197</v>
      </c>
      <c r="AK556" s="23" t="s">
        <v>197</v>
      </c>
      <c r="AL556" s="23" t="s">
        <v>197</v>
      </c>
      <c r="AM556" s="9" t="s">
        <v>197</v>
      </c>
      <c r="AN556" s="23" t="s">
        <v>197</v>
      </c>
      <c r="AO556" s="23" t="s">
        <v>197</v>
      </c>
      <c r="AP556" s="23" t="s">
        <v>197</v>
      </c>
    </row>
    <row r="557" customFormat="false" ht="21.75" hidden="false" customHeight="true" outlineLevel="0" collapsed="false">
      <c r="B557" s="14" t="n">
        <v>553</v>
      </c>
      <c r="C557" s="7" t="s">
        <v>48</v>
      </c>
      <c r="D557" s="7" t="s">
        <v>20</v>
      </c>
      <c r="E557" s="7" t="s">
        <v>120</v>
      </c>
      <c r="F557" s="7" t="s">
        <v>73</v>
      </c>
      <c r="G557" s="7" t="s">
        <v>1491</v>
      </c>
      <c r="H557" s="7" t="s">
        <v>407</v>
      </c>
      <c r="I557" s="7" t="s">
        <v>1483</v>
      </c>
      <c r="J557" s="7" t="s">
        <v>1484</v>
      </c>
      <c r="K557" s="7" t="s">
        <v>1393</v>
      </c>
      <c r="L557" s="7" t="s">
        <v>1365</v>
      </c>
      <c r="M557" s="7" t="s">
        <v>235</v>
      </c>
      <c r="N557" s="7" t="s">
        <v>778</v>
      </c>
      <c r="O557" s="7" t="s">
        <v>189</v>
      </c>
      <c r="P557" s="7" t="s">
        <v>190</v>
      </c>
      <c r="Q557" s="7" t="s">
        <v>1485</v>
      </c>
      <c r="R557" s="7" t="s">
        <v>1486</v>
      </c>
      <c r="S557" s="7" t="s">
        <v>1369</v>
      </c>
      <c r="T557" s="7" t="s">
        <v>1487</v>
      </c>
      <c r="U557" s="18" t="n">
        <v>95</v>
      </c>
      <c r="V557" s="7"/>
      <c r="W557" s="7"/>
      <c r="X557" s="7" t="s">
        <v>203</v>
      </c>
      <c r="Y557" s="22" t="n">
        <v>0.04</v>
      </c>
      <c r="Z557" s="22" t="n">
        <v>0.063</v>
      </c>
      <c r="AA557" s="22" t="n">
        <v>12</v>
      </c>
      <c r="AB557" s="7" t="s">
        <v>1365</v>
      </c>
      <c r="AC557" s="7" t="s">
        <v>1395</v>
      </c>
      <c r="AD557" s="22" t="s">
        <v>197</v>
      </c>
      <c r="AE557" s="22" t="s">
        <v>197</v>
      </c>
      <c r="AF557" s="22" t="s">
        <v>197</v>
      </c>
      <c r="AG557" s="22" t="n">
        <v>16</v>
      </c>
      <c r="AH557" s="22" t="s">
        <v>197</v>
      </c>
      <c r="AI557" s="22" t="s">
        <v>197</v>
      </c>
      <c r="AJ557" s="22" t="s">
        <v>197</v>
      </c>
      <c r="AK557" s="22" t="s">
        <v>197</v>
      </c>
      <c r="AL557" s="22" t="s">
        <v>197</v>
      </c>
      <c r="AM557" s="7" t="s">
        <v>197</v>
      </c>
      <c r="AN557" s="22" t="s">
        <v>197</v>
      </c>
      <c r="AO557" s="22" t="s">
        <v>197</v>
      </c>
      <c r="AP557" s="22" t="s">
        <v>197</v>
      </c>
    </row>
    <row r="558" customFormat="false" ht="21.75" hidden="false" customHeight="true" outlineLevel="0" collapsed="false">
      <c r="B558" s="15" t="n">
        <v>554</v>
      </c>
      <c r="C558" s="9" t="s">
        <v>48</v>
      </c>
      <c r="D558" s="9" t="s">
        <v>20</v>
      </c>
      <c r="E558" s="9" t="s">
        <v>120</v>
      </c>
      <c r="F558" s="9" t="s">
        <v>73</v>
      </c>
      <c r="G558" s="9" t="s">
        <v>1492</v>
      </c>
      <c r="H558" s="9" t="s">
        <v>409</v>
      </c>
      <c r="I558" s="9" t="s">
        <v>1483</v>
      </c>
      <c r="J558" s="9" t="s">
        <v>1484</v>
      </c>
      <c r="K558" s="9" t="s">
        <v>1393</v>
      </c>
      <c r="L558" s="9" t="s">
        <v>1365</v>
      </c>
      <c r="M558" s="9" t="s">
        <v>235</v>
      </c>
      <c r="N558" s="9" t="s">
        <v>778</v>
      </c>
      <c r="O558" s="9" t="s">
        <v>189</v>
      </c>
      <c r="P558" s="9" t="s">
        <v>190</v>
      </c>
      <c r="Q558" s="9" t="s">
        <v>1485</v>
      </c>
      <c r="R558" s="9" t="s">
        <v>1486</v>
      </c>
      <c r="S558" s="9" t="s">
        <v>1369</v>
      </c>
      <c r="T558" s="9" t="s">
        <v>1487</v>
      </c>
      <c r="U558" s="19" t="n">
        <v>140</v>
      </c>
      <c r="V558" s="9"/>
      <c r="W558" s="9"/>
      <c r="X558" s="9" t="s">
        <v>205</v>
      </c>
      <c r="Y558" s="23" t="n">
        <v>0.057</v>
      </c>
      <c r="Z558" s="23" t="n">
        <v>0.086</v>
      </c>
      <c r="AA558" s="23" t="n">
        <v>12</v>
      </c>
      <c r="AB558" s="9" t="s">
        <v>1365</v>
      </c>
      <c r="AC558" s="9" t="s">
        <v>1395</v>
      </c>
      <c r="AD558" s="23" t="s">
        <v>197</v>
      </c>
      <c r="AE558" s="23" t="s">
        <v>197</v>
      </c>
      <c r="AF558" s="23" t="s">
        <v>197</v>
      </c>
      <c r="AG558" s="23" t="n">
        <v>16</v>
      </c>
      <c r="AH558" s="23" t="s">
        <v>197</v>
      </c>
      <c r="AI558" s="23" t="s">
        <v>197</v>
      </c>
      <c r="AJ558" s="23" t="s">
        <v>197</v>
      </c>
      <c r="AK558" s="23" t="s">
        <v>197</v>
      </c>
      <c r="AL558" s="23" t="s">
        <v>197</v>
      </c>
      <c r="AM558" s="9" t="s">
        <v>197</v>
      </c>
      <c r="AN558" s="23" t="s">
        <v>197</v>
      </c>
      <c r="AO558" s="23" t="s">
        <v>197</v>
      </c>
      <c r="AP558" s="23" t="s">
        <v>197</v>
      </c>
    </row>
    <row r="559" customFormat="false" ht="21.75" hidden="false" customHeight="true" outlineLevel="0" collapsed="false">
      <c r="B559" s="14" t="n">
        <v>555</v>
      </c>
      <c r="C559" s="7" t="s">
        <v>48</v>
      </c>
      <c r="D559" s="7" t="s">
        <v>20</v>
      </c>
      <c r="E559" s="7" t="s">
        <v>120</v>
      </c>
      <c r="F559" s="7" t="s">
        <v>74</v>
      </c>
      <c r="G559" s="7" t="s">
        <v>391</v>
      </c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18"/>
      <c r="V559" s="7"/>
      <c r="W559" s="7"/>
      <c r="X559" s="7" t="s">
        <v>1493</v>
      </c>
      <c r="Y559" s="22" t="s">
        <v>197</v>
      </c>
      <c r="Z559" s="22" t="s">
        <v>197</v>
      </c>
      <c r="AA559" s="22" t="s">
        <v>197</v>
      </c>
      <c r="AB559" s="7" t="s">
        <v>197</v>
      </c>
      <c r="AC559" s="7" t="s">
        <v>197</v>
      </c>
      <c r="AD559" s="22" t="s">
        <v>197</v>
      </c>
      <c r="AE559" s="22" t="s">
        <v>197</v>
      </c>
      <c r="AF559" s="22" t="s">
        <v>197</v>
      </c>
      <c r="AG559" s="22" t="s">
        <v>197</v>
      </c>
      <c r="AH559" s="22" t="s">
        <v>197</v>
      </c>
      <c r="AI559" s="22" t="s">
        <v>197</v>
      </c>
      <c r="AJ559" s="22" t="s">
        <v>197</v>
      </c>
      <c r="AK559" s="22" t="s">
        <v>197</v>
      </c>
      <c r="AL559" s="22" t="s">
        <v>197</v>
      </c>
      <c r="AM559" s="7" t="s">
        <v>197</v>
      </c>
      <c r="AN559" s="22" t="s">
        <v>197</v>
      </c>
      <c r="AO559" s="22" t="s">
        <v>197</v>
      </c>
      <c r="AP559" s="22" t="s">
        <v>197</v>
      </c>
    </row>
    <row r="560" customFormat="false" ht="21.75" hidden="false" customHeight="true" outlineLevel="0" collapsed="false">
      <c r="B560" s="15" t="n">
        <v>556</v>
      </c>
      <c r="C560" s="9" t="s">
        <v>48</v>
      </c>
      <c r="D560" s="9" t="s">
        <v>20</v>
      </c>
      <c r="E560" s="9" t="s">
        <v>120</v>
      </c>
      <c r="F560" s="9" t="s">
        <v>75</v>
      </c>
      <c r="G560" s="9" t="s">
        <v>391</v>
      </c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19"/>
      <c r="V560" s="9"/>
      <c r="W560" s="9"/>
      <c r="X560" s="9" t="s">
        <v>1494</v>
      </c>
      <c r="Y560" s="23" t="s">
        <v>197</v>
      </c>
      <c r="Z560" s="23" t="s">
        <v>197</v>
      </c>
      <c r="AA560" s="23" t="s">
        <v>197</v>
      </c>
      <c r="AB560" s="9" t="s">
        <v>197</v>
      </c>
      <c r="AC560" s="9" t="s">
        <v>197</v>
      </c>
      <c r="AD560" s="23" t="s">
        <v>197</v>
      </c>
      <c r="AE560" s="23" t="s">
        <v>197</v>
      </c>
      <c r="AF560" s="23" t="s">
        <v>197</v>
      </c>
      <c r="AG560" s="23" t="s">
        <v>197</v>
      </c>
      <c r="AH560" s="23" t="s">
        <v>197</v>
      </c>
      <c r="AI560" s="23" t="s">
        <v>197</v>
      </c>
      <c r="AJ560" s="23" t="s">
        <v>197</v>
      </c>
      <c r="AK560" s="23" t="s">
        <v>197</v>
      </c>
      <c r="AL560" s="23" t="s">
        <v>197</v>
      </c>
      <c r="AM560" s="9" t="s">
        <v>197</v>
      </c>
      <c r="AN560" s="23" t="s">
        <v>197</v>
      </c>
      <c r="AO560" s="23" t="s">
        <v>197</v>
      </c>
      <c r="AP560" s="23" t="s">
        <v>197</v>
      </c>
    </row>
    <row r="561" customFormat="false" ht="21.75" hidden="false" customHeight="true" outlineLevel="0" collapsed="false">
      <c r="B561" s="14" t="n">
        <v>557</v>
      </c>
      <c r="C561" s="7" t="s">
        <v>49</v>
      </c>
      <c r="D561" s="7" t="s">
        <v>23</v>
      </c>
      <c r="E561" s="7" t="s">
        <v>120</v>
      </c>
      <c r="F561" s="7" t="s">
        <v>60</v>
      </c>
      <c r="G561" s="7" t="s">
        <v>1495</v>
      </c>
      <c r="H561" s="7" t="s">
        <v>651</v>
      </c>
      <c r="I561" s="7" t="s">
        <v>1496</v>
      </c>
      <c r="J561" s="7" t="s">
        <v>1497</v>
      </c>
      <c r="K561" s="7" t="s">
        <v>465</v>
      </c>
      <c r="L561" s="7" t="s">
        <v>1498</v>
      </c>
      <c r="M561" s="7" t="s">
        <v>1499</v>
      </c>
      <c r="N561" s="7" t="s">
        <v>1382</v>
      </c>
      <c r="O561" s="7" t="s">
        <v>189</v>
      </c>
      <c r="P561" s="7" t="s">
        <v>190</v>
      </c>
      <c r="Q561" s="7" t="s">
        <v>1500</v>
      </c>
      <c r="R561" s="7" t="s">
        <v>1501</v>
      </c>
      <c r="S561" s="7" t="s">
        <v>1369</v>
      </c>
      <c r="T561" s="7" t="s">
        <v>213</v>
      </c>
      <c r="U561" s="18" t="n">
        <v>75</v>
      </c>
      <c r="V561" s="7"/>
      <c r="W561" s="7"/>
      <c r="X561" s="7" t="s">
        <v>195</v>
      </c>
      <c r="Y561" s="22" t="n">
        <v>0.104</v>
      </c>
      <c r="Z561" s="22" t="n">
        <v>0.42</v>
      </c>
      <c r="AA561" s="22" t="n">
        <v>12</v>
      </c>
      <c r="AB561" s="7" t="s">
        <v>1498</v>
      </c>
      <c r="AC561" s="7" t="s">
        <v>1502</v>
      </c>
      <c r="AD561" s="22" t="n">
        <v>0.104</v>
      </c>
      <c r="AE561" s="22" t="n">
        <v>0.42</v>
      </c>
      <c r="AF561" s="22" t="n">
        <v>2.5</v>
      </c>
      <c r="AG561" s="22" t="n">
        <v>32</v>
      </c>
      <c r="AH561" s="22" t="n">
        <v>4</v>
      </c>
      <c r="AI561" s="22" t="s">
        <v>197</v>
      </c>
      <c r="AJ561" s="22" t="s">
        <v>197</v>
      </c>
      <c r="AK561" s="22" t="s">
        <v>197</v>
      </c>
      <c r="AL561" s="22" t="s">
        <v>197</v>
      </c>
      <c r="AM561" s="7" t="s">
        <v>197</v>
      </c>
      <c r="AN561" s="22" t="s">
        <v>197</v>
      </c>
      <c r="AO561" s="22" t="s">
        <v>197</v>
      </c>
      <c r="AP561" s="22" t="s">
        <v>197</v>
      </c>
    </row>
    <row r="562" customFormat="false" ht="21.75" hidden="false" customHeight="true" outlineLevel="0" collapsed="false">
      <c r="B562" s="15" t="n">
        <v>558</v>
      </c>
      <c r="C562" s="9" t="s">
        <v>49</v>
      </c>
      <c r="D562" s="9" t="s">
        <v>23</v>
      </c>
      <c r="E562" s="9" t="s">
        <v>120</v>
      </c>
      <c r="F562" s="9" t="s">
        <v>60</v>
      </c>
      <c r="G562" s="9" t="s">
        <v>1503</v>
      </c>
      <c r="H562" s="9" t="s">
        <v>651</v>
      </c>
      <c r="I562" s="9" t="s">
        <v>1496</v>
      </c>
      <c r="J562" s="9" t="s">
        <v>1497</v>
      </c>
      <c r="K562" s="9" t="s">
        <v>465</v>
      </c>
      <c r="L562" s="9" t="s">
        <v>1498</v>
      </c>
      <c r="M562" s="9" t="s">
        <v>1499</v>
      </c>
      <c r="N562" s="9" t="s">
        <v>1382</v>
      </c>
      <c r="O562" s="9" t="s">
        <v>189</v>
      </c>
      <c r="P562" s="9" t="s">
        <v>190</v>
      </c>
      <c r="Q562" s="9" t="s">
        <v>1500</v>
      </c>
      <c r="R562" s="9" t="s">
        <v>1501</v>
      </c>
      <c r="S562" s="9" t="s">
        <v>1369</v>
      </c>
      <c r="T562" s="9" t="s">
        <v>213</v>
      </c>
      <c r="U562" s="19" t="n">
        <v>115</v>
      </c>
      <c r="V562" s="9"/>
      <c r="W562" s="9"/>
      <c r="X562" s="9" t="s">
        <v>199</v>
      </c>
      <c r="Y562" s="23" t="n">
        <v>0.063</v>
      </c>
      <c r="Z562" s="23" t="n">
        <v>0.42</v>
      </c>
      <c r="AA562" s="23" t="n">
        <v>12</v>
      </c>
      <c r="AB562" s="9" t="s">
        <v>1498</v>
      </c>
      <c r="AC562" s="9" t="s">
        <v>1502</v>
      </c>
      <c r="AD562" s="23" t="n">
        <v>0.063</v>
      </c>
      <c r="AE562" s="23" t="n">
        <v>0.42</v>
      </c>
      <c r="AF562" s="23" t="n">
        <v>2.5</v>
      </c>
      <c r="AG562" s="23" t="n">
        <v>32</v>
      </c>
      <c r="AH562" s="23" t="n">
        <v>4</v>
      </c>
      <c r="AI562" s="23" t="s">
        <v>197</v>
      </c>
      <c r="AJ562" s="23" t="s">
        <v>197</v>
      </c>
      <c r="AK562" s="23" t="s">
        <v>197</v>
      </c>
      <c r="AL562" s="23" t="s">
        <v>197</v>
      </c>
      <c r="AM562" s="9" t="s">
        <v>197</v>
      </c>
      <c r="AN562" s="23" t="s">
        <v>197</v>
      </c>
      <c r="AO562" s="23" t="s">
        <v>197</v>
      </c>
      <c r="AP562" s="23" t="s">
        <v>197</v>
      </c>
    </row>
    <row r="563" customFormat="false" ht="21.75" hidden="false" customHeight="true" outlineLevel="0" collapsed="false">
      <c r="B563" s="14" t="n">
        <v>559</v>
      </c>
      <c r="C563" s="7" t="s">
        <v>49</v>
      </c>
      <c r="D563" s="7" t="s">
        <v>23</v>
      </c>
      <c r="E563" s="7" t="s">
        <v>120</v>
      </c>
      <c r="F563" s="7" t="s">
        <v>60</v>
      </c>
      <c r="G563" s="7" t="s">
        <v>1504</v>
      </c>
      <c r="H563" s="7" t="s">
        <v>651</v>
      </c>
      <c r="I563" s="7" t="s">
        <v>1496</v>
      </c>
      <c r="J563" s="7" t="s">
        <v>1497</v>
      </c>
      <c r="K563" s="7" t="s">
        <v>465</v>
      </c>
      <c r="L563" s="7" t="s">
        <v>1498</v>
      </c>
      <c r="M563" s="7" t="s">
        <v>1499</v>
      </c>
      <c r="N563" s="7" t="s">
        <v>1382</v>
      </c>
      <c r="O563" s="7" t="s">
        <v>189</v>
      </c>
      <c r="P563" s="7" t="s">
        <v>190</v>
      </c>
      <c r="Q563" s="7" t="s">
        <v>1500</v>
      </c>
      <c r="R563" s="7" t="s">
        <v>1501</v>
      </c>
      <c r="S563" s="7" t="s">
        <v>1369</v>
      </c>
      <c r="T563" s="7" t="s">
        <v>213</v>
      </c>
      <c r="U563" s="18" t="n">
        <v>155</v>
      </c>
      <c r="V563" s="7"/>
      <c r="W563" s="7"/>
      <c r="X563" s="7" t="s">
        <v>1505</v>
      </c>
      <c r="Y563" s="22" t="n">
        <v>0.073</v>
      </c>
      <c r="Z563" s="22" t="n">
        <v>0.42</v>
      </c>
      <c r="AA563" s="22" t="n">
        <v>12</v>
      </c>
      <c r="AB563" s="7" t="s">
        <v>1498</v>
      </c>
      <c r="AC563" s="7" t="s">
        <v>1502</v>
      </c>
      <c r="AD563" s="22" t="n">
        <v>0.073</v>
      </c>
      <c r="AE563" s="22" t="n">
        <v>0.42</v>
      </c>
      <c r="AF563" s="22" t="n">
        <v>2.5</v>
      </c>
      <c r="AG563" s="22" t="n">
        <v>32</v>
      </c>
      <c r="AH563" s="22" t="n">
        <v>4</v>
      </c>
      <c r="AI563" s="22" t="s">
        <v>197</v>
      </c>
      <c r="AJ563" s="22" t="s">
        <v>197</v>
      </c>
      <c r="AK563" s="22" t="s">
        <v>197</v>
      </c>
      <c r="AL563" s="22" t="s">
        <v>197</v>
      </c>
      <c r="AM563" s="7" t="s">
        <v>197</v>
      </c>
      <c r="AN563" s="22" t="s">
        <v>197</v>
      </c>
      <c r="AO563" s="22" t="s">
        <v>197</v>
      </c>
      <c r="AP563" s="22" t="s">
        <v>197</v>
      </c>
    </row>
    <row r="564" customFormat="false" ht="21.75" hidden="false" customHeight="true" outlineLevel="0" collapsed="false">
      <c r="B564" s="15" t="n">
        <v>560</v>
      </c>
      <c r="C564" s="9" t="s">
        <v>49</v>
      </c>
      <c r="D564" s="9" t="s">
        <v>23</v>
      </c>
      <c r="E564" s="9" t="s">
        <v>120</v>
      </c>
      <c r="F564" s="9" t="s">
        <v>60</v>
      </c>
      <c r="G564" s="9" t="s">
        <v>1506</v>
      </c>
      <c r="H564" s="9" t="s">
        <v>651</v>
      </c>
      <c r="I564" s="9" t="s">
        <v>1496</v>
      </c>
      <c r="J564" s="9" t="s">
        <v>1497</v>
      </c>
      <c r="K564" s="9" t="s">
        <v>465</v>
      </c>
      <c r="L564" s="9" t="s">
        <v>1498</v>
      </c>
      <c r="M564" s="9" t="s">
        <v>1499</v>
      </c>
      <c r="N564" s="9" t="s">
        <v>1382</v>
      </c>
      <c r="O564" s="9" t="s">
        <v>189</v>
      </c>
      <c r="P564" s="9" t="s">
        <v>190</v>
      </c>
      <c r="Q564" s="9" t="s">
        <v>1500</v>
      </c>
      <c r="R564" s="9" t="s">
        <v>1501</v>
      </c>
      <c r="S564" s="9" t="s">
        <v>1369</v>
      </c>
      <c r="T564" s="9" t="s">
        <v>213</v>
      </c>
      <c r="U564" s="19" t="n">
        <v>235</v>
      </c>
      <c r="V564" s="9"/>
      <c r="W564" s="9"/>
      <c r="X564" s="9" t="s">
        <v>203</v>
      </c>
      <c r="Y564" s="23" t="n">
        <v>0.119</v>
      </c>
      <c r="Z564" s="23" t="n">
        <v>0.42</v>
      </c>
      <c r="AA564" s="23" t="n">
        <v>12</v>
      </c>
      <c r="AB564" s="9" t="s">
        <v>1498</v>
      </c>
      <c r="AC564" s="9" t="s">
        <v>1502</v>
      </c>
      <c r="AD564" s="23" t="n">
        <v>0.119</v>
      </c>
      <c r="AE564" s="23" t="n">
        <v>0.42</v>
      </c>
      <c r="AF564" s="23" t="n">
        <v>2.5</v>
      </c>
      <c r="AG564" s="23" t="n">
        <v>32</v>
      </c>
      <c r="AH564" s="23" t="n">
        <v>4</v>
      </c>
      <c r="AI564" s="23" t="s">
        <v>197</v>
      </c>
      <c r="AJ564" s="23" t="s">
        <v>197</v>
      </c>
      <c r="AK564" s="23" t="s">
        <v>197</v>
      </c>
      <c r="AL564" s="23" t="s">
        <v>197</v>
      </c>
      <c r="AM564" s="9" t="s">
        <v>197</v>
      </c>
      <c r="AN564" s="23" t="s">
        <v>197</v>
      </c>
      <c r="AO564" s="23" t="s">
        <v>197</v>
      </c>
      <c r="AP564" s="23" t="s">
        <v>197</v>
      </c>
    </row>
    <row r="565" customFormat="false" ht="21.75" hidden="false" customHeight="true" outlineLevel="0" collapsed="false">
      <c r="B565" s="14" t="n">
        <v>561</v>
      </c>
      <c r="C565" s="7" t="s">
        <v>49</v>
      </c>
      <c r="D565" s="7" t="s">
        <v>23</v>
      </c>
      <c r="E565" s="7" t="s">
        <v>120</v>
      </c>
      <c r="F565" s="7" t="s">
        <v>60</v>
      </c>
      <c r="G565" s="7" t="s">
        <v>1507</v>
      </c>
      <c r="H565" s="7" t="s">
        <v>651</v>
      </c>
      <c r="I565" s="7" t="s">
        <v>1496</v>
      </c>
      <c r="J565" s="7" t="s">
        <v>1497</v>
      </c>
      <c r="K565" s="7" t="s">
        <v>465</v>
      </c>
      <c r="L565" s="7" t="s">
        <v>1498</v>
      </c>
      <c r="M565" s="7" t="s">
        <v>1499</v>
      </c>
      <c r="N565" s="7" t="s">
        <v>1382</v>
      </c>
      <c r="O565" s="7" t="s">
        <v>189</v>
      </c>
      <c r="P565" s="7" t="s">
        <v>190</v>
      </c>
      <c r="Q565" s="7" t="s">
        <v>1500</v>
      </c>
      <c r="R565" s="7" t="s">
        <v>1501</v>
      </c>
      <c r="S565" s="7" t="s">
        <v>1369</v>
      </c>
      <c r="T565" s="7" t="s">
        <v>213</v>
      </c>
      <c r="U565" s="18" t="n">
        <v>345</v>
      </c>
      <c r="V565" s="7"/>
      <c r="W565" s="7"/>
      <c r="X565" s="7" t="s">
        <v>205</v>
      </c>
      <c r="Y565" s="22" t="n">
        <v>0.077</v>
      </c>
      <c r="Z565" s="22" t="n">
        <v>0.42</v>
      </c>
      <c r="AA565" s="22" t="n">
        <v>12</v>
      </c>
      <c r="AB565" s="7" t="s">
        <v>1498</v>
      </c>
      <c r="AC565" s="7" t="s">
        <v>1502</v>
      </c>
      <c r="AD565" s="22" t="n">
        <v>0.077</v>
      </c>
      <c r="AE565" s="22" t="n">
        <v>0.42</v>
      </c>
      <c r="AF565" s="22" t="n">
        <v>2.5</v>
      </c>
      <c r="AG565" s="22" t="n">
        <v>32</v>
      </c>
      <c r="AH565" s="22" t="n">
        <v>4</v>
      </c>
      <c r="AI565" s="22" t="s">
        <v>197</v>
      </c>
      <c r="AJ565" s="22" t="s">
        <v>197</v>
      </c>
      <c r="AK565" s="22" t="s">
        <v>197</v>
      </c>
      <c r="AL565" s="22" t="s">
        <v>197</v>
      </c>
      <c r="AM565" s="7" t="s">
        <v>197</v>
      </c>
      <c r="AN565" s="22" t="s">
        <v>197</v>
      </c>
      <c r="AO565" s="22" t="s">
        <v>197</v>
      </c>
      <c r="AP565" s="22" t="s">
        <v>197</v>
      </c>
    </row>
    <row r="566" customFormat="false" ht="21.75" hidden="false" customHeight="true" outlineLevel="0" collapsed="false">
      <c r="B566" s="15" t="n">
        <v>562</v>
      </c>
      <c r="C566" s="9" t="s">
        <v>49</v>
      </c>
      <c r="D566" s="9" t="s">
        <v>23</v>
      </c>
      <c r="E566" s="9" t="s">
        <v>120</v>
      </c>
      <c r="F566" s="9" t="s">
        <v>61</v>
      </c>
      <c r="G566" s="9" t="s">
        <v>1495</v>
      </c>
      <c r="H566" s="9" t="s">
        <v>811</v>
      </c>
      <c r="I566" s="9" t="s">
        <v>1248</v>
      </c>
      <c r="J566" s="9" t="s">
        <v>1508</v>
      </c>
      <c r="K566" s="9" t="s">
        <v>465</v>
      </c>
      <c r="L566" s="9" t="s">
        <v>1498</v>
      </c>
      <c r="M566" s="9" t="s">
        <v>1509</v>
      </c>
      <c r="N566" s="9" t="s">
        <v>662</v>
      </c>
      <c r="O566" s="9" t="s">
        <v>189</v>
      </c>
      <c r="P566" s="9" t="s">
        <v>190</v>
      </c>
      <c r="Q566" s="9" t="s">
        <v>1510</v>
      </c>
      <c r="R566" s="9" t="s">
        <v>568</v>
      </c>
      <c r="S566" s="9" t="s">
        <v>1369</v>
      </c>
      <c r="T566" s="9" t="s">
        <v>1511</v>
      </c>
      <c r="U566" s="19" t="n">
        <v>50</v>
      </c>
      <c r="V566" s="9"/>
      <c r="W566" s="9"/>
      <c r="X566" s="9" t="s">
        <v>195</v>
      </c>
      <c r="Y566" s="23" t="n">
        <v>0.104</v>
      </c>
      <c r="Z566" s="23" t="n">
        <v>0.35</v>
      </c>
      <c r="AA566" s="23" t="n">
        <v>12</v>
      </c>
      <c r="AB566" s="9" t="s">
        <v>1498</v>
      </c>
      <c r="AC566" s="9" t="s">
        <v>1502</v>
      </c>
      <c r="AD566" s="23" t="n">
        <v>0.104</v>
      </c>
      <c r="AE566" s="23" t="n">
        <v>0.35</v>
      </c>
      <c r="AF566" s="23" t="n">
        <v>2</v>
      </c>
      <c r="AG566" s="23" t="n">
        <v>16</v>
      </c>
      <c r="AH566" s="23" t="n">
        <v>2</v>
      </c>
      <c r="AI566" s="23" t="s">
        <v>197</v>
      </c>
      <c r="AJ566" s="23" t="s">
        <v>197</v>
      </c>
      <c r="AK566" s="23" t="s">
        <v>197</v>
      </c>
      <c r="AL566" s="23" t="s">
        <v>197</v>
      </c>
      <c r="AM566" s="9" t="s">
        <v>197</v>
      </c>
      <c r="AN566" s="23" t="s">
        <v>197</v>
      </c>
      <c r="AO566" s="23" t="s">
        <v>197</v>
      </c>
      <c r="AP566" s="23" t="s">
        <v>197</v>
      </c>
    </row>
    <row r="567" customFormat="false" ht="21.75" hidden="false" customHeight="true" outlineLevel="0" collapsed="false">
      <c r="B567" s="14" t="n">
        <v>563</v>
      </c>
      <c r="C567" s="7" t="s">
        <v>49</v>
      </c>
      <c r="D567" s="7" t="s">
        <v>23</v>
      </c>
      <c r="E567" s="7" t="s">
        <v>120</v>
      </c>
      <c r="F567" s="7" t="s">
        <v>61</v>
      </c>
      <c r="G567" s="7" t="s">
        <v>1503</v>
      </c>
      <c r="H567" s="7" t="s">
        <v>811</v>
      </c>
      <c r="I567" s="7" t="s">
        <v>1248</v>
      </c>
      <c r="J567" s="7" t="s">
        <v>1508</v>
      </c>
      <c r="K567" s="7" t="s">
        <v>465</v>
      </c>
      <c r="L567" s="7" t="s">
        <v>1498</v>
      </c>
      <c r="M567" s="7" t="s">
        <v>1509</v>
      </c>
      <c r="N567" s="7" t="s">
        <v>662</v>
      </c>
      <c r="O567" s="7" t="s">
        <v>189</v>
      </c>
      <c r="P567" s="7" t="s">
        <v>190</v>
      </c>
      <c r="Q567" s="7" t="s">
        <v>1510</v>
      </c>
      <c r="R567" s="7" t="s">
        <v>568</v>
      </c>
      <c r="S567" s="7" t="s">
        <v>1369</v>
      </c>
      <c r="T567" s="7" t="s">
        <v>1511</v>
      </c>
      <c r="U567" s="18" t="n">
        <v>75</v>
      </c>
      <c r="V567" s="7"/>
      <c r="W567" s="7"/>
      <c r="X567" s="7" t="s">
        <v>199</v>
      </c>
      <c r="Y567" s="22" t="n">
        <v>0.063</v>
      </c>
      <c r="Z567" s="22" t="n">
        <v>0.35</v>
      </c>
      <c r="AA567" s="22" t="n">
        <v>12</v>
      </c>
      <c r="AB567" s="7" t="s">
        <v>1498</v>
      </c>
      <c r="AC567" s="7" t="s">
        <v>1502</v>
      </c>
      <c r="AD567" s="22" t="n">
        <v>0.063</v>
      </c>
      <c r="AE567" s="22" t="n">
        <v>0.35</v>
      </c>
      <c r="AF567" s="22" t="n">
        <v>2</v>
      </c>
      <c r="AG567" s="22" t="n">
        <v>16</v>
      </c>
      <c r="AH567" s="22" t="n">
        <v>2</v>
      </c>
      <c r="AI567" s="22" t="s">
        <v>197</v>
      </c>
      <c r="AJ567" s="22" t="s">
        <v>197</v>
      </c>
      <c r="AK567" s="22" t="s">
        <v>197</v>
      </c>
      <c r="AL567" s="22" t="s">
        <v>197</v>
      </c>
      <c r="AM567" s="7" t="s">
        <v>197</v>
      </c>
      <c r="AN567" s="22" t="s">
        <v>197</v>
      </c>
      <c r="AO567" s="22" t="s">
        <v>197</v>
      </c>
      <c r="AP567" s="22" t="s">
        <v>197</v>
      </c>
    </row>
    <row r="568" customFormat="false" ht="21.75" hidden="false" customHeight="true" outlineLevel="0" collapsed="false">
      <c r="B568" s="15" t="n">
        <v>564</v>
      </c>
      <c r="C568" s="9" t="s">
        <v>49</v>
      </c>
      <c r="D568" s="9" t="s">
        <v>23</v>
      </c>
      <c r="E568" s="9" t="s">
        <v>120</v>
      </c>
      <c r="F568" s="9" t="s">
        <v>61</v>
      </c>
      <c r="G568" s="9" t="s">
        <v>1504</v>
      </c>
      <c r="H568" s="9" t="s">
        <v>811</v>
      </c>
      <c r="I568" s="9" t="s">
        <v>1248</v>
      </c>
      <c r="J568" s="9" t="s">
        <v>1508</v>
      </c>
      <c r="K568" s="9" t="s">
        <v>465</v>
      </c>
      <c r="L568" s="9" t="s">
        <v>1498</v>
      </c>
      <c r="M568" s="9" t="s">
        <v>1509</v>
      </c>
      <c r="N568" s="9" t="s">
        <v>662</v>
      </c>
      <c r="O568" s="9" t="s">
        <v>189</v>
      </c>
      <c r="P568" s="9" t="s">
        <v>190</v>
      </c>
      <c r="Q568" s="9" t="s">
        <v>1510</v>
      </c>
      <c r="R568" s="9" t="s">
        <v>568</v>
      </c>
      <c r="S568" s="9" t="s">
        <v>1369</v>
      </c>
      <c r="T568" s="9" t="s">
        <v>1511</v>
      </c>
      <c r="U568" s="19" t="n">
        <v>105</v>
      </c>
      <c r="V568" s="9"/>
      <c r="W568" s="9"/>
      <c r="X568" s="9" t="s">
        <v>1512</v>
      </c>
      <c r="Y568" s="23" t="n">
        <v>0.073</v>
      </c>
      <c r="Z568" s="23" t="n">
        <v>0.35</v>
      </c>
      <c r="AA568" s="23" t="n">
        <v>12</v>
      </c>
      <c r="AB568" s="9" t="s">
        <v>1498</v>
      </c>
      <c r="AC568" s="9" t="s">
        <v>1502</v>
      </c>
      <c r="AD568" s="23" t="n">
        <v>0.073</v>
      </c>
      <c r="AE568" s="23" t="n">
        <v>0.35</v>
      </c>
      <c r="AF568" s="23" t="n">
        <v>2</v>
      </c>
      <c r="AG568" s="23" t="n">
        <v>16</v>
      </c>
      <c r="AH568" s="23" t="n">
        <v>2</v>
      </c>
      <c r="AI568" s="23" t="s">
        <v>197</v>
      </c>
      <c r="AJ568" s="23" t="s">
        <v>197</v>
      </c>
      <c r="AK568" s="23" t="s">
        <v>197</v>
      </c>
      <c r="AL568" s="23" t="s">
        <v>197</v>
      </c>
      <c r="AM568" s="9" t="s">
        <v>197</v>
      </c>
      <c r="AN568" s="23" t="s">
        <v>197</v>
      </c>
      <c r="AO568" s="23" t="s">
        <v>197</v>
      </c>
      <c r="AP568" s="23" t="s">
        <v>197</v>
      </c>
    </row>
    <row r="569" customFormat="false" ht="21.75" hidden="false" customHeight="true" outlineLevel="0" collapsed="false">
      <c r="B569" s="14" t="n">
        <v>565</v>
      </c>
      <c r="C569" s="7" t="s">
        <v>49</v>
      </c>
      <c r="D569" s="7" t="s">
        <v>23</v>
      </c>
      <c r="E569" s="7" t="s">
        <v>120</v>
      </c>
      <c r="F569" s="7" t="s">
        <v>61</v>
      </c>
      <c r="G569" s="7" t="s">
        <v>1506</v>
      </c>
      <c r="H569" s="7" t="s">
        <v>811</v>
      </c>
      <c r="I569" s="7" t="s">
        <v>1248</v>
      </c>
      <c r="J569" s="7" t="s">
        <v>1508</v>
      </c>
      <c r="K569" s="7" t="s">
        <v>465</v>
      </c>
      <c r="L569" s="7" t="s">
        <v>1498</v>
      </c>
      <c r="M569" s="7" t="s">
        <v>1509</v>
      </c>
      <c r="N569" s="7" t="s">
        <v>662</v>
      </c>
      <c r="O569" s="7" t="s">
        <v>189</v>
      </c>
      <c r="P569" s="7" t="s">
        <v>190</v>
      </c>
      <c r="Q569" s="7" t="s">
        <v>1510</v>
      </c>
      <c r="R569" s="7" t="s">
        <v>568</v>
      </c>
      <c r="S569" s="7" t="s">
        <v>1369</v>
      </c>
      <c r="T569" s="7" t="s">
        <v>1511</v>
      </c>
      <c r="U569" s="18" t="n">
        <v>155</v>
      </c>
      <c r="V569" s="7"/>
      <c r="W569" s="7"/>
      <c r="X569" s="7" t="s">
        <v>203</v>
      </c>
      <c r="Y569" s="22" t="n">
        <v>0.119</v>
      </c>
      <c r="Z569" s="22" t="n">
        <v>0.35</v>
      </c>
      <c r="AA569" s="22" t="n">
        <v>12</v>
      </c>
      <c r="AB569" s="7" t="s">
        <v>1498</v>
      </c>
      <c r="AC569" s="7" t="s">
        <v>1502</v>
      </c>
      <c r="AD569" s="22" t="n">
        <v>0.119</v>
      </c>
      <c r="AE569" s="22" t="n">
        <v>0.35</v>
      </c>
      <c r="AF569" s="22" t="n">
        <v>2</v>
      </c>
      <c r="AG569" s="22" t="n">
        <v>16</v>
      </c>
      <c r="AH569" s="22" t="n">
        <v>2</v>
      </c>
      <c r="AI569" s="22" t="s">
        <v>197</v>
      </c>
      <c r="AJ569" s="22" t="s">
        <v>197</v>
      </c>
      <c r="AK569" s="22" t="s">
        <v>197</v>
      </c>
      <c r="AL569" s="22" t="s">
        <v>197</v>
      </c>
      <c r="AM569" s="7" t="s">
        <v>197</v>
      </c>
      <c r="AN569" s="22" t="s">
        <v>197</v>
      </c>
      <c r="AO569" s="22" t="s">
        <v>197</v>
      </c>
      <c r="AP569" s="22" t="s">
        <v>197</v>
      </c>
    </row>
    <row r="570" customFormat="false" ht="21.75" hidden="false" customHeight="true" outlineLevel="0" collapsed="false">
      <c r="B570" s="15" t="n">
        <v>566</v>
      </c>
      <c r="C570" s="9" t="s">
        <v>49</v>
      </c>
      <c r="D570" s="9" t="s">
        <v>23</v>
      </c>
      <c r="E570" s="9" t="s">
        <v>120</v>
      </c>
      <c r="F570" s="9" t="s">
        <v>61</v>
      </c>
      <c r="G570" s="9" t="s">
        <v>1507</v>
      </c>
      <c r="H570" s="9" t="s">
        <v>811</v>
      </c>
      <c r="I570" s="9" t="s">
        <v>1248</v>
      </c>
      <c r="J570" s="9" t="s">
        <v>1508</v>
      </c>
      <c r="K570" s="9" t="s">
        <v>465</v>
      </c>
      <c r="L570" s="9" t="s">
        <v>1498</v>
      </c>
      <c r="M570" s="9" t="s">
        <v>1509</v>
      </c>
      <c r="N570" s="9" t="s">
        <v>662</v>
      </c>
      <c r="O570" s="9" t="s">
        <v>189</v>
      </c>
      <c r="P570" s="9" t="s">
        <v>190</v>
      </c>
      <c r="Q570" s="9" t="s">
        <v>1510</v>
      </c>
      <c r="R570" s="9" t="s">
        <v>568</v>
      </c>
      <c r="S570" s="9" t="s">
        <v>1369</v>
      </c>
      <c r="T570" s="9" t="s">
        <v>1511</v>
      </c>
      <c r="U570" s="19" t="n">
        <v>230</v>
      </c>
      <c r="V570" s="9"/>
      <c r="W570" s="9"/>
      <c r="X570" s="9" t="s">
        <v>205</v>
      </c>
      <c r="Y570" s="23" t="n">
        <v>0.077</v>
      </c>
      <c r="Z570" s="23" t="n">
        <v>0.35</v>
      </c>
      <c r="AA570" s="23" t="n">
        <v>12</v>
      </c>
      <c r="AB570" s="9" t="s">
        <v>1498</v>
      </c>
      <c r="AC570" s="9" t="s">
        <v>1502</v>
      </c>
      <c r="AD570" s="23" t="n">
        <v>0.077</v>
      </c>
      <c r="AE570" s="23" t="n">
        <v>0.35</v>
      </c>
      <c r="AF570" s="23" t="n">
        <v>2</v>
      </c>
      <c r="AG570" s="23" t="n">
        <v>16</v>
      </c>
      <c r="AH570" s="23" t="n">
        <v>2</v>
      </c>
      <c r="AI570" s="23" t="s">
        <v>197</v>
      </c>
      <c r="AJ570" s="23" t="s">
        <v>197</v>
      </c>
      <c r="AK570" s="23" t="s">
        <v>197</v>
      </c>
      <c r="AL570" s="23" t="s">
        <v>197</v>
      </c>
      <c r="AM570" s="9" t="s">
        <v>197</v>
      </c>
      <c r="AN570" s="23" t="s">
        <v>197</v>
      </c>
      <c r="AO570" s="23" t="s">
        <v>197</v>
      </c>
      <c r="AP570" s="23" t="s">
        <v>197</v>
      </c>
    </row>
    <row r="571" customFormat="false" ht="21.75" hidden="false" customHeight="true" outlineLevel="0" collapsed="false">
      <c r="B571" s="14" t="n">
        <v>567</v>
      </c>
      <c r="C571" s="7" t="s">
        <v>49</v>
      </c>
      <c r="D571" s="7" t="s">
        <v>23</v>
      </c>
      <c r="E571" s="7" t="s">
        <v>120</v>
      </c>
      <c r="F571" s="7" t="s">
        <v>62</v>
      </c>
      <c r="G571" s="7" t="s">
        <v>1513</v>
      </c>
      <c r="H571" s="7" t="s">
        <v>1514</v>
      </c>
      <c r="I571" s="7" t="s">
        <v>659</v>
      </c>
      <c r="J571" s="7" t="s">
        <v>1515</v>
      </c>
      <c r="K571" s="7" t="s">
        <v>1516</v>
      </c>
      <c r="L571" s="7" t="s">
        <v>1498</v>
      </c>
      <c r="M571" s="7" t="s">
        <v>478</v>
      </c>
      <c r="N571" s="7" t="s">
        <v>1517</v>
      </c>
      <c r="O571" s="7" t="s">
        <v>189</v>
      </c>
      <c r="P571" s="7" t="s">
        <v>190</v>
      </c>
      <c r="Q571" s="7" t="s">
        <v>1518</v>
      </c>
      <c r="R571" s="7" t="s">
        <v>1519</v>
      </c>
      <c r="S571" s="7" t="s">
        <v>1369</v>
      </c>
      <c r="T571" s="7" t="s">
        <v>482</v>
      </c>
      <c r="U571" s="18" t="n">
        <v>60</v>
      </c>
      <c r="V571" s="7"/>
      <c r="W571" s="7"/>
      <c r="X571" s="7" t="s">
        <v>195</v>
      </c>
      <c r="Y571" s="22" t="n">
        <v>0.114</v>
      </c>
      <c r="Z571" s="22" t="n">
        <v>0.33</v>
      </c>
      <c r="AA571" s="22" t="n">
        <v>12</v>
      </c>
      <c r="AB571" s="7" t="s">
        <v>1498</v>
      </c>
      <c r="AC571" s="7" t="s">
        <v>1502</v>
      </c>
      <c r="AD571" s="22" t="n">
        <v>0.114</v>
      </c>
      <c r="AE571" s="22" t="n">
        <v>0.33</v>
      </c>
      <c r="AF571" s="22" t="n">
        <v>2</v>
      </c>
      <c r="AG571" s="22" t="n">
        <v>32</v>
      </c>
      <c r="AH571" s="22" t="n">
        <v>2</v>
      </c>
      <c r="AI571" s="22" t="s">
        <v>197</v>
      </c>
      <c r="AJ571" s="22" t="s">
        <v>197</v>
      </c>
      <c r="AK571" s="22" t="s">
        <v>197</v>
      </c>
      <c r="AL571" s="22" t="s">
        <v>197</v>
      </c>
      <c r="AM571" s="7" t="s">
        <v>197</v>
      </c>
      <c r="AN571" s="22" t="s">
        <v>197</v>
      </c>
      <c r="AO571" s="22" t="s">
        <v>197</v>
      </c>
      <c r="AP571" s="22" t="s">
        <v>197</v>
      </c>
    </row>
    <row r="572" customFormat="false" ht="21.75" hidden="false" customHeight="true" outlineLevel="0" collapsed="false">
      <c r="B572" s="15" t="n">
        <v>568</v>
      </c>
      <c r="C572" s="9" t="s">
        <v>49</v>
      </c>
      <c r="D572" s="9" t="s">
        <v>23</v>
      </c>
      <c r="E572" s="9" t="s">
        <v>120</v>
      </c>
      <c r="F572" s="9" t="s">
        <v>62</v>
      </c>
      <c r="G572" s="9" t="s">
        <v>1520</v>
      </c>
      <c r="H572" s="9" t="s">
        <v>1514</v>
      </c>
      <c r="I572" s="9" t="s">
        <v>659</v>
      </c>
      <c r="J572" s="9" t="s">
        <v>1515</v>
      </c>
      <c r="K572" s="9" t="s">
        <v>1516</v>
      </c>
      <c r="L572" s="9" t="s">
        <v>1498</v>
      </c>
      <c r="M572" s="9" t="s">
        <v>478</v>
      </c>
      <c r="N572" s="9" t="s">
        <v>1517</v>
      </c>
      <c r="O572" s="9" t="s">
        <v>189</v>
      </c>
      <c r="P572" s="9" t="s">
        <v>190</v>
      </c>
      <c r="Q572" s="9" t="s">
        <v>1518</v>
      </c>
      <c r="R572" s="9" t="s">
        <v>1519</v>
      </c>
      <c r="S572" s="9" t="s">
        <v>1369</v>
      </c>
      <c r="T572" s="9" t="s">
        <v>482</v>
      </c>
      <c r="U572" s="19" t="n">
        <v>95</v>
      </c>
      <c r="V572" s="9"/>
      <c r="W572" s="9"/>
      <c r="X572" s="9" t="s">
        <v>199</v>
      </c>
      <c r="Y572" s="23" t="n">
        <v>0.054</v>
      </c>
      <c r="Z572" s="23" t="n">
        <v>0.33</v>
      </c>
      <c r="AA572" s="23" t="n">
        <v>12</v>
      </c>
      <c r="AB572" s="9" t="s">
        <v>1498</v>
      </c>
      <c r="AC572" s="9" t="s">
        <v>1502</v>
      </c>
      <c r="AD572" s="23" t="n">
        <v>0.054</v>
      </c>
      <c r="AE572" s="23" t="n">
        <v>0.33</v>
      </c>
      <c r="AF572" s="23" t="n">
        <v>2</v>
      </c>
      <c r="AG572" s="23" t="n">
        <v>32</v>
      </c>
      <c r="AH572" s="23" t="n">
        <v>2</v>
      </c>
      <c r="AI572" s="23" t="s">
        <v>197</v>
      </c>
      <c r="AJ572" s="23" t="s">
        <v>197</v>
      </c>
      <c r="AK572" s="23" t="s">
        <v>197</v>
      </c>
      <c r="AL572" s="23" t="s">
        <v>197</v>
      </c>
      <c r="AM572" s="9" t="s">
        <v>197</v>
      </c>
      <c r="AN572" s="23" t="s">
        <v>197</v>
      </c>
      <c r="AO572" s="23" t="s">
        <v>197</v>
      </c>
      <c r="AP572" s="23" t="s">
        <v>197</v>
      </c>
    </row>
    <row r="573" customFormat="false" ht="21.75" hidden="false" customHeight="true" outlineLevel="0" collapsed="false">
      <c r="B573" s="14" t="n">
        <v>569</v>
      </c>
      <c r="C573" s="7" t="s">
        <v>49</v>
      </c>
      <c r="D573" s="7" t="s">
        <v>23</v>
      </c>
      <c r="E573" s="7" t="s">
        <v>120</v>
      </c>
      <c r="F573" s="7" t="s">
        <v>62</v>
      </c>
      <c r="G573" s="7" t="s">
        <v>1521</v>
      </c>
      <c r="H573" s="7" t="s">
        <v>1514</v>
      </c>
      <c r="I573" s="7" t="s">
        <v>659</v>
      </c>
      <c r="J573" s="7" t="s">
        <v>1515</v>
      </c>
      <c r="K573" s="7" t="s">
        <v>1516</v>
      </c>
      <c r="L573" s="7" t="s">
        <v>1498</v>
      </c>
      <c r="M573" s="7" t="s">
        <v>478</v>
      </c>
      <c r="N573" s="7" t="s">
        <v>1517</v>
      </c>
      <c r="O573" s="7" t="s">
        <v>189</v>
      </c>
      <c r="P573" s="7" t="s">
        <v>190</v>
      </c>
      <c r="Q573" s="7" t="s">
        <v>1518</v>
      </c>
      <c r="R573" s="7" t="s">
        <v>1519</v>
      </c>
      <c r="S573" s="7" t="s">
        <v>1369</v>
      </c>
      <c r="T573" s="7" t="s">
        <v>482</v>
      </c>
      <c r="U573" s="18" t="n">
        <v>125</v>
      </c>
      <c r="V573" s="7"/>
      <c r="W573" s="7"/>
      <c r="X573" s="7" t="s">
        <v>1522</v>
      </c>
      <c r="Y573" s="22" t="n">
        <v>0.051</v>
      </c>
      <c r="Z573" s="22" t="n">
        <v>0.33</v>
      </c>
      <c r="AA573" s="22" t="n">
        <v>12</v>
      </c>
      <c r="AB573" s="7" t="s">
        <v>1498</v>
      </c>
      <c r="AC573" s="7" t="s">
        <v>1502</v>
      </c>
      <c r="AD573" s="22" t="n">
        <v>0.051</v>
      </c>
      <c r="AE573" s="22" t="n">
        <v>0.33</v>
      </c>
      <c r="AF573" s="22" t="n">
        <v>2</v>
      </c>
      <c r="AG573" s="22" t="n">
        <v>32</v>
      </c>
      <c r="AH573" s="22" t="n">
        <v>2</v>
      </c>
      <c r="AI573" s="22" t="s">
        <v>197</v>
      </c>
      <c r="AJ573" s="22" t="s">
        <v>197</v>
      </c>
      <c r="AK573" s="22" t="s">
        <v>197</v>
      </c>
      <c r="AL573" s="22" t="s">
        <v>197</v>
      </c>
      <c r="AM573" s="7" t="s">
        <v>197</v>
      </c>
      <c r="AN573" s="22" t="s">
        <v>197</v>
      </c>
      <c r="AO573" s="22" t="s">
        <v>197</v>
      </c>
      <c r="AP573" s="22" t="s">
        <v>197</v>
      </c>
    </row>
    <row r="574" customFormat="false" ht="21.75" hidden="false" customHeight="true" outlineLevel="0" collapsed="false">
      <c r="B574" s="15" t="n">
        <v>570</v>
      </c>
      <c r="C574" s="9" t="s">
        <v>49</v>
      </c>
      <c r="D574" s="9" t="s">
        <v>23</v>
      </c>
      <c r="E574" s="9" t="s">
        <v>120</v>
      </c>
      <c r="F574" s="9" t="s">
        <v>62</v>
      </c>
      <c r="G574" s="9" t="s">
        <v>1523</v>
      </c>
      <c r="H574" s="9" t="s">
        <v>1514</v>
      </c>
      <c r="I574" s="9" t="s">
        <v>659</v>
      </c>
      <c r="J574" s="9" t="s">
        <v>1515</v>
      </c>
      <c r="K574" s="9" t="s">
        <v>1516</v>
      </c>
      <c r="L574" s="9" t="s">
        <v>1498</v>
      </c>
      <c r="M574" s="9" t="s">
        <v>478</v>
      </c>
      <c r="N574" s="9" t="s">
        <v>1517</v>
      </c>
      <c r="O574" s="9" t="s">
        <v>189</v>
      </c>
      <c r="P574" s="9" t="s">
        <v>190</v>
      </c>
      <c r="Q574" s="9" t="s">
        <v>1518</v>
      </c>
      <c r="R574" s="9" t="s">
        <v>1519</v>
      </c>
      <c r="S574" s="9" t="s">
        <v>1369</v>
      </c>
      <c r="T574" s="9" t="s">
        <v>482</v>
      </c>
      <c r="U574" s="19" t="n">
        <v>190</v>
      </c>
      <c r="V574" s="9"/>
      <c r="W574" s="9"/>
      <c r="X574" s="9" t="s">
        <v>203</v>
      </c>
      <c r="Y574" s="23" t="n">
        <v>0.062</v>
      </c>
      <c r="Z574" s="23" t="n">
        <v>0.33</v>
      </c>
      <c r="AA574" s="23" t="n">
        <v>12</v>
      </c>
      <c r="AB574" s="9" t="s">
        <v>1498</v>
      </c>
      <c r="AC574" s="9" t="s">
        <v>1502</v>
      </c>
      <c r="AD574" s="23" t="n">
        <v>0.062</v>
      </c>
      <c r="AE574" s="23" t="n">
        <v>0.33</v>
      </c>
      <c r="AF574" s="23" t="n">
        <v>2</v>
      </c>
      <c r="AG574" s="23" t="n">
        <v>32</v>
      </c>
      <c r="AH574" s="23" t="n">
        <v>2</v>
      </c>
      <c r="AI574" s="23" t="s">
        <v>197</v>
      </c>
      <c r="AJ574" s="23" t="s">
        <v>197</v>
      </c>
      <c r="AK574" s="23" t="s">
        <v>197</v>
      </c>
      <c r="AL574" s="23" t="s">
        <v>197</v>
      </c>
      <c r="AM574" s="9" t="s">
        <v>197</v>
      </c>
      <c r="AN574" s="23" t="s">
        <v>197</v>
      </c>
      <c r="AO574" s="23" t="s">
        <v>197</v>
      </c>
      <c r="AP574" s="23" t="s">
        <v>197</v>
      </c>
    </row>
    <row r="575" customFormat="false" ht="21.75" hidden="false" customHeight="true" outlineLevel="0" collapsed="false">
      <c r="B575" s="14" t="n">
        <v>571</v>
      </c>
      <c r="C575" s="7" t="s">
        <v>49</v>
      </c>
      <c r="D575" s="7" t="s">
        <v>23</v>
      </c>
      <c r="E575" s="7" t="s">
        <v>120</v>
      </c>
      <c r="F575" s="7" t="s">
        <v>62</v>
      </c>
      <c r="G575" s="7" t="s">
        <v>1524</v>
      </c>
      <c r="H575" s="7" t="s">
        <v>1514</v>
      </c>
      <c r="I575" s="7" t="s">
        <v>659</v>
      </c>
      <c r="J575" s="7" t="s">
        <v>1515</v>
      </c>
      <c r="K575" s="7" t="s">
        <v>1516</v>
      </c>
      <c r="L575" s="7" t="s">
        <v>1498</v>
      </c>
      <c r="M575" s="7" t="s">
        <v>478</v>
      </c>
      <c r="N575" s="7" t="s">
        <v>1517</v>
      </c>
      <c r="O575" s="7" t="s">
        <v>189</v>
      </c>
      <c r="P575" s="7" t="s">
        <v>190</v>
      </c>
      <c r="Q575" s="7" t="s">
        <v>1518</v>
      </c>
      <c r="R575" s="7" t="s">
        <v>1519</v>
      </c>
      <c r="S575" s="7" t="s">
        <v>1369</v>
      </c>
      <c r="T575" s="7" t="s">
        <v>482</v>
      </c>
      <c r="U575" s="18" t="n">
        <v>280</v>
      </c>
      <c r="V575" s="7"/>
      <c r="W575" s="7"/>
      <c r="X575" s="7" t="s">
        <v>205</v>
      </c>
      <c r="Y575" s="22" t="n">
        <v>0.096</v>
      </c>
      <c r="Z575" s="22" t="n">
        <v>0.33</v>
      </c>
      <c r="AA575" s="22" t="n">
        <v>12</v>
      </c>
      <c r="AB575" s="7" t="s">
        <v>1498</v>
      </c>
      <c r="AC575" s="7" t="s">
        <v>1502</v>
      </c>
      <c r="AD575" s="22" t="n">
        <v>0.096</v>
      </c>
      <c r="AE575" s="22" t="n">
        <v>0.33</v>
      </c>
      <c r="AF575" s="22" t="n">
        <v>2</v>
      </c>
      <c r="AG575" s="22" t="n">
        <v>32</v>
      </c>
      <c r="AH575" s="22" t="n">
        <v>2</v>
      </c>
      <c r="AI575" s="22" t="s">
        <v>197</v>
      </c>
      <c r="AJ575" s="22" t="s">
        <v>197</v>
      </c>
      <c r="AK575" s="22" t="s">
        <v>197</v>
      </c>
      <c r="AL575" s="22" t="s">
        <v>197</v>
      </c>
      <c r="AM575" s="7" t="s">
        <v>197</v>
      </c>
      <c r="AN575" s="22" t="s">
        <v>197</v>
      </c>
      <c r="AO575" s="22" t="s">
        <v>197</v>
      </c>
      <c r="AP575" s="22" t="s">
        <v>197</v>
      </c>
    </row>
    <row r="576" customFormat="false" ht="21.75" hidden="false" customHeight="true" outlineLevel="0" collapsed="false">
      <c r="B576" s="15" t="n">
        <v>572</v>
      </c>
      <c r="C576" s="9" t="s">
        <v>49</v>
      </c>
      <c r="D576" s="9" t="s">
        <v>23</v>
      </c>
      <c r="E576" s="9" t="s">
        <v>120</v>
      </c>
      <c r="F576" s="9" t="s">
        <v>63</v>
      </c>
      <c r="G576" s="9" t="s">
        <v>1525</v>
      </c>
      <c r="H576" s="9" t="s">
        <v>1390</v>
      </c>
      <c r="I576" s="9" t="s">
        <v>490</v>
      </c>
      <c r="J576" s="9" t="s">
        <v>1392</v>
      </c>
      <c r="K576" s="9" t="s">
        <v>1526</v>
      </c>
      <c r="L576" s="9" t="s">
        <v>1498</v>
      </c>
      <c r="M576" s="9" t="s">
        <v>235</v>
      </c>
      <c r="N576" s="9" t="s">
        <v>1343</v>
      </c>
      <c r="O576" s="9" t="s">
        <v>189</v>
      </c>
      <c r="P576" s="9" t="s">
        <v>190</v>
      </c>
      <c r="Q576" s="9" t="s">
        <v>1527</v>
      </c>
      <c r="R576" s="9" t="s">
        <v>290</v>
      </c>
      <c r="S576" s="9" t="s">
        <v>1369</v>
      </c>
      <c r="T576" s="9" t="s">
        <v>239</v>
      </c>
      <c r="U576" s="19" t="n">
        <v>20</v>
      </c>
      <c r="V576" s="9"/>
      <c r="W576" s="9"/>
      <c r="X576" s="9" t="s">
        <v>195</v>
      </c>
      <c r="Y576" s="23" t="n">
        <v>0.047</v>
      </c>
      <c r="Z576" s="23" t="n">
        <v>0.088</v>
      </c>
      <c r="AA576" s="23" t="n">
        <v>12</v>
      </c>
      <c r="AB576" s="9" t="s">
        <v>1498</v>
      </c>
      <c r="AC576" s="9" t="s">
        <v>1528</v>
      </c>
      <c r="AD576" s="23" t="s">
        <v>197</v>
      </c>
      <c r="AE576" s="23" t="s">
        <v>197</v>
      </c>
      <c r="AF576" s="23" t="s">
        <v>197</v>
      </c>
      <c r="AG576" s="23" t="s">
        <v>197</v>
      </c>
      <c r="AH576" s="23" t="s">
        <v>197</v>
      </c>
      <c r="AI576" s="23" t="s">
        <v>197</v>
      </c>
      <c r="AJ576" s="23" t="s">
        <v>197</v>
      </c>
      <c r="AK576" s="23" t="s">
        <v>197</v>
      </c>
      <c r="AL576" s="23" t="s">
        <v>197</v>
      </c>
      <c r="AM576" s="9" t="s">
        <v>197</v>
      </c>
      <c r="AN576" s="23" t="s">
        <v>197</v>
      </c>
      <c r="AO576" s="23" t="n">
        <v>1.2</v>
      </c>
      <c r="AP576" s="23" t="n">
        <v>1.6</v>
      </c>
    </row>
    <row r="577" customFormat="false" ht="21.75" hidden="false" customHeight="true" outlineLevel="0" collapsed="false">
      <c r="B577" s="14" t="n">
        <v>573</v>
      </c>
      <c r="C577" s="7" t="s">
        <v>49</v>
      </c>
      <c r="D577" s="7" t="s">
        <v>23</v>
      </c>
      <c r="E577" s="7" t="s">
        <v>120</v>
      </c>
      <c r="F577" s="7" t="s">
        <v>63</v>
      </c>
      <c r="G577" s="7" t="s">
        <v>1529</v>
      </c>
      <c r="H577" s="7" t="s">
        <v>1390</v>
      </c>
      <c r="I577" s="7" t="s">
        <v>490</v>
      </c>
      <c r="J577" s="7" t="s">
        <v>1392</v>
      </c>
      <c r="K577" s="7" t="s">
        <v>1526</v>
      </c>
      <c r="L577" s="7" t="s">
        <v>1498</v>
      </c>
      <c r="M577" s="7" t="s">
        <v>235</v>
      </c>
      <c r="N577" s="7" t="s">
        <v>1343</v>
      </c>
      <c r="O577" s="7" t="s">
        <v>189</v>
      </c>
      <c r="P577" s="7" t="s">
        <v>190</v>
      </c>
      <c r="Q577" s="7" t="s">
        <v>1527</v>
      </c>
      <c r="R577" s="7" t="s">
        <v>290</v>
      </c>
      <c r="S577" s="7" t="s">
        <v>1369</v>
      </c>
      <c r="T577" s="7" t="s">
        <v>239</v>
      </c>
      <c r="U577" s="18" t="n">
        <v>35</v>
      </c>
      <c r="V577" s="7"/>
      <c r="W577" s="7"/>
      <c r="X577" s="7" t="s">
        <v>199</v>
      </c>
      <c r="Y577" s="22" t="n">
        <v>0.049</v>
      </c>
      <c r="Z577" s="22" t="n">
        <v>0.092</v>
      </c>
      <c r="AA577" s="22" t="n">
        <v>12</v>
      </c>
      <c r="AB577" s="7" t="s">
        <v>1498</v>
      </c>
      <c r="AC577" s="7" t="s">
        <v>1528</v>
      </c>
      <c r="AD577" s="22" t="s">
        <v>197</v>
      </c>
      <c r="AE577" s="22" t="s">
        <v>197</v>
      </c>
      <c r="AF577" s="22" t="s">
        <v>197</v>
      </c>
      <c r="AG577" s="22" t="s">
        <v>197</v>
      </c>
      <c r="AH577" s="22" t="s">
        <v>197</v>
      </c>
      <c r="AI577" s="22" t="s">
        <v>197</v>
      </c>
      <c r="AJ577" s="22" t="s">
        <v>197</v>
      </c>
      <c r="AK577" s="22" t="s">
        <v>197</v>
      </c>
      <c r="AL577" s="22" t="s">
        <v>197</v>
      </c>
      <c r="AM577" s="7" t="s">
        <v>197</v>
      </c>
      <c r="AN577" s="22" t="s">
        <v>197</v>
      </c>
      <c r="AO577" s="22" t="n">
        <v>1.2</v>
      </c>
      <c r="AP577" s="22" t="n">
        <v>1.6</v>
      </c>
    </row>
    <row r="578" customFormat="false" ht="21.75" hidden="false" customHeight="true" outlineLevel="0" collapsed="false">
      <c r="B578" s="15" t="n">
        <v>574</v>
      </c>
      <c r="C578" s="9" t="s">
        <v>49</v>
      </c>
      <c r="D578" s="9" t="s">
        <v>23</v>
      </c>
      <c r="E578" s="9" t="s">
        <v>120</v>
      </c>
      <c r="F578" s="9" t="s">
        <v>63</v>
      </c>
      <c r="G578" s="9" t="s">
        <v>1530</v>
      </c>
      <c r="H578" s="9" t="s">
        <v>1390</v>
      </c>
      <c r="I578" s="9" t="s">
        <v>490</v>
      </c>
      <c r="J578" s="9" t="s">
        <v>1392</v>
      </c>
      <c r="K578" s="9" t="s">
        <v>1526</v>
      </c>
      <c r="L578" s="9" t="s">
        <v>1498</v>
      </c>
      <c r="M578" s="9" t="s">
        <v>235</v>
      </c>
      <c r="N578" s="9" t="s">
        <v>1343</v>
      </c>
      <c r="O578" s="9" t="s">
        <v>189</v>
      </c>
      <c r="P578" s="9" t="s">
        <v>190</v>
      </c>
      <c r="Q578" s="9" t="s">
        <v>1527</v>
      </c>
      <c r="R578" s="9" t="s">
        <v>290</v>
      </c>
      <c r="S578" s="9" t="s">
        <v>1369</v>
      </c>
      <c r="T578" s="9" t="s">
        <v>239</v>
      </c>
      <c r="U578" s="19" t="n">
        <v>45</v>
      </c>
      <c r="V578" s="9"/>
      <c r="W578" s="9"/>
      <c r="X578" s="9" t="s">
        <v>1531</v>
      </c>
      <c r="Y578" s="23" t="n">
        <v>0.042</v>
      </c>
      <c r="Z578" s="23" t="n">
        <v>0.081</v>
      </c>
      <c r="AA578" s="23" t="n">
        <v>12</v>
      </c>
      <c r="AB578" s="9" t="s">
        <v>1498</v>
      </c>
      <c r="AC578" s="9" t="s">
        <v>1528</v>
      </c>
      <c r="AD578" s="23" t="s">
        <v>197</v>
      </c>
      <c r="AE578" s="23" t="s">
        <v>197</v>
      </c>
      <c r="AF578" s="23" t="s">
        <v>197</v>
      </c>
      <c r="AG578" s="23" t="s">
        <v>197</v>
      </c>
      <c r="AH578" s="23" t="s">
        <v>197</v>
      </c>
      <c r="AI578" s="23" t="s">
        <v>197</v>
      </c>
      <c r="AJ578" s="23" t="s">
        <v>197</v>
      </c>
      <c r="AK578" s="23" t="s">
        <v>197</v>
      </c>
      <c r="AL578" s="23" t="s">
        <v>197</v>
      </c>
      <c r="AM578" s="9" t="s">
        <v>197</v>
      </c>
      <c r="AN578" s="23" t="s">
        <v>197</v>
      </c>
      <c r="AO578" s="23" t="n">
        <v>1.2</v>
      </c>
      <c r="AP578" s="23" t="n">
        <v>1.6</v>
      </c>
    </row>
    <row r="579" customFormat="false" ht="21.75" hidden="false" customHeight="true" outlineLevel="0" collapsed="false">
      <c r="B579" s="14" t="n">
        <v>575</v>
      </c>
      <c r="C579" s="7" t="s">
        <v>49</v>
      </c>
      <c r="D579" s="7" t="s">
        <v>23</v>
      </c>
      <c r="E579" s="7" t="s">
        <v>120</v>
      </c>
      <c r="F579" s="7" t="s">
        <v>63</v>
      </c>
      <c r="G579" s="7" t="s">
        <v>1532</v>
      </c>
      <c r="H579" s="7" t="s">
        <v>1390</v>
      </c>
      <c r="I579" s="7" t="s">
        <v>490</v>
      </c>
      <c r="J579" s="7" t="s">
        <v>1392</v>
      </c>
      <c r="K579" s="7" t="s">
        <v>1526</v>
      </c>
      <c r="L579" s="7" t="s">
        <v>1498</v>
      </c>
      <c r="M579" s="7" t="s">
        <v>235</v>
      </c>
      <c r="N579" s="7" t="s">
        <v>1343</v>
      </c>
      <c r="O579" s="7" t="s">
        <v>189</v>
      </c>
      <c r="P579" s="7" t="s">
        <v>190</v>
      </c>
      <c r="Q579" s="7" t="s">
        <v>1527</v>
      </c>
      <c r="R579" s="7" t="s">
        <v>290</v>
      </c>
      <c r="S579" s="7" t="s">
        <v>1369</v>
      </c>
      <c r="T579" s="7" t="s">
        <v>239</v>
      </c>
      <c r="U579" s="18" t="n">
        <v>70</v>
      </c>
      <c r="V579" s="7"/>
      <c r="W579" s="7"/>
      <c r="X579" s="7" t="s">
        <v>203</v>
      </c>
      <c r="Y579" s="22" t="n">
        <v>0.049</v>
      </c>
      <c r="Z579" s="22" t="n">
        <v>0.092</v>
      </c>
      <c r="AA579" s="22" t="n">
        <v>12</v>
      </c>
      <c r="AB579" s="7" t="s">
        <v>1498</v>
      </c>
      <c r="AC579" s="7" t="s">
        <v>1528</v>
      </c>
      <c r="AD579" s="22" t="s">
        <v>197</v>
      </c>
      <c r="AE579" s="22" t="s">
        <v>197</v>
      </c>
      <c r="AF579" s="22" t="s">
        <v>197</v>
      </c>
      <c r="AG579" s="22" t="s">
        <v>197</v>
      </c>
      <c r="AH579" s="22" t="s">
        <v>197</v>
      </c>
      <c r="AI579" s="22" t="s">
        <v>197</v>
      </c>
      <c r="AJ579" s="22" t="s">
        <v>197</v>
      </c>
      <c r="AK579" s="22" t="s">
        <v>197</v>
      </c>
      <c r="AL579" s="22" t="s">
        <v>197</v>
      </c>
      <c r="AM579" s="7" t="s">
        <v>197</v>
      </c>
      <c r="AN579" s="22" t="s">
        <v>197</v>
      </c>
      <c r="AO579" s="22" t="n">
        <v>1.2</v>
      </c>
      <c r="AP579" s="22" t="n">
        <v>1.6</v>
      </c>
    </row>
    <row r="580" customFormat="false" ht="21.75" hidden="false" customHeight="true" outlineLevel="0" collapsed="false">
      <c r="B580" s="15" t="n">
        <v>576</v>
      </c>
      <c r="C580" s="9" t="s">
        <v>49</v>
      </c>
      <c r="D580" s="9" t="s">
        <v>23</v>
      </c>
      <c r="E580" s="9" t="s">
        <v>120</v>
      </c>
      <c r="F580" s="9" t="s">
        <v>63</v>
      </c>
      <c r="G580" s="9" t="s">
        <v>1533</v>
      </c>
      <c r="H580" s="9" t="s">
        <v>1390</v>
      </c>
      <c r="I580" s="9" t="s">
        <v>490</v>
      </c>
      <c r="J580" s="9" t="s">
        <v>1392</v>
      </c>
      <c r="K580" s="9" t="s">
        <v>1526</v>
      </c>
      <c r="L580" s="9" t="s">
        <v>1498</v>
      </c>
      <c r="M580" s="9" t="s">
        <v>235</v>
      </c>
      <c r="N580" s="9" t="s">
        <v>1343</v>
      </c>
      <c r="O580" s="9" t="s">
        <v>189</v>
      </c>
      <c r="P580" s="9" t="s">
        <v>190</v>
      </c>
      <c r="Q580" s="9" t="s">
        <v>1527</v>
      </c>
      <c r="R580" s="9" t="s">
        <v>290</v>
      </c>
      <c r="S580" s="9" t="s">
        <v>1369</v>
      </c>
      <c r="T580" s="9" t="s">
        <v>239</v>
      </c>
      <c r="U580" s="19" t="n">
        <v>105</v>
      </c>
      <c r="V580" s="9"/>
      <c r="W580" s="9"/>
      <c r="X580" s="9" t="s">
        <v>205</v>
      </c>
      <c r="Y580" s="23" t="n">
        <v>0.043</v>
      </c>
      <c r="Z580" s="23" t="n">
        <v>0.081</v>
      </c>
      <c r="AA580" s="23" t="n">
        <v>12</v>
      </c>
      <c r="AB580" s="9" t="s">
        <v>1498</v>
      </c>
      <c r="AC580" s="9" t="s">
        <v>1528</v>
      </c>
      <c r="AD580" s="23" t="s">
        <v>197</v>
      </c>
      <c r="AE580" s="23" t="s">
        <v>197</v>
      </c>
      <c r="AF580" s="23" t="s">
        <v>197</v>
      </c>
      <c r="AG580" s="23" t="s">
        <v>197</v>
      </c>
      <c r="AH580" s="23" t="s">
        <v>197</v>
      </c>
      <c r="AI580" s="23" t="s">
        <v>197</v>
      </c>
      <c r="AJ580" s="23" t="s">
        <v>197</v>
      </c>
      <c r="AK580" s="23" t="s">
        <v>197</v>
      </c>
      <c r="AL580" s="23" t="s">
        <v>197</v>
      </c>
      <c r="AM580" s="9" t="s">
        <v>197</v>
      </c>
      <c r="AN580" s="23" t="s">
        <v>197</v>
      </c>
      <c r="AO580" s="23" t="n">
        <v>1.2</v>
      </c>
      <c r="AP580" s="23" t="n">
        <v>1.6</v>
      </c>
    </row>
    <row r="581" customFormat="false" ht="21.75" hidden="false" customHeight="true" outlineLevel="0" collapsed="false">
      <c r="B581" s="14" t="n">
        <v>577</v>
      </c>
      <c r="C581" s="7" t="s">
        <v>49</v>
      </c>
      <c r="D581" s="7" t="s">
        <v>23</v>
      </c>
      <c r="E581" s="7" t="s">
        <v>120</v>
      </c>
      <c r="F581" s="7" t="s">
        <v>64</v>
      </c>
      <c r="G581" s="7" t="s">
        <v>1534</v>
      </c>
      <c r="H581" s="7" t="s">
        <v>247</v>
      </c>
      <c r="I581" s="7" t="s">
        <v>1535</v>
      </c>
      <c r="J581" s="7" t="s">
        <v>1536</v>
      </c>
      <c r="K581" s="7" t="s">
        <v>250</v>
      </c>
      <c r="L581" s="7" t="s">
        <v>1498</v>
      </c>
      <c r="M581" s="7" t="s">
        <v>251</v>
      </c>
      <c r="N581" s="7" t="s">
        <v>1537</v>
      </c>
      <c r="O581" s="7" t="s">
        <v>189</v>
      </c>
      <c r="P581" s="7" t="s">
        <v>190</v>
      </c>
      <c r="Q581" s="7" t="s">
        <v>1538</v>
      </c>
      <c r="R581" s="7" t="s">
        <v>701</v>
      </c>
      <c r="S581" s="7" t="s">
        <v>1369</v>
      </c>
      <c r="T581" s="7" t="s">
        <v>275</v>
      </c>
      <c r="U581" s="18" t="n">
        <v>11</v>
      </c>
      <c r="V581" s="7"/>
      <c r="W581" s="7"/>
      <c r="X581" s="7" t="s">
        <v>195</v>
      </c>
      <c r="Y581" s="22" t="n">
        <v>0.017</v>
      </c>
      <c r="Z581" s="22" t="n">
        <v>0.023</v>
      </c>
      <c r="AA581" s="22" t="n">
        <v>12</v>
      </c>
      <c r="AB581" s="7" t="s">
        <v>1498</v>
      </c>
      <c r="AC581" s="7" t="s">
        <v>1539</v>
      </c>
      <c r="AD581" s="22" t="s">
        <v>197</v>
      </c>
      <c r="AE581" s="22" t="s">
        <v>197</v>
      </c>
      <c r="AF581" s="22" t="s">
        <v>197</v>
      </c>
      <c r="AG581" s="22" t="s">
        <v>197</v>
      </c>
      <c r="AH581" s="22" t="s">
        <v>197</v>
      </c>
      <c r="AI581" s="22" t="s">
        <v>197</v>
      </c>
      <c r="AJ581" s="22" t="n">
        <v>8</v>
      </c>
      <c r="AK581" s="22" t="s">
        <v>197</v>
      </c>
      <c r="AL581" s="22" t="n">
        <v>90</v>
      </c>
      <c r="AM581" s="7" t="s">
        <v>257</v>
      </c>
      <c r="AN581" s="22" t="s">
        <v>197</v>
      </c>
      <c r="AO581" s="22" t="n">
        <v>2</v>
      </c>
      <c r="AP581" s="22" t="n">
        <v>2.7</v>
      </c>
    </row>
    <row r="582" customFormat="false" ht="21.75" hidden="false" customHeight="true" outlineLevel="0" collapsed="false">
      <c r="B582" s="15" t="n">
        <v>578</v>
      </c>
      <c r="C582" s="9" t="s">
        <v>49</v>
      </c>
      <c r="D582" s="9" t="s">
        <v>23</v>
      </c>
      <c r="E582" s="9" t="s">
        <v>120</v>
      </c>
      <c r="F582" s="9" t="s">
        <v>64</v>
      </c>
      <c r="G582" s="9" t="s">
        <v>1540</v>
      </c>
      <c r="H582" s="9" t="s">
        <v>259</v>
      </c>
      <c r="I582" s="9" t="s">
        <v>1535</v>
      </c>
      <c r="J582" s="9" t="s">
        <v>1536</v>
      </c>
      <c r="K582" s="9" t="s">
        <v>250</v>
      </c>
      <c r="L582" s="9" t="s">
        <v>1498</v>
      </c>
      <c r="M582" s="9" t="s">
        <v>251</v>
      </c>
      <c r="N582" s="9" t="s">
        <v>1537</v>
      </c>
      <c r="O582" s="9" t="s">
        <v>189</v>
      </c>
      <c r="P582" s="9" t="s">
        <v>190</v>
      </c>
      <c r="Q582" s="9" t="s">
        <v>1538</v>
      </c>
      <c r="R582" s="9" t="s">
        <v>701</v>
      </c>
      <c r="S582" s="9" t="s">
        <v>1369</v>
      </c>
      <c r="T582" s="9" t="s">
        <v>275</v>
      </c>
      <c r="U582" s="19" t="n">
        <v>16</v>
      </c>
      <c r="V582" s="9"/>
      <c r="W582" s="9"/>
      <c r="X582" s="9" t="s">
        <v>199</v>
      </c>
      <c r="Y582" s="23" t="n">
        <v>0.018</v>
      </c>
      <c r="Z582" s="23" t="n">
        <v>0.025</v>
      </c>
      <c r="AA582" s="23" t="n">
        <v>12</v>
      </c>
      <c r="AB582" s="9" t="s">
        <v>1498</v>
      </c>
      <c r="AC582" s="9" t="s">
        <v>1539</v>
      </c>
      <c r="AD582" s="23" t="s">
        <v>197</v>
      </c>
      <c r="AE582" s="23" t="s">
        <v>197</v>
      </c>
      <c r="AF582" s="23" t="s">
        <v>197</v>
      </c>
      <c r="AG582" s="23" t="s">
        <v>197</v>
      </c>
      <c r="AH582" s="23" t="s">
        <v>197</v>
      </c>
      <c r="AI582" s="23" t="s">
        <v>197</v>
      </c>
      <c r="AJ582" s="23" t="n">
        <v>10</v>
      </c>
      <c r="AK582" s="23" t="s">
        <v>197</v>
      </c>
      <c r="AL582" s="23" t="n">
        <v>90</v>
      </c>
      <c r="AM582" s="9" t="s">
        <v>257</v>
      </c>
      <c r="AN582" s="23" t="s">
        <v>197</v>
      </c>
      <c r="AO582" s="23" t="n">
        <v>2</v>
      </c>
      <c r="AP582" s="23" t="n">
        <v>2.7</v>
      </c>
    </row>
    <row r="583" customFormat="false" ht="21.75" hidden="false" customHeight="true" outlineLevel="0" collapsed="false">
      <c r="B583" s="14" t="n">
        <v>579</v>
      </c>
      <c r="C583" s="7" t="s">
        <v>49</v>
      </c>
      <c r="D583" s="7" t="s">
        <v>23</v>
      </c>
      <c r="E583" s="7" t="s">
        <v>120</v>
      </c>
      <c r="F583" s="7" t="s">
        <v>64</v>
      </c>
      <c r="G583" s="7" t="s">
        <v>1541</v>
      </c>
      <c r="H583" s="7" t="s">
        <v>261</v>
      </c>
      <c r="I583" s="7" t="s">
        <v>1535</v>
      </c>
      <c r="J583" s="7" t="s">
        <v>1536</v>
      </c>
      <c r="K583" s="7" t="s">
        <v>250</v>
      </c>
      <c r="L583" s="7" t="s">
        <v>1498</v>
      </c>
      <c r="M583" s="7" t="s">
        <v>251</v>
      </c>
      <c r="N583" s="7" t="s">
        <v>1537</v>
      </c>
      <c r="O583" s="7" t="s">
        <v>189</v>
      </c>
      <c r="P583" s="7" t="s">
        <v>190</v>
      </c>
      <c r="Q583" s="7" t="s">
        <v>1538</v>
      </c>
      <c r="R583" s="7" t="s">
        <v>701</v>
      </c>
      <c r="S583" s="7" t="s">
        <v>1369</v>
      </c>
      <c r="T583" s="7" t="s">
        <v>275</v>
      </c>
      <c r="U583" s="18" t="n">
        <v>20</v>
      </c>
      <c r="V583" s="7"/>
      <c r="W583" s="7"/>
      <c r="X583" s="7" t="s">
        <v>1542</v>
      </c>
      <c r="Y583" s="22" t="n">
        <v>0.016</v>
      </c>
      <c r="Z583" s="22" t="n">
        <v>0.022</v>
      </c>
      <c r="AA583" s="22" t="n">
        <v>12</v>
      </c>
      <c r="AB583" s="7" t="s">
        <v>1498</v>
      </c>
      <c r="AC583" s="7" t="s">
        <v>1539</v>
      </c>
      <c r="AD583" s="22" t="s">
        <v>197</v>
      </c>
      <c r="AE583" s="22" t="s">
        <v>197</v>
      </c>
      <c r="AF583" s="22" t="s">
        <v>197</v>
      </c>
      <c r="AG583" s="22" t="s">
        <v>197</v>
      </c>
      <c r="AH583" s="22" t="s">
        <v>197</v>
      </c>
      <c r="AI583" s="22" t="s">
        <v>197</v>
      </c>
      <c r="AJ583" s="22" t="n">
        <v>12</v>
      </c>
      <c r="AK583" s="22" t="s">
        <v>197</v>
      </c>
      <c r="AL583" s="22" t="n">
        <v>90</v>
      </c>
      <c r="AM583" s="7" t="s">
        <v>257</v>
      </c>
      <c r="AN583" s="22" t="s">
        <v>197</v>
      </c>
      <c r="AO583" s="22" t="n">
        <v>2</v>
      </c>
      <c r="AP583" s="22" t="n">
        <v>2.7</v>
      </c>
    </row>
    <row r="584" customFormat="false" ht="21.75" hidden="false" customHeight="true" outlineLevel="0" collapsed="false">
      <c r="B584" s="15" t="n">
        <v>580</v>
      </c>
      <c r="C584" s="9" t="s">
        <v>49</v>
      </c>
      <c r="D584" s="9" t="s">
        <v>23</v>
      </c>
      <c r="E584" s="9" t="s">
        <v>120</v>
      </c>
      <c r="F584" s="9" t="s">
        <v>64</v>
      </c>
      <c r="G584" s="9" t="s">
        <v>1543</v>
      </c>
      <c r="H584" s="9" t="s">
        <v>264</v>
      </c>
      <c r="I584" s="9" t="s">
        <v>1535</v>
      </c>
      <c r="J584" s="9" t="s">
        <v>1536</v>
      </c>
      <c r="K584" s="9" t="s">
        <v>250</v>
      </c>
      <c r="L584" s="9" t="s">
        <v>1498</v>
      </c>
      <c r="M584" s="9" t="s">
        <v>251</v>
      </c>
      <c r="N584" s="9" t="s">
        <v>1537</v>
      </c>
      <c r="O584" s="9" t="s">
        <v>189</v>
      </c>
      <c r="P584" s="9" t="s">
        <v>190</v>
      </c>
      <c r="Q584" s="9" t="s">
        <v>1538</v>
      </c>
      <c r="R584" s="9" t="s">
        <v>701</v>
      </c>
      <c r="S584" s="9" t="s">
        <v>1369</v>
      </c>
      <c r="T584" s="9" t="s">
        <v>275</v>
      </c>
      <c r="U584" s="19" t="n">
        <v>30</v>
      </c>
      <c r="V584" s="9"/>
      <c r="W584" s="9"/>
      <c r="X584" s="9" t="s">
        <v>203</v>
      </c>
      <c r="Y584" s="23" t="n">
        <v>0.013</v>
      </c>
      <c r="Z584" s="23" t="n">
        <v>0.018</v>
      </c>
      <c r="AA584" s="23" t="n">
        <v>12</v>
      </c>
      <c r="AB584" s="9" t="s">
        <v>1498</v>
      </c>
      <c r="AC584" s="9" t="s">
        <v>1539</v>
      </c>
      <c r="AD584" s="23" t="s">
        <v>197</v>
      </c>
      <c r="AE584" s="23" t="s">
        <v>197</v>
      </c>
      <c r="AF584" s="23" t="s">
        <v>197</v>
      </c>
      <c r="AG584" s="23" t="s">
        <v>197</v>
      </c>
      <c r="AH584" s="23" t="s">
        <v>197</v>
      </c>
      <c r="AI584" s="23" t="s">
        <v>197</v>
      </c>
      <c r="AJ584" s="23" t="n">
        <v>12</v>
      </c>
      <c r="AK584" s="23" t="s">
        <v>197</v>
      </c>
      <c r="AL584" s="23" t="n">
        <v>110</v>
      </c>
      <c r="AM584" s="9" t="s">
        <v>257</v>
      </c>
      <c r="AN584" s="23" t="s">
        <v>197</v>
      </c>
      <c r="AO584" s="23" t="n">
        <v>2</v>
      </c>
      <c r="AP584" s="23" t="n">
        <v>2.7</v>
      </c>
    </row>
    <row r="585" customFormat="false" ht="21.75" hidden="false" customHeight="true" outlineLevel="0" collapsed="false">
      <c r="B585" s="14" t="n">
        <v>581</v>
      </c>
      <c r="C585" s="7" t="s">
        <v>49</v>
      </c>
      <c r="D585" s="7" t="s">
        <v>23</v>
      </c>
      <c r="E585" s="7" t="s">
        <v>120</v>
      </c>
      <c r="F585" s="7" t="s">
        <v>64</v>
      </c>
      <c r="G585" s="7" t="s">
        <v>1544</v>
      </c>
      <c r="H585" s="7" t="s">
        <v>266</v>
      </c>
      <c r="I585" s="7" t="s">
        <v>1535</v>
      </c>
      <c r="J585" s="7" t="s">
        <v>1536</v>
      </c>
      <c r="K585" s="7" t="s">
        <v>250</v>
      </c>
      <c r="L585" s="7" t="s">
        <v>1498</v>
      </c>
      <c r="M585" s="7" t="s">
        <v>251</v>
      </c>
      <c r="N585" s="7" t="s">
        <v>1537</v>
      </c>
      <c r="O585" s="7" t="s">
        <v>189</v>
      </c>
      <c r="P585" s="7" t="s">
        <v>190</v>
      </c>
      <c r="Q585" s="7" t="s">
        <v>1538</v>
      </c>
      <c r="R585" s="7" t="s">
        <v>701</v>
      </c>
      <c r="S585" s="7" t="s">
        <v>1369</v>
      </c>
      <c r="T585" s="7" t="s">
        <v>275</v>
      </c>
      <c r="U585" s="18" t="n">
        <v>45</v>
      </c>
      <c r="V585" s="7"/>
      <c r="W585" s="7"/>
      <c r="X585" s="7" t="s">
        <v>205</v>
      </c>
      <c r="Y585" s="22" t="n">
        <v>0.008</v>
      </c>
      <c r="Z585" s="22" t="n">
        <v>0.012</v>
      </c>
      <c r="AA585" s="22" t="n">
        <v>12</v>
      </c>
      <c r="AB585" s="7" t="s">
        <v>1498</v>
      </c>
      <c r="AC585" s="7" t="s">
        <v>1539</v>
      </c>
      <c r="AD585" s="22" t="s">
        <v>197</v>
      </c>
      <c r="AE585" s="22" t="s">
        <v>197</v>
      </c>
      <c r="AF585" s="22" t="s">
        <v>197</v>
      </c>
      <c r="AG585" s="22" t="s">
        <v>197</v>
      </c>
      <c r="AH585" s="22" t="s">
        <v>197</v>
      </c>
      <c r="AI585" s="22" t="s">
        <v>197</v>
      </c>
      <c r="AJ585" s="22" t="n">
        <v>15</v>
      </c>
      <c r="AK585" s="22" t="s">
        <v>197</v>
      </c>
      <c r="AL585" s="22" t="n">
        <v>110</v>
      </c>
      <c r="AM585" s="7" t="s">
        <v>257</v>
      </c>
      <c r="AN585" s="22" t="s">
        <v>197</v>
      </c>
      <c r="AO585" s="22" t="n">
        <v>2</v>
      </c>
      <c r="AP585" s="22" t="n">
        <v>2.7</v>
      </c>
    </row>
    <row r="586" customFormat="false" ht="21.75" hidden="false" customHeight="true" outlineLevel="0" collapsed="false">
      <c r="B586" s="15" t="n">
        <v>582</v>
      </c>
      <c r="C586" s="9" t="s">
        <v>49</v>
      </c>
      <c r="D586" s="9" t="s">
        <v>23</v>
      </c>
      <c r="E586" s="9" t="s">
        <v>120</v>
      </c>
      <c r="F586" s="9" t="s">
        <v>65</v>
      </c>
      <c r="G586" s="9" t="s">
        <v>1545</v>
      </c>
      <c r="H586" s="9" t="s">
        <v>247</v>
      </c>
      <c r="I586" s="9" t="s">
        <v>515</v>
      </c>
      <c r="J586" s="9" t="s">
        <v>1546</v>
      </c>
      <c r="K586" s="9" t="s">
        <v>517</v>
      </c>
      <c r="L586" s="9" t="s">
        <v>1498</v>
      </c>
      <c r="M586" s="9" t="s">
        <v>518</v>
      </c>
      <c r="N586" s="9" t="s">
        <v>860</v>
      </c>
      <c r="O586" s="9" t="s">
        <v>189</v>
      </c>
      <c r="P586" s="9" t="s">
        <v>190</v>
      </c>
      <c r="Q586" s="9" t="s">
        <v>700</v>
      </c>
      <c r="R586" s="9" t="s">
        <v>1547</v>
      </c>
      <c r="S586" s="9" t="s">
        <v>1369</v>
      </c>
      <c r="T586" s="9" t="s">
        <v>275</v>
      </c>
      <c r="U586" s="19" t="n">
        <v>17</v>
      </c>
      <c r="V586" s="9"/>
      <c r="W586" s="9"/>
      <c r="X586" s="9" t="s">
        <v>195</v>
      </c>
      <c r="Y586" s="23" t="n">
        <v>1.846E-005</v>
      </c>
      <c r="Z586" s="23" t="n">
        <v>4.367E-005</v>
      </c>
      <c r="AA586" s="23" t="n">
        <v>3</v>
      </c>
      <c r="AB586" s="9" t="s">
        <v>1498</v>
      </c>
      <c r="AC586" s="9" t="s">
        <v>1548</v>
      </c>
      <c r="AD586" s="23" t="s">
        <v>197</v>
      </c>
      <c r="AE586" s="23" t="s">
        <v>197</v>
      </c>
      <c r="AF586" s="23" t="s">
        <v>197</v>
      </c>
      <c r="AG586" s="23" t="s">
        <v>197</v>
      </c>
      <c r="AH586" s="23" t="s">
        <v>197</v>
      </c>
      <c r="AI586" s="23" t="s">
        <v>197</v>
      </c>
      <c r="AJ586" s="23" t="n">
        <v>8</v>
      </c>
      <c r="AK586" s="23" t="s">
        <v>197</v>
      </c>
      <c r="AL586" s="23" t="n">
        <v>90</v>
      </c>
      <c r="AM586" s="9" t="s">
        <v>257</v>
      </c>
      <c r="AN586" s="23" t="s">
        <v>197</v>
      </c>
      <c r="AO586" s="23" t="n">
        <v>2</v>
      </c>
      <c r="AP586" s="23" t="n">
        <v>2.7</v>
      </c>
    </row>
    <row r="587" customFormat="false" ht="21.75" hidden="false" customHeight="true" outlineLevel="0" collapsed="false">
      <c r="B587" s="14" t="n">
        <v>583</v>
      </c>
      <c r="C587" s="7" t="s">
        <v>49</v>
      </c>
      <c r="D587" s="7" t="s">
        <v>23</v>
      </c>
      <c r="E587" s="7" t="s">
        <v>120</v>
      </c>
      <c r="F587" s="7" t="s">
        <v>65</v>
      </c>
      <c r="G587" s="7" t="s">
        <v>1549</v>
      </c>
      <c r="H587" s="7" t="s">
        <v>259</v>
      </c>
      <c r="I587" s="7" t="s">
        <v>515</v>
      </c>
      <c r="J587" s="7" t="s">
        <v>1546</v>
      </c>
      <c r="K587" s="7" t="s">
        <v>517</v>
      </c>
      <c r="L587" s="7" t="s">
        <v>1498</v>
      </c>
      <c r="M587" s="7" t="s">
        <v>518</v>
      </c>
      <c r="N587" s="7" t="s">
        <v>860</v>
      </c>
      <c r="O587" s="7" t="s">
        <v>189</v>
      </c>
      <c r="P587" s="7" t="s">
        <v>190</v>
      </c>
      <c r="Q587" s="7" t="s">
        <v>700</v>
      </c>
      <c r="R587" s="7" t="s">
        <v>1547</v>
      </c>
      <c r="S587" s="7" t="s">
        <v>1369</v>
      </c>
      <c r="T587" s="7" t="s">
        <v>275</v>
      </c>
      <c r="U587" s="18" t="n">
        <v>25</v>
      </c>
      <c r="V587" s="7"/>
      <c r="W587" s="7"/>
      <c r="X587" s="7" t="s">
        <v>199</v>
      </c>
      <c r="Y587" s="22" t="n">
        <v>8.59E-006</v>
      </c>
      <c r="Z587" s="22" t="n">
        <v>2.605E-005</v>
      </c>
      <c r="AA587" s="22" t="n">
        <v>3</v>
      </c>
      <c r="AB587" s="7" t="s">
        <v>1498</v>
      </c>
      <c r="AC587" s="7" t="s">
        <v>1548</v>
      </c>
      <c r="AD587" s="22" t="s">
        <v>197</v>
      </c>
      <c r="AE587" s="22" t="s">
        <v>197</v>
      </c>
      <c r="AF587" s="22" t="s">
        <v>197</v>
      </c>
      <c r="AG587" s="22" t="s">
        <v>197</v>
      </c>
      <c r="AH587" s="22" t="s">
        <v>197</v>
      </c>
      <c r="AI587" s="22" t="s">
        <v>197</v>
      </c>
      <c r="AJ587" s="22" t="n">
        <v>10</v>
      </c>
      <c r="AK587" s="22" t="s">
        <v>197</v>
      </c>
      <c r="AL587" s="22" t="n">
        <v>90</v>
      </c>
      <c r="AM587" s="7" t="s">
        <v>257</v>
      </c>
      <c r="AN587" s="22" t="s">
        <v>197</v>
      </c>
      <c r="AO587" s="22" t="n">
        <v>2</v>
      </c>
      <c r="AP587" s="22" t="n">
        <v>2.7</v>
      </c>
    </row>
    <row r="588" customFormat="false" ht="21.75" hidden="false" customHeight="true" outlineLevel="0" collapsed="false">
      <c r="B588" s="15" t="n">
        <v>584</v>
      </c>
      <c r="C588" s="9" t="s">
        <v>49</v>
      </c>
      <c r="D588" s="9" t="s">
        <v>23</v>
      </c>
      <c r="E588" s="9" t="s">
        <v>120</v>
      </c>
      <c r="F588" s="9" t="s">
        <v>65</v>
      </c>
      <c r="G588" s="9" t="s">
        <v>1550</v>
      </c>
      <c r="H588" s="9" t="s">
        <v>261</v>
      </c>
      <c r="I588" s="9" t="s">
        <v>515</v>
      </c>
      <c r="J588" s="9" t="s">
        <v>1546</v>
      </c>
      <c r="K588" s="9" t="s">
        <v>517</v>
      </c>
      <c r="L588" s="9" t="s">
        <v>1498</v>
      </c>
      <c r="M588" s="9" t="s">
        <v>518</v>
      </c>
      <c r="N588" s="9" t="s">
        <v>860</v>
      </c>
      <c r="O588" s="9" t="s">
        <v>189</v>
      </c>
      <c r="P588" s="9" t="s">
        <v>190</v>
      </c>
      <c r="Q588" s="9" t="s">
        <v>700</v>
      </c>
      <c r="R588" s="9" t="s">
        <v>1547</v>
      </c>
      <c r="S588" s="9" t="s">
        <v>1369</v>
      </c>
      <c r="T588" s="9" t="s">
        <v>275</v>
      </c>
      <c r="U588" s="19" t="n">
        <v>30</v>
      </c>
      <c r="V588" s="9"/>
      <c r="W588" s="9"/>
      <c r="X588" s="9" t="s">
        <v>1551</v>
      </c>
      <c r="Y588" s="23" t="n">
        <v>2.028E-005</v>
      </c>
      <c r="Z588" s="23" t="n">
        <v>4.692E-005</v>
      </c>
      <c r="AA588" s="23" t="n">
        <v>3</v>
      </c>
      <c r="AB588" s="9" t="s">
        <v>1498</v>
      </c>
      <c r="AC588" s="9" t="s">
        <v>1548</v>
      </c>
      <c r="AD588" s="23" t="s">
        <v>197</v>
      </c>
      <c r="AE588" s="23" t="s">
        <v>197</v>
      </c>
      <c r="AF588" s="23" t="s">
        <v>197</v>
      </c>
      <c r="AG588" s="23" t="s">
        <v>197</v>
      </c>
      <c r="AH588" s="23" t="s">
        <v>197</v>
      </c>
      <c r="AI588" s="23" t="s">
        <v>197</v>
      </c>
      <c r="AJ588" s="23" t="n">
        <v>12</v>
      </c>
      <c r="AK588" s="23" t="s">
        <v>197</v>
      </c>
      <c r="AL588" s="23" t="n">
        <v>90</v>
      </c>
      <c r="AM588" s="9" t="s">
        <v>257</v>
      </c>
      <c r="AN588" s="23" t="s">
        <v>197</v>
      </c>
      <c r="AO588" s="23" t="n">
        <v>2</v>
      </c>
      <c r="AP588" s="23" t="n">
        <v>2.7</v>
      </c>
    </row>
    <row r="589" customFormat="false" ht="21.75" hidden="false" customHeight="true" outlineLevel="0" collapsed="false">
      <c r="B589" s="14" t="n">
        <v>585</v>
      </c>
      <c r="C589" s="7" t="s">
        <v>49</v>
      </c>
      <c r="D589" s="7" t="s">
        <v>23</v>
      </c>
      <c r="E589" s="7" t="s">
        <v>120</v>
      </c>
      <c r="F589" s="7" t="s">
        <v>65</v>
      </c>
      <c r="G589" s="7" t="s">
        <v>1552</v>
      </c>
      <c r="H589" s="7" t="s">
        <v>281</v>
      </c>
      <c r="I589" s="7" t="s">
        <v>515</v>
      </c>
      <c r="J589" s="7" t="s">
        <v>1546</v>
      </c>
      <c r="K589" s="7" t="s">
        <v>517</v>
      </c>
      <c r="L589" s="7" t="s">
        <v>1498</v>
      </c>
      <c r="M589" s="7" t="s">
        <v>518</v>
      </c>
      <c r="N589" s="7" t="s">
        <v>860</v>
      </c>
      <c r="O589" s="7" t="s">
        <v>189</v>
      </c>
      <c r="P589" s="7" t="s">
        <v>190</v>
      </c>
      <c r="Q589" s="7" t="s">
        <v>700</v>
      </c>
      <c r="R589" s="7" t="s">
        <v>1547</v>
      </c>
      <c r="S589" s="7" t="s">
        <v>1369</v>
      </c>
      <c r="T589" s="7" t="s">
        <v>275</v>
      </c>
      <c r="U589" s="18" t="n">
        <v>50</v>
      </c>
      <c r="V589" s="7"/>
      <c r="W589" s="7"/>
      <c r="X589" s="7" t="s">
        <v>203</v>
      </c>
      <c r="Y589" s="22" t="n">
        <v>1.812E-005</v>
      </c>
      <c r="Z589" s="22" t="n">
        <v>4.307E-005</v>
      </c>
      <c r="AA589" s="22" t="n">
        <v>3</v>
      </c>
      <c r="AB589" s="7" t="s">
        <v>1498</v>
      </c>
      <c r="AC589" s="7" t="s">
        <v>1548</v>
      </c>
      <c r="AD589" s="22" t="s">
        <v>197</v>
      </c>
      <c r="AE589" s="22" t="s">
        <v>197</v>
      </c>
      <c r="AF589" s="22" t="s">
        <v>197</v>
      </c>
      <c r="AG589" s="22" t="s">
        <v>197</v>
      </c>
      <c r="AH589" s="22" t="s">
        <v>197</v>
      </c>
      <c r="AI589" s="22" t="s">
        <v>197</v>
      </c>
      <c r="AJ589" s="22" t="n">
        <v>12</v>
      </c>
      <c r="AK589" s="22" t="s">
        <v>197</v>
      </c>
      <c r="AL589" s="22" t="n">
        <v>90</v>
      </c>
      <c r="AM589" s="7" t="s">
        <v>257</v>
      </c>
      <c r="AN589" s="22" t="s">
        <v>197</v>
      </c>
      <c r="AO589" s="22" t="n">
        <v>2</v>
      </c>
      <c r="AP589" s="22" t="n">
        <v>2.7</v>
      </c>
    </row>
    <row r="590" customFormat="false" ht="21.75" hidden="false" customHeight="true" outlineLevel="0" collapsed="false">
      <c r="B590" s="15" t="n">
        <v>586</v>
      </c>
      <c r="C590" s="9" t="s">
        <v>49</v>
      </c>
      <c r="D590" s="9" t="s">
        <v>23</v>
      </c>
      <c r="E590" s="9" t="s">
        <v>120</v>
      </c>
      <c r="F590" s="9" t="s">
        <v>65</v>
      </c>
      <c r="G590" s="9" t="s">
        <v>1553</v>
      </c>
      <c r="H590" s="9" t="s">
        <v>283</v>
      </c>
      <c r="I590" s="9" t="s">
        <v>515</v>
      </c>
      <c r="J590" s="9" t="s">
        <v>1546</v>
      </c>
      <c r="K590" s="9" t="s">
        <v>517</v>
      </c>
      <c r="L590" s="9" t="s">
        <v>1498</v>
      </c>
      <c r="M590" s="9" t="s">
        <v>518</v>
      </c>
      <c r="N590" s="9" t="s">
        <v>860</v>
      </c>
      <c r="O590" s="9" t="s">
        <v>189</v>
      </c>
      <c r="P590" s="9" t="s">
        <v>190</v>
      </c>
      <c r="Q590" s="9" t="s">
        <v>700</v>
      </c>
      <c r="R590" s="9" t="s">
        <v>1547</v>
      </c>
      <c r="S590" s="9" t="s">
        <v>1369</v>
      </c>
      <c r="T590" s="9" t="s">
        <v>275</v>
      </c>
      <c r="U590" s="19" t="n">
        <v>70</v>
      </c>
      <c r="V590" s="9"/>
      <c r="W590" s="9"/>
      <c r="X590" s="9" t="s">
        <v>205</v>
      </c>
      <c r="Y590" s="23" t="n">
        <v>1.834E-005</v>
      </c>
      <c r="Z590" s="23" t="n">
        <v>4.346E-005</v>
      </c>
      <c r="AA590" s="23" t="n">
        <v>3</v>
      </c>
      <c r="AB590" s="9" t="s">
        <v>1498</v>
      </c>
      <c r="AC590" s="9" t="s">
        <v>1548</v>
      </c>
      <c r="AD590" s="23" t="s">
        <v>197</v>
      </c>
      <c r="AE590" s="23" t="s">
        <v>197</v>
      </c>
      <c r="AF590" s="23" t="s">
        <v>197</v>
      </c>
      <c r="AG590" s="23" t="s">
        <v>197</v>
      </c>
      <c r="AH590" s="23" t="s">
        <v>197</v>
      </c>
      <c r="AI590" s="23" t="s">
        <v>197</v>
      </c>
      <c r="AJ590" s="23" t="n">
        <v>15</v>
      </c>
      <c r="AK590" s="23" t="s">
        <v>197</v>
      </c>
      <c r="AL590" s="23" t="n">
        <v>90</v>
      </c>
      <c r="AM590" s="9" t="s">
        <v>257</v>
      </c>
      <c r="AN590" s="23" t="s">
        <v>197</v>
      </c>
      <c r="AO590" s="23" t="n">
        <v>2</v>
      </c>
      <c r="AP590" s="23" t="n">
        <v>2.7</v>
      </c>
    </row>
    <row r="591" customFormat="false" ht="21.75" hidden="false" customHeight="true" outlineLevel="0" collapsed="false">
      <c r="B591" s="14" t="n">
        <v>587</v>
      </c>
      <c r="C591" s="7" t="s">
        <v>49</v>
      </c>
      <c r="D591" s="7" t="s">
        <v>23</v>
      </c>
      <c r="E591" s="7" t="s">
        <v>120</v>
      </c>
      <c r="F591" s="7" t="s">
        <v>66</v>
      </c>
      <c r="G591" s="7" t="s">
        <v>1554</v>
      </c>
      <c r="H591" s="7" t="s">
        <v>285</v>
      </c>
      <c r="I591" s="7" t="s">
        <v>1555</v>
      </c>
      <c r="J591" s="7" t="s">
        <v>1556</v>
      </c>
      <c r="K591" s="7" t="s">
        <v>250</v>
      </c>
      <c r="L591" s="7" t="s">
        <v>1498</v>
      </c>
      <c r="M591" s="7" t="s">
        <v>251</v>
      </c>
      <c r="N591" s="7" t="s">
        <v>288</v>
      </c>
      <c r="O591" s="7" t="s">
        <v>531</v>
      </c>
      <c r="P591" s="7" t="s">
        <v>190</v>
      </c>
      <c r="Q591" s="7" t="s">
        <v>1557</v>
      </c>
      <c r="R591" s="7" t="s">
        <v>590</v>
      </c>
      <c r="S591" s="7" t="s">
        <v>1369</v>
      </c>
      <c r="T591" s="7" t="s">
        <v>1142</v>
      </c>
      <c r="U591" s="18" t="n">
        <v>25</v>
      </c>
      <c r="V591" s="7"/>
      <c r="W591" s="7"/>
      <c r="X591" s="7" t="s">
        <v>195</v>
      </c>
      <c r="Y591" s="22" t="n">
        <v>0.018</v>
      </c>
      <c r="Z591" s="22" t="n">
        <v>0.028</v>
      </c>
      <c r="AA591" s="22" t="n">
        <v>12</v>
      </c>
      <c r="AB591" s="7" t="s">
        <v>1498</v>
      </c>
      <c r="AC591" s="7" t="s">
        <v>1539</v>
      </c>
      <c r="AD591" s="22" t="s">
        <v>197</v>
      </c>
      <c r="AE591" s="22" t="s">
        <v>197</v>
      </c>
      <c r="AF591" s="22" t="s">
        <v>197</v>
      </c>
      <c r="AG591" s="22" t="s">
        <v>197</v>
      </c>
      <c r="AH591" s="22" t="s">
        <v>197</v>
      </c>
      <c r="AI591" s="22" t="s">
        <v>197</v>
      </c>
      <c r="AJ591" s="22" t="s">
        <v>197</v>
      </c>
      <c r="AK591" s="22" t="n">
        <v>10</v>
      </c>
      <c r="AL591" s="22" t="n">
        <v>90</v>
      </c>
      <c r="AM591" s="7" t="s">
        <v>292</v>
      </c>
      <c r="AN591" s="22" t="s">
        <v>197</v>
      </c>
      <c r="AO591" s="22" t="n">
        <v>2</v>
      </c>
      <c r="AP591" s="22" t="n">
        <v>3</v>
      </c>
    </row>
    <row r="592" customFormat="false" ht="21.75" hidden="false" customHeight="true" outlineLevel="0" collapsed="false">
      <c r="B592" s="15" t="n">
        <v>588</v>
      </c>
      <c r="C592" s="9" t="s">
        <v>49</v>
      </c>
      <c r="D592" s="9" t="s">
        <v>23</v>
      </c>
      <c r="E592" s="9" t="s">
        <v>120</v>
      </c>
      <c r="F592" s="9" t="s">
        <v>66</v>
      </c>
      <c r="G592" s="9" t="s">
        <v>1558</v>
      </c>
      <c r="H592" s="9" t="s">
        <v>294</v>
      </c>
      <c r="I592" s="9" t="s">
        <v>1555</v>
      </c>
      <c r="J592" s="9" t="s">
        <v>1556</v>
      </c>
      <c r="K592" s="9" t="s">
        <v>250</v>
      </c>
      <c r="L592" s="9" t="s">
        <v>1498</v>
      </c>
      <c r="M592" s="9" t="s">
        <v>251</v>
      </c>
      <c r="N592" s="9" t="s">
        <v>288</v>
      </c>
      <c r="O592" s="9" t="s">
        <v>531</v>
      </c>
      <c r="P592" s="9" t="s">
        <v>190</v>
      </c>
      <c r="Q592" s="9" t="s">
        <v>1557</v>
      </c>
      <c r="R592" s="9" t="s">
        <v>590</v>
      </c>
      <c r="S592" s="9" t="s">
        <v>1369</v>
      </c>
      <c r="T592" s="9" t="s">
        <v>1142</v>
      </c>
      <c r="U592" s="19" t="n">
        <v>40</v>
      </c>
      <c r="V592" s="9"/>
      <c r="W592" s="9"/>
      <c r="X592" s="9" t="s">
        <v>199</v>
      </c>
      <c r="Y592" s="23" t="n">
        <v>0.017</v>
      </c>
      <c r="Z592" s="23" t="n">
        <v>0.027</v>
      </c>
      <c r="AA592" s="23" t="n">
        <v>12</v>
      </c>
      <c r="AB592" s="9" t="s">
        <v>1498</v>
      </c>
      <c r="AC592" s="9" t="s">
        <v>1539</v>
      </c>
      <c r="AD592" s="23" t="s">
        <v>197</v>
      </c>
      <c r="AE592" s="23" t="s">
        <v>197</v>
      </c>
      <c r="AF592" s="23" t="s">
        <v>197</v>
      </c>
      <c r="AG592" s="23" t="s">
        <v>197</v>
      </c>
      <c r="AH592" s="23" t="s">
        <v>197</v>
      </c>
      <c r="AI592" s="23" t="s">
        <v>197</v>
      </c>
      <c r="AJ592" s="23" t="s">
        <v>197</v>
      </c>
      <c r="AK592" s="23" t="n">
        <v>12</v>
      </c>
      <c r="AL592" s="23" t="n">
        <v>90</v>
      </c>
      <c r="AM592" s="9" t="s">
        <v>292</v>
      </c>
      <c r="AN592" s="23" t="s">
        <v>197</v>
      </c>
      <c r="AO592" s="23" t="n">
        <v>2</v>
      </c>
      <c r="AP592" s="23" t="n">
        <v>3</v>
      </c>
    </row>
    <row r="593" customFormat="false" ht="21.75" hidden="false" customHeight="true" outlineLevel="0" collapsed="false">
      <c r="B593" s="14" t="n">
        <v>589</v>
      </c>
      <c r="C593" s="7" t="s">
        <v>49</v>
      </c>
      <c r="D593" s="7" t="s">
        <v>23</v>
      </c>
      <c r="E593" s="7" t="s">
        <v>120</v>
      </c>
      <c r="F593" s="7" t="s">
        <v>66</v>
      </c>
      <c r="G593" s="7" t="s">
        <v>1559</v>
      </c>
      <c r="H593" s="7" t="s">
        <v>296</v>
      </c>
      <c r="I593" s="7" t="s">
        <v>1555</v>
      </c>
      <c r="J593" s="7" t="s">
        <v>1556</v>
      </c>
      <c r="K593" s="7" t="s">
        <v>250</v>
      </c>
      <c r="L593" s="7" t="s">
        <v>1498</v>
      </c>
      <c r="M593" s="7" t="s">
        <v>251</v>
      </c>
      <c r="N593" s="7" t="s">
        <v>288</v>
      </c>
      <c r="O593" s="7" t="s">
        <v>531</v>
      </c>
      <c r="P593" s="7" t="s">
        <v>190</v>
      </c>
      <c r="Q593" s="7" t="s">
        <v>1557</v>
      </c>
      <c r="R593" s="7" t="s">
        <v>590</v>
      </c>
      <c r="S593" s="7" t="s">
        <v>1369</v>
      </c>
      <c r="T593" s="7" t="s">
        <v>1142</v>
      </c>
      <c r="U593" s="18" t="n">
        <v>55</v>
      </c>
      <c r="V593" s="7"/>
      <c r="W593" s="7"/>
      <c r="X593" s="7" t="s">
        <v>1560</v>
      </c>
      <c r="Y593" s="22" t="n">
        <v>0.025</v>
      </c>
      <c r="Z593" s="22" t="n">
        <v>0.035</v>
      </c>
      <c r="AA593" s="22" t="n">
        <v>12</v>
      </c>
      <c r="AB593" s="7" t="s">
        <v>1498</v>
      </c>
      <c r="AC593" s="7" t="s">
        <v>1539</v>
      </c>
      <c r="AD593" s="22" t="s">
        <v>197</v>
      </c>
      <c r="AE593" s="22" t="s">
        <v>197</v>
      </c>
      <c r="AF593" s="22" t="s">
        <v>197</v>
      </c>
      <c r="AG593" s="22" t="s">
        <v>197</v>
      </c>
      <c r="AH593" s="22" t="s">
        <v>197</v>
      </c>
      <c r="AI593" s="22" t="s">
        <v>197</v>
      </c>
      <c r="AJ593" s="22" t="s">
        <v>197</v>
      </c>
      <c r="AK593" s="22" t="n">
        <v>12</v>
      </c>
      <c r="AL593" s="22" t="n">
        <v>90</v>
      </c>
      <c r="AM593" s="7" t="s">
        <v>292</v>
      </c>
      <c r="AN593" s="22" t="s">
        <v>197</v>
      </c>
      <c r="AO593" s="22" t="n">
        <v>2</v>
      </c>
      <c r="AP593" s="22" t="n">
        <v>3</v>
      </c>
    </row>
    <row r="594" customFormat="false" ht="21.75" hidden="false" customHeight="true" outlineLevel="0" collapsed="false">
      <c r="B594" s="15" t="n">
        <v>590</v>
      </c>
      <c r="C594" s="9" t="s">
        <v>49</v>
      </c>
      <c r="D594" s="9" t="s">
        <v>23</v>
      </c>
      <c r="E594" s="9" t="s">
        <v>120</v>
      </c>
      <c r="F594" s="9" t="s">
        <v>66</v>
      </c>
      <c r="G594" s="9" t="s">
        <v>1561</v>
      </c>
      <c r="H594" s="9" t="s">
        <v>299</v>
      </c>
      <c r="I594" s="9" t="s">
        <v>1555</v>
      </c>
      <c r="J594" s="9" t="s">
        <v>1556</v>
      </c>
      <c r="K594" s="9" t="s">
        <v>250</v>
      </c>
      <c r="L594" s="9" t="s">
        <v>1498</v>
      </c>
      <c r="M594" s="9" t="s">
        <v>251</v>
      </c>
      <c r="N594" s="9" t="s">
        <v>288</v>
      </c>
      <c r="O594" s="9" t="s">
        <v>531</v>
      </c>
      <c r="P594" s="9" t="s">
        <v>190</v>
      </c>
      <c r="Q594" s="9" t="s">
        <v>1557</v>
      </c>
      <c r="R594" s="9" t="s">
        <v>590</v>
      </c>
      <c r="S594" s="9" t="s">
        <v>1369</v>
      </c>
      <c r="T594" s="9" t="s">
        <v>1142</v>
      </c>
      <c r="U594" s="19" t="n">
        <v>85</v>
      </c>
      <c r="V594" s="9"/>
      <c r="W594" s="9"/>
      <c r="X594" s="9" t="s">
        <v>203</v>
      </c>
      <c r="Y594" s="23" t="n">
        <v>0.019</v>
      </c>
      <c r="Z594" s="23" t="n">
        <v>0.029</v>
      </c>
      <c r="AA594" s="23" t="n">
        <v>12</v>
      </c>
      <c r="AB594" s="9" t="s">
        <v>1498</v>
      </c>
      <c r="AC594" s="9" t="s">
        <v>1539</v>
      </c>
      <c r="AD594" s="23" t="s">
        <v>197</v>
      </c>
      <c r="AE594" s="23" t="s">
        <v>197</v>
      </c>
      <c r="AF594" s="23" t="s">
        <v>197</v>
      </c>
      <c r="AG594" s="23" t="s">
        <v>197</v>
      </c>
      <c r="AH594" s="23" t="s">
        <v>197</v>
      </c>
      <c r="AI594" s="23" t="s">
        <v>197</v>
      </c>
      <c r="AJ594" s="23" t="s">
        <v>197</v>
      </c>
      <c r="AK594" s="23" t="n">
        <v>15</v>
      </c>
      <c r="AL594" s="23" t="n">
        <v>90</v>
      </c>
      <c r="AM594" s="9" t="s">
        <v>292</v>
      </c>
      <c r="AN594" s="23" t="s">
        <v>197</v>
      </c>
      <c r="AO594" s="23" t="n">
        <v>2</v>
      </c>
      <c r="AP594" s="23" t="n">
        <v>3</v>
      </c>
    </row>
    <row r="595" customFormat="false" ht="21.75" hidden="false" customHeight="true" outlineLevel="0" collapsed="false">
      <c r="B595" s="14" t="n">
        <v>591</v>
      </c>
      <c r="C595" s="7" t="s">
        <v>49</v>
      </c>
      <c r="D595" s="7" t="s">
        <v>23</v>
      </c>
      <c r="E595" s="7" t="s">
        <v>120</v>
      </c>
      <c r="F595" s="7" t="s">
        <v>66</v>
      </c>
      <c r="G595" s="7" t="s">
        <v>1562</v>
      </c>
      <c r="H595" s="7" t="s">
        <v>301</v>
      </c>
      <c r="I595" s="7" t="s">
        <v>1555</v>
      </c>
      <c r="J595" s="7" t="s">
        <v>1556</v>
      </c>
      <c r="K595" s="7" t="s">
        <v>250</v>
      </c>
      <c r="L595" s="7" t="s">
        <v>1498</v>
      </c>
      <c r="M595" s="7" t="s">
        <v>251</v>
      </c>
      <c r="N595" s="7" t="s">
        <v>288</v>
      </c>
      <c r="O595" s="7" t="s">
        <v>531</v>
      </c>
      <c r="P595" s="7" t="s">
        <v>190</v>
      </c>
      <c r="Q595" s="7" t="s">
        <v>1557</v>
      </c>
      <c r="R595" s="7" t="s">
        <v>590</v>
      </c>
      <c r="S595" s="7" t="s">
        <v>1369</v>
      </c>
      <c r="T595" s="7" t="s">
        <v>1142</v>
      </c>
      <c r="U595" s="18" t="n">
        <v>125</v>
      </c>
      <c r="V595" s="7"/>
      <c r="W595" s="7"/>
      <c r="X595" s="7" t="s">
        <v>205</v>
      </c>
      <c r="Y595" s="22" t="n">
        <v>0.02</v>
      </c>
      <c r="Z595" s="22" t="n">
        <v>0.03</v>
      </c>
      <c r="AA595" s="22" t="n">
        <v>12</v>
      </c>
      <c r="AB595" s="7" t="s">
        <v>1498</v>
      </c>
      <c r="AC595" s="7" t="s">
        <v>1539</v>
      </c>
      <c r="AD595" s="22" t="s">
        <v>197</v>
      </c>
      <c r="AE595" s="22" t="s">
        <v>197</v>
      </c>
      <c r="AF595" s="22" t="s">
        <v>197</v>
      </c>
      <c r="AG595" s="22" t="s">
        <v>197</v>
      </c>
      <c r="AH595" s="22" t="s">
        <v>197</v>
      </c>
      <c r="AI595" s="22" t="s">
        <v>197</v>
      </c>
      <c r="AJ595" s="22" t="s">
        <v>197</v>
      </c>
      <c r="AK595" s="22" t="n">
        <v>20</v>
      </c>
      <c r="AL595" s="22" t="n">
        <v>90</v>
      </c>
      <c r="AM595" s="7" t="s">
        <v>292</v>
      </c>
      <c r="AN595" s="22" t="s">
        <v>197</v>
      </c>
      <c r="AO595" s="22" t="n">
        <v>2</v>
      </c>
      <c r="AP595" s="22" t="n">
        <v>3</v>
      </c>
    </row>
    <row r="596" customFormat="false" ht="21.75" hidden="false" customHeight="true" outlineLevel="0" collapsed="false">
      <c r="B596" s="15" t="n">
        <v>592</v>
      </c>
      <c r="C596" s="9" t="s">
        <v>49</v>
      </c>
      <c r="D596" s="9" t="s">
        <v>23</v>
      </c>
      <c r="E596" s="9" t="s">
        <v>120</v>
      </c>
      <c r="F596" s="9" t="s">
        <v>67</v>
      </c>
      <c r="G596" s="9" t="s">
        <v>1563</v>
      </c>
      <c r="H596" s="9" t="s">
        <v>303</v>
      </c>
      <c r="I596" s="9" t="s">
        <v>1564</v>
      </c>
      <c r="J596" s="9" t="s">
        <v>1565</v>
      </c>
      <c r="K596" s="9" t="s">
        <v>250</v>
      </c>
      <c r="L596" s="9" t="s">
        <v>1498</v>
      </c>
      <c r="M596" s="9" t="s">
        <v>306</v>
      </c>
      <c r="N596" s="9" t="s">
        <v>189</v>
      </c>
      <c r="O596" s="9" t="s">
        <v>189</v>
      </c>
      <c r="P596" s="9" t="s">
        <v>190</v>
      </c>
      <c r="Q596" s="9" t="s">
        <v>1566</v>
      </c>
      <c r="R596" s="9" t="s">
        <v>1567</v>
      </c>
      <c r="S596" s="9" t="s">
        <v>1369</v>
      </c>
      <c r="T596" s="9" t="s">
        <v>309</v>
      </c>
      <c r="U596" s="19" t="n">
        <v>8</v>
      </c>
      <c r="V596" s="9"/>
      <c r="W596" s="9"/>
      <c r="X596" s="9" t="s">
        <v>195</v>
      </c>
      <c r="Y596" s="23" t="n">
        <v>0</v>
      </c>
      <c r="Z596" s="23" t="n">
        <v>0</v>
      </c>
      <c r="AA596" s="23" t="s">
        <v>197</v>
      </c>
      <c r="AB596" s="9" t="s">
        <v>1498</v>
      </c>
      <c r="AC596" s="9" t="s">
        <v>1539</v>
      </c>
      <c r="AD596" s="23" t="s">
        <v>197</v>
      </c>
      <c r="AE596" s="23" t="s">
        <v>197</v>
      </c>
      <c r="AF596" s="23" t="s">
        <v>197</v>
      </c>
      <c r="AG596" s="23" t="s">
        <v>197</v>
      </c>
      <c r="AH596" s="23" t="s">
        <v>197</v>
      </c>
      <c r="AI596" s="23" t="s">
        <v>197</v>
      </c>
      <c r="AJ596" s="23" t="s">
        <v>197</v>
      </c>
      <c r="AK596" s="23" t="s">
        <v>197</v>
      </c>
      <c r="AL596" s="23" t="s">
        <v>197</v>
      </c>
      <c r="AM596" s="9" t="s">
        <v>310</v>
      </c>
      <c r="AN596" s="23" t="s">
        <v>197</v>
      </c>
      <c r="AO596" s="23" t="s">
        <v>197</v>
      </c>
      <c r="AP596" s="23" t="s">
        <v>197</v>
      </c>
    </row>
    <row r="597" customFormat="false" ht="21.75" hidden="false" customHeight="true" outlineLevel="0" collapsed="false">
      <c r="B597" s="14" t="n">
        <v>593</v>
      </c>
      <c r="C597" s="7" t="s">
        <v>49</v>
      </c>
      <c r="D597" s="7" t="s">
        <v>23</v>
      </c>
      <c r="E597" s="7" t="s">
        <v>120</v>
      </c>
      <c r="F597" s="7" t="s">
        <v>67</v>
      </c>
      <c r="G597" s="7" t="s">
        <v>1568</v>
      </c>
      <c r="H597" s="7" t="s">
        <v>312</v>
      </c>
      <c r="I597" s="7" t="s">
        <v>1564</v>
      </c>
      <c r="J597" s="7" t="s">
        <v>1565</v>
      </c>
      <c r="K597" s="7" t="s">
        <v>250</v>
      </c>
      <c r="L597" s="7" t="s">
        <v>1498</v>
      </c>
      <c r="M597" s="7" t="s">
        <v>306</v>
      </c>
      <c r="N597" s="7" t="s">
        <v>189</v>
      </c>
      <c r="O597" s="7" t="s">
        <v>189</v>
      </c>
      <c r="P597" s="7" t="s">
        <v>190</v>
      </c>
      <c r="Q597" s="7" t="s">
        <v>1566</v>
      </c>
      <c r="R597" s="7" t="s">
        <v>1567</v>
      </c>
      <c r="S597" s="7" t="s">
        <v>1369</v>
      </c>
      <c r="T597" s="7" t="s">
        <v>309</v>
      </c>
      <c r="U597" s="18" t="n">
        <v>8</v>
      </c>
      <c r="V597" s="7"/>
      <c r="W597" s="7"/>
      <c r="X597" s="7" t="s">
        <v>199</v>
      </c>
      <c r="Y597" s="22" t="n">
        <v>0</v>
      </c>
      <c r="Z597" s="22" t="n">
        <v>0</v>
      </c>
      <c r="AA597" s="22" t="s">
        <v>197</v>
      </c>
      <c r="AB597" s="7" t="s">
        <v>1498</v>
      </c>
      <c r="AC597" s="7" t="s">
        <v>1539</v>
      </c>
      <c r="AD597" s="22" t="s">
        <v>197</v>
      </c>
      <c r="AE597" s="22" t="s">
        <v>197</v>
      </c>
      <c r="AF597" s="22" t="s">
        <v>197</v>
      </c>
      <c r="AG597" s="22" t="s">
        <v>197</v>
      </c>
      <c r="AH597" s="22" t="s">
        <v>197</v>
      </c>
      <c r="AI597" s="22" t="s">
        <v>197</v>
      </c>
      <c r="AJ597" s="22" t="s">
        <v>197</v>
      </c>
      <c r="AK597" s="22" t="s">
        <v>197</v>
      </c>
      <c r="AL597" s="22" t="s">
        <v>197</v>
      </c>
      <c r="AM597" s="7" t="s">
        <v>310</v>
      </c>
      <c r="AN597" s="22" t="s">
        <v>197</v>
      </c>
      <c r="AO597" s="22" t="s">
        <v>197</v>
      </c>
      <c r="AP597" s="22" t="s">
        <v>197</v>
      </c>
    </row>
    <row r="598" customFormat="false" ht="21.75" hidden="false" customHeight="true" outlineLevel="0" collapsed="false">
      <c r="B598" s="15" t="n">
        <v>594</v>
      </c>
      <c r="C598" s="9" t="s">
        <v>49</v>
      </c>
      <c r="D598" s="9" t="s">
        <v>23</v>
      </c>
      <c r="E598" s="9" t="s">
        <v>120</v>
      </c>
      <c r="F598" s="9" t="s">
        <v>67</v>
      </c>
      <c r="G598" s="9" t="s">
        <v>1569</v>
      </c>
      <c r="H598" s="9" t="s">
        <v>314</v>
      </c>
      <c r="I598" s="9" t="s">
        <v>1564</v>
      </c>
      <c r="J598" s="9" t="s">
        <v>1565</v>
      </c>
      <c r="K598" s="9" t="s">
        <v>250</v>
      </c>
      <c r="L598" s="9" t="s">
        <v>1498</v>
      </c>
      <c r="M598" s="9" t="s">
        <v>306</v>
      </c>
      <c r="N598" s="9" t="s">
        <v>189</v>
      </c>
      <c r="O598" s="9" t="s">
        <v>189</v>
      </c>
      <c r="P598" s="9" t="s">
        <v>190</v>
      </c>
      <c r="Q598" s="9" t="s">
        <v>1566</v>
      </c>
      <c r="R598" s="9" t="s">
        <v>1567</v>
      </c>
      <c r="S598" s="9" t="s">
        <v>1369</v>
      </c>
      <c r="T598" s="9" t="s">
        <v>309</v>
      </c>
      <c r="U598" s="19" t="n">
        <v>9</v>
      </c>
      <c r="V598" s="9"/>
      <c r="W598" s="9"/>
      <c r="X598" s="9" t="s">
        <v>1570</v>
      </c>
      <c r="Y598" s="23" t="n">
        <v>0</v>
      </c>
      <c r="Z598" s="23" t="n">
        <v>0</v>
      </c>
      <c r="AA598" s="23" t="s">
        <v>197</v>
      </c>
      <c r="AB598" s="9" t="s">
        <v>1498</v>
      </c>
      <c r="AC598" s="9" t="s">
        <v>1539</v>
      </c>
      <c r="AD598" s="23" t="s">
        <v>197</v>
      </c>
      <c r="AE598" s="23" t="s">
        <v>197</v>
      </c>
      <c r="AF598" s="23" t="s">
        <v>197</v>
      </c>
      <c r="AG598" s="23" t="s">
        <v>197</v>
      </c>
      <c r="AH598" s="23" t="s">
        <v>197</v>
      </c>
      <c r="AI598" s="23" t="s">
        <v>197</v>
      </c>
      <c r="AJ598" s="23" t="s">
        <v>197</v>
      </c>
      <c r="AK598" s="23" t="s">
        <v>197</v>
      </c>
      <c r="AL598" s="23" t="s">
        <v>197</v>
      </c>
      <c r="AM598" s="9" t="s">
        <v>310</v>
      </c>
      <c r="AN598" s="23" t="s">
        <v>197</v>
      </c>
      <c r="AO598" s="23" t="s">
        <v>197</v>
      </c>
      <c r="AP598" s="23" t="s">
        <v>197</v>
      </c>
    </row>
    <row r="599" customFormat="false" ht="21.75" hidden="false" customHeight="true" outlineLevel="0" collapsed="false">
      <c r="B599" s="14" t="n">
        <v>595</v>
      </c>
      <c r="C599" s="7" t="s">
        <v>49</v>
      </c>
      <c r="D599" s="7" t="s">
        <v>23</v>
      </c>
      <c r="E599" s="7" t="s">
        <v>120</v>
      </c>
      <c r="F599" s="7" t="s">
        <v>67</v>
      </c>
      <c r="G599" s="7" t="s">
        <v>1571</v>
      </c>
      <c r="H599" s="7" t="s">
        <v>317</v>
      </c>
      <c r="I599" s="7" t="s">
        <v>1564</v>
      </c>
      <c r="J599" s="7" t="s">
        <v>1565</v>
      </c>
      <c r="K599" s="7" t="s">
        <v>250</v>
      </c>
      <c r="L599" s="7" t="s">
        <v>1498</v>
      </c>
      <c r="M599" s="7" t="s">
        <v>306</v>
      </c>
      <c r="N599" s="7" t="s">
        <v>189</v>
      </c>
      <c r="O599" s="7" t="s">
        <v>189</v>
      </c>
      <c r="P599" s="7" t="s">
        <v>190</v>
      </c>
      <c r="Q599" s="7" t="s">
        <v>1566</v>
      </c>
      <c r="R599" s="7" t="s">
        <v>1567</v>
      </c>
      <c r="S599" s="7" t="s">
        <v>1369</v>
      </c>
      <c r="T599" s="7" t="s">
        <v>309</v>
      </c>
      <c r="U599" s="18" t="n">
        <v>14</v>
      </c>
      <c r="V599" s="7"/>
      <c r="W599" s="7"/>
      <c r="X599" s="7" t="s">
        <v>203</v>
      </c>
      <c r="Y599" s="22" t="n">
        <v>0</v>
      </c>
      <c r="Z599" s="22" t="n">
        <v>0</v>
      </c>
      <c r="AA599" s="22" t="s">
        <v>197</v>
      </c>
      <c r="AB599" s="7" t="s">
        <v>1498</v>
      </c>
      <c r="AC599" s="7" t="s">
        <v>1539</v>
      </c>
      <c r="AD599" s="22" t="s">
        <v>197</v>
      </c>
      <c r="AE599" s="22" t="s">
        <v>197</v>
      </c>
      <c r="AF599" s="22" t="s">
        <v>197</v>
      </c>
      <c r="AG599" s="22" t="s">
        <v>197</v>
      </c>
      <c r="AH599" s="22" t="s">
        <v>197</v>
      </c>
      <c r="AI599" s="22" t="s">
        <v>197</v>
      </c>
      <c r="AJ599" s="22" t="s">
        <v>197</v>
      </c>
      <c r="AK599" s="22" t="s">
        <v>197</v>
      </c>
      <c r="AL599" s="22" t="s">
        <v>197</v>
      </c>
      <c r="AM599" s="7" t="s">
        <v>310</v>
      </c>
      <c r="AN599" s="22" t="s">
        <v>197</v>
      </c>
      <c r="AO599" s="22" t="s">
        <v>197</v>
      </c>
      <c r="AP599" s="22" t="s">
        <v>197</v>
      </c>
    </row>
    <row r="600" customFormat="false" ht="21.75" hidden="false" customHeight="true" outlineLevel="0" collapsed="false">
      <c r="B600" s="15" t="n">
        <v>596</v>
      </c>
      <c r="C600" s="9" t="s">
        <v>49</v>
      </c>
      <c r="D600" s="9" t="s">
        <v>23</v>
      </c>
      <c r="E600" s="9" t="s">
        <v>120</v>
      </c>
      <c r="F600" s="9" t="s">
        <v>67</v>
      </c>
      <c r="G600" s="9" t="s">
        <v>1572</v>
      </c>
      <c r="H600" s="9" t="s">
        <v>319</v>
      </c>
      <c r="I600" s="9" t="s">
        <v>1564</v>
      </c>
      <c r="J600" s="9" t="s">
        <v>1565</v>
      </c>
      <c r="K600" s="9" t="s">
        <v>250</v>
      </c>
      <c r="L600" s="9" t="s">
        <v>1498</v>
      </c>
      <c r="M600" s="9" t="s">
        <v>306</v>
      </c>
      <c r="N600" s="9" t="s">
        <v>189</v>
      </c>
      <c r="O600" s="9" t="s">
        <v>189</v>
      </c>
      <c r="P600" s="9" t="s">
        <v>190</v>
      </c>
      <c r="Q600" s="9" t="s">
        <v>1566</v>
      </c>
      <c r="R600" s="9" t="s">
        <v>1567</v>
      </c>
      <c r="S600" s="9" t="s">
        <v>1369</v>
      </c>
      <c r="T600" s="9" t="s">
        <v>309</v>
      </c>
      <c r="U600" s="19" t="n">
        <v>20</v>
      </c>
      <c r="V600" s="9"/>
      <c r="W600" s="9"/>
      <c r="X600" s="9" t="s">
        <v>205</v>
      </c>
      <c r="Y600" s="23" t="n">
        <v>0</v>
      </c>
      <c r="Z600" s="23" t="n">
        <v>0</v>
      </c>
      <c r="AA600" s="23" t="s">
        <v>197</v>
      </c>
      <c r="AB600" s="9" t="s">
        <v>1498</v>
      </c>
      <c r="AC600" s="9" t="s">
        <v>1539</v>
      </c>
      <c r="AD600" s="23" t="s">
        <v>197</v>
      </c>
      <c r="AE600" s="23" t="s">
        <v>197</v>
      </c>
      <c r="AF600" s="23" t="s">
        <v>197</v>
      </c>
      <c r="AG600" s="23" t="s">
        <v>197</v>
      </c>
      <c r="AH600" s="23" t="s">
        <v>197</v>
      </c>
      <c r="AI600" s="23" t="s">
        <v>197</v>
      </c>
      <c r="AJ600" s="23" t="s">
        <v>197</v>
      </c>
      <c r="AK600" s="23" t="s">
        <v>197</v>
      </c>
      <c r="AL600" s="23" t="s">
        <v>197</v>
      </c>
      <c r="AM600" s="9" t="s">
        <v>310</v>
      </c>
      <c r="AN600" s="23" t="s">
        <v>197</v>
      </c>
      <c r="AO600" s="23" t="s">
        <v>197</v>
      </c>
      <c r="AP600" s="23" t="s">
        <v>197</v>
      </c>
    </row>
    <row r="601" customFormat="false" ht="21.75" hidden="false" customHeight="true" outlineLevel="0" collapsed="false">
      <c r="B601" s="14" t="n">
        <v>597</v>
      </c>
      <c r="C601" s="7" t="s">
        <v>49</v>
      </c>
      <c r="D601" s="7" t="s">
        <v>23</v>
      </c>
      <c r="E601" s="7" t="s">
        <v>120</v>
      </c>
      <c r="F601" s="7" t="s">
        <v>68</v>
      </c>
      <c r="G601" s="7" t="s">
        <v>391</v>
      </c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18"/>
      <c r="V601" s="7"/>
      <c r="W601" s="7"/>
      <c r="X601" s="7" t="s">
        <v>1573</v>
      </c>
      <c r="Y601" s="22" t="s">
        <v>197</v>
      </c>
      <c r="Z601" s="22" t="s">
        <v>197</v>
      </c>
      <c r="AA601" s="22" t="s">
        <v>197</v>
      </c>
      <c r="AB601" s="7" t="s">
        <v>197</v>
      </c>
      <c r="AC601" s="7" t="s">
        <v>197</v>
      </c>
      <c r="AD601" s="22" t="s">
        <v>197</v>
      </c>
      <c r="AE601" s="22" t="s">
        <v>197</v>
      </c>
      <c r="AF601" s="22" t="s">
        <v>197</v>
      </c>
      <c r="AG601" s="22" t="s">
        <v>197</v>
      </c>
      <c r="AH601" s="22" t="s">
        <v>197</v>
      </c>
      <c r="AI601" s="22" t="s">
        <v>197</v>
      </c>
      <c r="AJ601" s="22" t="s">
        <v>197</v>
      </c>
      <c r="AK601" s="22" t="s">
        <v>197</v>
      </c>
      <c r="AL601" s="22" t="s">
        <v>197</v>
      </c>
      <c r="AM601" s="7" t="s">
        <v>197</v>
      </c>
      <c r="AN601" s="22" t="s">
        <v>197</v>
      </c>
      <c r="AO601" s="22" t="s">
        <v>197</v>
      </c>
      <c r="AP601" s="22" t="s">
        <v>197</v>
      </c>
    </row>
    <row r="602" customFormat="false" ht="21.75" hidden="false" customHeight="true" outlineLevel="0" collapsed="false">
      <c r="B602" s="15" t="n">
        <v>598</v>
      </c>
      <c r="C602" s="9" t="s">
        <v>49</v>
      </c>
      <c r="D602" s="9" t="s">
        <v>23</v>
      </c>
      <c r="E602" s="9" t="s">
        <v>120</v>
      </c>
      <c r="F602" s="9" t="s">
        <v>69</v>
      </c>
      <c r="G602" s="9" t="s">
        <v>1574</v>
      </c>
      <c r="H602" s="9" t="s">
        <v>339</v>
      </c>
      <c r="I602" s="9" t="s">
        <v>742</v>
      </c>
      <c r="J602" s="9" t="s">
        <v>565</v>
      </c>
      <c r="K602" s="9" t="s">
        <v>342</v>
      </c>
      <c r="L602" s="9" t="s">
        <v>1498</v>
      </c>
      <c r="M602" s="9" t="s">
        <v>251</v>
      </c>
      <c r="N602" s="9" t="s">
        <v>744</v>
      </c>
      <c r="O602" s="9" t="s">
        <v>345</v>
      </c>
      <c r="P602" s="9" t="s">
        <v>190</v>
      </c>
      <c r="Q602" s="9" t="s">
        <v>1575</v>
      </c>
      <c r="R602" s="9" t="s">
        <v>746</v>
      </c>
      <c r="S602" s="9" t="s">
        <v>1369</v>
      </c>
      <c r="T602" s="9" t="s">
        <v>348</v>
      </c>
      <c r="U602" s="19" t="n">
        <v>20</v>
      </c>
      <c r="V602" s="9"/>
      <c r="W602" s="9"/>
      <c r="X602" s="9" t="s">
        <v>195</v>
      </c>
      <c r="Y602" s="23" t="n">
        <v>0.013</v>
      </c>
      <c r="Z602" s="23" t="n">
        <v>0.561</v>
      </c>
      <c r="AA602" s="23" t="n">
        <v>12</v>
      </c>
      <c r="AB602" s="9" t="s">
        <v>1498</v>
      </c>
      <c r="AC602" s="9" t="s">
        <v>1539</v>
      </c>
      <c r="AD602" s="23" t="s">
        <v>197</v>
      </c>
      <c r="AE602" s="23" t="s">
        <v>197</v>
      </c>
      <c r="AF602" s="23" t="s">
        <v>197</v>
      </c>
      <c r="AG602" s="23" t="s">
        <v>197</v>
      </c>
      <c r="AH602" s="23" t="s">
        <v>197</v>
      </c>
      <c r="AI602" s="23" t="s">
        <v>197</v>
      </c>
      <c r="AJ602" s="23" t="s">
        <v>197</v>
      </c>
      <c r="AK602" s="23" t="s">
        <v>197</v>
      </c>
      <c r="AL602" s="23" t="s">
        <v>197</v>
      </c>
      <c r="AM602" s="9" t="s">
        <v>197</v>
      </c>
      <c r="AN602" s="23" t="n">
        <v>26.4</v>
      </c>
      <c r="AO602" s="23" t="n">
        <v>2.5</v>
      </c>
      <c r="AP602" s="23" t="n">
        <v>4.5</v>
      </c>
    </row>
    <row r="603" customFormat="false" ht="21.75" hidden="false" customHeight="true" outlineLevel="0" collapsed="false">
      <c r="B603" s="14" t="n">
        <v>599</v>
      </c>
      <c r="C603" s="7" t="s">
        <v>49</v>
      </c>
      <c r="D603" s="7" t="s">
        <v>23</v>
      </c>
      <c r="E603" s="7" t="s">
        <v>120</v>
      </c>
      <c r="F603" s="7" t="s">
        <v>69</v>
      </c>
      <c r="G603" s="7" t="s">
        <v>1576</v>
      </c>
      <c r="H603" s="7" t="s">
        <v>350</v>
      </c>
      <c r="I603" s="7" t="s">
        <v>742</v>
      </c>
      <c r="J603" s="7" t="s">
        <v>565</v>
      </c>
      <c r="K603" s="7" t="s">
        <v>342</v>
      </c>
      <c r="L603" s="7" t="s">
        <v>1498</v>
      </c>
      <c r="M603" s="7" t="s">
        <v>251</v>
      </c>
      <c r="N603" s="7" t="s">
        <v>744</v>
      </c>
      <c r="O603" s="7" t="s">
        <v>345</v>
      </c>
      <c r="P603" s="7" t="s">
        <v>190</v>
      </c>
      <c r="Q603" s="7" t="s">
        <v>1575</v>
      </c>
      <c r="R603" s="7" t="s">
        <v>746</v>
      </c>
      <c r="S603" s="7" t="s">
        <v>1369</v>
      </c>
      <c r="T603" s="7" t="s">
        <v>348</v>
      </c>
      <c r="U603" s="18" t="n">
        <v>30</v>
      </c>
      <c r="V603" s="7"/>
      <c r="W603" s="7"/>
      <c r="X603" s="7" t="s">
        <v>199</v>
      </c>
      <c r="Y603" s="22" t="n">
        <v>0.011</v>
      </c>
      <c r="Z603" s="22" t="n">
        <v>0.487</v>
      </c>
      <c r="AA603" s="22" t="n">
        <v>12</v>
      </c>
      <c r="AB603" s="7" t="s">
        <v>1498</v>
      </c>
      <c r="AC603" s="7" t="s">
        <v>1539</v>
      </c>
      <c r="AD603" s="22" t="s">
        <v>197</v>
      </c>
      <c r="AE603" s="22" t="s">
        <v>197</v>
      </c>
      <c r="AF603" s="22" t="s">
        <v>197</v>
      </c>
      <c r="AG603" s="22" t="s">
        <v>197</v>
      </c>
      <c r="AH603" s="22" t="s">
        <v>197</v>
      </c>
      <c r="AI603" s="22" t="s">
        <v>197</v>
      </c>
      <c r="AJ603" s="22" t="s">
        <v>197</v>
      </c>
      <c r="AK603" s="22" t="s">
        <v>197</v>
      </c>
      <c r="AL603" s="22" t="s">
        <v>197</v>
      </c>
      <c r="AM603" s="7" t="s">
        <v>197</v>
      </c>
      <c r="AN603" s="22" t="n">
        <v>23.4</v>
      </c>
      <c r="AO603" s="22" t="n">
        <v>2.5</v>
      </c>
      <c r="AP603" s="22" t="n">
        <v>4.5</v>
      </c>
    </row>
    <row r="604" customFormat="false" ht="21.75" hidden="false" customHeight="true" outlineLevel="0" collapsed="false">
      <c r="B604" s="15" t="n">
        <v>600</v>
      </c>
      <c r="C604" s="9" t="s">
        <v>49</v>
      </c>
      <c r="D604" s="9" t="s">
        <v>23</v>
      </c>
      <c r="E604" s="9" t="s">
        <v>120</v>
      </c>
      <c r="F604" s="9" t="s">
        <v>69</v>
      </c>
      <c r="G604" s="9" t="s">
        <v>1577</v>
      </c>
      <c r="H604" s="9" t="s">
        <v>352</v>
      </c>
      <c r="I604" s="9" t="s">
        <v>742</v>
      </c>
      <c r="J604" s="9" t="s">
        <v>565</v>
      </c>
      <c r="K604" s="9" t="s">
        <v>342</v>
      </c>
      <c r="L604" s="9" t="s">
        <v>1498</v>
      </c>
      <c r="M604" s="9" t="s">
        <v>251</v>
      </c>
      <c r="N604" s="9" t="s">
        <v>744</v>
      </c>
      <c r="O604" s="9" t="s">
        <v>345</v>
      </c>
      <c r="P604" s="9" t="s">
        <v>190</v>
      </c>
      <c r="Q604" s="9" t="s">
        <v>1575</v>
      </c>
      <c r="R604" s="9" t="s">
        <v>746</v>
      </c>
      <c r="S604" s="9" t="s">
        <v>1369</v>
      </c>
      <c r="T604" s="9" t="s">
        <v>348</v>
      </c>
      <c r="U604" s="19" t="n">
        <v>40</v>
      </c>
      <c r="V604" s="9"/>
      <c r="W604" s="9"/>
      <c r="X604" s="9" t="s">
        <v>1578</v>
      </c>
      <c r="Y604" s="23" t="n">
        <v>0.01</v>
      </c>
      <c r="Z604" s="23" t="n">
        <v>0.457</v>
      </c>
      <c r="AA604" s="23" t="n">
        <v>12</v>
      </c>
      <c r="AB604" s="9" t="s">
        <v>1498</v>
      </c>
      <c r="AC604" s="9" t="s">
        <v>1539</v>
      </c>
      <c r="AD604" s="23" t="s">
        <v>197</v>
      </c>
      <c r="AE604" s="23" t="s">
        <v>197</v>
      </c>
      <c r="AF604" s="23" t="s">
        <v>197</v>
      </c>
      <c r="AG604" s="23" t="s">
        <v>197</v>
      </c>
      <c r="AH604" s="23" t="s">
        <v>197</v>
      </c>
      <c r="AI604" s="23" t="s">
        <v>197</v>
      </c>
      <c r="AJ604" s="23" t="s">
        <v>197</v>
      </c>
      <c r="AK604" s="23" t="s">
        <v>197</v>
      </c>
      <c r="AL604" s="23" t="s">
        <v>197</v>
      </c>
      <c r="AM604" s="9" t="s">
        <v>197</v>
      </c>
      <c r="AN604" s="23" t="n">
        <v>22.2</v>
      </c>
      <c r="AO604" s="23" t="n">
        <v>2.5</v>
      </c>
      <c r="AP604" s="23" t="n">
        <v>4.5</v>
      </c>
    </row>
    <row r="605" customFormat="false" ht="21.75" hidden="false" customHeight="true" outlineLevel="0" collapsed="false">
      <c r="B605" s="14" t="n">
        <v>601</v>
      </c>
      <c r="C605" s="7" t="s">
        <v>49</v>
      </c>
      <c r="D605" s="7" t="s">
        <v>23</v>
      </c>
      <c r="E605" s="7" t="s">
        <v>120</v>
      </c>
      <c r="F605" s="7" t="s">
        <v>69</v>
      </c>
      <c r="G605" s="7" t="s">
        <v>1579</v>
      </c>
      <c r="H605" s="7" t="s">
        <v>355</v>
      </c>
      <c r="I605" s="7" t="s">
        <v>742</v>
      </c>
      <c r="J605" s="7" t="s">
        <v>565</v>
      </c>
      <c r="K605" s="7" t="s">
        <v>342</v>
      </c>
      <c r="L605" s="7" t="s">
        <v>1498</v>
      </c>
      <c r="M605" s="7" t="s">
        <v>251</v>
      </c>
      <c r="N605" s="7" t="s">
        <v>744</v>
      </c>
      <c r="O605" s="7" t="s">
        <v>345</v>
      </c>
      <c r="P605" s="7" t="s">
        <v>190</v>
      </c>
      <c r="Q605" s="7" t="s">
        <v>1575</v>
      </c>
      <c r="R605" s="7" t="s">
        <v>746</v>
      </c>
      <c r="S605" s="7" t="s">
        <v>1369</v>
      </c>
      <c r="T605" s="7" t="s">
        <v>348</v>
      </c>
      <c r="U605" s="18" t="n">
        <v>60</v>
      </c>
      <c r="V605" s="7"/>
      <c r="W605" s="7"/>
      <c r="X605" s="7" t="s">
        <v>203</v>
      </c>
      <c r="Y605" s="22" t="n">
        <v>0.012</v>
      </c>
      <c r="Z605" s="22" t="n">
        <v>0.526</v>
      </c>
      <c r="AA605" s="22" t="n">
        <v>12</v>
      </c>
      <c r="AB605" s="7" t="s">
        <v>1498</v>
      </c>
      <c r="AC605" s="7" t="s">
        <v>1539</v>
      </c>
      <c r="AD605" s="22" t="s">
        <v>197</v>
      </c>
      <c r="AE605" s="22" t="s">
        <v>197</v>
      </c>
      <c r="AF605" s="22" t="s">
        <v>197</v>
      </c>
      <c r="AG605" s="22" t="s">
        <v>197</v>
      </c>
      <c r="AH605" s="22" t="s">
        <v>197</v>
      </c>
      <c r="AI605" s="22" t="s">
        <v>197</v>
      </c>
      <c r="AJ605" s="22" t="s">
        <v>197</v>
      </c>
      <c r="AK605" s="22" t="s">
        <v>197</v>
      </c>
      <c r="AL605" s="22" t="s">
        <v>197</v>
      </c>
      <c r="AM605" s="7" t="s">
        <v>197</v>
      </c>
      <c r="AN605" s="22" t="n">
        <v>25</v>
      </c>
      <c r="AO605" s="22" t="n">
        <v>2.5</v>
      </c>
      <c r="AP605" s="22" t="n">
        <v>4.5</v>
      </c>
    </row>
    <row r="606" customFormat="false" ht="21.75" hidden="false" customHeight="true" outlineLevel="0" collapsed="false">
      <c r="B606" s="15" t="n">
        <v>602</v>
      </c>
      <c r="C606" s="9" t="s">
        <v>49</v>
      </c>
      <c r="D606" s="9" t="s">
        <v>23</v>
      </c>
      <c r="E606" s="9" t="s">
        <v>120</v>
      </c>
      <c r="F606" s="9" t="s">
        <v>69</v>
      </c>
      <c r="G606" s="9" t="s">
        <v>1580</v>
      </c>
      <c r="H606" s="9" t="s">
        <v>357</v>
      </c>
      <c r="I606" s="9" t="s">
        <v>742</v>
      </c>
      <c r="J606" s="9" t="s">
        <v>565</v>
      </c>
      <c r="K606" s="9" t="s">
        <v>342</v>
      </c>
      <c r="L606" s="9" t="s">
        <v>1498</v>
      </c>
      <c r="M606" s="9" t="s">
        <v>251</v>
      </c>
      <c r="N606" s="9" t="s">
        <v>744</v>
      </c>
      <c r="O606" s="9" t="s">
        <v>345</v>
      </c>
      <c r="P606" s="9" t="s">
        <v>190</v>
      </c>
      <c r="Q606" s="9" t="s">
        <v>1575</v>
      </c>
      <c r="R606" s="9" t="s">
        <v>746</v>
      </c>
      <c r="S606" s="9" t="s">
        <v>1369</v>
      </c>
      <c r="T606" s="9" t="s">
        <v>348</v>
      </c>
      <c r="U606" s="19" t="n">
        <v>90</v>
      </c>
      <c r="V606" s="9"/>
      <c r="W606" s="9"/>
      <c r="X606" s="9" t="s">
        <v>205</v>
      </c>
      <c r="Y606" s="23" t="n">
        <v>0.009</v>
      </c>
      <c r="Z606" s="23" t="n">
        <v>0.425</v>
      </c>
      <c r="AA606" s="23" t="n">
        <v>12</v>
      </c>
      <c r="AB606" s="9" t="s">
        <v>1498</v>
      </c>
      <c r="AC606" s="9" t="s">
        <v>1539</v>
      </c>
      <c r="AD606" s="23" t="s">
        <v>197</v>
      </c>
      <c r="AE606" s="23" t="s">
        <v>197</v>
      </c>
      <c r="AF606" s="23" t="s">
        <v>197</v>
      </c>
      <c r="AG606" s="23" t="s">
        <v>197</v>
      </c>
      <c r="AH606" s="23" t="s">
        <v>197</v>
      </c>
      <c r="AI606" s="23" t="s">
        <v>197</v>
      </c>
      <c r="AJ606" s="23" t="s">
        <v>197</v>
      </c>
      <c r="AK606" s="23" t="s">
        <v>197</v>
      </c>
      <c r="AL606" s="23" t="s">
        <v>197</v>
      </c>
      <c r="AM606" s="9" t="s">
        <v>197</v>
      </c>
      <c r="AN606" s="23" t="n">
        <v>20.9</v>
      </c>
      <c r="AO606" s="23" t="n">
        <v>2.5</v>
      </c>
      <c r="AP606" s="23" t="n">
        <v>4.5</v>
      </c>
    </row>
    <row r="607" customFormat="false" ht="21.75" hidden="false" customHeight="true" outlineLevel="0" collapsed="false">
      <c r="B607" s="14" t="n">
        <v>603</v>
      </c>
      <c r="C607" s="7" t="s">
        <v>49</v>
      </c>
      <c r="D607" s="7" t="s">
        <v>23</v>
      </c>
      <c r="E607" s="7" t="s">
        <v>120</v>
      </c>
      <c r="F607" s="7" t="s">
        <v>70</v>
      </c>
      <c r="G607" s="7" t="s">
        <v>1581</v>
      </c>
      <c r="H607" s="7" t="s">
        <v>359</v>
      </c>
      <c r="I607" s="7" t="s">
        <v>752</v>
      </c>
      <c r="J607" s="7" t="s">
        <v>753</v>
      </c>
      <c r="K607" s="7" t="s">
        <v>342</v>
      </c>
      <c r="L607" s="7" t="s">
        <v>1498</v>
      </c>
      <c r="M607" s="7" t="s">
        <v>251</v>
      </c>
      <c r="N607" s="7" t="s">
        <v>909</v>
      </c>
      <c r="O607" s="7" t="s">
        <v>189</v>
      </c>
      <c r="P607" s="7" t="s">
        <v>190</v>
      </c>
      <c r="Q607" s="7" t="s">
        <v>1582</v>
      </c>
      <c r="R607" s="7" t="s">
        <v>872</v>
      </c>
      <c r="S607" s="7" t="s">
        <v>1369</v>
      </c>
      <c r="T607" s="7" t="s">
        <v>275</v>
      </c>
      <c r="U607" s="18" t="n">
        <v>12</v>
      </c>
      <c r="V607" s="7"/>
      <c r="W607" s="7"/>
      <c r="X607" s="7" t="s">
        <v>195</v>
      </c>
      <c r="Y607" s="22" t="n">
        <v>0.003</v>
      </c>
      <c r="Z607" s="22" t="n">
        <v>0.217</v>
      </c>
      <c r="AA607" s="22" t="n">
        <v>12</v>
      </c>
      <c r="AB607" s="7" t="s">
        <v>1498</v>
      </c>
      <c r="AC607" s="7" t="s">
        <v>1539</v>
      </c>
      <c r="AD607" s="22" t="s">
        <v>197</v>
      </c>
      <c r="AE607" s="22" t="s">
        <v>197</v>
      </c>
      <c r="AF607" s="22" t="s">
        <v>197</v>
      </c>
      <c r="AG607" s="22" t="s">
        <v>197</v>
      </c>
      <c r="AH607" s="22" t="s">
        <v>197</v>
      </c>
      <c r="AI607" s="22" t="s">
        <v>197</v>
      </c>
      <c r="AJ607" s="22" t="s">
        <v>197</v>
      </c>
      <c r="AK607" s="22" t="s">
        <v>197</v>
      </c>
      <c r="AL607" s="22" t="s">
        <v>197</v>
      </c>
      <c r="AM607" s="7" t="s">
        <v>197</v>
      </c>
      <c r="AN607" s="22" t="n">
        <v>12.7</v>
      </c>
      <c r="AO607" s="22" t="n">
        <v>2</v>
      </c>
      <c r="AP607" s="22" t="n">
        <v>3</v>
      </c>
    </row>
    <row r="608" customFormat="false" ht="21.75" hidden="false" customHeight="true" outlineLevel="0" collapsed="false">
      <c r="B608" s="15" t="n">
        <v>604</v>
      </c>
      <c r="C608" s="9" t="s">
        <v>49</v>
      </c>
      <c r="D608" s="9" t="s">
        <v>23</v>
      </c>
      <c r="E608" s="9" t="s">
        <v>120</v>
      </c>
      <c r="F608" s="9" t="s">
        <v>70</v>
      </c>
      <c r="G608" s="9" t="s">
        <v>1583</v>
      </c>
      <c r="H608" s="9" t="s">
        <v>367</v>
      </c>
      <c r="I608" s="9" t="s">
        <v>752</v>
      </c>
      <c r="J608" s="9" t="s">
        <v>753</v>
      </c>
      <c r="K608" s="9" t="s">
        <v>342</v>
      </c>
      <c r="L608" s="9" t="s">
        <v>1498</v>
      </c>
      <c r="M608" s="9" t="s">
        <v>251</v>
      </c>
      <c r="N608" s="9" t="s">
        <v>909</v>
      </c>
      <c r="O608" s="9" t="s">
        <v>189</v>
      </c>
      <c r="P608" s="9" t="s">
        <v>190</v>
      </c>
      <c r="Q608" s="9" t="s">
        <v>1582</v>
      </c>
      <c r="R608" s="9" t="s">
        <v>872</v>
      </c>
      <c r="S608" s="9" t="s">
        <v>1369</v>
      </c>
      <c r="T608" s="9" t="s">
        <v>275</v>
      </c>
      <c r="U608" s="19" t="n">
        <v>18</v>
      </c>
      <c r="V608" s="9"/>
      <c r="W608" s="9"/>
      <c r="X608" s="9" t="s">
        <v>199</v>
      </c>
      <c r="Y608" s="23" t="n">
        <v>0.009</v>
      </c>
      <c r="Z608" s="23" t="n">
        <v>0.359</v>
      </c>
      <c r="AA608" s="23" t="n">
        <v>12</v>
      </c>
      <c r="AB608" s="9" t="s">
        <v>1498</v>
      </c>
      <c r="AC608" s="9" t="s">
        <v>1539</v>
      </c>
      <c r="AD608" s="23" t="s">
        <v>197</v>
      </c>
      <c r="AE608" s="23" t="s">
        <v>197</v>
      </c>
      <c r="AF608" s="23" t="s">
        <v>197</v>
      </c>
      <c r="AG608" s="23" t="s">
        <v>197</v>
      </c>
      <c r="AH608" s="23" t="s">
        <v>197</v>
      </c>
      <c r="AI608" s="23" t="s">
        <v>197</v>
      </c>
      <c r="AJ608" s="23" t="s">
        <v>197</v>
      </c>
      <c r="AK608" s="23" t="s">
        <v>197</v>
      </c>
      <c r="AL608" s="23" t="s">
        <v>197</v>
      </c>
      <c r="AM608" s="9" t="s">
        <v>197</v>
      </c>
      <c r="AN608" s="23" t="n">
        <v>18.3</v>
      </c>
      <c r="AO608" s="23" t="n">
        <v>2</v>
      </c>
      <c r="AP608" s="23" t="n">
        <v>3</v>
      </c>
    </row>
    <row r="609" customFormat="false" ht="21.75" hidden="false" customHeight="true" outlineLevel="0" collapsed="false">
      <c r="B609" s="14" t="n">
        <v>605</v>
      </c>
      <c r="C609" s="7" t="s">
        <v>49</v>
      </c>
      <c r="D609" s="7" t="s">
        <v>23</v>
      </c>
      <c r="E609" s="7" t="s">
        <v>120</v>
      </c>
      <c r="F609" s="7" t="s">
        <v>70</v>
      </c>
      <c r="G609" s="7" t="s">
        <v>1584</v>
      </c>
      <c r="H609" s="7" t="s">
        <v>369</v>
      </c>
      <c r="I609" s="7" t="s">
        <v>752</v>
      </c>
      <c r="J609" s="7" t="s">
        <v>753</v>
      </c>
      <c r="K609" s="7" t="s">
        <v>342</v>
      </c>
      <c r="L609" s="7" t="s">
        <v>1498</v>
      </c>
      <c r="M609" s="7" t="s">
        <v>251</v>
      </c>
      <c r="N609" s="7" t="s">
        <v>909</v>
      </c>
      <c r="O609" s="7" t="s">
        <v>189</v>
      </c>
      <c r="P609" s="7" t="s">
        <v>190</v>
      </c>
      <c r="Q609" s="7" t="s">
        <v>1582</v>
      </c>
      <c r="R609" s="7" t="s">
        <v>872</v>
      </c>
      <c r="S609" s="7" t="s">
        <v>1369</v>
      </c>
      <c r="T609" s="7" t="s">
        <v>275</v>
      </c>
      <c r="U609" s="18" t="n">
        <v>20</v>
      </c>
      <c r="V609" s="7"/>
      <c r="W609" s="7"/>
      <c r="X609" s="7" t="s">
        <v>758</v>
      </c>
      <c r="Y609" s="22" t="n">
        <v>0.006</v>
      </c>
      <c r="Z609" s="22" t="n">
        <v>0.29</v>
      </c>
      <c r="AA609" s="22" t="n">
        <v>12</v>
      </c>
      <c r="AB609" s="7" t="s">
        <v>1498</v>
      </c>
      <c r="AC609" s="7" t="s">
        <v>1539</v>
      </c>
      <c r="AD609" s="22" t="s">
        <v>197</v>
      </c>
      <c r="AE609" s="22" t="s">
        <v>197</v>
      </c>
      <c r="AF609" s="22" t="s">
        <v>197</v>
      </c>
      <c r="AG609" s="22" t="s">
        <v>197</v>
      </c>
      <c r="AH609" s="22" t="s">
        <v>197</v>
      </c>
      <c r="AI609" s="22" t="s">
        <v>197</v>
      </c>
      <c r="AJ609" s="22" t="s">
        <v>197</v>
      </c>
      <c r="AK609" s="22" t="s">
        <v>197</v>
      </c>
      <c r="AL609" s="22" t="s">
        <v>197</v>
      </c>
      <c r="AM609" s="7" t="s">
        <v>197</v>
      </c>
      <c r="AN609" s="22" t="n">
        <v>15.6</v>
      </c>
      <c r="AO609" s="22" t="n">
        <v>2</v>
      </c>
      <c r="AP609" s="22" t="n">
        <v>3</v>
      </c>
    </row>
    <row r="610" customFormat="false" ht="21.75" hidden="false" customHeight="true" outlineLevel="0" collapsed="false">
      <c r="B610" s="15" t="n">
        <v>606</v>
      </c>
      <c r="C610" s="9" t="s">
        <v>49</v>
      </c>
      <c r="D610" s="9" t="s">
        <v>23</v>
      </c>
      <c r="E610" s="9" t="s">
        <v>120</v>
      </c>
      <c r="F610" s="9" t="s">
        <v>70</v>
      </c>
      <c r="G610" s="9" t="s">
        <v>1585</v>
      </c>
      <c r="H610" s="9" t="s">
        <v>339</v>
      </c>
      <c r="I610" s="9" t="s">
        <v>752</v>
      </c>
      <c r="J610" s="9" t="s">
        <v>753</v>
      </c>
      <c r="K610" s="9" t="s">
        <v>342</v>
      </c>
      <c r="L610" s="9" t="s">
        <v>1498</v>
      </c>
      <c r="M610" s="9" t="s">
        <v>251</v>
      </c>
      <c r="N610" s="9" t="s">
        <v>909</v>
      </c>
      <c r="O610" s="9" t="s">
        <v>189</v>
      </c>
      <c r="P610" s="9" t="s">
        <v>190</v>
      </c>
      <c r="Q610" s="9" t="s">
        <v>1582</v>
      </c>
      <c r="R610" s="9" t="s">
        <v>872</v>
      </c>
      <c r="S610" s="9" t="s">
        <v>1369</v>
      </c>
      <c r="T610" s="9" t="s">
        <v>275</v>
      </c>
      <c r="U610" s="19" t="n">
        <v>35</v>
      </c>
      <c r="V610" s="9"/>
      <c r="W610" s="9"/>
      <c r="X610" s="9" t="s">
        <v>203</v>
      </c>
      <c r="Y610" s="23" t="n">
        <v>0.002</v>
      </c>
      <c r="Z610" s="23" t="n">
        <v>0.164</v>
      </c>
      <c r="AA610" s="23" t="n">
        <v>12</v>
      </c>
      <c r="AB610" s="9" t="s">
        <v>1498</v>
      </c>
      <c r="AC610" s="9" t="s">
        <v>1539</v>
      </c>
      <c r="AD610" s="23" t="s">
        <v>197</v>
      </c>
      <c r="AE610" s="23" t="s">
        <v>197</v>
      </c>
      <c r="AF610" s="23" t="s">
        <v>197</v>
      </c>
      <c r="AG610" s="23" t="s">
        <v>197</v>
      </c>
      <c r="AH610" s="23" t="s">
        <v>197</v>
      </c>
      <c r="AI610" s="23" t="s">
        <v>197</v>
      </c>
      <c r="AJ610" s="23" t="s">
        <v>197</v>
      </c>
      <c r="AK610" s="23" t="s">
        <v>197</v>
      </c>
      <c r="AL610" s="23" t="s">
        <v>197</v>
      </c>
      <c r="AM610" s="9" t="s">
        <v>197</v>
      </c>
      <c r="AN610" s="23" t="n">
        <v>10.6</v>
      </c>
      <c r="AO610" s="23" t="n">
        <v>2</v>
      </c>
      <c r="AP610" s="23" t="n">
        <v>3</v>
      </c>
    </row>
    <row r="611" customFormat="false" ht="21.75" hidden="false" customHeight="true" outlineLevel="0" collapsed="false">
      <c r="B611" s="14" t="n">
        <v>607</v>
      </c>
      <c r="C611" s="7" t="s">
        <v>49</v>
      </c>
      <c r="D611" s="7" t="s">
        <v>23</v>
      </c>
      <c r="E611" s="7" t="s">
        <v>120</v>
      </c>
      <c r="F611" s="7" t="s">
        <v>70</v>
      </c>
      <c r="G611" s="7" t="s">
        <v>1586</v>
      </c>
      <c r="H611" s="7" t="s">
        <v>352</v>
      </c>
      <c r="I611" s="7" t="s">
        <v>752</v>
      </c>
      <c r="J611" s="7" t="s">
        <v>753</v>
      </c>
      <c r="K611" s="7" t="s">
        <v>342</v>
      </c>
      <c r="L611" s="7" t="s">
        <v>1498</v>
      </c>
      <c r="M611" s="7" t="s">
        <v>251</v>
      </c>
      <c r="N611" s="7" t="s">
        <v>909</v>
      </c>
      <c r="O611" s="7" t="s">
        <v>189</v>
      </c>
      <c r="P611" s="7" t="s">
        <v>190</v>
      </c>
      <c r="Q611" s="7" t="s">
        <v>1582</v>
      </c>
      <c r="R611" s="7" t="s">
        <v>872</v>
      </c>
      <c r="S611" s="7" t="s">
        <v>1369</v>
      </c>
      <c r="T611" s="7" t="s">
        <v>275</v>
      </c>
      <c r="U611" s="18" t="n">
        <v>50</v>
      </c>
      <c r="V611" s="7"/>
      <c r="W611" s="7"/>
      <c r="X611" s="7" t="s">
        <v>205</v>
      </c>
      <c r="Y611" s="22" t="n">
        <v>0.004</v>
      </c>
      <c r="Z611" s="22" t="n">
        <v>0.226</v>
      </c>
      <c r="AA611" s="22" t="n">
        <v>12</v>
      </c>
      <c r="AB611" s="7" t="s">
        <v>1498</v>
      </c>
      <c r="AC611" s="7" t="s">
        <v>1539</v>
      </c>
      <c r="AD611" s="22" t="s">
        <v>197</v>
      </c>
      <c r="AE611" s="22" t="s">
        <v>197</v>
      </c>
      <c r="AF611" s="22" t="s">
        <v>197</v>
      </c>
      <c r="AG611" s="22" t="s">
        <v>197</v>
      </c>
      <c r="AH611" s="22" t="s">
        <v>197</v>
      </c>
      <c r="AI611" s="22" t="s">
        <v>197</v>
      </c>
      <c r="AJ611" s="22" t="s">
        <v>197</v>
      </c>
      <c r="AK611" s="22" t="s">
        <v>197</v>
      </c>
      <c r="AL611" s="22" t="s">
        <v>197</v>
      </c>
      <c r="AM611" s="7" t="s">
        <v>197</v>
      </c>
      <c r="AN611" s="22" t="n">
        <v>13</v>
      </c>
      <c r="AO611" s="22" t="n">
        <v>2</v>
      </c>
      <c r="AP611" s="22" t="n">
        <v>3</v>
      </c>
    </row>
    <row r="612" customFormat="false" ht="21.75" hidden="false" customHeight="true" outlineLevel="0" collapsed="false">
      <c r="B612" s="15" t="n">
        <v>608</v>
      </c>
      <c r="C612" s="9" t="s">
        <v>49</v>
      </c>
      <c r="D612" s="9" t="s">
        <v>23</v>
      </c>
      <c r="E612" s="9" t="s">
        <v>120</v>
      </c>
      <c r="F612" s="9" t="s">
        <v>71</v>
      </c>
      <c r="G612" s="9" t="s">
        <v>1587</v>
      </c>
      <c r="H612" s="9" t="s">
        <v>374</v>
      </c>
      <c r="I612" s="9" t="s">
        <v>1588</v>
      </c>
      <c r="J612" s="9" t="s">
        <v>1589</v>
      </c>
      <c r="K612" s="9" t="s">
        <v>1590</v>
      </c>
      <c r="L612" s="9" t="s">
        <v>1498</v>
      </c>
      <c r="M612" s="9" t="s">
        <v>235</v>
      </c>
      <c r="N612" s="9" t="s">
        <v>1591</v>
      </c>
      <c r="O612" s="9" t="s">
        <v>189</v>
      </c>
      <c r="P612" s="9" t="s">
        <v>190</v>
      </c>
      <c r="Q612" s="9" t="s">
        <v>1592</v>
      </c>
      <c r="R612" s="9" t="s">
        <v>1593</v>
      </c>
      <c r="S612" s="9" t="s">
        <v>1369</v>
      </c>
      <c r="T612" s="9" t="s">
        <v>1594</v>
      </c>
      <c r="U612" s="19" t="n">
        <v>40</v>
      </c>
      <c r="V612" s="9"/>
      <c r="W612" s="9"/>
      <c r="X612" s="9" t="s">
        <v>195</v>
      </c>
      <c r="Y612" s="23" t="n">
        <v>0.089</v>
      </c>
      <c r="Z612" s="23" t="n">
        <v>0.321</v>
      </c>
      <c r="AA612" s="23" t="n">
        <v>12</v>
      </c>
      <c r="AB612" s="9" t="s">
        <v>1498</v>
      </c>
      <c r="AC612" s="9" t="s">
        <v>1528</v>
      </c>
      <c r="AD612" s="23" t="s">
        <v>197</v>
      </c>
      <c r="AE612" s="23" t="s">
        <v>197</v>
      </c>
      <c r="AF612" s="23" t="s">
        <v>197</v>
      </c>
      <c r="AG612" s="23" t="s">
        <v>197</v>
      </c>
      <c r="AH612" s="23" t="s">
        <v>197</v>
      </c>
      <c r="AI612" s="23" t="s">
        <v>197</v>
      </c>
      <c r="AJ612" s="23" t="s">
        <v>197</v>
      </c>
      <c r="AK612" s="23" t="s">
        <v>197</v>
      </c>
      <c r="AL612" s="23" t="s">
        <v>197</v>
      </c>
      <c r="AM612" s="9" t="s">
        <v>197</v>
      </c>
      <c r="AN612" s="23" t="s">
        <v>197</v>
      </c>
      <c r="AO612" s="23" t="s">
        <v>197</v>
      </c>
      <c r="AP612" s="23" t="s">
        <v>197</v>
      </c>
    </row>
    <row r="613" customFormat="false" ht="21.75" hidden="false" customHeight="true" outlineLevel="0" collapsed="false">
      <c r="B613" s="14" t="n">
        <v>609</v>
      </c>
      <c r="C613" s="7" t="s">
        <v>49</v>
      </c>
      <c r="D613" s="7" t="s">
        <v>23</v>
      </c>
      <c r="E613" s="7" t="s">
        <v>120</v>
      </c>
      <c r="F613" s="7" t="s">
        <v>71</v>
      </c>
      <c r="G613" s="7" t="s">
        <v>1595</v>
      </c>
      <c r="H613" s="7" t="s">
        <v>383</v>
      </c>
      <c r="I613" s="7" t="s">
        <v>1588</v>
      </c>
      <c r="J613" s="7" t="s">
        <v>1589</v>
      </c>
      <c r="K613" s="7" t="s">
        <v>1590</v>
      </c>
      <c r="L613" s="7" t="s">
        <v>1498</v>
      </c>
      <c r="M613" s="7" t="s">
        <v>235</v>
      </c>
      <c r="N613" s="7" t="s">
        <v>1591</v>
      </c>
      <c r="O613" s="7" t="s">
        <v>189</v>
      </c>
      <c r="P613" s="7" t="s">
        <v>190</v>
      </c>
      <c r="Q613" s="7" t="s">
        <v>1592</v>
      </c>
      <c r="R613" s="7" t="s">
        <v>1593</v>
      </c>
      <c r="S613" s="7" t="s">
        <v>1369</v>
      </c>
      <c r="T613" s="7" t="s">
        <v>1594</v>
      </c>
      <c r="U613" s="18" t="n">
        <v>65</v>
      </c>
      <c r="V613" s="7"/>
      <c r="W613" s="7"/>
      <c r="X613" s="7" t="s">
        <v>199</v>
      </c>
      <c r="Y613" s="22" t="n">
        <v>0.08</v>
      </c>
      <c r="Z613" s="22" t="n">
        <v>0.299</v>
      </c>
      <c r="AA613" s="22" t="n">
        <v>12</v>
      </c>
      <c r="AB613" s="7" t="s">
        <v>1498</v>
      </c>
      <c r="AC613" s="7" t="s">
        <v>1528</v>
      </c>
      <c r="AD613" s="22" t="s">
        <v>197</v>
      </c>
      <c r="AE613" s="22" t="s">
        <v>197</v>
      </c>
      <c r="AF613" s="22" t="s">
        <v>197</v>
      </c>
      <c r="AG613" s="22" t="s">
        <v>197</v>
      </c>
      <c r="AH613" s="22" t="s">
        <v>197</v>
      </c>
      <c r="AI613" s="22" t="s">
        <v>197</v>
      </c>
      <c r="AJ613" s="22" t="s">
        <v>197</v>
      </c>
      <c r="AK613" s="22" t="s">
        <v>197</v>
      </c>
      <c r="AL613" s="22" t="s">
        <v>197</v>
      </c>
      <c r="AM613" s="7" t="s">
        <v>197</v>
      </c>
      <c r="AN613" s="22" t="s">
        <v>197</v>
      </c>
      <c r="AO613" s="22" t="s">
        <v>197</v>
      </c>
      <c r="AP613" s="22" t="s">
        <v>197</v>
      </c>
    </row>
    <row r="614" customFormat="false" ht="21.75" hidden="false" customHeight="true" outlineLevel="0" collapsed="false">
      <c r="B614" s="15" t="n">
        <v>610</v>
      </c>
      <c r="C614" s="9" t="s">
        <v>49</v>
      </c>
      <c r="D614" s="9" t="s">
        <v>23</v>
      </c>
      <c r="E614" s="9" t="s">
        <v>120</v>
      </c>
      <c r="F614" s="9" t="s">
        <v>71</v>
      </c>
      <c r="G614" s="9" t="s">
        <v>1596</v>
      </c>
      <c r="H614" s="9" t="s">
        <v>385</v>
      </c>
      <c r="I614" s="9" t="s">
        <v>1588</v>
      </c>
      <c r="J614" s="9" t="s">
        <v>1589</v>
      </c>
      <c r="K614" s="9" t="s">
        <v>1590</v>
      </c>
      <c r="L614" s="9" t="s">
        <v>1498</v>
      </c>
      <c r="M614" s="9" t="s">
        <v>235</v>
      </c>
      <c r="N614" s="9" t="s">
        <v>1591</v>
      </c>
      <c r="O614" s="9" t="s">
        <v>189</v>
      </c>
      <c r="P614" s="9" t="s">
        <v>190</v>
      </c>
      <c r="Q614" s="9" t="s">
        <v>1592</v>
      </c>
      <c r="R614" s="9" t="s">
        <v>1593</v>
      </c>
      <c r="S614" s="9" t="s">
        <v>1369</v>
      </c>
      <c r="T614" s="9" t="s">
        <v>1594</v>
      </c>
      <c r="U614" s="19" t="n">
        <v>85</v>
      </c>
      <c r="V614" s="9"/>
      <c r="W614" s="9"/>
      <c r="X614" s="9" t="s">
        <v>1597</v>
      </c>
      <c r="Y614" s="23" t="n">
        <v>0.054</v>
      </c>
      <c r="Z614" s="23" t="n">
        <v>0.234</v>
      </c>
      <c r="AA614" s="23" t="n">
        <v>12</v>
      </c>
      <c r="AB614" s="9" t="s">
        <v>1498</v>
      </c>
      <c r="AC614" s="9" t="s">
        <v>1528</v>
      </c>
      <c r="AD614" s="23" t="s">
        <v>197</v>
      </c>
      <c r="AE614" s="23" t="s">
        <v>197</v>
      </c>
      <c r="AF614" s="23" t="s">
        <v>197</v>
      </c>
      <c r="AG614" s="23" t="s">
        <v>197</v>
      </c>
      <c r="AH614" s="23" t="s">
        <v>197</v>
      </c>
      <c r="AI614" s="23" t="s">
        <v>197</v>
      </c>
      <c r="AJ614" s="23" t="s">
        <v>197</v>
      </c>
      <c r="AK614" s="23" t="s">
        <v>197</v>
      </c>
      <c r="AL614" s="23" t="s">
        <v>197</v>
      </c>
      <c r="AM614" s="9" t="s">
        <v>197</v>
      </c>
      <c r="AN614" s="23" t="s">
        <v>197</v>
      </c>
      <c r="AO614" s="23" t="s">
        <v>197</v>
      </c>
      <c r="AP614" s="23" t="s">
        <v>197</v>
      </c>
    </row>
    <row r="615" customFormat="false" ht="21.75" hidden="false" customHeight="true" outlineLevel="0" collapsed="false">
      <c r="B615" s="14" t="n">
        <v>611</v>
      </c>
      <c r="C615" s="7" t="s">
        <v>49</v>
      </c>
      <c r="D615" s="7" t="s">
        <v>23</v>
      </c>
      <c r="E615" s="7" t="s">
        <v>120</v>
      </c>
      <c r="F615" s="7" t="s">
        <v>71</v>
      </c>
      <c r="G615" s="7" t="s">
        <v>1598</v>
      </c>
      <c r="H615" s="7" t="s">
        <v>388</v>
      </c>
      <c r="I615" s="7" t="s">
        <v>1588</v>
      </c>
      <c r="J615" s="7" t="s">
        <v>1589</v>
      </c>
      <c r="K615" s="7" t="s">
        <v>1590</v>
      </c>
      <c r="L615" s="7" t="s">
        <v>1498</v>
      </c>
      <c r="M615" s="7" t="s">
        <v>235</v>
      </c>
      <c r="N615" s="7" t="s">
        <v>1591</v>
      </c>
      <c r="O615" s="7" t="s">
        <v>189</v>
      </c>
      <c r="P615" s="7" t="s">
        <v>190</v>
      </c>
      <c r="Q615" s="7" t="s">
        <v>1592</v>
      </c>
      <c r="R615" s="7" t="s">
        <v>1593</v>
      </c>
      <c r="S615" s="7" t="s">
        <v>1369</v>
      </c>
      <c r="T615" s="7" t="s">
        <v>1594</v>
      </c>
      <c r="U615" s="18" t="n">
        <v>130</v>
      </c>
      <c r="V615" s="7"/>
      <c r="W615" s="7"/>
      <c r="X615" s="7" t="s">
        <v>203</v>
      </c>
      <c r="Y615" s="22" t="n">
        <v>0.098</v>
      </c>
      <c r="Z615" s="22" t="n">
        <v>0.345</v>
      </c>
      <c r="AA615" s="22" t="n">
        <v>12</v>
      </c>
      <c r="AB615" s="7" t="s">
        <v>1498</v>
      </c>
      <c r="AC615" s="7" t="s">
        <v>1528</v>
      </c>
      <c r="AD615" s="22" t="s">
        <v>197</v>
      </c>
      <c r="AE615" s="22" t="s">
        <v>197</v>
      </c>
      <c r="AF615" s="22" t="s">
        <v>197</v>
      </c>
      <c r="AG615" s="22" t="s">
        <v>197</v>
      </c>
      <c r="AH615" s="22" t="s">
        <v>197</v>
      </c>
      <c r="AI615" s="22" t="s">
        <v>197</v>
      </c>
      <c r="AJ615" s="22" t="s">
        <v>197</v>
      </c>
      <c r="AK615" s="22" t="s">
        <v>197</v>
      </c>
      <c r="AL615" s="22" t="s">
        <v>197</v>
      </c>
      <c r="AM615" s="7" t="s">
        <v>197</v>
      </c>
      <c r="AN615" s="22" t="s">
        <v>197</v>
      </c>
      <c r="AO615" s="22" t="s">
        <v>197</v>
      </c>
      <c r="AP615" s="22" t="s">
        <v>197</v>
      </c>
    </row>
    <row r="616" customFormat="false" ht="21.75" hidden="false" customHeight="true" outlineLevel="0" collapsed="false">
      <c r="B616" s="15" t="n">
        <v>612</v>
      </c>
      <c r="C616" s="9" t="s">
        <v>49</v>
      </c>
      <c r="D616" s="9" t="s">
        <v>23</v>
      </c>
      <c r="E616" s="9" t="s">
        <v>120</v>
      </c>
      <c r="F616" s="9" t="s">
        <v>71</v>
      </c>
      <c r="G616" s="9" t="s">
        <v>1599</v>
      </c>
      <c r="H616" s="9" t="s">
        <v>390</v>
      </c>
      <c r="I616" s="9" t="s">
        <v>1588</v>
      </c>
      <c r="J616" s="9" t="s">
        <v>1589</v>
      </c>
      <c r="K616" s="9" t="s">
        <v>1590</v>
      </c>
      <c r="L616" s="9" t="s">
        <v>1498</v>
      </c>
      <c r="M616" s="9" t="s">
        <v>235</v>
      </c>
      <c r="N616" s="9" t="s">
        <v>1591</v>
      </c>
      <c r="O616" s="9" t="s">
        <v>189</v>
      </c>
      <c r="P616" s="9" t="s">
        <v>190</v>
      </c>
      <c r="Q616" s="9" t="s">
        <v>1592</v>
      </c>
      <c r="R616" s="9" t="s">
        <v>1593</v>
      </c>
      <c r="S616" s="9" t="s">
        <v>1369</v>
      </c>
      <c r="T616" s="9" t="s">
        <v>1594</v>
      </c>
      <c r="U616" s="19" t="n">
        <v>190</v>
      </c>
      <c r="V616" s="9"/>
      <c r="W616" s="9"/>
      <c r="X616" s="9" t="s">
        <v>205</v>
      </c>
      <c r="Y616" s="23" t="n">
        <v>0.084</v>
      </c>
      <c r="Z616" s="23" t="n">
        <v>0.309</v>
      </c>
      <c r="AA616" s="23" t="n">
        <v>12</v>
      </c>
      <c r="AB616" s="9" t="s">
        <v>1498</v>
      </c>
      <c r="AC616" s="9" t="s">
        <v>1528</v>
      </c>
      <c r="AD616" s="23" t="s">
        <v>197</v>
      </c>
      <c r="AE616" s="23" t="s">
        <v>197</v>
      </c>
      <c r="AF616" s="23" t="s">
        <v>197</v>
      </c>
      <c r="AG616" s="23" t="s">
        <v>197</v>
      </c>
      <c r="AH616" s="23" t="s">
        <v>197</v>
      </c>
      <c r="AI616" s="23" t="s">
        <v>197</v>
      </c>
      <c r="AJ616" s="23" t="s">
        <v>197</v>
      </c>
      <c r="AK616" s="23" t="s">
        <v>197</v>
      </c>
      <c r="AL616" s="23" t="s">
        <v>197</v>
      </c>
      <c r="AM616" s="9" t="s">
        <v>197</v>
      </c>
      <c r="AN616" s="23" t="s">
        <v>197</v>
      </c>
      <c r="AO616" s="23" t="s">
        <v>197</v>
      </c>
      <c r="AP616" s="23" t="s">
        <v>197</v>
      </c>
    </row>
    <row r="617" customFormat="false" ht="21.75" hidden="false" customHeight="true" outlineLevel="0" collapsed="false">
      <c r="B617" s="14" t="n">
        <v>613</v>
      </c>
      <c r="C617" s="7" t="s">
        <v>49</v>
      </c>
      <c r="D617" s="7" t="s">
        <v>23</v>
      </c>
      <c r="E617" s="7" t="s">
        <v>120</v>
      </c>
      <c r="F617" s="7" t="s">
        <v>72</v>
      </c>
      <c r="G617" s="7" t="s">
        <v>391</v>
      </c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18"/>
      <c r="V617" s="7"/>
      <c r="W617" s="7"/>
      <c r="X617" s="7" t="s">
        <v>1600</v>
      </c>
      <c r="Y617" s="22" t="s">
        <v>197</v>
      </c>
      <c r="Z617" s="22" t="s">
        <v>197</v>
      </c>
      <c r="AA617" s="22" t="s">
        <v>197</v>
      </c>
      <c r="AB617" s="7" t="s">
        <v>197</v>
      </c>
      <c r="AC617" s="7" t="s">
        <v>197</v>
      </c>
      <c r="AD617" s="22" t="s">
        <v>197</v>
      </c>
      <c r="AE617" s="22" t="s">
        <v>197</v>
      </c>
      <c r="AF617" s="22" t="s">
        <v>197</v>
      </c>
      <c r="AG617" s="22" t="s">
        <v>197</v>
      </c>
      <c r="AH617" s="22" t="s">
        <v>197</v>
      </c>
      <c r="AI617" s="22" t="s">
        <v>197</v>
      </c>
      <c r="AJ617" s="22" t="s">
        <v>197</v>
      </c>
      <c r="AK617" s="22" t="s">
        <v>197</v>
      </c>
      <c r="AL617" s="22" t="s">
        <v>197</v>
      </c>
      <c r="AM617" s="7" t="s">
        <v>197</v>
      </c>
      <c r="AN617" s="22" t="s">
        <v>197</v>
      </c>
      <c r="AO617" s="22" t="s">
        <v>197</v>
      </c>
      <c r="AP617" s="22" t="s">
        <v>197</v>
      </c>
    </row>
    <row r="618" customFormat="false" ht="21.75" hidden="false" customHeight="true" outlineLevel="0" collapsed="false">
      <c r="B618" s="15" t="n">
        <v>614</v>
      </c>
      <c r="C618" s="9" t="s">
        <v>49</v>
      </c>
      <c r="D618" s="9" t="s">
        <v>23</v>
      </c>
      <c r="E618" s="9" t="s">
        <v>120</v>
      </c>
      <c r="F618" s="9" t="s">
        <v>73</v>
      </c>
      <c r="G618" s="9" t="s">
        <v>1601</v>
      </c>
      <c r="H618" s="9" t="s">
        <v>394</v>
      </c>
      <c r="I618" s="9" t="s">
        <v>1602</v>
      </c>
      <c r="J618" s="9" t="s">
        <v>1484</v>
      </c>
      <c r="K618" s="9" t="s">
        <v>1526</v>
      </c>
      <c r="L618" s="9" t="s">
        <v>1498</v>
      </c>
      <c r="M618" s="9" t="s">
        <v>235</v>
      </c>
      <c r="N618" s="9" t="s">
        <v>1603</v>
      </c>
      <c r="O618" s="9" t="s">
        <v>189</v>
      </c>
      <c r="P618" s="9" t="s">
        <v>190</v>
      </c>
      <c r="Q618" s="9" t="s">
        <v>1604</v>
      </c>
      <c r="R618" s="9" t="s">
        <v>892</v>
      </c>
      <c r="S618" s="9" t="s">
        <v>1369</v>
      </c>
      <c r="T618" s="9" t="s">
        <v>1605</v>
      </c>
      <c r="U618" s="19" t="n">
        <v>20</v>
      </c>
      <c r="V618" s="9"/>
      <c r="W618" s="9"/>
      <c r="X618" s="9" t="s">
        <v>195</v>
      </c>
      <c r="Y618" s="23" t="n">
        <v>0.046</v>
      </c>
      <c r="Z618" s="23" t="n">
        <v>0.072</v>
      </c>
      <c r="AA618" s="23" t="n">
        <v>12</v>
      </c>
      <c r="AB618" s="9" t="s">
        <v>1498</v>
      </c>
      <c r="AC618" s="9" t="s">
        <v>1528</v>
      </c>
      <c r="AD618" s="23" t="s">
        <v>197</v>
      </c>
      <c r="AE618" s="23" t="s">
        <v>197</v>
      </c>
      <c r="AF618" s="23" t="s">
        <v>197</v>
      </c>
      <c r="AG618" s="23" t="n">
        <v>4</v>
      </c>
      <c r="AH618" s="23" t="s">
        <v>197</v>
      </c>
      <c r="AI618" s="23" t="s">
        <v>197</v>
      </c>
      <c r="AJ618" s="23" t="s">
        <v>197</v>
      </c>
      <c r="AK618" s="23" t="s">
        <v>197</v>
      </c>
      <c r="AL618" s="23" t="s">
        <v>197</v>
      </c>
      <c r="AM618" s="9" t="s">
        <v>197</v>
      </c>
      <c r="AN618" s="23" t="s">
        <v>197</v>
      </c>
      <c r="AO618" s="23" t="s">
        <v>197</v>
      </c>
      <c r="AP618" s="23" t="s">
        <v>197</v>
      </c>
    </row>
    <row r="619" customFormat="false" ht="21.75" hidden="false" customHeight="true" outlineLevel="0" collapsed="false">
      <c r="B619" s="14" t="n">
        <v>615</v>
      </c>
      <c r="C619" s="7" t="s">
        <v>49</v>
      </c>
      <c r="D619" s="7" t="s">
        <v>23</v>
      </c>
      <c r="E619" s="7" t="s">
        <v>120</v>
      </c>
      <c r="F619" s="7" t="s">
        <v>73</v>
      </c>
      <c r="G619" s="7" t="s">
        <v>1606</v>
      </c>
      <c r="H619" s="7" t="s">
        <v>402</v>
      </c>
      <c r="I619" s="7" t="s">
        <v>1602</v>
      </c>
      <c r="J619" s="7" t="s">
        <v>1484</v>
      </c>
      <c r="K619" s="7" t="s">
        <v>1526</v>
      </c>
      <c r="L619" s="7" t="s">
        <v>1498</v>
      </c>
      <c r="M619" s="7" t="s">
        <v>235</v>
      </c>
      <c r="N619" s="7" t="s">
        <v>1603</v>
      </c>
      <c r="O619" s="7" t="s">
        <v>189</v>
      </c>
      <c r="P619" s="7" t="s">
        <v>190</v>
      </c>
      <c r="Q619" s="7" t="s">
        <v>1604</v>
      </c>
      <c r="R619" s="7" t="s">
        <v>892</v>
      </c>
      <c r="S619" s="7" t="s">
        <v>1369</v>
      </c>
      <c r="T619" s="7" t="s">
        <v>1605</v>
      </c>
      <c r="U619" s="18" t="n">
        <v>30</v>
      </c>
      <c r="V619" s="7"/>
      <c r="W619" s="7"/>
      <c r="X619" s="7" t="s">
        <v>199</v>
      </c>
      <c r="Y619" s="22" t="n">
        <v>0.047</v>
      </c>
      <c r="Z619" s="22" t="n">
        <v>0.073</v>
      </c>
      <c r="AA619" s="22" t="n">
        <v>12</v>
      </c>
      <c r="AB619" s="7" t="s">
        <v>1498</v>
      </c>
      <c r="AC619" s="7" t="s">
        <v>1528</v>
      </c>
      <c r="AD619" s="22" t="s">
        <v>197</v>
      </c>
      <c r="AE619" s="22" t="s">
        <v>197</v>
      </c>
      <c r="AF619" s="22" t="s">
        <v>197</v>
      </c>
      <c r="AG619" s="22" t="n">
        <v>8</v>
      </c>
      <c r="AH619" s="22" t="s">
        <v>197</v>
      </c>
      <c r="AI619" s="22" t="s">
        <v>197</v>
      </c>
      <c r="AJ619" s="22" t="s">
        <v>197</v>
      </c>
      <c r="AK619" s="22" t="s">
        <v>197</v>
      </c>
      <c r="AL619" s="22" t="s">
        <v>197</v>
      </c>
      <c r="AM619" s="7" t="s">
        <v>197</v>
      </c>
      <c r="AN619" s="22" t="s">
        <v>197</v>
      </c>
      <c r="AO619" s="22" t="s">
        <v>197</v>
      </c>
      <c r="AP619" s="22" t="s">
        <v>197</v>
      </c>
    </row>
    <row r="620" customFormat="false" ht="21.75" hidden="false" customHeight="true" outlineLevel="0" collapsed="false">
      <c r="B620" s="15" t="n">
        <v>616</v>
      </c>
      <c r="C620" s="9" t="s">
        <v>49</v>
      </c>
      <c r="D620" s="9" t="s">
        <v>23</v>
      </c>
      <c r="E620" s="9" t="s">
        <v>120</v>
      </c>
      <c r="F620" s="9" t="s">
        <v>73</v>
      </c>
      <c r="G620" s="9" t="s">
        <v>1607</v>
      </c>
      <c r="H620" s="9" t="s">
        <v>404</v>
      </c>
      <c r="I620" s="9" t="s">
        <v>1602</v>
      </c>
      <c r="J620" s="9" t="s">
        <v>1484</v>
      </c>
      <c r="K620" s="9" t="s">
        <v>1526</v>
      </c>
      <c r="L620" s="9" t="s">
        <v>1498</v>
      </c>
      <c r="M620" s="9" t="s">
        <v>235</v>
      </c>
      <c r="N620" s="9" t="s">
        <v>1603</v>
      </c>
      <c r="O620" s="9" t="s">
        <v>189</v>
      </c>
      <c r="P620" s="9" t="s">
        <v>190</v>
      </c>
      <c r="Q620" s="9" t="s">
        <v>1604</v>
      </c>
      <c r="R620" s="9" t="s">
        <v>892</v>
      </c>
      <c r="S620" s="9" t="s">
        <v>1369</v>
      </c>
      <c r="T620" s="9" t="s">
        <v>1605</v>
      </c>
      <c r="U620" s="19" t="n">
        <v>45</v>
      </c>
      <c r="V620" s="9"/>
      <c r="W620" s="9"/>
      <c r="X620" s="9" t="s">
        <v>1608</v>
      </c>
      <c r="Y620" s="23" t="n">
        <v>0.052</v>
      </c>
      <c r="Z620" s="23" t="n">
        <v>0.08</v>
      </c>
      <c r="AA620" s="23" t="n">
        <v>12</v>
      </c>
      <c r="AB620" s="9" t="s">
        <v>1498</v>
      </c>
      <c r="AC620" s="9" t="s">
        <v>1528</v>
      </c>
      <c r="AD620" s="23" t="s">
        <v>197</v>
      </c>
      <c r="AE620" s="23" t="s">
        <v>197</v>
      </c>
      <c r="AF620" s="23" t="s">
        <v>197</v>
      </c>
      <c r="AG620" s="23" t="n">
        <v>8</v>
      </c>
      <c r="AH620" s="23" t="s">
        <v>197</v>
      </c>
      <c r="AI620" s="23" t="s">
        <v>197</v>
      </c>
      <c r="AJ620" s="23" t="s">
        <v>197</v>
      </c>
      <c r="AK620" s="23" t="s">
        <v>197</v>
      </c>
      <c r="AL620" s="23" t="s">
        <v>197</v>
      </c>
      <c r="AM620" s="9" t="s">
        <v>197</v>
      </c>
      <c r="AN620" s="23" t="s">
        <v>197</v>
      </c>
      <c r="AO620" s="23" t="s">
        <v>197</v>
      </c>
      <c r="AP620" s="23" t="s">
        <v>197</v>
      </c>
    </row>
    <row r="621" customFormat="false" ht="21.75" hidden="false" customHeight="true" outlineLevel="0" collapsed="false">
      <c r="B621" s="14" t="n">
        <v>617</v>
      </c>
      <c r="C621" s="7" t="s">
        <v>49</v>
      </c>
      <c r="D621" s="7" t="s">
        <v>23</v>
      </c>
      <c r="E621" s="7" t="s">
        <v>120</v>
      </c>
      <c r="F621" s="7" t="s">
        <v>73</v>
      </c>
      <c r="G621" s="7" t="s">
        <v>1609</v>
      </c>
      <c r="H621" s="7" t="s">
        <v>407</v>
      </c>
      <c r="I621" s="7" t="s">
        <v>1602</v>
      </c>
      <c r="J621" s="7" t="s">
        <v>1484</v>
      </c>
      <c r="K621" s="7" t="s">
        <v>1526</v>
      </c>
      <c r="L621" s="7" t="s">
        <v>1498</v>
      </c>
      <c r="M621" s="7" t="s">
        <v>235</v>
      </c>
      <c r="N621" s="7" t="s">
        <v>1603</v>
      </c>
      <c r="O621" s="7" t="s">
        <v>189</v>
      </c>
      <c r="P621" s="7" t="s">
        <v>190</v>
      </c>
      <c r="Q621" s="7" t="s">
        <v>1604</v>
      </c>
      <c r="R621" s="7" t="s">
        <v>892</v>
      </c>
      <c r="S621" s="7" t="s">
        <v>1369</v>
      </c>
      <c r="T621" s="7" t="s">
        <v>1605</v>
      </c>
      <c r="U621" s="18" t="n">
        <v>65</v>
      </c>
      <c r="V621" s="7"/>
      <c r="W621" s="7"/>
      <c r="X621" s="7" t="s">
        <v>203</v>
      </c>
      <c r="Y621" s="22" t="n">
        <v>0.042</v>
      </c>
      <c r="Z621" s="22" t="n">
        <v>0.066</v>
      </c>
      <c r="AA621" s="22" t="n">
        <v>12</v>
      </c>
      <c r="AB621" s="7" t="s">
        <v>1498</v>
      </c>
      <c r="AC621" s="7" t="s">
        <v>1528</v>
      </c>
      <c r="AD621" s="22" t="s">
        <v>197</v>
      </c>
      <c r="AE621" s="22" t="s">
        <v>197</v>
      </c>
      <c r="AF621" s="22" t="s">
        <v>197</v>
      </c>
      <c r="AG621" s="22" t="n">
        <v>16</v>
      </c>
      <c r="AH621" s="22" t="s">
        <v>197</v>
      </c>
      <c r="AI621" s="22" t="s">
        <v>197</v>
      </c>
      <c r="AJ621" s="22" t="s">
        <v>197</v>
      </c>
      <c r="AK621" s="22" t="s">
        <v>197</v>
      </c>
      <c r="AL621" s="22" t="s">
        <v>197</v>
      </c>
      <c r="AM621" s="7" t="s">
        <v>197</v>
      </c>
      <c r="AN621" s="22" t="s">
        <v>197</v>
      </c>
      <c r="AO621" s="22" t="s">
        <v>197</v>
      </c>
      <c r="AP621" s="22" t="s">
        <v>197</v>
      </c>
    </row>
    <row r="622" customFormat="false" ht="21.75" hidden="false" customHeight="true" outlineLevel="0" collapsed="false">
      <c r="B622" s="15" t="n">
        <v>618</v>
      </c>
      <c r="C622" s="9" t="s">
        <v>49</v>
      </c>
      <c r="D622" s="9" t="s">
        <v>23</v>
      </c>
      <c r="E622" s="9" t="s">
        <v>120</v>
      </c>
      <c r="F622" s="9" t="s">
        <v>73</v>
      </c>
      <c r="G622" s="9" t="s">
        <v>1610</v>
      </c>
      <c r="H622" s="9" t="s">
        <v>409</v>
      </c>
      <c r="I622" s="9" t="s">
        <v>1602</v>
      </c>
      <c r="J622" s="9" t="s">
        <v>1484</v>
      </c>
      <c r="K622" s="9" t="s">
        <v>1526</v>
      </c>
      <c r="L622" s="9" t="s">
        <v>1498</v>
      </c>
      <c r="M622" s="9" t="s">
        <v>235</v>
      </c>
      <c r="N622" s="9" t="s">
        <v>1603</v>
      </c>
      <c r="O622" s="9" t="s">
        <v>189</v>
      </c>
      <c r="P622" s="9" t="s">
        <v>190</v>
      </c>
      <c r="Q622" s="9" t="s">
        <v>1604</v>
      </c>
      <c r="R622" s="9" t="s">
        <v>892</v>
      </c>
      <c r="S622" s="9" t="s">
        <v>1369</v>
      </c>
      <c r="T622" s="9" t="s">
        <v>1605</v>
      </c>
      <c r="U622" s="19" t="n">
        <v>95</v>
      </c>
      <c r="V622" s="9"/>
      <c r="W622" s="9"/>
      <c r="X622" s="9" t="s">
        <v>205</v>
      </c>
      <c r="Y622" s="23" t="n">
        <v>0.042</v>
      </c>
      <c r="Z622" s="23" t="n">
        <v>0.066</v>
      </c>
      <c r="AA622" s="23" t="n">
        <v>12</v>
      </c>
      <c r="AB622" s="9" t="s">
        <v>1498</v>
      </c>
      <c r="AC622" s="9" t="s">
        <v>1528</v>
      </c>
      <c r="AD622" s="23" t="s">
        <v>197</v>
      </c>
      <c r="AE622" s="23" t="s">
        <v>197</v>
      </c>
      <c r="AF622" s="23" t="s">
        <v>197</v>
      </c>
      <c r="AG622" s="23" t="n">
        <v>16</v>
      </c>
      <c r="AH622" s="23" t="s">
        <v>197</v>
      </c>
      <c r="AI622" s="23" t="s">
        <v>197</v>
      </c>
      <c r="AJ622" s="23" t="s">
        <v>197</v>
      </c>
      <c r="AK622" s="23" t="s">
        <v>197</v>
      </c>
      <c r="AL622" s="23" t="s">
        <v>197</v>
      </c>
      <c r="AM622" s="9" t="s">
        <v>197</v>
      </c>
      <c r="AN622" s="23" t="s">
        <v>197</v>
      </c>
      <c r="AO622" s="23" t="s">
        <v>197</v>
      </c>
      <c r="AP622" s="23" t="s">
        <v>197</v>
      </c>
    </row>
    <row r="623" customFormat="false" ht="21.75" hidden="false" customHeight="true" outlineLevel="0" collapsed="false">
      <c r="B623" s="14" t="n">
        <v>619</v>
      </c>
      <c r="C623" s="7" t="s">
        <v>49</v>
      </c>
      <c r="D623" s="7" t="s">
        <v>23</v>
      </c>
      <c r="E623" s="7" t="s">
        <v>120</v>
      </c>
      <c r="F623" s="7" t="s">
        <v>74</v>
      </c>
      <c r="G623" s="7" t="s">
        <v>391</v>
      </c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18"/>
      <c r="V623" s="7"/>
      <c r="W623" s="7"/>
      <c r="X623" s="7" t="s">
        <v>1611</v>
      </c>
      <c r="Y623" s="22" t="s">
        <v>197</v>
      </c>
      <c r="Z623" s="22" t="s">
        <v>197</v>
      </c>
      <c r="AA623" s="22" t="s">
        <v>197</v>
      </c>
      <c r="AB623" s="7" t="s">
        <v>197</v>
      </c>
      <c r="AC623" s="7" t="s">
        <v>197</v>
      </c>
      <c r="AD623" s="22" t="s">
        <v>197</v>
      </c>
      <c r="AE623" s="22" t="s">
        <v>197</v>
      </c>
      <c r="AF623" s="22" t="s">
        <v>197</v>
      </c>
      <c r="AG623" s="22" t="s">
        <v>197</v>
      </c>
      <c r="AH623" s="22" t="s">
        <v>197</v>
      </c>
      <c r="AI623" s="22" t="s">
        <v>197</v>
      </c>
      <c r="AJ623" s="22" t="s">
        <v>197</v>
      </c>
      <c r="AK623" s="22" t="s">
        <v>197</v>
      </c>
      <c r="AL623" s="22" t="s">
        <v>197</v>
      </c>
      <c r="AM623" s="7" t="s">
        <v>197</v>
      </c>
      <c r="AN623" s="22" t="s">
        <v>197</v>
      </c>
      <c r="AO623" s="22" t="s">
        <v>197</v>
      </c>
      <c r="AP623" s="22" t="s">
        <v>197</v>
      </c>
    </row>
    <row r="624" customFormat="false" ht="21.75" hidden="false" customHeight="true" outlineLevel="0" collapsed="false">
      <c r="B624" s="15" t="n">
        <v>620</v>
      </c>
      <c r="C624" s="9" t="s">
        <v>49</v>
      </c>
      <c r="D624" s="9" t="s">
        <v>23</v>
      </c>
      <c r="E624" s="9" t="s">
        <v>120</v>
      </c>
      <c r="F624" s="9" t="s">
        <v>75</v>
      </c>
      <c r="G624" s="9" t="s">
        <v>391</v>
      </c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19"/>
      <c r="V624" s="9"/>
      <c r="W624" s="9"/>
      <c r="X624" s="9" t="s">
        <v>1612</v>
      </c>
      <c r="Y624" s="23" t="s">
        <v>197</v>
      </c>
      <c r="Z624" s="23" t="s">
        <v>197</v>
      </c>
      <c r="AA624" s="23" t="s">
        <v>197</v>
      </c>
      <c r="AB624" s="9" t="s">
        <v>197</v>
      </c>
      <c r="AC624" s="9" t="s">
        <v>197</v>
      </c>
      <c r="AD624" s="23" t="s">
        <v>197</v>
      </c>
      <c r="AE624" s="23" t="s">
        <v>197</v>
      </c>
      <c r="AF624" s="23" t="s">
        <v>197</v>
      </c>
      <c r="AG624" s="23" t="s">
        <v>197</v>
      </c>
      <c r="AH624" s="23" t="s">
        <v>197</v>
      </c>
      <c r="AI624" s="23" t="s">
        <v>197</v>
      </c>
      <c r="AJ624" s="23" t="s">
        <v>197</v>
      </c>
      <c r="AK624" s="23" t="s">
        <v>197</v>
      </c>
      <c r="AL624" s="23" t="s">
        <v>197</v>
      </c>
      <c r="AM624" s="9" t="s">
        <v>197</v>
      </c>
      <c r="AN624" s="23" t="s">
        <v>197</v>
      </c>
      <c r="AO624" s="23" t="s">
        <v>197</v>
      </c>
      <c r="AP624" s="23" t="s">
        <v>197</v>
      </c>
    </row>
    <row r="625" customFormat="false" ht="21.75" hidden="false" customHeight="true" outlineLevel="0" collapsed="false">
      <c r="B625" s="14" t="n">
        <v>621</v>
      </c>
      <c r="C625" s="7" t="s">
        <v>50</v>
      </c>
      <c r="D625" s="7" t="s">
        <v>23</v>
      </c>
      <c r="E625" s="7" t="s">
        <v>122</v>
      </c>
      <c r="F625" s="7" t="s">
        <v>60</v>
      </c>
      <c r="G625" s="7" t="s">
        <v>1613</v>
      </c>
      <c r="H625" s="7" t="s">
        <v>1614</v>
      </c>
      <c r="I625" s="7" t="s">
        <v>1615</v>
      </c>
      <c r="J625" s="7" t="s">
        <v>1616</v>
      </c>
      <c r="K625" s="7" t="s">
        <v>1617</v>
      </c>
      <c r="L625" s="7" t="s">
        <v>1618</v>
      </c>
      <c r="M625" s="7" t="s">
        <v>1619</v>
      </c>
      <c r="N625" s="7" t="s">
        <v>662</v>
      </c>
      <c r="O625" s="7" t="s">
        <v>189</v>
      </c>
      <c r="P625" s="7" t="s">
        <v>952</v>
      </c>
      <c r="Q625" s="7" t="s">
        <v>1620</v>
      </c>
      <c r="R625" s="7" t="s">
        <v>347</v>
      </c>
      <c r="S625" s="7" t="s">
        <v>1369</v>
      </c>
      <c r="T625" s="7" t="s">
        <v>213</v>
      </c>
      <c r="U625" s="18" t="n">
        <v>105</v>
      </c>
      <c r="V625" s="7"/>
      <c r="W625" s="7"/>
      <c r="X625" s="7" t="s">
        <v>195</v>
      </c>
      <c r="Y625" s="22" t="n">
        <v>0.108</v>
      </c>
      <c r="Z625" s="22" t="n">
        <v>0.35</v>
      </c>
      <c r="AA625" s="22" t="n">
        <v>12</v>
      </c>
      <c r="AB625" s="7" t="s">
        <v>1618</v>
      </c>
      <c r="AC625" s="7" t="s">
        <v>1621</v>
      </c>
      <c r="AD625" s="22" t="n">
        <v>0.108</v>
      </c>
      <c r="AE625" s="22" t="n">
        <v>0.35</v>
      </c>
      <c r="AF625" s="22" t="n">
        <v>3</v>
      </c>
      <c r="AG625" s="22" t="n">
        <v>50</v>
      </c>
      <c r="AH625" s="22" t="n">
        <v>20</v>
      </c>
      <c r="AI625" s="22" t="s">
        <v>197</v>
      </c>
      <c r="AJ625" s="22" t="s">
        <v>197</v>
      </c>
      <c r="AK625" s="22" t="s">
        <v>197</v>
      </c>
      <c r="AL625" s="22" t="s">
        <v>197</v>
      </c>
      <c r="AM625" s="7" t="s">
        <v>197</v>
      </c>
      <c r="AN625" s="22" t="s">
        <v>197</v>
      </c>
      <c r="AO625" s="22" t="s">
        <v>197</v>
      </c>
      <c r="AP625" s="22" t="s">
        <v>197</v>
      </c>
    </row>
    <row r="626" customFormat="false" ht="21.75" hidden="false" customHeight="true" outlineLevel="0" collapsed="false">
      <c r="B626" s="15" t="n">
        <v>622</v>
      </c>
      <c r="C626" s="9" t="s">
        <v>50</v>
      </c>
      <c r="D626" s="9" t="s">
        <v>23</v>
      </c>
      <c r="E626" s="9" t="s">
        <v>122</v>
      </c>
      <c r="F626" s="9" t="s">
        <v>60</v>
      </c>
      <c r="G626" s="9" t="s">
        <v>1622</v>
      </c>
      <c r="H626" s="9" t="s">
        <v>1614</v>
      </c>
      <c r="I626" s="9" t="s">
        <v>1615</v>
      </c>
      <c r="J626" s="9" t="s">
        <v>1616</v>
      </c>
      <c r="K626" s="9" t="s">
        <v>1617</v>
      </c>
      <c r="L626" s="9" t="s">
        <v>1618</v>
      </c>
      <c r="M626" s="9" t="s">
        <v>1619</v>
      </c>
      <c r="N626" s="9" t="s">
        <v>662</v>
      </c>
      <c r="O626" s="9" t="s">
        <v>189</v>
      </c>
      <c r="P626" s="9" t="s">
        <v>952</v>
      </c>
      <c r="Q626" s="9" t="s">
        <v>1620</v>
      </c>
      <c r="R626" s="9" t="s">
        <v>347</v>
      </c>
      <c r="S626" s="9" t="s">
        <v>1369</v>
      </c>
      <c r="T626" s="9" t="s">
        <v>213</v>
      </c>
      <c r="U626" s="19" t="n">
        <v>160</v>
      </c>
      <c r="V626" s="9"/>
      <c r="W626" s="9"/>
      <c r="X626" s="9" t="s">
        <v>199</v>
      </c>
      <c r="Y626" s="23" t="n">
        <v>0.086</v>
      </c>
      <c r="Z626" s="23" t="n">
        <v>0.35</v>
      </c>
      <c r="AA626" s="23" t="n">
        <v>12</v>
      </c>
      <c r="AB626" s="9" t="s">
        <v>1618</v>
      </c>
      <c r="AC626" s="9" t="s">
        <v>1621</v>
      </c>
      <c r="AD626" s="23" t="n">
        <v>0.086</v>
      </c>
      <c r="AE626" s="23" t="n">
        <v>0.35</v>
      </c>
      <c r="AF626" s="23" t="n">
        <v>3</v>
      </c>
      <c r="AG626" s="23" t="n">
        <v>50</v>
      </c>
      <c r="AH626" s="23" t="n">
        <v>20</v>
      </c>
      <c r="AI626" s="23" t="s">
        <v>197</v>
      </c>
      <c r="AJ626" s="23" t="s">
        <v>197</v>
      </c>
      <c r="AK626" s="23" t="s">
        <v>197</v>
      </c>
      <c r="AL626" s="23" t="s">
        <v>197</v>
      </c>
      <c r="AM626" s="9" t="s">
        <v>197</v>
      </c>
      <c r="AN626" s="23" t="s">
        <v>197</v>
      </c>
      <c r="AO626" s="23" t="s">
        <v>197</v>
      </c>
      <c r="AP626" s="23" t="s">
        <v>197</v>
      </c>
    </row>
    <row r="627" customFormat="false" ht="21.75" hidden="false" customHeight="true" outlineLevel="0" collapsed="false">
      <c r="B627" s="14" t="n">
        <v>623</v>
      </c>
      <c r="C627" s="7" t="s">
        <v>50</v>
      </c>
      <c r="D627" s="7" t="s">
        <v>23</v>
      </c>
      <c r="E627" s="7" t="s">
        <v>122</v>
      </c>
      <c r="F627" s="7" t="s">
        <v>60</v>
      </c>
      <c r="G627" s="7" t="s">
        <v>1623</v>
      </c>
      <c r="H627" s="7" t="s">
        <v>1614</v>
      </c>
      <c r="I627" s="7" t="s">
        <v>1615</v>
      </c>
      <c r="J627" s="7" t="s">
        <v>1616</v>
      </c>
      <c r="K627" s="7" t="s">
        <v>1617</v>
      </c>
      <c r="L627" s="7" t="s">
        <v>1618</v>
      </c>
      <c r="M627" s="7" t="s">
        <v>1619</v>
      </c>
      <c r="N627" s="7" t="s">
        <v>662</v>
      </c>
      <c r="O627" s="7" t="s">
        <v>189</v>
      </c>
      <c r="P627" s="7" t="s">
        <v>952</v>
      </c>
      <c r="Q627" s="7" t="s">
        <v>1620</v>
      </c>
      <c r="R627" s="7" t="s">
        <v>347</v>
      </c>
      <c r="S627" s="7" t="s">
        <v>1369</v>
      </c>
      <c r="T627" s="7" t="s">
        <v>213</v>
      </c>
      <c r="U627" s="18" t="n">
        <v>215</v>
      </c>
      <c r="V627" s="7"/>
      <c r="W627" s="7"/>
      <c r="X627" s="7" t="s">
        <v>1624</v>
      </c>
      <c r="Y627" s="22" t="n">
        <v>0.089</v>
      </c>
      <c r="Z627" s="22" t="n">
        <v>0.35</v>
      </c>
      <c r="AA627" s="22" t="n">
        <v>12</v>
      </c>
      <c r="AB627" s="7" t="s">
        <v>1618</v>
      </c>
      <c r="AC627" s="7" t="s">
        <v>1621</v>
      </c>
      <c r="AD627" s="22" t="n">
        <v>0.089</v>
      </c>
      <c r="AE627" s="22" t="n">
        <v>0.35</v>
      </c>
      <c r="AF627" s="22" t="n">
        <v>3</v>
      </c>
      <c r="AG627" s="22" t="n">
        <v>50</v>
      </c>
      <c r="AH627" s="22" t="n">
        <v>20</v>
      </c>
      <c r="AI627" s="22" t="s">
        <v>197</v>
      </c>
      <c r="AJ627" s="22" t="s">
        <v>197</v>
      </c>
      <c r="AK627" s="22" t="s">
        <v>197</v>
      </c>
      <c r="AL627" s="22" t="s">
        <v>197</v>
      </c>
      <c r="AM627" s="7" t="s">
        <v>197</v>
      </c>
      <c r="AN627" s="22" t="s">
        <v>197</v>
      </c>
      <c r="AO627" s="22" t="s">
        <v>197</v>
      </c>
      <c r="AP627" s="22" t="s">
        <v>197</v>
      </c>
    </row>
    <row r="628" customFormat="false" ht="21.75" hidden="false" customHeight="true" outlineLevel="0" collapsed="false">
      <c r="B628" s="15" t="n">
        <v>624</v>
      </c>
      <c r="C628" s="9" t="s">
        <v>50</v>
      </c>
      <c r="D628" s="9" t="s">
        <v>23</v>
      </c>
      <c r="E628" s="9" t="s">
        <v>122</v>
      </c>
      <c r="F628" s="9" t="s">
        <v>60</v>
      </c>
      <c r="G628" s="9" t="s">
        <v>1625</v>
      </c>
      <c r="H628" s="9" t="s">
        <v>1614</v>
      </c>
      <c r="I628" s="9" t="s">
        <v>1615</v>
      </c>
      <c r="J628" s="9" t="s">
        <v>1616</v>
      </c>
      <c r="K628" s="9" t="s">
        <v>1617</v>
      </c>
      <c r="L628" s="9" t="s">
        <v>1618</v>
      </c>
      <c r="M628" s="9" t="s">
        <v>1619</v>
      </c>
      <c r="N628" s="9" t="s">
        <v>662</v>
      </c>
      <c r="O628" s="9" t="s">
        <v>189</v>
      </c>
      <c r="P628" s="9" t="s">
        <v>952</v>
      </c>
      <c r="Q628" s="9" t="s">
        <v>1620</v>
      </c>
      <c r="R628" s="9" t="s">
        <v>347</v>
      </c>
      <c r="S628" s="9" t="s">
        <v>1369</v>
      </c>
      <c r="T628" s="9" t="s">
        <v>213</v>
      </c>
      <c r="U628" s="19" t="n">
        <v>320</v>
      </c>
      <c r="V628" s="9"/>
      <c r="W628" s="9"/>
      <c r="X628" s="9" t="s">
        <v>203</v>
      </c>
      <c r="Y628" s="23" t="n">
        <v>0.069</v>
      </c>
      <c r="Z628" s="23" t="n">
        <v>0.35</v>
      </c>
      <c r="AA628" s="23" t="n">
        <v>12</v>
      </c>
      <c r="AB628" s="9" t="s">
        <v>1618</v>
      </c>
      <c r="AC628" s="9" t="s">
        <v>1621</v>
      </c>
      <c r="AD628" s="23" t="n">
        <v>0.069</v>
      </c>
      <c r="AE628" s="23" t="n">
        <v>0.35</v>
      </c>
      <c r="AF628" s="23" t="n">
        <v>3</v>
      </c>
      <c r="AG628" s="23" t="n">
        <v>50</v>
      </c>
      <c r="AH628" s="23" t="n">
        <v>20</v>
      </c>
      <c r="AI628" s="23" t="s">
        <v>197</v>
      </c>
      <c r="AJ628" s="23" t="s">
        <v>197</v>
      </c>
      <c r="AK628" s="23" t="s">
        <v>197</v>
      </c>
      <c r="AL628" s="23" t="s">
        <v>197</v>
      </c>
      <c r="AM628" s="9" t="s">
        <v>197</v>
      </c>
      <c r="AN628" s="23" t="s">
        <v>197</v>
      </c>
      <c r="AO628" s="23" t="s">
        <v>197</v>
      </c>
      <c r="AP628" s="23" t="s">
        <v>197</v>
      </c>
    </row>
    <row r="629" customFormat="false" ht="21.75" hidden="false" customHeight="true" outlineLevel="0" collapsed="false">
      <c r="B629" s="14" t="n">
        <v>625</v>
      </c>
      <c r="C629" s="7" t="s">
        <v>50</v>
      </c>
      <c r="D629" s="7" t="s">
        <v>23</v>
      </c>
      <c r="E629" s="7" t="s">
        <v>122</v>
      </c>
      <c r="F629" s="7" t="s">
        <v>60</v>
      </c>
      <c r="G629" s="7" t="s">
        <v>1626</v>
      </c>
      <c r="H629" s="7" t="s">
        <v>1614</v>
      </c>
      <c r="I629" s="7" t="s">
        <v>1615</v>
      </c>
      <c r="J629" s="7" t="s">
        <v>1616</v>
      </c>
      <c r="K629" s="7" t="s">
        <v>1617</v>
      </c>
      <c r="L629" s="7" t="s">
        <v>1618</v>
      </c>
      <c r="M629" s="7" t="s">
        <v>1619</v>
      </c>
      <c r="N629" s="7" t="s">
        <v>662</v>
      </c>
      <c r="O629" s="7" t="s">
        <v>189</v>
      </c>
      <c r="P629" s="7" t="s">
        <v>952</v>
      </c>
      <c r="Q629" s="7" t="s">
        <v>1620</v>
      </c>
      <c r="R629" s="7" t="s">
        <v>347</v>
      </c>
      <c r="S629" s="7" t="s">
        <v>1369</v>
      </c>
      <c r="T629" s="7" t="s">
        <v>213</v>
      </c>
      <c r="U629" s="18" t="n">
        <v>470</v>
      </c>
      <c r="V629" s="7"/>
      <c r="W629" s="7"/>
      <c r="X629" s="7" t="s">
        <v>205</v>
      </c>
      <c r="Y629" s="22" t="n">
        <v>0.077</v>
      </c>
      <c r="Z629" s="22" t="n">
        <v>0.35</v>
      </c>
      <c r="AA629" s="22" t="n">
        <v>12</v>
      </c>
      <c r="AB629" s="7" t="s">
        <v>1618</v>
      </c>
      <c r="AC629" s="7" t="s">
        <v>1621</v>
      </c>
      <c r="AD629" s="22" t="n">
        <v>0.077</v>
      </c>
      <c r="AE629" s="22" t="n">
        <v>0.35</v>
      </c>
      <c r="AF629" s="22" t="n">
        <v>3</v>
      </c>
      <c r="AG629" s="22" t="n">
        <v>50</v>
      </c>
      <c r="AH629" s="22" t="n">
        <v>20</v>
      </c>
      <c r="AI629" s="22" t="s">
        <v>197</v>
      </c>
      <c r="AJ629" s="22" t="s">
        <v>197</v>
      </c>
      <c r="AK629" s="22" t="s">
        <v>197</v>
      </c>
      <c r="AL629" s="22" t="s">
        <v>197</v>
      </c>
      <c r="AM629" s="7" t="s">
        <v>197</v>
      </c>
      <c r="AN629" s="22" t="s">
        <v>197</v>
      </c>
      <c r="AO629" s="22" t="s">
        <v>197</v>
      </c>
      <c r="AP629" s="22" t="s">
        <v>197</v>
      </c>
    </row>
    <row r="630" customFormat="false" ht="21.75" hidden="false" customHeight="true" outlineLevel="0" collapsed="false">
      <c r="B630" s="15" t="n">
        <v>626</v>
      </c>
      <c r="C630" s="9" t="s">
        <v>50</v>
      </c>
      <c r="D630" s="9" t="s">
        <v>23</v>
      </c>
      <c r="E630" s="9" t="s">
        <v>122</v>
      </c>
      <c r="F630" s="9" t="s">
        <v>61</v>
      </c>
      <c r="G630" s="9" t="s">
        <v>1613</v>
      </c>
      <c r="H630" s="9" t="s">
        <v>1627</v>
      </c>
      <c r="I630" s="9" t="s">
        <v>1628</v>
      </c>
      <c r="J630" s="9" t="s">
        <v>1629</v>
      </c>
      <c r="K630" s="9" t="s">
        <v>1630</v>
      </c>
      <c r="L630" s="9" t="s">
        <v>1618</v>
      </c>
      <c r="M630" s="9" t="s">
        <v>1631</v>
      </c>
      <c r="N630" s="9" t="s">
        <v>1632</v>
      </c>
      <c r="O630" s="9" t="s">
        <v>189</v>
      </c>
      <c r="P630" s="9" t="s">
        <v>952</v>
      </c>
      <c r="Q630" s="9" t="s">
        <v>1633</v>
      </c>
      <c r="R630" s="9" t="s">
        <v>481</v>
      </c>
      <c r="S630" s="9" t="s">
        <v>1369</v>
      </c>
      <c r="T630" s="9" t="s">
        <v>1511</v>
      </c>
      <c r="U630" s="19" t="n">
        <v>65</v>
      </c>
      <c r="V630" s="9"/>
      <c r="W630" s="9"/>
      <c r="X630" s="9" t="s">
        <v>195</v>
      </c>
      <c r="Y630" s="23" t="n">
        <v>0.108</v>
      </c>
      <c r="Z630" s="23" t="n">
        <v>0.3</v>
      </c>
      <c r="AA630" s="23" t="n">
        <v>12</v>
      </c>
      <c r="AB630" s="9" t="s">
        <v>1618</v>
      </c>
      <c r="AC630" s="9" t="s">
        <v>1621</v>
      </c>
      <c r="AD630" s="23" t="n">
        <v>0.108</v>
      </c>
      <c r="AE630" s="23" t="n">
        <v>0.3</v>
      </c>
      <c r="AF630" s="23" t="n">
        <v>3</v>
      </c>
      <c r="AG630" s="23" t="n">
        <v>40</v>
      </c>
      <c r="AH630" s="23" t="n">
        <v>8</v>
      </c>
      <c r="AI630" s="23" t="s">
        <v>197</v>
      </c>
      <c r="AJ630" s="23" t="s">
        <v>197</v>
      </c>
      <c r="AK630" s="23" t="s">
        <v>197</v>
      </c>
      <c r="AL630" s="23" t="s">
        <v>197</v>
      </c>
      <c r="AM630" s="9" t="s">
        <v>197</v>
      </c>
      <c r="AN630" s="23" t="s">
        <v>197</v>
      </c>
      <c r="AO630" s="23" t="s">
        <v>197</v>
      </c>
      <c r="AP630" s="23" t="s">
        <v>197</v>
      </c>
    </row>
    <row r="631" customFormat="false" ht="21.75" hidden="false" customHeight="true" outlineLevel="0" collapsed="false">
      <c r="B631" s="14" t="n">
        <v>627</v>
      </c>
      <c r="C631" s="7" t="s">
        <v>50</v>
      </c>
      <c r="D631" s="7" t="s">
        <v>23</v>
      </c>
      <c r="E631" s="7" t="s">
        <v>122</v>
      </c>
      <c r="F631" s="7" t="s">
        <v>61</v>
      </c>
      <c r="G631" s="7" t="s">
        <v>1634</v>
      </c>
      <c r="H631" s="7" t="s">
        <v>1627</v>
      </c>
      <c r="I631" s="7" t="s">
        <v>1628</v>
      </c>
      <c r="J631" s="7" t="s">
        <v>1629</v>
      </c>
      <c r="K631" s="7" t="s">
        <v>1630</v>
      </c>
      <c r="L631" s="7" t="s">
        <v>1618</v>
      </c>
      <c r="M631" s="7" t="s">
        <v>1631</v>
      </c>
      <c r="N631" s="7" t="s">
        <v>1632</v>
      </c>
      <c r="O631" s="7" t="s">
        <v>189</v>
      </c>
      <c r="P631" s="7" t="s">
        <v>952</v>
      </c>
      <c r="Q631" s="7" t="s">
        <v>1633</v>
      </c>
      <c r="R631" s="7" t="s">
        <v>481</v>
      </c>
      <c r="S631" s="7" t="s">
        <v>1369</v>
      </c>
      <c r="T631" s="7" t="s">
        <v>1511</v>
      </c>
      <c r="U631" s="18" t="n">
        <v>100</v>
      </c>
      <c r="V631" s="7"/>
      <c r="W631" s="7"/>
      <c r="X631" s="7" t="s">
        <v>199</v>
      </c>
      <c r="Y631" s="22" t="n">
        <v>0.062</v>
      </c>
      <c r="Z631" s="22" t="n">
        <v>0.3</v>
      </c>
      <c r="AA631" s="22" t="n">
        <v>12</v>
      </c>
      <c r="AB631" s="7" t="s">
        <v>1618</v>
      </c>
      <c r="AC631" s="7" t="s">
        <v>1621</v>
      </c>
      <c r="AD631" s="22" t="n">
        <v>0.062</v>
      </c>
      <c r="AE631" s="22" t="n">
        <v>0.3</v>
      </c>
      <c r="AF631" s="22" t="n">
        <v>3</v>
      </c>
      <c r="AG631" s="22" t="n">
        <v>40</v>
      </c>
      <c r="AH631" s="22" t="n">
        <v>8</v>
      </c>
      <c r="AI631" s="22" t="s">
        <v>197</v>
      </c>
      <c r="AJ631" s="22" t="s">
        <v>197</v>
      </c>
      <c r="AK631" s="22" t="s">
        <v>197</v>
      </c>
      <c r="AL631" s="22" t="s">
        <v>197</v>
      </c>
      <c r="AM631" s="7" t="s">
        <v>197</v>
      </c>
      <c r="AN631" s="22" t="s">
        <v>197</v>
      </c>
      <c r="AO631" s="22" t="s">
        <v>197</v>
      </c>
      <c r="AP631" s="22" t="s">
        <v>197</v>
      </c>
    </row>
    <row r="632" customFormat="false" ht="21.75" hidden="false" customHeight="true" outlineLevel="0" collapsed="false">
      <c r="B632" s="15" t="n">
        <v>628</v>
      </c>
      <c r="C632" s="9" t="s">
        <v>50</v>
      </c>
      <c r="D632" s="9" t="s">
        <v>23</v>
      </c>
      <c r="E632" s="9" t="s">
        <v>122</v>
      </c>
      <c r="F632" s="9" t="s">
        <v>61</v>
      </c>
      <c r="G632" s="9" t="s">
        <v>1622</v>
      </c>
      <c r="H632" s="9" t="s">
        <v>1627</v>
      </c>
      <c r="I632" s="9" t="s">
        <v>1628</v>
      </c>
      <c r="J632" s="9" t="s">
        <v>1629</v>
      </c>
      <c r="K632" s="9" t="s">
        <v>1630</v>
      </c>
      <c r="L632" s="9" t="s">
        <v>1618</v>
      </c>
      <c r="M632" s="9" t="s">
        <v>1631</v>
      </c>
      <c r="N632" s="9" t="s">
        <v>1632</v>
      </c>
      <c r="O632" s="9" t="s">
        <v>189</v>
      </c>
      <c r="P632" s="9" t="s">
        <v>952</v>
      </c>
      <c r="Q632" s="9" t="s">
        <v>1633</v>
      </c>
      <c r="R632" s="9" t="s">
        <v>481</v>
      </c>
      <c r="S632" s="9" t="s">
        <v>1369</v>
      </c>
      <c r="T632" s="9" t="s">
        <v>1511</v>
      </c>
      <c r="U632" s="19" t="n">
        <v>135</v>
      </c>
      <c r="V632" s="9"/>
      <c r="W632" s="9"/>
      <c r="X632" s="9" t="s">
        <v>1635</v>
      </c>
      <c r="Y632" s="23" t="n">
        <v>0.086</v>
      </c>
      <c r="Z632" s="23" t="n">
        <v>0.3</v>
      </c>
      <c r="AA632" s="23" t="n">
        <v>12</v>
      </c>
      <c r="AB632" s="9" t="s">
        <v>1618</v>
      </c>
      <c r="AC632" s="9" t="s">
        <v>1621</v>
      </c>
      <c r="AD632" s="23" t="n">
        <v>0.086</v>
      </c>
      <c r="AE632" s="23" t="n">
        <v>0.3</v>
      </c>
      <c r="AF632" s="23" t="n">
        <v>3</v>
      </c>
      <c r="AG632" s="23" t="n">
        <v>40</v>
      </c>
      <c r="AH632" s="23" t="n">
        <v>8</v>
      </c>
      <c r="AI632" s="23" t="s">
        <v>197</v>
      </c>
      <c r="AJ632" s="23" t="s">
        <v>197</v>
      </c>
      <c r="AK632" s="23" t="s">
        <v>197</v>
      </c>
      <c r="AL632" s="23" t="s">
        <v>197</v>
      </c>
      <c r="AM632" s="9" t="s">
        <v>197</v>
      </c>
      <c r="AN632" s="23" t="s">
        <v>197</v>
      </c>
      <c r="AO632" s="23" t="s">
        <v>197</v>
      </c>
      <c r="AP632" s="23" t="s">
        <v>197</v>
      </c>
    </row>
    <row r="633" customFormat="false" ht="21.75" hidden="false" customHeight="true" outlineLevel="0" collapsed="false">
      <c r="B633" s="14" t="n">
        <v>629</v>
      </c>
      <c r="C633" s="7" t="s">
        <v>50</v>
      </c>
      <c r="D633" s="7" t="s">
        <v>23</v>
      </c>
      <c r="E633" s="7" t="s">
        <v>122</v>
      </c>
      <c r="F633" s="7" t="s">
        <v>61</v>
      </c>
      <c r="G633" s="7" t="s">
        <v>1623</v>
      </c>
      <c r="H633" s="7" t="s">
        <v>1627</v>
      </c>
      <c r="I633" s="7" t="s">
        <v>1628</v>
      </c>
      <c r="J633" s="7" t="s">
        <v>1629</v>
      </c>
      <c r="K633" s="7" t="s">
        <v>1630</v>
      </c>
      <c r="L633" s="7" t="s">
        <v>1618</v>
      </c>
      <c r="M633" s="7" t="s">
        <v>1631</v>
      </c>
      <c r="N633" s="7" t="s">
        <v>1632</v>
      </c>
      <c r="O633" s="7" t="s">
        <v>189</v>
      </c>
      <c r="P633" s="7" t="s">
        <v>952</v>
      </c>
      <c r="Q633" s="7" t="s">
        <v>1633</v>
      </c>
      <c r="R633" s="7" t="s">
        <v>481</v>
      </c>
      <c r="S633" s="7" t="s">
        <v>1369</v>
      </c>
      <c r="T633" s="7" t="s">
        <v>1511</v>
      </c>
      <c r="U633" s="18" t="n">
        <v>200</v>
      </c>
      <c r="V633" s="7"/>
      <c r="W633" s="7"/>
      <c r="X633" s="7" t="s">
        <v>203</v>
      </c>
      <c r="Y633" s="22" t="n">
        <v>0.089</v>
      </c>
      <c r="Z633" s="22" t="n">
        <v>0.3</v>
      </c>
      <c r="AA633" s="22" t="n">
        <v>12</v>
      </c>
      <c r="AB633" s="7" t="s">
        <v>1618</v>
      </c>
      <c r="AC633" s="7" t="s">
        <v>1621</v>
      </c>
      <c r="AD633" s="22" t="n">
        <v>0.089</v>
      </c>
      <c r="AE633" s="22" t="n">
        <v>0.3</v>
      </c>
      <c r="AF633" s="22" t="n">
        <v>3</v>
      </c>
      <c r="AG633" s="22" t="n">
        <v>40</v>
      </c>
      <c r="AH633" s="22" t="n">
        <v>8</v>
      </c>
      <c r="AI633" s="22" t="s">
        <v>197</v>
      </c>
      <c r="AJ633" s="22" t="s">
        <v>197</v>
      </c>
      <c r="AK633" s="22" t="s">
        <v>197</v>
      </c>
      <c r="AL633" s="22" t="s">
        <v>197</v>
      </c>
      <c r="AM633" s="7" t="s">
        <v>197</v>
      </c>
      <c r="AN633" s="22" t="s">
        <v>197</v>
      </c>
      <c r="AO633" s="22" t="s">
        <v>197</v>
      </c>
      <c r="AP633" s="22" t="s">
        <v>197</v>
      </c>
    </row>
    <row r="634" customFormat="false" ht="21.75" hidden="false" customHeight="true" outlineLevel="0" collapsed="false">
      <c r="B634" s="15" t="n">
        <v>630</v>
      </c>
      <c r="C634" s="9" t="s">
        <v>50</v>
      </c>
      <c r="D634" s="9" t="s">
        <v>23</v>
      </c>
      <c r="E634" s="9" t="s">
        <v>122</v>
      </c>
      <c r="F634" s="9" t="s">
        <v>61</v>
      </c>
      <c r="G634" s="9" t="s">
        <v>1625</v>
      </c>
      <c r="H634" s="9" t="s">
        <v>1627</v>
      </c>
      <c r="I634" s="9" t="s">
        <v>1628</v>
      </c>
      <c r="J634" s="9" t="s">
        <v>1629</v>
      </c>
      <c r="K634" s="9" t="s">
        <v>1630</v>
      </c>
      <c r="L634" s="9" t="s">
        <v>1618</v>
      </c>
      <c r="M634" s="9" t="s">
        <v>1631</v>
      </c>
      <c r="N634" s="9" t="s">
        <v>1632</v>
      </c>
      <c r="O634" s="9" t="s">
        <v>189</v>
      </c>
      <c r="P634" s="9" t="s">
        <v>952</v>
      </c>
      <c r="Q634" s="9" t="s">
        <v>1633</v>
      </c>
      <c r="R634" s="9" t="s">
        <v>481</v>
      </c>
      <c r="S634" s="9" t="s">
        <v>1369</v>
      </c>
      <c r="T634" s="9" t="s">
        <v>1511</v>
      </c>
      <c r="U634" s="19" t="n">
        <v>295</v>
      </c>
      <c r="V634" s="9"/>
      <c r="W634" s="9"/>
      <c r="X634" s="9" t="s">
        <v>205</v>
      </c>
      <c r="Y634" s="23" t="n">
        <v>0.069</v>
      </c>
      <c r="Z634" s="23" t="n">
        <v>0.3</v>
      </c>
      <c r="AA634" s="23" t="n">
        <v>12</v>
      </c>
      <c r="AB634" s="9" t="s">
        <v>1618</v>
      </c>
      <c r="AC634" s="9" t="s">
        <v>1621</v>
      </c>
      <c r="AD634" s="23" t="n">
        <v>0.069</v>
      </c>
      <c r="AE634" s="23" t="n">
        <v>0.3</v>
      </c>
      <c r="AF634" s="23" t="n">
        <v>3</v>
      </c>
      <c r="AG634" s="23" t="n">
        <v>40</v>
      </c>
      <c r="AH634" s="23" t="n">
        <v>8</v>
      </c>
      <c r="AI634" s="23" t="s">
        <v>197</v>
      </c>
      <c r="AJ634" s="23" t="s">
        <v>197</v>
      </c>
      <c r="AK634" s="23" t="s">
        <v>197</v>
      </c>
      <c r="AL634" s="23" t="s">
        <v>197</v>
      </c>
      <c r="AM634" s="9" t="s">
        <v>197</v>
      </c>
      <c r="AN634" s="23" t="s">
        <v>197</v>
      </c>
      <c r="AO634" s="23" t="s">
        <v>197</v>
      </c>
      <c r="AP634" s="23" t="s">
        <v>197</v>
      </c>
    </row>
    <row r="635" customFormat="false" ht="21.75" hidden="false" customHeight="true" outlineLevel="0" collapsed="false">
      <c r="B635" s="14" t="n">
        <v>631</v>
      </c>
      <c r="C635" s="7" t="s">
        <v>50</v>
      </c>
      <c r="D635" s="7" t="s">
        <v>23</v>
      </c>
      <c r="E635" s="7" t="s">
        <v>122</v>
      </c>
      <c r="F635" s="7" t="s">
        <v>62</v>
      </c>
      <c r="G635" s="7" t="s">
        <v>391</v>
      </c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18"/>
      <c r="V635" s="7"/>
      <c r="W635" s="7"/>
      <c r="X635" s="7" t="s">
        <v>1636</v>
      </c>
      <c r="Y635" s="22" t="s">
        <v>197</v>
      </c>
      <c r="Z635" s="22" t="s">
        <v>197</v>
      </c>
      <c r="AA635" s="22" t="s">
        <v>197</v>
      </c>
      <c r="AB635" s="7" t="s">
        <v>197</v>
      </c>
      <c r="AC635" s="7" t="s">
        <v>197</v>
      </c>
      <c r="AD635" s="22" t="s">
        <v>197</v>
      </c>
      <c r="AE635" s="22" t="s">
        <v>197</v>
      </c>
      <c r="AF635" s="22" t="s">
        <v>197</v>
      </c>
      <c r="AG635" s="22" t="s">
        <v>197</v>
      </c>
      <c r="AH635" s="22" t="s">
        <v>197</v>
      </c>
      <c r="AI635" s="22" t="s">
        <v>197</v>
      </c>
      <c r="AJ635" s="22" t="s">
        <v>197</v>
      </c>
      <c r="AK635" s="22" t="s">
        <v>197</v>
      </c>
      <c r="AL635" s="22" t="s">
        <v>197</v>
      </c>
      <c r="AM635" s="7" t="s">
        <v>197</v>
      </c>
      <c r="AN635" s="22" t="s">
        <v>197</v>
      </c>
      <c r="AO635" s="22" t="s">
        <v>197</v>
      </c>
      <c r="AP635" s="22" t="s">
        <v>197</v>
      </c>
    </row>
    <row r="636" customFormat="false" ht="21.75" hidden="false" customHeight="true" outlineLevel="0" collapsed="false">
      <c r="B636" s="15" t="n">
        <v>632</v>
      </c>
      <c r="C636" s="9" t="s">
        <v>50</v>
      </c>
      <c r="D636" s="9" t="s">
        <v>23</v>
      </c>
      <c r="E636" s="9" t="s">
        <v>122</v>
      </c>
      <c r="F636" s="9" t="s">
        <v>63</v>
      </c>
      <c r="G636" s="9" t="s">
        <v>1637</v>
      </c>
      <c r="H636" s="9" t="s">
        <v>1638</v>
      </c>
      <c r="I636" s="9" t="s">
        <v>1639</v>
      </c>
      <c r="J636" s="9" t="s">
        <v>1640</v>
      </c>
      <c r="K636" s="9" t="s">
        <v>1641</v>
      </c>
      <c r="L636" s="9" t="s">
        <v>1618</v>
      </c>
      <c r="M636" s="9" t="s">
        <v>235</v>
      </c>
      <c r="N636" s="9" t="s">
        <v>1642</v>
      </c>
      <c r="O636" s="9" t="s">
        <v>189</v>
      </c>
      <c r="P636" s="9" t="s">
        <v>952</v>
      </c>
      <c r="Q636" s="9" t="s">
        <v>1643</v>
      </c>
      <c r="R636" s="9" t="s">
        <v>872</v>
      </c>
      <c r="S636" s="9" t="s">
        <v>1369</v>
      </c>
      <c r="T636" s="9" t="s">
        <v>239</v>
      </c>
      <c r="U636" s="19" t="n">
        <v>40</v>
      </c>
      <c r="V636" s="9"/>
      <c r="W636" s="9"/>
      <c r="X636" s="9" t="s">
        <v>195</v>
      </c>
      <c r="Y636" s="23" t="n">
        <v>0.039</v>
      </c>
      <c r="Z636" s="23" t="n">
        <v>0.075</v>
      </c>
      <c r="AA636" s="23" t="n">
        <v>12</v>
      </c>
      <c r="AB636" s="9" t="s">
        <v>1618</v>
      </c>
      <c r="AC636" s="9" t="s">
        <v>1644</v>
      </c>
      <c r="AD636" s="23" t="s">
        <v>197</v>
      </c>
      <c r="AE636" s="23" t="s">
        <v>197</v>
      </c>
      <c r="AF636" s="23" t="s">
        <v>197</v>
      </c>
      <c r="AG636" s="23" t="s">
        <v>197</v>
      </c>
      <c r="AH636" s="23" t="s">
        <v>197</v>
      </c>
      <c r="AI636" s="23" t="s">
        <v>197</v>
      </c>
      <c r="AJ636" s="23" t="s">
        <v>197</v>
      </c>
      <c r="AK636" s="23" t="s">
        <v>197</v>
      </c>
      <c r="AL636" s="23" t="s">
        <v>197</v>
      </c>
      <c r="AM636" s="9" t="s">
        <v>197</v>
      </c>
      <c r="AN636" s="23" t="s">
        <v>197</v>
      </c>
      <c r="AO636" s="23" t="n">
        <v>1.2</v>
      </c>
      <c r="AP636" s="23" t="n">
        <v>1.6</v>
      </c>
    </row>
    <row r="637" customFormat="false" ht="21.75" hidden="false" customHeight="true" outlineLevel="0" collapsed="false">
      <c r="B637" s="14" t="n">
        <v>633</v>
      </c>
      <c r="C637" s="7" t="s">
        <v>50</v>
      </c>
      <c r="D637" s="7" t="s">
        <v>23</v>
      </c>
      <c r="E637" s="7" t="s">
        <v>122</v>
      </c>
      <c r="F637" s="7" t="s">
        <v>63</v>
      </c>
      <c r="G637" s="7" t="s">
        <v>1645</v>
      </c>
      <c r="H637" s="7" t="s">
        <v>1638</v>
      </c>
      <c r="I637" s="7" t="s">
        <v>1639</v>
      </c>
      <c r="J637" s="7" t="s">
        <v>1640</v>
      </c>
      <c r="K637" s="7" t="s">
        <v>1641</v>
      </c>
      <c r="L637" s="7" t="s">
        <v>1618</v>
      </c>
      <c r="M637" s="7" t="s">
        <v>235</v>
      </c>
      <c r="N637" s="7" t="s">
        <v>1642</v>
      </c>
      <c r="O637" s="7" t="s">
        <v>189</v>
      </c>
      <c r="P637" s="7" t="s">
        <v>952</v>
      </c>
      <c r="Q637" s="7" t="s">
        <v>1643</v>
      </c>
      <c r="R637" s="7" t="s">
        <v>872</v>
      </c>
      <c r="S637" s="7" t="s">
        <v>1369</v>
      </c>
      <c r="T637" s="7" t="s">
        <v>239</v>
      </c>
      <c r="U637" s="18" t="n">
        <v>65</v>
      </c>
      <c r="V637" s="7"/>
      <c r="W637" s="7"/>
      <c r="X637" s="7" t="s">
        <v>199</v>
      </c>
      <c r="Y637" s="22" t="n">
        <v>0.055</v>
      </c>
      <c r="Z637" s="22" t="n">
        <v>0.102</v>
      </c>
      <c r="AA637" s="22" t="n">
        <v>12</v>
      </c>
      <c r="AB637" s="7" t="s">
        <v>1618</v>
      </c>
      <c r="AC637" s="7" t="s">
        <v>1644</v>
      </c>
      <c r="AD637" s="22" t="s">
        <v>197</v>
      </c>
      <c r="AE637" s="22" t="s">
        <v>197</v>
      </c>
      <c r="AF637" s="22" t="s">
        <v>197</v>
      </c>
      <c r="AG637" s="22" t="s">
        <v>197</v>
      </c>
      <c r="AH637" s="22" t="s">
        <v>197</v>
      </c>
      <c r="AI637" s="22" t="s">
        <v>197</v>
      </c>
      <c r="AJ637" s="22" t="s">
        <v>197</v>
      </c>
      <c r="AK637" s="22" t="s">
        <v>197</v>
      </c>
      <c r="AL637" s="22" t="s">
        <v>197</v>
      </c>
      <c r="AM637" s="7" t="s">
        <v>197</v>
      </c>
      <c r="AN637" s="22" t="s">
        <v>197</v>
      </c>
      <c r="AO637" s="22" t="n">
        <v>1.2</v>
      </c>
      <c r="AP637" s="22" t="n">
        <v>1.6</v>
      </c>
    </row>
    <row r="638" customFormat="false" ht="21.75" hidden="false" customHeight="true" outlineLevel="0" collapsed="false">
      <c r="B638" s="15" t="n">
        <v>634</v>
      </c>
      <c r="C638" s="9" t="s">
        <v>50</v>
      </c>
      <c r="D638" s="9" t="s">
        <v>23</v>
      </c>
      <c r="E638" s="9" t="s">
        <v>122</v>
      </c>
      <c r="F638" s="9" t="s">
        <v>63</v>
      </c>
      <c r="G638" s="9" t="s">
        <v>1646</v>
      </c>
      <c r="H638" s="9" t="s">
        <v>1638</v>
      </c>
      <c r="I638" s="9" t="s">
        <v>1639</v>
      </c>
      <c r="J638" s="9" t="s">
        <v>1640</v>
      </c>
      <c r="K638" s="9" t="s">
        <v>1641</v>
      </c>
      <c r="L638" s="9" t="s">
        <v>1618</v>
      </c>
      <c r="M638" s="9" t="s">
        <v>235</v>
      </c>
      <c r="N638" s="9" t="s">
        <v>1642</v>
      </c>
      <c r="O638" s="9" t="s">
        <v>189</v>
      </c>
      <c r="P638" s="9" t="s">
        <v>952</v>
      </c>
      <c r="Q638" s="9" t="s">
        <v>1643</v>
      </c>
      <c r="R638" s="9" t="s">
        <v>872</v>
      </c>
      <c r="S638" s="9" t="s">
        <v>1369</v>
      </c>
      <c r="T638" s="9" t="s">
        <v>239</v>
      </c>
      <c r="U638" s="19" t="n">
        <v>85</v>
      </c>
      <c r="V638" s="9"/>
      <c r="W638" s="9"/>
      <c r="X638" s="9" t="s">
        <v>1647</v>
      </c>
      <c r="Y638" s="23" t="n">
        <v>0.059</v>
      </c>
      <c r="Z638" s="23" t="n">
        <v>0.109</v>
      </c>
      <c r="AA638" s="23" t="n">
        <v>12</v>
      </c>
      <c r="AB638" s="9" t="s">
        <v>1618</v>
      </c>
      <c r="AC638" s="9" t="s">
        <v>1644</v>
      </c>
      <c r="AD638" s="23" t="s">
        <v>197</v>
      </c>
      <c r="AE638" s="23" t="s">
        <v>197</v>
      </c>
      <c r="AF638" s="23" t="s">
        <v>197</v>
      </c>
      <c r="AG638" s="23" t="s">
        <v>197</v>
      </c>
      <c r="AH638" s="23" t="s">
        <v>197</v>
      </c>
      <c r="AI638" s="23" t="s">
        <v>197</v>
      </c>
      <c r="AJ638" s="23" t="s">
        <v>197</v>
      </c>
      <c r="AK638" s="23" t="s">
        <v>197</v>
      </c>
      <c r="AL638" s="23" t="s">
        <v>197</v>
      </c>
      <c r="AM638" s="9" t="s">
        <v>197</v>
      </c>
      <c r="AN638" s="23" t="s">
        <v>197</v>
      </c>
      <c r="AO638" s="23" t="n">
        <v>1.2</v>
      </c>
      <c r="AP638" s="23" t="n">
        <v>1.6</v>
      </c>
    </row>
    <row r="639" customFormat="false" ht="21.75" hidden="false" customHeight="true" outlineLevel="0" collapsed="false">
      <c r="B639" s="14" t="n">
        <v>635</v>
      </c>
      <c r="C639" s="7" t="s">
        <v>50</v>
      </c>
      <c r="D639" s="7" t="s">
        <v>23</v>
      </c>
      <c r="E639" s="7" t="s">
        <v>122</v>
      </c>
      <c r="F639" s="7" t="s">
        <v>63</v>
      </c>
      <c r="G639" s="7" t="s">
        <v>1648</v>
      </c>
      <c r="H639" s="7" t="s">
        <v>1638</v>
      </c>
      <c r="I639" s="7" t="s">
        <v>1639</v>
      </c>
      <c r="J639" s="7" t="s">
        <v>1640</v>
      </c>
      <c r="K639" s="7" t="s">
        <v>1641</v>
      </c>
      <c r="L639" s="7" t="s">
        <v>1618</v>
      </c>
      <c r="M639" s="7" t="s">
        <v>235</v>
      </c>
      <c r="N639" s="7" t="s">
        <v>1642</v>
      </c>
      <c r="O639" s="7" t="s">
        <v>189</v>
      </c>
      <c r="P639" s="7" t="s">
        <v>952</v>
      </c>
      <c r="Q639" s="7" t="s">
        <v>1643</v>
      </c>
      <c r="R639" s="7" t="s">
        <v>872</v>
      </c>
      <c r="S639" s="7" t="s">
        <v>1369</v>
      </c>
      <c r="T639" s="7" t="s">
        <v>239</v>
      </c>
      <c r="U639" s="18" t="n">
        <v>130</v>
      </c>
      <c r="V639" s="7"/>
      <c r="W639" s="7"/>
      <c r="X639" s="7" t="s">
        <v>203</v>
      </c>
      <c r="Y639" s="22" t="n">
        <v>0.039</v>
      </c>
      <c r="Z639" s="22" t="n">
        <v>0.076</v>
      </c>
      <c r="AA639" s="22" t="n">
        <v>12</v>
      </c>
      <c r="AB639" s="7" t="s">
        <v>1618</v>
      </c>
      <c r="AC639" s="7" t="s">
        <v>1644</v>
      </c>
      <c r="AD639" s="22" t="s">
        <v>197</v>
      </c>
      <c r="AE639" s="22" t="s">
        <v>197</v>
      </c>
      <c r="AF639" s="22" t="s">
        <v>197</v>
      </c>
      <c r="AG639" s="22" t="s">
        <v>197</v>
      </c>
      <c r="AH639" s="22" t="s">
        <v>197</v>
      </c>
      <c r="AI639" s="22" t="s">
        <v>197</v>
      </c>
      <c r="AJ639" s="22" t="s">
        <v>197</v>
      </c>
      <c r="AK639" s="22" t="s">
        <v>197</v>
      </c>
      <c r="AL639" s="22" t="s">
        <v>197</v>
      </c>
      <c r="AM639" s="7" t="s">
        <v>197</v>
      </c>
      <c r="AN639" s="22" t="s">
        <v>197</v>
      </c>
      <c r="AO639" s="22" t="n">
        <v>1.2</v>
      </c>
      <c r="AP639" s="22" t="n">
        <v>1.6</v>
      </c>
    </row>
    <row r="640" customFormat="false" ht="21.75" hidden="false" customHeight="true" outlineLevel="0" collapsed="false">
      <c r="B640" s="15" t="n">
        <v>636</v>
      </c>
      <c r="C640" s="9" t="s">
        <v>50</v>
      </c>
      <c r="D640" s="9" t="s">
        <v>23</v>
      </c>
      <c r="E640" s="9" t="s">
        <v>122</v>
      </c>
      <c r="F640" s="9" t="s">
        <v>63</v>
      </c>
      <c r="G640" s="9" t="s">
        <v>1649</v>
      </c>
      <c r="H640" s="9" t="s">
        <v>1638</v>
      </c>
      <c r="I640" s="9" t="s">
        <v>1639</v>
      </c>
      <c r="J640" s="9" t="s">
        <v>1640</v>
      </c>
      <c r="K640" s="9" t="s">
        <v>1641</v>
      </c>
      <c r="L640" s="9" t="s">
        <v>1618</v>
      </c>
      <c r="M640" s="9" t="s">
        <v>235</v>
      </c>
      <c r="N640" s="9" t="s">
        <v>1642</v>
      </c>
      <c r="O640" s="9" t="s">
        <v>189</v>
      </c>
      <c r="P640" s="9" t="s">
        <v>952</v>
      </c>
      <c r="Q640" s="9" t="s">
        <v>1643</v>
      </c>
      <c r="R640" s="9" t="s">
        <v>872</v>
      </c>
      <c r="S640" s="9" t="s">
        <v>1369</v>
      </c>
      <c r="T640" s="9" t="s">
        <v>239</v>
      </c>
      <c r="U640" s="19" t="n">
        <v>190</v>
      </c>
      <c r="V640" s="9"/>
      <c r="W640" s="9"/>
      <c r="X640" s="9" t="s">
        <v>205</v>
      </c>
      <c r="Y640" s="23" t="n">
        <v>0.057</v>
      </c>
      <c r="Z640" s="23" t="n">
        <v>0.104</v>
      </c>
      <c r="AA640" s="23" t="n">
        <v>12</v>
      </c>
      <c r="AB640" s="9" t="s">
        <v>1618</v>
      </c>
      <c r="AC640" s="9" t="s">
        <v>1644</v>
      </c>
      <c r="AD640" s="23" t="s">
        <v>197</v>
      </c>
      <c r="AE640" s="23" t="s">
        <v>197</v>
      </c>
      <c r="AF640" s="23" t="s">
        <v>197</v>
      </c>
      <c r="AG640" s="23" t="s">
        <v>197</v>
      </c>
      <c r="AH640" s="23" t="s">
        <v>197</v>
      </c>
      <c r="AI640" s="23" t="s">
        <v>197</v>
      </c>
      <c r="AJ640" s="23" t="s">
        <v>197</v>
      </c>
      <c r="AK640" s="23" t="s">
        <v>197</v>
      </c>
      <c r="AL640" s="23" t="s">
        <v>197</v>
      </c>
      <c r="AM640" s="9" t="s">
        <v>197</v>
      </c>
      <c r="AN640" s="23" t="s">
        <v>197</v>
      </c>
      <c r="AO640" s="23" t="n">
        <v>1.2</v>
      </c>
      <c r="AP640" s="23" t="n">
        <v>1.6</v>
      </c>
    </row>
    <row r="641" customFormat="false" ht="21.75" hidden="false" customHeight="true" outlineLevel="0" collapsed="false">
      <c r="B641" s="14" t="n">
        <v>637</v>
      </c>
      <c r="C641" s="7" t="s">
        <v>50</v>
      </c>
      <c r="D641" s="7" t="s">
        <v>23</v>
      </c>
      <c r="E641" s="7" t="s">
        <v>122</v>
      </c>
      <c r="F641" s="7" t="s">
        <v>64</v>
      </c>
      <c r="G641" s="7" t="s">
        <v>1650</v>
      </c>
      <c r="H641" s="7" t="s">
        <v>247</v>
      </c>
      <c r="I641" s="7" t="s">
        <v>1651</v>
      </c>
      <c r="J641" s="7" t="s">
        <v>1652</v>
      </c>
      <c r="K641" s="7" t="s">
        <v>1653</v>
      </c>
      <c r="L641" s="7" t="s">
        <v>1618</v>
      </c>
      <c r="M641" s="7" t="s">
        <v>1654</v>
      </c>
      <c r="N641" s="7" t="s">
        <v>519</v>
      </c>
      <c r="O641" s="7" t="s">
        <v>189</v>
      </c>
      <c r="P641" s="7" t="s">
        <v>952</v>
      </c>
      <c r="Q641" s="7" t="s">
        <v>861</v>
      </c>
      <c r="R641" s="7" t="s">
        <v>689</v>
      </c>
      <c r="S641" s="7" t="s">
        <v>1369</v>
      </c>
      <c r="T641" s="7" t="s">
        <v>275</v>
      </c>
      <c r="U641" s="18" t="n">
        <v>20</v>
      </c>
      <c r="V641" s="7"/>
      <c r="W641" s="7"/>
      <c r="X641" s="7" t="s">
        <v>195</v>
      </c>
      <c r="Y641" s="22" t="n">
        <v>1.081E-005</v>
      </c>
      <c r="Z641" s="22" t="n">
        <v>3.002E-005</v>
      </c>
      <c r="AA641" s="22" t="n">
        <v>3</v>
      </c>
      <c r="AB641" s="7" t="s">
        <v>1618</v>
      </c>
      <c r="AC641" s="7" t="s">
        <v>1655</v>
      </c>
      <c r="AD641" s="22" t="s">
        <v>197</v>
      </c>
      <c r="AE641" s="22" t="s">
        <v>197</v>
      </c>
      <c r="AF641" s="22" t="s">
        <v>197</v>
      </c>
      <c r="AG641" s="22" t="s">
        <v>197</v>
      </c>
      <c r="AH641" s="22" t="s">
        <v>197</v>
      </c>
      <c r="AI641" s="22" t="s">
        <v>197</v>
      </c>
      <c r="AJ641" s="22" t="n">
        <v>8</v>
      </c>
      <c r="AK641" s="22" t="s">
        <v>197</v>
      </c>
      <c r="AL641" s="22" t="n">
        <v>90</v>
      </c>
      <c r="AM641" s="7" t="s">
        <v>257</v>
      </c>
      <c r="AN641" s="22" t="s">
        <v>197</v>
      </c>
      <c r="AO641" s="22" t="n">
        <v>2</v>
      </c>
      <c r="AP641" s="22" t="n">
        <v>2.7</v>
      </c>
    </row>
    <row r="642" customFormat="false" ht="21.75" hidden="false" customHeight="true" outlineLevel="0" collapsed="false">
      <c r="B642" s="15" t="n">
        <v>638</v>
      </c>
      <c r="C642" s="9" t="s">
        <v>50</v>
      </c>
      <c r="D642" s="9" t="s">
        <v>23</v>
      </c>
      <c r="E642" s="9" t="s">
        <v>122</v>
      </c>
      <c r="F642" s="9" t="s">
        <v>64</v>
      </c>
      <c r="G642" s="9" t="s">
        <v>1656</v>
      </c>
      <c r="H642" s="9" t="s">
        <v>259</v>
      </c>
      <c r="I642" s="9" t="s">
        <v>1651</v>
      </c>
      <c r="J642" s="9" t="s">
        <v>1652</v>
      </c>
      <c r="K642" s="9" t="s">
        <v>1653</v>
      </c>
      <c r="L642" s="9" t="s">
        <v>1618</v>
      </c>
      <c r="M642" s="9" t="s">
        <v>1654</v>
      </c>
      <c r="N642" s="9" t="s">
        <v>519</v>
      </c>
      <c r="O642" s="9" t="s">
        <v>189</v>
      </c>
      <c r="P642" s="9" t="s">
        <v>952</v>
      </c>
      <c r="Q642" s="9" t="s">
        <v>861</v>
      </c>
      <c r="R642" s="9" t="s">
        <v>689</v>
      </c>
      <c r="S642" s="9" t="s">
        <v>1369</v>
      </c>
      <c r="T642" s="9" t="s">
        <v>275</v>
      </c>
      <c r="U642" s="19" t="n">
        <v>30</v>
      </c>
      <c r="V642" s="9"/>
      <c r="W642" s="9"/>
      <c r="X642" s="9" t="s">
        <v>199</v>
      </c>
      <c r="Y642" s="23" t="n">
        <v>1.616E-005</v>
      </c>
      <c r="Z642" s="23" t="n">
        <v>3.956E-005</v>
      </c>
      <c r="AA642" s="23" t="n">
        <v>3</v>
      </c>
      <c r="AB642" s="9" t="s">
        <v>1618</v>
      </c>
      <c r="AC642" s="9" t="s">
        <v>1655</v>
      </c>
      <c r="AD642" s="23" t="s">
        <v>197</v>
      </c>
      <c r="AE642" s="23" t="s">
        <v>197</v>
      </c>
      <c r="AF642" s="23" t="s">
        <v>197</v>
      </c>
      <c r="AG642" s="23" t="s">
        <v>197</v>
      </c>
      <c r="AH642" s="23" t="s">
        <v>197</v>
      </c>
      <c r="AI642" s="23" t="s">
        <v>197</v>
      </c>
      <c r="AJ642" s="23" t="n">
        <v>10</v>
      </c>
      <c r="AK642" s="23" t="s">
        <v>197</v>
      </c>
      <c r="AL642" s="23" t="n">
        <v>90</v>
      </c>
      <c r="AM642" s="9" t="s">
        <v>257</v>
      </c>
      <c r="AN642" s="23" t="s">
        <v>197</v>
      </c>
      <c r="AO642" s="23" t="n">
        <v>2</v>
      </c>
      <c r="AP642" s="23" t="n">
        <v>2.7</v>
      </c>
    </row>
    <row r="643" customFormat="false" ht="21.75" hidden="false" customHeight="true" outlineLevel="0" collapsed="false">
      <c r="B643" s="14" t="n">
        <v>639</v>
      </c>
      <c r="C643" s="7" t="s">
        <v>50</v>
      </c>
      <c r="D643" s="7" t="s">
        <v>23</v>
      </c>
      <c r="E643" s="7" t="s">
        <v>122</v>
      </c>
      <c r="F643" s="7" t="s">
        <v>64</v>
      </c>
      <c r="G643" s="7" t="s">
        <v>1657</v>
      </c>
      <c r="H643" s="7" t="s">
        <v>261</v>
      </c>
      <c r="I643" s="7" t="s">
        <v>1651</v>
      </c>
      <c r="J643" s="7" t="s">
        <v>1652</v>
      </c>
      <c r="K643" s="7" t="s">
        <v>1653</v>
      </c>
      <c r="L643" s="7" t="s">
        <v>1618</v>
      </c>
      <c r="M643" s="7" t="s">
        <v>1654</v>
      </c>
      <c r="N643" s="7" t="s">
        <v>519</v>
      </c>
      <c r="O643" s="7" t="s">
        <v>189</v>
      </c>
      <c r="P643" s="7" t="s">
        <v>952</v>
      </c>
      <c r="Q643" s="7" t="s">
        <v>861</v>
      </c>
      <c r="R643" s="7" t="s">
        <v>689</v>
      </c>
      <c r="S643" s="7" t="s">
        <v>1369</v>
      </c>
      <c r="T643" s="7" t="s">
        <v>275</v>
      </c>
      <c r="U643" s="18" t="n">
        <v>40</v>
      </c>
      <c r="V643" s="7"/>
      <c r="W643" s="7"/>
      <c r="X643" s="7" t="s">
        <v>1658</v>
      </c>
      <c r="Y643" s="22" t="n">
        <v>9.79E-006</v>
      </c>
      <c r="Z643" s="22" t="n">
        <v>2.819E-005</v>
      </c>
      <c r="AA643" s="22" t="n">
        <v>3</v>
      </c>
      <c r="AB643" s="7" t="s">
        <v>1618</v>
      </c>
      <c r="AC643" s="7" t="s">
        <v>1655</v>
      </c>
      <c r="AD643" s="22" t="s">
        <v>197</v>
      </c>
      <c r="AE643" s="22" t="s">
        <v>197</v>
      </c>
      <c r="AF643" s="22" t="s">
        <v>197</v>
      </c>
      <c r="AG643" s="22" t="s">
        <v>197</v>
      </c>
      <c r="AH643" s="22" t="s">
        <v>197</v>
      </c>
      <c r="AI643" s="22" t="s">
        <v>197</v>
      </c>
      <c r="AJ643" s="22" t="n">
        <v>12</v>
      </c>
      <c r="AK643" s="22" t="s">
        <v>197</v>
      </c>
      <c r="AL643" s="22" t="n">
        <v>90</v>
      </c>
      <c r="AM643" s="7" t="s">
        <v>257</v>
      </c>
      <c r="AN643" s="22" t="s">
        <v>197</v>
      </c>
      <c r="AO643" s="22" t="n">
        <v>2</v>
      </c>
      <c r="AP643" s="22" t="n">
        <v>2.7</v>
      </c>
    </row>
    <row r="644" customFormat="false" ht="21.75" hidden="false" customHeight="true" outlineLevel="0" collapsed="false">
      <c r="B644" s="15" t="n">
        <v>640</v>
      </c>
      <c r="C644" s="9" t="s">
        <v>50</v>
      </c>
      <c r="D644" s="9" t="s">
        <v>23</v>
      </c>
      <c r="E644" s="9" t="s">
        <v>122</v>
      </c>
      <c r="F644" s="9" t="s">
        <v>64</v>
      </c>
      <c r="G644" s="9" t="s">
        <v>1659</v>
      </c>
      <c r="H644" s="9" t="s">
        <v>264</v>
      </c>
      <c r="I644" s="9" t="s">
        <v>1651</v>
      </c>
      <c r="J644" s="9" t="s">
        <v>1652</v>
      </c>
      <c r="K644" s="9" t="s">
        <v>1653</v>
      </c>
      <c r="L644" s="9" t="s">
        <v>1618</v>
      </c>
      <c r="M644" s="9" t="s">
        <v>1654</v>
      </c>
      <c r="N644" s="9" t="s">
        <v>519</v>
      </c>
      <c r="O644" s="9" t="s">
        <v>189</v>
      </c>
      <c r="P644" s="9" t="s">
        <v>952</v>
      </c>
      <c r="Q644" s="9" t="s">
        <v>861</v>
      </c>
      <c r="R644" s="9" t="s">
        <v>689</v>
      </c>
      <c r="S644" s="9" t="s">
        <v>1369</v>
      </c>
      <c r="T644" s="9" t="s">
        <v>275</v>
      </c>
      <c r="U644" s="19" t="n">
        <v>60</v>
      </c>
      <c r="V644" s="9"/>
      <c r="W644" s="9"/>
      <c r="X644" s="9" t="s">
        <v>203</v>
      </c>
      <c r="Y644" s="23" t="n">
        <v>2.056E-005</v>
      </c>
      <c r="Z644" s="23" t="n">
        <v>4.743E-005</v>
      </c>
      <c r="AA644" s="23" t="n">
        <v>3</v>
      </c>
      <c r="AB644" s="9" t="s">
        <v>1618</v>
      </c>
      <c r="AC644" s="9" t="s">
        <v>1655</v>
      </c>
      <c r="AD644" s="23" t="s">
        <v>197</v>
      </c>
      <c r="AE644" s="23" t="s">
        <v>197</v>
      </c>
      <c r="AF644" s="23" t="s">
        <v>197</v>
      </c>
      <c r="AG644" s="23" t="s">
        <v>197</v>
      </c>
      <c r="AH644" s="23" t="s">
        <v>197</v>
      </c>
      <c r="AI644" s="23" t="s">
        <v>197</v>
      </c>
      <c r="AJ644" s="23" t="n">
        <v>12</v>
      </c>
      <c r="AK644" s="23" t="s">
        <v>197</v>
      </c>
      <c r="AL644" s="23" t="n">
        <v>110</v>
      </c>
      <c r="AM644" s="9" t="s">
        <v>257</v>
      </c>
      <c r="AN644" s="23" t="s">
        <v>197</v>
      </c>
      <c r="AO644" s="23" t="n">
        <v>2</v>
      </c>
      <c r="AP644" s="23" t="n">
        <v>2.7</v>
      </c>
    </row>
    <row r="645" customFormat="false" ht="21.75" hidden="false" customHeight="true" outlineLevel="0" collapsed="false">
      <c r="B645" s="14" t="n">
        <v>641</v>
      </c>
      <c r="C645" s="7" t="s">
        <v>50</v>
      </c>
      <c r="D645" s="7" t="s">
        <v>23</v>
      </c>
      <c r="E645" s="7" t="s">
        <v>122</v>
      </c>
      <c r="F645" s="7" t="s">
        <v>64</v>
      </c>
      <c r="G645" s="7" t="s">
        <v>1660</v>
      </c>
      <c r="H645" s="7" t="s">
        <v>266</v>
      </c>
      <c r="I645" s="7" t="s">
        <v>1651</v>
      </c>
      <c r="J645" s="7" t="s">
        <v>1652</v>
      </c>
      <c r="K645" s="7" t="s">
        <v>1653</v>
      </c>
      <c r="L645" s="7" t="s">
        <v>1618</v>
      </c>
      <c r="M645" s="7" t="s">
        <v>1654</v>
      </c>
      <c r="N645" s="7" t="s">
        <v>519</v>
      </c>
      <c r="O645" s="7" t="s">
        <v>189</v>
      </c>
      <c r="P645" s="7" t="s">
        <v>952</v>
      </c>
      <c r="Q645" s="7" t="s">
        <v>861</v>
      </c>
      <c r="R645" s="7" t="s">
        <v>689</v>
      </c>
      <c r="S645" s="7" t="s">
        <v>1369</v>
      </c>
      <c r="T645" s="7" t="s">
        <v>275</v>
      </c>
      <c r="U645" s="18" t="n">
        <v>90</v>
      </c>
      <c r="V645" s="7"/>
      <c r="W645" s="7"/>
      <c r="X645" s="7" t="s">
        <v>205</v>
      </c>
      <c r="Y645" s="22" t="n">
        <v>1.022E-005</v>
      </c>
      <c r="Z645" s="22" t="n">
        <v>2.897E-005</v>
      </c>
      <c r="AA645" s="22" t="n">
        <v>3</v>
      </c>
      <c r="AB645" s="7" t="s">
        <v>1618</v>
      </c>
      <c r="AC645" s="7" t="s">
        <v>1655</v>
      </c>
      <c r="AD645" s="22" t="s">
        <v>197</v>
      </c>
      <c r="AE645" s="22" t="s">
        <v>197</v>
      </c>
      <c r="AF645" s="22" t="s">
        <v>197</v>
      </c>
      <c r="AG645" s="22" t="s">
        <v>197</v>
      </c>
      <c r="AH645" s="22" t="s">
        <v>197</v>
      </c>
      <c r="AI645" s="22" t="s">
        <v>197</v>
      </c>
      <c r="AJ645" s="22" t="n">
        <v>15</v>
      </c>
      <c r="AK645" s="22" t="s">
        <v>197</v>
      </c>
      <c r="AL645" s="22" t="n">
        <v>110</v>
      </c>
      <c r="AM645" s="7" t="s">
        <v>257</v>
      </c>
      <c r="AN645" s="22" t="s">
        <v>197</v>
      </c>
      <c r="AO645" s="22" t="n">
        <v>2</v>
      </c>
      <c r="AP645" s="22" t="n">
        <v>2.7</v>
      </c>
    </row>
    <row r="646" customFormat="false" ht="21.75" hidden="false" customHeight="true" outlineLevel="0" collapsed="false">
      <c r="B646" s="15" t="n">
        <v>642</v>
      </c>
      <c r="C646" s="9" t="s">
        <v>50</v>
      </c>
      <c r="D646" s="9" t="s">
        <v>23</v>
      </c>
      <c r="E646" s="9" t="s">
        <v>122</v>
      </c>
      <c r="F646" s="9" t="s">
        <v>65</v>
      </c>
      <c r="G646" s="9" t="s">
        <v>1650</v>
      </c>
      <c r="H646" s="9" t="s">
        <v>247</v>
      </c>
      <c r="I646" s="9" t="s">
        <v>1661</v>
      </c>
      <c r="J646" s="9" t="s">
        <v>1662</v>
      </c>
      <c r="K646" s="9" t="s">
        <v>1653</v>
      </c>
      <c r="L646" s="9" t="s">
        <v>1618</v>
      </c>
      <c r="M646" s="9" t="s">
        <v>1663</v>
      </c>
      <c r="N646" s="9" t="s">
        <v>1475</v>
      </c>
      <c r="O646" s="9" t="s">
        <v>998</v>
      </c>
      <c r="P646" s="9" t="s">
        <v>952</v>
      </c>
      <c r="Q646" s="9" t="s">
        <v>1664</v>
      </c>
      <c r="R646" s="9" t="s">
        <v>380</v>
      </c>
      <c r="S646" s="9" t="s">
        <v>1369</v>
      </c>
      <c r="T646" s="9" t="s">
        <v>1665</v>
      </c>
      <c r="U646" s="19" t="n">
        <v>30</v>
      </c>
      <c r="V646" s="9"/>
      <c r="W646" s="9"/>
      <c r="X646" s="9" t="s">
        <v>195</v>
      </c>
      <c r="Y646" s="23" t="n">
        <v>1.081E-005</v>
      </c>
      <c r="Z646" s="23" t="n">
        <v>3.002E-005</v>
      </c>
      <c r="AA646" s="23" t="n">
        <v>3</v>
      </c>
      <c r="AB646" s="9" t="s">
        <v>1618</v>
      </c>
      <c r="AC646" s="9" t="s">
        <v>1655</v>
      </c>
      <c r="AD646" s="23" t="s">
        <v>197</v>
      </c>
      <c r="AE646" s="23" t="s">
        <v>197</v>
      </c>
      <c r="AF646" s="23" t="s">
        <v>197</v>
      </c>
      <c r="AG646" s="23" t="s">
        <v>197</v>
      </c>
      <c r="AH646" s="23" t="s">
        <v>197</v>
      </c>
      <c r="AI646" s="23" t="s">
        <v>197</v>
      </c>
      <c r="AJ646" s="23" t="n">
        <v>8</v>
      </c>
      <c r="AK646" s="23" t="s">
        <v>197</v>
      </c>
      <c r="AL646" s="23" t="n">
        <v>90</v>
      </c>
      <c r="AM646" s="9" t="s">
        <v>257</v>
      </c>
      <c r="AN646" s="23" t="s">
        <v>197</v>
      </c>
      <c r="AO646" s="23" t="n">
        <v>2</v>
      </c>
      <c r="AP646" s="23" t="n">
        <v>2.7</v>
      </c>
    </row>
    <row r="647" customFormat="false" ht="21.75" hidden="false" customHeight="true" outlineLevel="0" collapsed="false">
      <c r="B647" s="14" t="n">
        <v>643</v>
      </c>
      <c r="C647" s="7" t="s">
        <v>50</v>
      </c>
      <c r="D647" s="7" t="s">
        <v>23</v>
      </c>
      <c r="E647" s="7" t="s">
        <v>122</v>
      </c>
      <c r="F647" s="7" t="s">
        <v>65</v>
      </c>
      <c r="G647" s="7" t="s">
        <v>1657</v>
      </c>
      <c r="H647" s="7" t="s">
        <v>259</v>
      </c>
      <c r="I647" s="7" t="s">
        <v>1661</v>
      </c>
      <c r="J647" s="7" t="s">
        <v>1662</v>
      </c>
      <c r="K647" s="7" t="s">
        <v>1653</v>
      </c>
      <c r="L647" s="7" t="s">
        <v>1618</v>
      </c>
      <c r="M647" s="7" t="s">
        <v>1663</v>
      </c>
      <c r="N647" s="7" t="s">
        <v>1475</v>
      </c>
      <c r="O647" s="7" t="s">
        <v>998</v>
      </c>
      <c r="P647" s="7" t="s">
        <v>952</v>
      </c>
      <c r="Q647" s="7" t="s">
        <v>1664</v>
      </c>
      <c r="R647" s="7" t="s">
        <v>380</v>
      </c>
      <c r="S647" s="7" t="s">
        <v>1369</v>
      </c>
      <c r="T647" s="7" t="s">
        <v>1665</v>
      </c>
      <c r="U647" s="18" t="n">
        <v>50</v>
      </c>
      <c r="V647" s="7"/>
      <c r="W647" s="7"/>
      <c r="X647" s="7" t="s">
        <v>199</v>
      </c>
      <c r="Y647" s="22" t="n">
        <v>9.79E-006</v>
      </c>
      <c r="Z647" s="22" t="n">
        <v>2.819E-005</v>
      </c>
      <c r="AA647" s="22" t="n">
        <v>3</v>
      </c>
      <c r="AB647" s="7" t="s">
        <v>1618</v>
      </c>
      <c r="AC647" s="7" t="s">
        <v>1655</v>
      </c>
      <c r="AD647" s="22" t="s">
        <v>197</v>
      </c>
      <c r="AE647" s="22" t="s">
        <v>197</v>
      </c>
      <c r="AF647" s="22" t="s">
        <v>197</v>
      </c>
      <c r="AG647" s="22" t="s">
        <v>197</v>
      </c>
      <c r="AH647" s="22" t="s">
        <v>197</v>
      </c>
      <c r="AI647" s="22" t="s">
        <v>197</v>
      </c>
      <c r="AJ647" s="22" t="n">
        <v>10</v>
      </c>
      <c r="AK647" s="22" t="s">
        <v>197</v>
      </c>
      <c r="AL647" s="22" t="n">
        <v>90</v>
      </c>
      <c r="AM647" s="7" t="s">
        <v>257</v>
      </c>
      <c r="AN647" s="22" t="s">
        <v>197</v>
      </c>
      <c r="AO647" s="22" t="n">
        <v>2</v>
      </c>
      <c r="AP647" s="22" t="n">
        <v>2.7</v>
      </c>
    </row>
    <row r="648" customFormat="false" ht="21.75" hidden="false" customHeight="true" outlineLevel="0" collapsed="false">
      <c r="B648" s="15" t="n">
        <v>644</v>
      </c>
      <c r="C648" s="9" t="s">
        <v>50</v>
      </c>
      <c r="D648" s="9" t="s">
        <v>23</v>
      </c>
      <c r="E648" s="9" t="s">
        <v>122</v>
      </c>
      <c r="F648" s="9" t="s">
        <v>65</v>
      </c>
      <c r="G648" s="9" t="s">
        <v>1659</v>
      </c>
      <c r="H648" s="9" t="s">
        <v>261</v>
      </c>
      <c r="I648" s="9" t="s">
        <v>1661</v>
      </c>
      <c r="J648" s="9" t="s">
        <v>1662</v>
      </c>
      <c r="K648" s="9" t="s">
        <v>1653</v>
      </c>
      <c r="L648" s="9" t="s">
        <v>1618</v>
      </c>
      <c r="M648" s="9" t="s">
        <v>1663</v>
      </c>
      <c r="N648" s="9" t="s">
        <v>1475</v>
      </c>
      <c r="O648" s="9" t="s">
        <v>998</v>
      </c>
      <c r="P648" s="9" t="s">
        <v>952</v>
      </c>
      <c r="Q648" s="9" t="s">
        <v>1664</v>
      </c>
      <c r="R648" s="9" t="s">
        <v>380</v>
      </c>
      <c r="S648" s="9" t="s">
        <v>1369</v>
      </c>
      <c r="T648" s="9" t="s">
        <v>1665</v>
      </c>
      <c r="U648" s="19" t="n">
        <v>65</v>
      </c>
      <c r="V648" s="9"/>
      <c r="W648" s="9"/>
      <c r="X648" s="9" t="s">
        <v>1666</v>
      </c>
      <c r="Y648" s="23" t="n">
        <v>2.056E-005</v>
      </c>
      <c r="Z648" s="23" t="n">
        <v>4.743E-005</v>
      </c>
      <c r="AA648" s="23" t="n">
        <v>3</v>
      </c>
      <c r="AB648" s="9" t="s">
        <v>1618</v>
      </c>
      <c r="AC648" s="9" t="s">
        <v>1655</v>
      </c>
      <c r="AD648" s="23" t="s">
        <v>197</v>
      </c>
      <c r="AE648" s="23" t="s">
        <v>197</v>
      </c>
      <c r="AF648" s="23" t="s">
        <v>197</v>
      </c>
      <c r="AG648" s="23" t="s">
        <v>197</v>
      </c>
      <c r="AH648" s="23" t="s">
        <v>197</v>
      </c>
      <c r="AI648" s="23" t="s">
        <v>197</v>
      </c>
      <c r="AJ648" s="23" t="n">
        <v>12</v>
      </c>
      <c r="AK648" s="23" t="s">
        <v>197</v>
      </c>
      <c r="AL648" s="23" t="n">
        <v>90</v>
      </c>
      <c r="AM648" s="9" t="s">
        <v>257</v>
      </c>
      <c r="AN648" s="23" t="s">
        <v>197</v>
      </c>
      <c r="AO648" s="23" t="n">
        <v>2</v>
      </c>
      <c r="AP648" s="23" t="n">
        <v>2.7</v>
      </c>
    </row>
    <row r="649" customFormat="false" ht="21.75" hidden="false" customHeight="true" outlineLevel="0" collapsed="false">
      <c r="B649" s="14" t="n">
        <v>645</v>
      </c>
      <c r="C649" s="7" t="s">
        <v>50</v>
      </c>
      <c r="D649" s="7" t="s">
        <v>23</v>
      </c>
      <c r="E649" s="7" t="s">
        <v>122</v>
      </c>
      <c r="F649" s="7" t="s">
        <v>65</v>
      </c>
      <c r="G649" s="7" t="s">
        <v>1660</v>
      </c>
      <c r="H649" s="7" t="s">
        <v>281</v>
      </c>
      <c r="I649" s="7" t="s">
        <v>1661</v>
      </c>
      <c r="J649" s="7" t="s">
        <v>1662</v>
      </c>
      <c r="K649" s="7" t="s">
        <v>1653</v>
      </c>
      <c r="L649" s="7" t="s">
        <v>1618</v>
      </c>
      <c r="M649" s="7" t="s">
        <v>1663</v>
      </c>
      <c r="N649" s="7" t="s">
        <v>1475</v>
      </c>
      <c r="O649" s="7" t="s">
        <v>998</v>
      </c>
      <c r="P649" s="7" t="s">
        <v>952</v>
      </c>
      <c r="Q649" s="7" t="s">
        <v>1664</v>
      </c>
      <c r="R649" s="7" t="s">
        <v>380</v>
      </c>
      <c r="S649" s="7" t="s">
        <v>1369</v>
      </c>
      <c r="T649" s="7" t="s">
        <v>1665</v>
      </c>
      <c r="U649" s="18" t="n">
        <v>100</v>
      </c>
      <c r="V649" s="7"/>
      <c r="W649" s="7"/>
      <c r="X649" s="7" t="s">
        <v>203</v>
      </c>
      <c r="Y649" s="22" t="n">
        <v>1.022E-005</v>
      </c>
      <c r="Z649" s="22" t="n">
        <v>2.897E-005</v>
      </c>
      <c r="AA649" s="22" t="n">
        <v>3</v>
      </c>
      <c r="AB649" s="7" t="s">
        <v>1618</v>
      </c>
      <c r="AC649" s="7" t="s">
        <v>1655</v>
      </c>
      <c r="AD649" s="22" t="s">
        <v>197</v>
      </c>
      <c r="AE649" s="22" t="s">
        <v>197</v>
      </c>
      <c r="AF649" s="22" t="s">
        <v>197</v>
      </c>
      <c r="AG649" s="22" t="s">
        <v>197</v>
      </c>
      <c r="AH649" s="22" t="s">
        <v>197</v>
      </c>
      <c r="AI649" s="22" t="s">
        <v>197</v>
      </c>
      <c r="AJ649" s="22" t="n">
        <v>12</v>
      </c>
      <c r="AK649" s="22" t="s">
        <v>197</v>
      </c>
      <c r="AL649" s="22" t="n">
        <v>90</v>
      </c>
      <c r="AM649" s="7" t="s">
        <v>257</v>
      </c>
      <c r="AN649" s="22" t="s">
        <v>197</v>
      </c>
      <c r="AO649" s="22" t="n">
        <v>2</v>
      </c>
      <c r="AP649" s="22" t="n">
        <v>2.7</v>
      </c>
    </row>
    <row r="650" customFormat="false" ht="21.75" hidden="false" customHeight="true" outlineLevel="0" collapsed="false">
      <c r="B650" s="15" t="n">
        <v>646</v>
      </c>
      <c r="C650" s="9" t="s">
        <v>50</v>
      </c>
      <c r="D650" s="9" t="s">
        <v>23</v>
      </c>
      <c r="E650" s="9" t="s">
        <v>122</v>
      </c>
      <c r="F650" s="9" t="s">
        <v>65</v>
      </c>
      <c r="G650" s="9" t="s">
        <v>1667</v>
      </c>
      <c r="H650" s="9" t="s">
        <v>283</v>
      </c>
      <c r="I650" s="9" t="s">
        <v>1661</v>
      </c>
      <c r="J650" s="9" t="s">
        <v>1662</v>
      </c>
      <c r="K650" s="9" t="s">
        <v>1653</v>
      </c>
      <c r="L650" s="9" t="s">
        <v>1618</v>
      </c>
      <c r="M650" s="9" t="s">
        <v>1663</v>
      </c>
      <c r="N650" s="9" t="s">
        <v>1475</v>
      </c>
      <c r="O650" s="9" t="s">
        <v>998</v>
      </c>
      <c r="P650" s="9" t="s">
        <v>952</v>
      </c>
      <c r="Q650" s="9" t="s">
        <v>1664</v>
      </c>
      <c r="R650" s="9" t="s">
        <v>380</v>
      </c>
      <c r="S650" s="9" t="s">
        <v>1369</v>
      </c>
      <c r="T650" s="9" t="s">
        <v>1665</v>
      </c>
      <c r="U650" s="19" t="n">
        <v>145</v>
      </c>
      <c r="V650" s="9"/>
      <c r="W650" s="9"/>
      <c r="X650" s="9" t="s">
        <v>205</v>
      </c>
      <c r="Y650" s="23" t="n">
        <v>1.661E-005</v>
      </c>
      <c r="Z650" s="23" t="n">
        <v>4.038E-005</v>
      </c>
      <c r="AA650" s="23" t="n">
        <v>3</v>
      </c>
      <c r="AB650" s="9" t="s">
        <v>1618</v>
      </c>
      <c r="AC650" s="9" t="s">
        <v>1655</v>
      </c>
      <c r="AD650" s="23" t="s">
        <v>197</v>
      </c>
      <c r="AE650" s="23" t="s">
        <v>197</v>
      </c>
      <c r="AF650" s="23" t="s">
        <v>197</v>
      </c>
      <c r="AG650" s="23" t="s">
        <v>197</v>
      </c>
      <c r="AH650" s="23" t="s">
        <v>197</v>
      </c>
      <c r="AI650" s="23" t="s">
        <v>197</v>
      </c>
      <c r="AJ650" s="23" t="n">
        <v>15</v>
      </c>
      <c r="AK650" s="23" t="s">
        <v>197</v>
      </c>
      <c r="AL650" s="23" t="n">
        <v>90</v>
      </c>
      <c r="AM650" s="9" t="s">
        <v>257</v>
      </c>
      <c r="AN650" s="23" t="s">
        <v>197</v>
      </c>
      <c r="AO650" s="23" t="n">
        <v>2</v>
      </c>
      <c r="AP650" s="23" t="n">
        <v>2.7</v>
      </c>
    </row>
    <row r="651" customFormat="false" ht="21.75" hidden="false" customHeight="true" outlineLevel="0" collapsed="false">
      <c r="B651" s="14" t="n">
        <v>647</v>
      </c>
      <c r="C651" s="7" t="s">
        <v>50</v>
      </c>
      <c r="D651" s="7" t="s">
        <v>23</v>
      </c>
      <c r="E651" s="7" t="s">
        <v>122</v>
      </c>
      <c r="F651" s="7" t="s">
        <v>66</v>
      </c>
      <c r="G651" s="7" t="s">
        <v>1668</v>
      </c>
      <c r="H651" s="7" t="s">
        <v>285</v>
      </c>
      <c r="I651" s="7" t="s">
        <v>1669</v>
      </c>
      <c r="J651" s="7" t="s">
        <v>1670</v>
      </c>
      <c r="K651" s="7" t="s">
        <v>1653</v>
      </c>
      <c r="L651" s="7" t="s">
        <v>1618</v>
      </c>
      <c r="M651" s="7" t="s">
        <v>1663</v>
      </c>
      <c r="N651" s="7" t="s">
        <v>1671</v>
      </c>
      <c r="O651" s="7" t="s">
        <v>998</v>
      </c>
      <c r="P651" s="7" t="s">
        <v>952</v>
      </c>
      <c r="Q651" s="7" t="s">
        <v>1672</v>
      </c>
      <c r="R651" s="7" t="s">
        <v>1673</v>
      </c>
      <c r="S651" s="7" t="s">
        <v>1369</v>
      </c>
      <c r="T651" s="7" t="s">
        <v>1001</v>
      </c>
      <c r="U651" s="18" t="n">
        <v>35</v>
      </c>
      <c r="V651" s="7"/>
      <c r="W651" s="7"/>
      <c r="X651" s="7" t="s">
        <v>195</v>
      </c>
      <c r="Y651" s="22" t="n">
        <v>0.02</v>
      </c>
      <c r="Z651" s="22" t="n">
        <v>0.03</v>
      </c>
      <c r="AA651" s="22" t="n">
        <v>12</v>
      </c>
      <c r="AB651" s="7" t="s">
        <v>1618</v>
      </c>
      <c r="AC651" s="7" t="s">
        <v>1655</v>
      </c>
      <c r="AD651" s="22" t="s">
        <v>197</v>
      </c>
      <c r="AE651" s="22" t="s">
        <v>197</v>
      </c>
      <c r="AF651" s="22" t="s">
        <v>197</v>
      </c>
      <c r="AG651" s="22" t="s">
        <v>197</v>
      </c>
      <c r="AH651" s="22" t="s">
        <v>197</v>
      </c>
      <c r="AI651" s="22" t="s">
        <v>197</v>
      </c>
      <c r="AJ651" s="22" t="s">
        <v>197</v>
      </c>
      <c r="AK651" s="22" t="n">
        <v>10</v>
      </c>
      <c r="AL651" s="22" t="n">
        <v>90</v>
      </c>
      <c r="AM651" s="7" t="s">
        <v>292</v>
      </c>
      <c r="AN651" s="22" t="s">
        <v>197</v>
      </c>
      <c r="AO651" s="22" t="n">
        <v>2</v>
      </c>
      <c r="AP651" s="22" t="n">
        <v>3</v>
      </c>
    </row>
    <row r="652" customFormat="false" ht="21.75" hidden="false" customHeight="true" outlineLevel="0" collapsed="false">
      <c r="B652" s="15" t="n">
        <v>648</v>
      </c>
      <c r="C652" s="9" t="s">
        <v>50</v>
      </c>
      <c r="D652" s="9" t="s">
        <v>23</v>
      </c>
      <c r="E652" s="9" t="s">
        <v>122</v>
      </c>
      <c r="F652" s="9" t="s">
        <v>66</v>
      </c>
      <c r="G652" s="9" t="s">
        <v>1674</v>
      </c>
      <c r="H652" s="9" t="s">
        <v>294</v>
      </c>
      <c r="I652" s="9" t="s">
        <v>1669</v>
      </c>
      <c r="J652" s="9" t="s">
        <v>1670</v>
      </c>
      <c r="K652" s="9" t="s">
        <v>1653</v>
      </c>
      <c r="L652" s="9" t="s">
        <v>1618</v>
      </c>
      <c r="M652" s="9" t="s">
        <v>1663</v>
      </c>
      <c r="N652" s="9" t="s">
        <v>1671</v>
      </c>
      <c r="O652" s="9" t="s">
        <v>998</v>
      </c>
      <c r="P652" s="9" t="s">
        <v>952</v>
      </c>
      <c r="Q652" s="9" t="s">
        <v>1672</v>
      </c>
      <c r="R652" s="9" t="s">
        <v>1673</v>
      </c>
      <c r="S652" s="9" t="s">
        <v>1369</v>
      </c>
      <c r="T652" s="9" t="s">
        <v>1001</v>
      </c>
      <c r="U652" s="19" t="n">
        <v>55</v>
      </c>
      <c r="V652" s="9"/>
      <c r="W652" s="9"/>
      <c r="X652" s="9" t="s">
        <v>199</v>
      </c>
      <c r="Y652" s="23" t="n">
        <v>0.028</v>
      </c>
      <c r="Z652" s="23" t="n">
        <v>0.038</v>
      </c>
      <c r="AA652" s="23" t="n">
        <v>12</v>
      </c>
      <c r="AB652" s="9" t="s">
        <v>1618</v>
      </c>
      <c r="AC652" s="9" t="s">
        <v>1655</v>
      </c>
      <c r="AD652" s="23" t="s">
        <v>197</v>
      </c>
      <c r="AE652" s="23" t="s">
        <v>197</v>
      </c>
      <c r="AF652" s="23" t="s">
        <v>197</v>
      </c>
      <c r="AG652" s="23" t="s">
        <v>197</v>
      </c>
      <c r="AH652" s="23" t="s">
        <v>197</v>
      </c>
      <c r="AI652" s="23" t="s">
        <v>197</v>
      </c>
      <c r="AJ652" s="23" t="s">
        <v>197</v>
      </c>
      <c r="AK652" s="23" t="n">
        <v>12</v>
      </c>
      <c r="AL652" s="23" t="n">
        <v>90</v>
      </c>
      <c r="AM652" s="9" t="s">
        <v>292</v>
      </c>
      <c r="AN652" s="23" t="s">
        <v>197</v>
      </c>
      <c r="AO652" s="23" t="n">
        <v>2</v>
      </c>
      <c r="AP652" s="23" t="n">
        <v>3</v>
      </c>
    </row>
    <row r="653" customFormat="false" ht="21.75" hidden="false" customHeight="true" outlineLevel="0" collapsed="false">
      <c r="B653" s="14" t="n">
        <v>649</v>
      </c>
      <c r="C653" s="7" t="s">
        <v>50</v>
      </c>
      <c r="D653" s="7" t="s">
        <v>23</v>
      </c>
      <c r="E653" s="7" t="s">
        <v>122</v>
      </c>
      <c r="F653" s="7" t="s">
        <v>66</v>
      </c>
      <c r="G653" s="7" t="s">
        <v>1675</v>
      </c>
      <c r="H653" s="7" t="s">
        <v>296</v>
      </c>
      <c r="I653" s="7" t="s">
        <v>1669</v>
      </c>
      <c r="J653" s="7" t="s">
        <v>1670</v>
      </c>
      <c r="K653" s="7" t="s">
        <v>1653</v>
      </c>
      <c r="L653" s="7" t="s">
        <v>1618</v>
      </c>
      <c r="M653" s="7" t="s">
        <v>1663</v>
      </c>
      <c r="N653" s="7" t="s">
        <v>1671</v>
      </c>
      <c r="O653" s="7" t="s">
        <v>998</v>
      </c>
      <c r="P653" s="7" t="s">
        <v>952</v>
      </c>
      <c r="Q653" s="7" t="s">
        <v>1672</v>
      </c>
      <c r="R653" s="7" t="s">
        <v>1673</v>
      </c>
      <c r="S653" s="7" t="s">
        <v>1369</v>
      </c>
      <c r="T653" s="7" t="s">
        <v>1001</v>
      </c>
      <c r="U653" s="18" t="n">
        <v>75</v>
      </c>
      <c r="V653" s="7"/>
      <c r="W653" s="7"/>
      <c r="X653" s="7" t="s">
        <v>1676</v>
      </c>
      <c r="Y653" s="22" t="n">
        <v>0.016</v>
      </c>
      <c r="Z653" s="22" t="n">
        <v>0.026</v>
      </c>
      <c r="AA653" s="22" t="n">
        <v>12</v>
      </c>
      <c r="AB653" s="7" t="s">
        <v>1618</v>
      </c>
      <c r="AC653" s="7" t="s">
        <v>1655</v>
      </c>
      <c r="AD653" s="22" t="s">
        <v>197</v>
      </c>
      <c r="AE653" s="22" t="s">
        <v>197</v>
      </c>
      <c r="AF653" s="22" t="s">
        <v>197</v>
      </c>
      <c r="AG653" s="22" t="s">
        <v>197</v>
      </c>
      <c r="AH653" s="22" t="s">
        <v>197</v>
      </c>
      <c r="AI653" s="22" t="s">
        <v>197</v>
      </c>
      <c r="AJ653" s="22" t="s">
        <v>197</v>
      </c>
      <c r="AK653" s="22" t="n">
        <v>12</v>
      </c>
      <c r="AL653" s="22" t="n">
        <v>90</v>
      </c>
      <c r="AM653" s="7" t="s">
        <v>292</v>
      </c>
      <c r="AN653" s="22" t="s">
        <v>197</v>
      </c>
      <c r="AO653" s="22" t="n">
        <v>2</v>
      </c>
      <c r="AP653" s="22" t="n">
        <v>3</v>
      </c>
    </row>
    <row r="654" customFormat="false" ht="21.75" hidden="false" customHeight="true" outlineLevel="0" collapsed="false">
      <c r="B654" s="15" t="n">
        <v>650</v>
      </c>
      <c r="C654" s="9" t="s">
        <v>50</v>
      </c>
      <c r="D654" s="9" t="s">
        <v>23</v>
      </c>
      <c r="E654" s="9" t="s">
        <v>122</v>
      </c>
      <c r="F654" s="9" t="s">
        <v>66</v>
      </c>
      <c r="G654" s="9" t="s">
        <v>1677</v>
      </c>
      <c r="H654" s="9" t="s">
        <v>299</v>
      </c>
      <c r="I654" s="9" t="s">
        <v>1669</v>
      </c>
      <c r="J654" s="9" t="s">
        <v>1670</v>
      </c>
      <c r="K654" s="9" t="s">
        <v>1653</v>
      </c>
      <c r="L654" s="9" t="s">
        <v>1618</v>
      </c>
      <c r="M654" s="9" t="s">
        <v>1663</v>
      </c>
      <c r="N654" s="9" t="s">
        <v>1671</v>
      </c>
      <c r="O654" s="9" t="s">
        <v>998</v>
      </c>
      <c r="P654" s="9" t="s">
        <v>952</v>
      </c>
      <c r="Q654" s="9" t="s">
        <v>1672</v>
      </c>
      <c r="R654" s="9" t="s">
        <v>1673</v>
      </c>
      <c r="S654" s="9" t="s">
        <v>1369</v>
      </c>
      <c r="T654" s="9" t="s">
        <v>1001</v>
      </c>
      <c r="U654" s="19" t="n">
        <v>110</v>
      </c>
      <c r="V654" s="9"/>
      <c r="W654" s="9"/>
      <c r="X654" s="9" t="s">
        <v>203</v>
      </c>
      <c r="Y654" s="23" t="n">
        <v>0.021</v>
      </c>
      <c r="Z654" s="23" t="n">
        <v>0.031</v>
      </c>
      <c r="AA654" s="23" t="n">
        <v>12</v>
      </c>
      <c r="AB654" s="9" t="s">
        <v>1618</v>
      </c>
      <c r="AC654" s="9" t="s">
        <v>1655</v>
      </c>
      <c r="AD654" s="23" t="s">
        <v>197</v>
      </c>
      <c r="AE654" s="23" t="s">
        <v>197</v>
      </c>
      <c r="AF654" s="23" t="s">
        <v>197</v>
      </c>
      <c r="AG654" s="23" t="s">
        <v>197</v>
      </c>
      <c r="AH654" s="23" t="s">
        <v>197</v>
      </c>
      <c r="AI654" s="23" t="s">
        <v>197</v>
      </c>
      <c r="AJ654" s="23" t="s">
        <v>197</v>
      </c>
      <c r="AK654" s="23" t="n">
        <v>15</v>
      </c>
      <c r="AL654" s="23" t="n">
        <v>90</v>
      </c>
      <c r="AM654" s="9" t="s">
        <v>292</v>
      </c>
      <c r="AN654" s="23" t="s">
        <v>197</v>
      </c>
      <c r="AO654" s="23" t="n">
        <v>2</v>
      </c>
      <c r="AP654" s="23" t="n">
        <v>3</v>
      </c>
    </row>
    <row r="655" customFormat="false" ht="21.75" hidden="false" customHeight="true" outlineLevel="0" collapsed="false">
      <c r="B655" s="14" t="n">
        <v>651</v>
      </c>
      <c r="C655" s="7" t="s">
        <v>50</v>
      </c>
      <c r="D655" s="7" t="s">
        <v>23</v>
      </c>
      <c r="E655" s="7" t="s">
        <v>122</v>
      </c>
      <c r="F655" s="7" t="s">
        <v>66</v>
      </c>
      <c r="G655" s="7" t="s">
        <v>1678</v>
      </c>
      <c r="H655" s="7" t="s">
        <v>301</v>
      </c>
      <c r="I655" s="7" t="s">
        <v>1669</v>
      </c>
      <c r="J655" s="7" t="s">
        <v>1670</v>
      </c>
      <c r="K655" s="7" t="s">
        <v>1653</v>
      </c>
      <c r="L655" s="7" t="s">
        <v>1618</v>
      </c>
      <c r="M655" s="7" t="s">
        <v>1663</v>
      </c>
      <c r="N655" s="7" t="s">
        <v>1671</v>
      </c>
      <c r="O655" s="7" t="s">
        <v>998</v>
      </c>
      <c r="P655" s="7" t="s">
        <v>952</v>
      </c>
      <c r="Q655" s="7" t="s">
        <v>1672</v>
      </c>
      <c r="R655" s="7" t="s">
        <v>1673</v>
      </c>
      <c r="S655" s="7" t="s">
        <v>1369</v>
      </c>
      <c r="T655" s="7" t="s">
        <v>1001</v>
      </c>
      <c r="U655" s="18" t="n">
        <v>165</v>
      </c>
      <c r="V655" s="7"/>
      <c r="W655" s="7"/>
      <c r="X655" s="7" t="s">
        <v>205</v>
      </c>
      <c r="Y655" s="22" t="n">
        <v>0.029</v>
      </c>
      <c r="Z655" s="22" t="n">
        <v>0.039</v>
      </c>
      <c r="AA655" s="22" t="n">
        <v>12</v>
      </c>
      <c r="AB655" s="7" t="s">
        <v>1618</v>
      </c>
      <c r="AC655" s="7" t="s">
        <v>1655</v>
      </c>
      <c r="AD655" s="22" t="s">
        <v>197</v>
      </c>
      <c r="AE655" s="22" t="s">
        <v>197</v>
      </c>
      <c r="AF655" s="22" t="s">
        <v>197</v>
      </c>
      <c r="AG655" s="22" t="s">
        <v>197</v>
      </c>
      <c r="AH655" s="22" t="s">
        <v>197</v>
      </c>
      <c r="AI655" s="22" t="s">
        <v>197</v>
      </c>
      <c r="AJ655" s="22" t="s">
        <v>197</v>
      </c>
      <c r="AK655" s="22" t="n">
        <v>20</v>
      </c>
      <c r="AL655" s="22" t="n">
        <v>90</v>
      </c>
      <c r="AM655" s="7" t="s">
        <v>292</v>
      </c>
      <c r="AN655" s="22" t="s">
        <v>197</v>
      </c>
      <c r="AO655" s="22" t="n">
        <v>2</v>
      </c>
      <c r="AP655" s="22" t="n">
        <v>3</v>
      </c>
    </row>
    <row r="656" customFormat="false" ht="21.75" hidden="false" customHeight="true" outlineLevel="0" collapsed="false">
      <c r="B656" s="15" t="n">
        <v>652</v>
      </c>
      <c r="C656" s="9" t="s">
        <v>50</v>
      </c>
      <c r="D656" s="9" t="s">
        <v>23</v>
      </c>
      <c r="E656" s="9" t="s">
        <v>122</v>
      </c>
      <c r="F656" s="9" t="s">
        <v>67</v>
      </c>
      <c r="G656" s="9" t="s">
        <v>1679</v>
      </c>
      <c r="H656" s="9" t="s">
        <v>303</v>
      </c>
      <c r="I656" s="9" t="s">
        <v>1680</v>
      </c>
      <c r="J656" s="9" t="s">
        <v>1300</v>
      </c>
      <c r="K656" s="9" t="s">
        <v>1653</v>
      </c>
      <c r="L656" s="9" t="s">
        <v>1618</v>
      </c>
      <c r="M656" s="9" t="s">
        <v>1681</v>
      </c>
      <c r="N656" s="9" t="s">
        <v>1682</v>
      </c>
      <c r="O656" s="9" t="s">
        <v>189</v>
      </c>
      <c r="P656" s="9" t="s">
        <v>952</v>
      </c>
      <c r="Q656" s="9" t="s">
        <v>882</v>
      </c>
      <c r="R656" s="9" t="s">
        <v>883</v>
      </c>
      <c r="S656" s="9" t="s">
        <v>1369</v>
      </c>
      <c r="T656" s="9" t="s">
        <v>309</v>
      </c>
      <c r="U656" s="19" t="n">
        <v>16</v>
      </c>
      <c r="V656" s="9"/>
      <c r="W656" s="9"/>
      <c r="X656" s="9" t="s">
        <v>195</v>
      </c>
      <c r="Y656" s="23" t="n">
        <v>0</v>
      </c>
      <c r="Z656" s="23" t="n">
        <v>0</v>
      </c>
      <c r="AA656" s="23" t="s">
        <v>197</v>
      </c>
      <c r="AB656" s="9" t="s">
        <v>1618</v>
      </c>
      <c r="AC656" s="9" t="s">
        <v>1683</v>
      </c>
      <c r="AD656" s="23" t="s">
        <v>197</v>
      </c>
      <c r="AE656" s="23" t="s">
        <v>197</v>
      </c>
      <c r="AF656" s="23" t="s">
        <v>197</v>
      </c>
      <c r="AG656" s="23" t="s">
        <v>197</v>
      </c>
      <c r="AH656" s="23" t="s">
        <v>197</v>
      </c>
      <c r="AI656" s="23" t="s">
        <v>197</v>
      </c>
      <c r="AJ656" s="23" t="s">
        <v>197</v>
      </c>
      <c r="AK656" s="23" t="s">
        <v>197</v>
      </c>
      <c r="AL656" s="23" t="s">
        <v>197</v>
      </c>
      <c r="AM656" s="9" t="s">
        <v>310</v>
      </c>
      <c r="AN656" s="23" t="s">
        <v>197</v>
      </c>
      <c r="AO656" s="23" t="s">
        <v>197</v>
      </c>
      <c r="AP656" s="23" t="s">
        <v>197</v>
      </c>
    </row>
    <row r="657" customFormat="false" ht="21.75" hidden="false" customHeight="true" outlineLevel="0" collapsed="false">
      <c r="B657" s="14" t="n">
        <v>653</v>
      </c>
      <c r="C657" s="7" t="s">
        <v>50</v>
      </c>
      <c r="D657" s="7" t="s">
        <v>23</v>
      </c>
      <c r="E657" s="7" t="s">
        <v>122</v>
      </c>
      <c r="F657" s="7" t="s">
        <v>67</v>
      </c>
      <c r="G657" s="7" t="s">
        <v>1684</v>
      </c>
      <c r="H657" s="7" t="s">
        <v>312</v>
      </c>
      <c r="I657" s="7" t="s">
        <v>1680</v>
      </c>
      <c r="J657" s="7" t="s">
        <v>1300</v>
      </c>
      <c r="K657" s="7" t="s">
        <v>1653</v>
      </c>
      <c r="L657" s="7" t="s">
        <v>1618</v>
      </c>
      <c r="M657" s="7" t="s">
        <v>1681</v>
      </c>
      <c r="N657" s="7" t="s">
        <v>1682</v>
      </c>
      <c r="O657" s="7" t="s">
        <v>189</v>
      </c>
      <c r="P657" s="7" t="s">
        <v>952</v>
      </c>
      <c r="Q657" s="7" t="s">
        <v>882</v>
      </c>
      <c r="R657" s="7" t="s">
        <v>883</v>
      </c>
      <c r="S657" s="7" t="s">
        <v>1369</v>
      </c>
      <c r="T657" s="7" t="s">
        <v>309</v>
      </c>
      <c r="U657" s="18" t="n">
        <v>20</v>
      </c>
      <c r="V657" s="7"/>
      <c r="W657" s="7"/>
      <c r="X657" s="7" t="s">
        <v>199</v>
      </c>
      <c r="Y657" s="22" t="n">
        <v>0</v>
      </c>
      <c r="Z657" s="22" t="n">
        <v>0</v>
      </c>
      <c r="AA657" s="22" t="s">
        <v>197</v>
      </c>
      <c r="AB657" s="7" t="s">
        <v>1618</v>
      </c>
      <c r="AC657" s="7" t="s">
        <v>1683</v>
      </c>
      <c r="AD657" s="22" t="s">
        <v>197</v>
      </c>
      <c r="AE657" s="22" t="s">
        <v>197</v>
      </c>
      <c r="AF657" s="22" t="s">
        <v>197</v>
      </c>
      <c r="AG657" s="22" t="s">
        <v>197</v>
      </c>
      <c r="AH657" s="22" t="s">
        <v>197</v>
      </c>
      <c r="AI657" s="22" t="s">
        <v>197</v>
      </c>
      <c r="AJ657" s="22" t="s">
        <v>197</v>
      </c>
      <c r="AK657" s="22" t="s">
        <v>197</v>
      </c>
      <c r="AL657" s="22" t="s">
        <v>197</v>
      </c>
      <c r="AM657" s="7" t="s">
        <v>310</v>
      </c>
      <c r="AN657" s="22" t="s">
        <v>197</v>
      </c>
      <c r="AO657" s="22" t="s">
        <v>197</v>
      </c>
      <c r="AP657" s="22" t="s">
        <v>197</v>
      </c>
    </row>
    <row r="658" customFormat="false" ht="21.75" hidden="false" customHeight="true" outlineLevel="0" collapsed="false">
      <c r="B658" s="15" t="n">
        <v>654</v>
      </c>
      <c r="C658" s="9" t="s">
        <v>50</v>
      </c>
      <c r="D658" s="9" t="s">
        <v>23</v>
      </c>
      <c r="E658" s="9" t="s">
        <v>122</v>
      </c>
      <c r="F658" s="9" t="s">
        <v>67</v>
      </c>
      <c r="G658" s="9" t="s">
        <v>1685</v>
      </c>
      <c r="H658" s="9" t="s">
        <v>314</v>
      </c>
      <c r="I658" s="9" t="s">
        <v>1680</v>
      </c>
      <c r="J658" s="9" t="s">
        <v>1300</v>
      </c>
      <c r="K658" s="9" t="s">
        <v>1653</v>
      </c>
      <c r="L658" s="9" t="s">
        <v>1618</v>
      </c>
      <c r="M658" s="9" t="s">
        <v>1681</v>
      </c>
      <c r="N658" s="9" t="s">
        <v>1682</v>
      </c>
      <c r="O658" s="9" t="s">
        <v>189</v>
      </c>
      <c r="P658" s="9" t="s">
        <v>952</v>
      </c>
      <c r="Q658" s="9" t="s">
        <v>882</v>
      </c>
      <c r="R658" s="9" t="s">
        <v>883</v>
      </c>
      <c r="S658" s="9" t="s">
        <v>1369</v>
      </c>
      <c r="T658" s="9" t="s">
        <v>309</v>
      </c>
      <c r="U658" s="19" t="n">
        <v>30</v>
      </c>
      <c r="V658" s="9"/>
      <c r="W658" s="9"/>
      <c r="X658" s="9" t="s">
        <v>728</v>
      </c>
      <c r="Y658" s="23" t="n">
        <v>0</v>
      </c>
      <c r="Z658" s="23" t="n">
        <v>0</v>
      </c>
      <c r="AA658" s="23" t="s">
        <v>197</v>
      </c>
      <c r="AB658" s="9" t="s">
        <v>1618</v>
      </c>
      <c r="AC658" s="9" t="s">
        <v>1683</v>
      </c>
      <c r="AD658" s="23" t="s">
        <v>197</v>
      </c>
      <c r="AE658" s="23" t="s">
        <v>197</v>
      </c>
      <c r="AF658" s="23" t="s">
        <v>197</v>
      </c>
      <c r="AG658" s="23" t="s">
        <v>197</v>
      </c>
      <c r="AH658" s="23" t="s">
        <v>197</v>
      </c>
      <c r="AI658" s="23" t="s">
        <v>197</v>
      </c>
      <c r="AJ658" s="23" t="s">
        <v>197</v>
      </c>
      <c r="AK658" s="23" t="s">
        <v>197</v>
      </c>
      <c r="AL658" s="23" t="s">
        <v>197</v>
      </c>
      <c r="AM658" s="9" t="s">
        <v>310</v>
      </c>
      <c r="AN658" s="23" t="s">
        <v>197</v>
      </c>
      <c r="AO658" s="23" t="s">
        <v>197</v>
      </c>
      <c r="AP658" s="23" t="s">
        <v>197</v>
      </c>
    </row>
    <row r="659" customFormat="false" ht="21.75" hidden="false" customHeight="true" outlineLevel="0" collapsed="false">
      <c r="B659" s="14" t="n">
        <v>655</v>
      </c>
      <c r="C659" s="7" t="s">
        <v>50</v>
      </c>
      <c r="D659" s="7" t="s">
        <v>23</v>
      </c>
      <c r="E659" s="7" t="s">
        <v>122</v>
      </c>
      <c r="F659" s="7" t="s">
        <v>67</v>
      </c>
      <c r="G659" s="7" t="s">
        <v>1686</v>
      </c>
      <c r="H659" s="7" t="s">
        <v>317</v>
      </c>
      <c r="I659" s="7" t="s">
        <v>1680</v>
      </c>
      <c r="J659" s="7" t="s">
        <v>1300</v>
      </c>
      <c r="K659" s="7" t="s">
        <v>1653</v>
      </c>
      <c r="L659" s="7" t="s">
        <v>1618</v>
      </c>
      <c r="M659" s="7" t="s">
        <v>1681</v>
      </c>
      <c r="N659" s="7" t="s">
        <v>1682</v>
      </c>
      <c r="O659" s="7" t="s">
        <v>189</v>
      </c>
      <c r="P659" s="7" t="s">
        <v>952</v>
      </c>
      <c r="Q659" s="7" t="s">
        <v>882</v>
      </c>
      <c r="R659" s="7" t="s">
        <v>883</v>
      </c>
      <c r="S659" s="7" t="s">
        <v>1369</v>
      </c>
      <c r="T659" s="7" t="s">
        <v>309</v>
      </c>
      <c r="U659" s="18" t="n">
        <v>45</v>
      </c>
      <c r="V659" s="7"/>
      <c r="W659" s="7"/>
      <c r="X659" s="7" t="s">
        <v>203</v>
      </c>
      <c r="Y659" s="22" t="n">
        <v>0</v>
      </c>
      <c r="Z659" s="22" t="n">
        <v>0</v>
      </c>
      <c r="AA659" s="22" t="s">
        <v>197</v>
      </c>
      <c r="AB659" s="7" t="s">
        <v>1618</v>
      </c>
      <c r="AC659" s="7" t="s">
        <v>1683</v>
      </c>
      <c r="AD659" s="22" t="s">
        <v>197</v>
      </c>
      <c r="AE659" s="22" t="s">
        <v>197</v>
      </c>
      <c r="AF659" s="22" t="s">
        <v>197</v>
      </c>
      <c r="AG659" s="22" t="s">
        <v>197</v>
      </c>
      <c r="AH659" s="22" t="s">
        <v>197</v>
      </c>
      <c r="AI659" s="22" t="s">
        <v>197</v>
      </c>
      <c r="AJ659" s="22" t="s">
        <v>197</v>
      </c>
      <c r="AK659" s="22" t="s">
        <v>197</v>
      </c>
      <c r="AL659" s="22" t="s">
        <v>197</v>
      </c>
      <c r="AM659" s="7" t="s">
        <v>310</v>
      </c>
      <c r="AN659" s="22" t="s">
        <v>197</v>
      </c>
      <c r="AO659" s="22" t="s">
        <v>197</v>
      </c>
      <c r="AP659" s="22" t="s">
        <v>197</v>
      </c>
    </row>
    <row r="660" customFormat="false" ht="21.75" hidden="false" customHeight="true" outlineLevel="0" collapsed="false">
      <c r="B660" s="15" t="n">
        <v>656</v>
      </c>
      <c r="C660" s="9" t="s">
        <v>50</v>
      </c>
      <c r="D660" s="9" t="s">
        <v>23</v>
      </c>
      <c r="E660" s="9" t="s">
        <v>122</v>
      </c>
      <c r="F660" s="9" t="s">
        <v>67</v>
      </c>
      <c r="G660" s="9" t="s">
        <v>1687</v>
      </c>
      <c r="H660" s="9" t="s">
        <v>319</v>
      </c>
      <c r="I660" s="9" t="s">
        <v>1680</v>
      </c>
      <c r="J660" s="9" t="s">
        <v>1300</v>
      </c>
      <c r="K660" s="9" t="s">
        <v>1653</v>
      </c>
      <c r="L660" s="9" t="s">
        <v>1618</v>
      </c>
      <c r="M660" s="9" t="s">
        <v>1681</v>
      </c>
      <c r="N660" s="9" t="s">
        <v>1682</v>
      </c>
      <c r="O660" s="9" t="s">
        <v>189</v>
      </c>
      <c r="P660" s="9" t="s">
        <v>952</v>
      </c>
      <c r="Q660" s="9" t="s">
        <v>882</v>
      </c>
      <c r="R660" s="9" t="s">
        <v>883</v>
      </c>
      <c r="S660" s="9" t="s">
        <v>1369</v>
      </c>
      <c r="T660" s="9" t="s">
        <v>309</v>
      </c>
      <c r="U660" s="19" t="n">
        <v>70</v>
      </c>
      <c r="V660" s="9"/>
      <c r="W660" s="9"/>
      <c r="X660" s="9" t="s">
        <v>205</v>
      </c>
      <c r="Y660" s="23" t="n">
        <v>0</v>
      </c>
      <c r="Z660" s="23" t="n">
        <v>0</v>
      </c>
      <c r="AA660" s="23" t="s">
        <v>197</v>
      </c>
      <c r="AB660" s="9" t="s">
        <v>1618</v>
      </c>
      <c r="AC660" s="9" t="s">
        <v>1683</v>
      </c>
      <c r="AD660" s="23" t="s">
        <v>197</v>
      </c>
      <c r="AE660" s="23" t="s">
        <v>197</v>
      </c>
      <c r="AF660" s="23" t="s">
        <v>197</v>
      </c>
      <c r="AG660" s="23" t="s">
        <v>197</v>
      </c>
      <c r="AH660" s="23" t="s">
        <v>197</v>
      </c>
      <c r="AI660" s="23" t="s">
        <v>197</v>
      </c>
      <c r="AJ660" s="23" t="s">
        <v>197</v>
      </c>
      <c r="AK660" s="23" t="s">
        <v>197</v>
      </c>
      <c r="AL660" s="23" t="s">
        <v>197</v>
      </c>
      <c r="AM660" s="9" t="s">
        <v>310</v>
      </c>
      <c r="AN660" s="23" t="s">
        <v>197</v>
      </c>
      <c r="AO660" s="23" t="s">
        <v>197</v>
      </c>
      <c r="AP660" s="23" t="s">
        <v>197</v>
      </c>
    </row>
    <row r="661" customFormat="false" ht="21.75" hidden="false" customHeight="true" outlineLevel="0" collapsed="false">
      <c r="B661" s="14" t="n">
        <v>657</v>
      </c>
      <c r="C661" s="7" t="s">
        <v>50</v>
      </c>
      <c r="D661" s="7" t="s">
        <v>23</v>
      </c>
      <c r="E661" s="7" t="s">
        <v>122</v>
      </c>
      <c r="F661" s="7" t="s">
        <v>68</v>
      </c>
      <c r="G661" s="7" t="s">
        <v>391</v>
      </c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18"/>
      <c r="V661" s="7"/>
      <c r="W661" s="7"/>
      <c r="X661" s="7" t="s">
        <v>1688</v>
      </c>
      <c r="Y661" s="22" t="s">
        <v>197</v>
      </c>
      <c r="Z661" s="22" t="s">
        <v>197</v>
      </c>
      <c r="AA661" s="22" t="s">
        <v>197</v>
      </c>
      <c r="AB661" s="7" t="s">
        <v>197</v>
      </c>
      <c r="AC661" s="7" t="s">
        <v>197</v>
      </c>
      <c r="AD661" s="22" t="s">
        <v>197</v>
      </c>
      <c r="AE661" s="22" t="s">
        <v>197</v>
      </c>
      <c r="AF661" s="22" t="s">
        <v>197</v>
      </c>
      <c r="AG661" s="22" t="s">
        <v>197</v>
      </c>
      <c r="AH661" s="22" t="s">
        <v>197</v>
      </c>
      <c r="AI661" s="22" t="s">
        <v>197</v>
      </c>
      <c r="AJ661" s="22" t="s">
        <v>197</v>
      </c>
      <c r="AK661" s="22" t="s">
        <v>197</v>
      </c>
      <c r="AL661" s="22" t="s">
        <v>197</v>
      </c>
      <c r="AM661" s="7" t="s">
        <v>197</v>
      </c>
      <c r="AN661" s="22" t="s">
        <v>197</v>
      </c>
      <c r="AO661" s="22" t="s">
        <v>197</v>
      </c>
      <c r="AP661" s="22" t="s">
        <v>197</v>
      </c>
    </row>
    <row r="662" customFormat="false" ht="21.75" hidden="false" customHeight="true" outlineLevel="0" collapsed="false">
      <c r="B662" s="15" t="n">
        <v>658</v>
      </c>
      <c r="C662" s="9" t="s">
        <v>50</v>
      </c>
      <c r="D662" s="9" t="s">
        <v>23</v>
      </c>
      <c r="E662" s="9" t="s">
        <v>122</v>
      </c>
      <c r="F662" s="9" t="s">
        <v>69</v>
      </c>
      <c r="G662" s="9" t="s">
        <v>1689</v>
      </c>
      <c r="H662" s="9" t="s">
        <v>339</v>
      </c>
      <c r="I662" s="9" t="s">
        <v>1690</v>
      </c>
      <c r="J662" s="9" t="s">
        <v>1691</v>
      </c>
      <c r="K662" s="9" t="s">
        <v>1653</v>
      </c>
      <c r="L662" s="9" t="s">
        <v>1618</v>
      </c>
      <c r="M662" s="9" t="s">
        <v>1692</v>
      </c>
      <c r="N662" s="9" t="s">
        <v>189</v>
      </c>
      <c r="O662" s="9" t="s">
        <v>531</v>
      </c>
      <c r="P662" s="9" t="s">
        <v>952</v>
      </c>
      <c r="Q662" s="9" t="s">
        <v>1693</v>
      </c>
      <c r="R662" s="9" t="s">
        <v>568</v>
      </c>
      <c r="S662" s="9" t="s">
        <v>1369</v>
      </c>
      <c r="T662" s="9" t="s">
        <v>348</v>
      </c>
      <c r="U662" s="19" t="n">
        <v>35</v>
      </c>
      <c r="V662" s="9"/>
      <c r="W662" s="9"/>
      <c r="X662" s="9" t="s">
        <v>195</v>
      </c>
      <c r="Y662" s="23" t="n">
        <v>1.97E-005</v>
      </c>
      <c r="Z662" s="23" t="n">
        <v>0.138</v>
      </c>
      <c r="AA662" s="23" t="n">
        <v>3</v>
      </c>
      <c r="AB662" s="9" t="s">
        <v>1618</v>
      </c>
      <c r="AC662" s="9" t="s">
        <v>1655</v>
      </c>
      <c r="AD662" s="23" t="s">
        <v>197</v>
      </c>
      <c r="AE662" s="23" t="s">
        <v>197</v>
      </c>
      <c r="AF662" s="23" t="s">
        <v>197</v>
      </c>
      <c r="AG662" s="23" t="s">
        <v>197</v>
      </c>
      <c r="AH662" s="23" t="s">
        <v>197</v>
      </c>
      <c r="AI662" s="23" t="s">
        <v>197</v>
      </c>
      <c r="AJ662" s="23" t="s">
        <v>197</v>
      </c>
      <c r="AK662" s="23" t="s">
        <v>197</v>
      </c>
      <c r="AL662" s="23" t="s">
        <v>197</v>
      </c>
      <c r="AM662" s="9" t="s">
        <v>197</v>
      </c>
      <c r="AN662" s="23" t="n">
        <v>3.9</v>
      </c>
      <c r="AO662" s="23" t="n">
        <v>2.5</v>
      </c>
      <c r="AP662" s="23" t="n">
        <v>4.5</v>
      </c>
    </row>
    <row r="663" customFormat="false" ht="21.75" hidden="false" customHeight="true" outlineLevel="0" collapsed="false">
      <c r="B663" s="14" t="n">
        <v>659</v>
      </c>
      <c r="C663" s="7" t="s">
        <v>50</v>
      </c>
      <c r="D663" s="7" t="s">
        <v>23</v>
      </c>
      <c r="E663" s="7" t="s">
        <v>122</v>
      </c>
      <c r="F663" s="7" t="s">
        <v>69</v>
      </c>
      <c r="G663" s="7" t="s">
        <v>1694</v>
      </c>
      <c r="H663" s="7" t="s">
        <v>350</v>
      </c>
      <c r="I663" s="7" t="s">
        <v>1690</v>
      </c>
      <c r="J663" s="7" t="s">
        <v>1691</v>
      </c>
      <c r="K663" s="7" t="s">
        <v>1653</v>
      </c>
      <c r="L663" s="7" t="s">
        <v>1618</v>
      </c>
      <c r="M663" s="7" t="s">
        <v>1692</v>
      </c>
      <c r="N663" s="7" t="s">
        <v>189</v>
      </c>
      <c r="O663" s="7" t="s">
        <v>531</v>
      </c>
      <c r="P663" s="7" t="s">
        <v>952</v>
      </c>
      <c r="Q663" s="7" t="s">
        <v>1693</v>
      </c>
      <c r="R663" s="7" t="s">
        <v>568</v>
      </c>
      <c r="S663" s="7" t="s">
        <v>1369</v>
      </c>
      <c r="T663" s="7" t="s">
        <v>348</v>
      </c>
      <c r="U663" s="18" t="n">
        <v>55</v>
      </c>
      <c r="V663" s="7"/>
      <c r="W663" s="7"/>
      <c r="X663" s="7" t="s">
        <v>199</v>
      </c>
      <c r="Y663" s="22" t="n">
        <v>1.82E-005</v>
      </c>
      <c r="Z663" s="22" t="n">
        <v>0.129</v>
      </c>
      <c r="AA663" s="22" t="n">
        <v>3</v>
      </c>
      <c r="AB663" s="7" t="s">
        <v>1618</v>
      </c>
      <c r="AC663" s="7" t="s">
        <v>1655</v>
      </c>
      <c r="AD663" s="22" t="s">
        <v>197</v>
      </c>
      <c r="AE663" s="22" t="s">
        <v>197</v>
      </c>
      <c r="AF663" s="22" t="s">
        <v>197</v>
      </c>
      <c r="AG663" s="22" t="s">
        <v>197</v>
      </c>
      <c r="AH663" s="22" t="s">
        <v>197</v>
      </c>
      <c r="AI663" s="22" t="s">
        <v>197</v>
      </c>
      <c r="AJ663" s="22" t="s">
        <v>197</v>
      </c>
      <c r="AK663" s="22" t="s">
        <v>197</v>
      </c>
      <c r="AL663" s="22" t="s">
        <v>197</v>
      </c>
      <c r="AM663" s="7" t="s">
        <v>197</v>
      </c>
      <c r="AN663" s="22" t="n">
        <v>3.6</v>
      </c>
      <c r="AO663" s="22" t="n">
        <v>2.5</v>
      </c>
      <c r="AP663" s="22" t="n">
        <v>4.5</v>
      </c>
    </row>
    <row r="664" customFormat="false" ht="21.75" hidden="false" customHeight="true" outlineLevel="0" collapsed="false">
      <c r="B664" s="15" t="n">
        <v>660</v>
      </c>
      <c r="C664" s="9" t="s">
        <v>50</v>
      </c>
      <c r="D664" s="9" t="s">
        <v>23</v>
      </c>
      <c r="E664" s="9" t="s">
        <v>122</v>
      </c>
      <c r="F664" s="9" t="s">
        <v>69</v>
      </c>
      <c r="G664" s="9" t="s">
        <v>1695</v>
      </c>
      <c r="H664" s="9" t="s">
        <v>352</v>
      </c>
      <c r="I664" s="9" t="s">
        <v>1690</v>
      </c>
      <c r="J664" s="9" t="s">
        <v>1691</v>
      </c>
      <c r="K664" s="9" t="s">
        <v>1653</v>
      </c>
      <c r="L664" s="9" t="s">
        <v>1618</v>
      </c>
      <c r="M664" s="9" t="s">
        <v>1692</v>
      </c>
      <c r="N664" s="9" t="s">
        <v>189</v>
      </c>
      <c r="O664" s="9" t="s">
        <v>531</v>
      </c>
      <c r="P664" s="9" t="s">
        <v>952</v>
      </c>
      <c r="Q664" s="9" t="s">
        <v>1693</v>
      </c>
      <c r="R664" s="9" t="s">
        <v>568</v>
      </c>
      <c r="S664" s="9" t="s">
        <v>1369</v>
      </c>
      <c r="T664" s="9" t="s">
        <v>348</v>
      </c>
      <c r="U664" s="19" t="n">
        <v>75</v>
      </c>
      <c r="V664" s="9"/>
      <c r="W664" s="9"/>
      <c r="X664" s="9" t="s">
        <v>1696</v>
      </c>
      <c r="Y664" s="23" t="n">
        <v>1.979E-005</v>
      </c>
      <c r="Z664" s="23" t="n">
        <v>0.139</v>
      </c>
      <c r="AA664" s="23" t="n">
        <v>3</v>
      </c>
      <c r="AB664" s="9" t="s">
        <v>1618</v>
      </c>
      <c r="AC664" s="9" t="s">
        <v>1655</v>
      </c>
      <c r="AD664" s="23" t="s">
        <v>197</v>
      </c>
      <c r="AE664" s="23" t="s">
        <v>197</v>
      </c>
      <c r="AF664" s="23" t="s">
        <v>197</v>
      </c>
      <c r="AG664" s="23" t="s">
        <v>197</v>
      </c>
      <c r="AH664" s="23" t="s">
        <v>197</v>
      </c>
      <c r="AI664" s="23" t="s">
        <v>197</v>
      </c>
      <c r="AJ664" s="23" t="s">
        <v>197</v>
      </c>
      <c r="AK664" s="23" t="s">
        <v>197</v>
      </c>
      <c r="AL664" s="23" t="s">
        <v>197</v>
      </c>
      <c r="AM664" s="9" t="s">
        <v>197</v>
      </c>
      <c r="AN664" s="23" t="n">
        <v>4</v>
      </c>
      <c r="AO664" s="23" t="n">
        <v>2.5</v>
      </c>
      <c r="AP664" s="23" t="n">
        <v>4.5</v>
      </c>
    </row>
    <row r="665" customFormat="false" ht="21.75" hidden="false" customHeight="true" outlineLevel="0" collapsed="false">
      <c r="B665" s="14" t="n">
        <v>661</v>
      </c>
      <c r="C665" s="7" t="s">
        <v>50</v>
      </c>
      <c r="D665" s="7" t="s">
        <v>23</v>
      </c>
      <c r="E665" s="7" t="s">
        <v>122</v>
      </c>
      <c r="F665" s="7" t="s">
        <v>69</v>
      </c>
      <c r="G665" s="7" t="s">
        <v>1697</v>
      </c>
      <c r="H665" s="7" t="s">
        <v>355</v>
      </c>
      <c r="I665" s="7" t="s">
        <v>1690</v>
      </c>
      <c r="J665" s="7" t="s">
        <v>1691</v>
      </c>
      <c r="K665" s="7" t="s">
        <v>1653</v>
      </c>
      <c r="L665" s="7" t="s">
        <v>1618</v>
      </c>
      <c r="M665" s="7" t="s">
        <v>1692</v>
      </c>
      <c r="N665" s="7" t="s">
        <v>189</v>
      </c>
      <c r="O665" s="7" t="s">
        <v>531</v>
      </c>
      <c r="P665" s="7" t="s">
        <v>952</v>
      </c>
      <c r="Q665" s="7" t="s">
        <v>1693</v>
      </c>
      <c r="R665" s="7" t="s">
        <v>568</v>
      </c>
      <c r="S665" s="7" t="s">
        <v>1369</v>
      </c>
      <c r="T665" s="7" t="s">
        <v>348</v>
      </c>
      <c r="U665" s="18" t="n">
        <v>115</v>
      </c>
      <c r="V665" s="7"/>
      <c r="W665" s="7"/>
      <c r="X665" s="7" t="s">
        <v>203</v>
      </c>
      <c r="Y665" s="22" t="n">
        <v>1.263E-005</v>
      </c>
      <c r="Z665" s="22" t="n">
        <v>0.096</v>
      </c>
      <c r="AA665" s="22" t="n">
        <v>3</v>
      </c>
      <c r="AB665" s="7" t="s">
        <v>1618</v>
      </c>
      <c r="AC665" s="7" t="s">
        <v>1655</v>
      </c>
      <c r="AD665" s="22" t="s">
        <v>197</v>
      </c>
      <c r="AE665" s="22" t="s">
        <v>197</v>
      </c>
      <c r="AF665" s="22" t="s">
        <v>197</v>
      </c>
      <c r="AG665" s="22" t="s">
        <v>197</v>
      </c>
      <c r="AH665" s="22" t="s">
        <v>197</v>
      </c>
      <c r="AI665" s="22" t="s">
        <v>197</v>
      </c>
      <c r="AJ665" s="22" t="s">
        <v>197</v>
      </c>
      <c r="AK665" s="22" t="s">
        <v>197</v>
      </c>
      <c r="AL665" s="22" t="s">
        <v>197</v>
      </c>
      <c r="AM665" s="7" t="s">
        <v>197</v>
      </c>
      <c r="AN665" s="22" t="n">
        <v>2.5</v>
      </c>
      <c r="AO665" s="22" t="n">
        <v>2.5</v>
      </c>
      <c r="AP665" s="22" t="n">
        <v>4.5</v>
      </c>
    </row>
    <row r="666" customFormat="false" ht="21.75" hidden="false" customHeight="true" outlineLevel="0" collapsed="false">
      <c r="B666" s="15" t="n">
        <v>662</v>
      </c>
      <c r="C666" s="9" t="s">
        <v>50</v>
      </c>
      <c r="D666" s="9" t="s">
        <v>23</v>
      </c>
      <c r="E666" s="9" t="s">
        <v>122</v>
      </c>
      <c r="F666" s="9" t="s">
        <v>69</v>
      </c>
      <c r="G666" s="9" t="s">
        <v>1698</v>
      </c>
      <c r="H666" s="9" t="s">
        <v>357</v>
      </c>
      <c r="I666" s="9" t="s">
        <v>1690</v>
      </c>
      <c r="J666" s="9" t="s">
        <v>1691</v>
      </c>
      <c r="K666" s="9" t="s">
        <v>1653</v>
      </c>
      <c r="L666" s="9" t="s">
        <v>1618</v>
      </c>
      <c r="M666" s="9" t="s">
        <v>1692</v>
      </c>
      <c r="N666" s="9" t="s">
        <v>189</v>
      </c>
      <c r="O666" s="9" t="s">
        <v>531</v>
      </c>
      <c r="P666" s="9" t="s">
        <v>952</v>
      </c>
      <c r="Q666" s="9" t="s">
        <v>1693</v>
      </c>
      <c r="R666" s="9" t="s">
        <v>568</v>
      </c>
      <c r="S666" s="9" t="s">
        <v>1369</v>
      </c>
      <c r="T666" s="9" t="s">
        <v>348</v>
      </c>
      <c r="U666" s="19" t="n">
        <v>170</v>
      </c>
      <c r="V666" s="9"/>
      <c r="W666" s="9"/>
      <c r="X666" s="9" t="s">
        <v>205</v>
      </c>
      <c r="Y666" s="23" t="n">
        <v>1.581E-005</v>
      </c>
      <c r="Z666" s="23" t="n">
        <v>0.115</v>
      </c>
      <c r="AA666" s="23" t="n">
        <v>3</v>
      </c>
      <c r="AB666" s="9" t="s">
        <v>1618</v>
      </c>
      <c r="AC666" s="9" t="s">
        <v>1655</v>
      </c>
      <c r="AD666" s="23" t="s">
        <v>197</v>
      </c>
      <c r="AE666" s="23" t="s">
        <v>197</v>
      </c>
      <c r="AF666" s="23" t="s">
        <v>197</v>
      </c>
      <c r="AG666" s="23" t="s">
        <v>197</v>
      </c>
      <c r="AH666" s="23" t="s">
        <v>197</v>
      </c>
      <c r="AI666" s="23" t="s">
        <v>197</v>
      </c>
      <c r="AJ666" s="23" t="s">
        <v>197</v>
      </c>
      <c r="AK666" s="23" t="s">
        <v>197</v>
      </c>
      <c r="AL666" s="23" t="s">
        <v>197</v>
      </c>
      <c r="AM666" s="9" t="s">
        <v>197</v>
      </c>
      <c r="AN666" s="23" t="n">
        <v>3.2</v>
      </c>
      <c r="AO666" s="23" t="n">
        <v>2.5</v>
      </c>
      <c r="AP666" s="23" t="n">
        <v>4.5</v>
      </c>
    </row>
    <row r="667" customFormat="false" ht="21.75" hidden="false" customHeight="true" outlineLevel="0" collapsed="false">
      <c r="B667" s="14" t="n">
        <v>663</v>
      </c>
      <c r="C667" s="7" t="s">
        <v>50</v>
      </c>
      <c r="D667" s="7" t="s">
        <v>23</v>
      </c>
      <c r="E667" s="7" t="s">
        <v>122</v>
      </c>
      <c r="F667" s="7" t="s">
        <v>70</v>
      </c>
      <c r="G667" s="7" t="s">
        <v>1699</v>
      </c>
      <c r="H667" s="7" t="s">
        <v>359</v>
      </c>
      <c r="I667" s="7" t="s">
        <v>1036</v>
      </c>
      <c r="J667" s="7" t="s">
        <v>753</v>
      </c>
      <c r="K667" s="7" t="s">
        <v>1653</v>
      </c>
      <c r="L667" s="7" t="s">
        <v>1618</v>
      </c>
      <c r="M667" s="7" t="s">
        <v>1692</v>
      </c>
      <c r="N667" s="7" t="s">
        <v>189</v>
      </c>
      <c r="O667" s="7" t="s">
        <v>189</v>
      </c>
      <c r="P667" s="7" t="s">
        <v>952</v>
      </c>
      <c r="Q667" s="7" t="s">
        <v>1178</v>
      </c>
      <c r="R667" s="7" t="s">
        <v>364</v>
      </c>
      <c r="S667" s="7" t="s">
        <v>1369</v>
      </c>
      <c r="T667" s="7" t="s">
        <v>275</v>
      </c>
      <c r="U667" s="18" t="n">
        <v>18</v>
      </c>
      <c r="V667" s="7"/>
      <c r="W667" s="7"/>
      <c r="X667" s="7" t="s">
        <v>195</v>
      </c>
      <c r="Y667" s="22" t="n">
        <v>8.92E-006</v>
      </c>
      <c r="Z667" s="22" t="n">
        <v>0.065</v>
      </c>
      <c r="AA667" s="22" t="n">
        <v>3</v>
      </c>
      <c r="AB667" s="7" t="s">
        <v>1618</v>
      </c>
      <c r="AC667" s="7" t="s">
        <v>1655</v>
      </c>
      <c r="AD667" s="22" t="s">
        <v>197</v>
      </c>
      <c r="AE667" s="22" t="s">
        <v>197</v>
      </c>
      <c r="AF667" s="22" t="s">
        <v>197</v>
      </c>
      <c r="AG667" s="22" t="s">
        <v>197</v>
      </c>
      <c r="AH667" s="22" t="s">
        <v>197</v>
      </c>
      <c r="AI667" s="22" t="s">
        <v>197</v>
      </c>
      <c r="AJ667" s="22" t="s">
        <v>197</v>
      </c>
      <c r="AK667" s="22" t="s">
        <v>197</v>
      </c>
      <c r="AL667" s="22" t="s">
        <v>197</v>
      </c>
      <c r="AM667" s="7" t="s">
        <v>197</v>
      </c>
      <c r="AN667" s="22" t="n">
        <v>2.2</v>
      </c>
      <c r="AO667" s="22" t="n">
        <v>2</v>
      </c>
      <c r="AP667" s="22" t="n">
        <v>3</v>
      </c>
    </row>
    <row r="668" customFormat="false" ht="21.75" hidden="false" customHeight="true" outlineLevel="0" collapsed="false">
      <c r="B668" s="15" t="n">
        <v>664</v>
      </c>
      <c r="C668" s="9" t="s">
        <v>50</v>
      </c>
      <c r="D668" s="9" t="s">
        <v>23</v>
      </c>
      <c r="E668" s="9" t="s">
        <v>122</v>
      </c>
      <c r="F668" s="9" t="s">
        <v>70</v>
      </c>
      <c r="G668" s="9" t="s">
        <v>1700</v>
      </c>
      <c r="H668" s="9" t="s">
        <v>367</v>
      </c>
      <c r="I668" s="9" t="s">
        <v>1036</v>
      </c>
      <c r="J668" s="9" t="s">
        <v>753</v>
      </c>
      <c r="K668" s="9" t="s">
        <v>1653</v>
      </c>
      <c r="L668" s="9" t="s">
        <v>1618</v>
      </c>
      <c r="M668" s="9" t="s">
        <v>1692</v>
      </c>
      <c r="N668" s="9" t="s">
        <v>189</v>
      </c>
      <c r="O668" s="9" t="s">
        <v>189</v>
      </c>
      <c r="P668" s="9" t="s">
        <v>952</v>
      </c>
      <c r="Q668" s="9" t="s">
        <v>1178</v>
      </c>
      <c r="R668" s="9" t="s">
        <v>364</v>
      </c>
      <c r="S668" s="9" t="s">
        <v>1369</v>
      </c>
      <c r="T668" s="9" t="s">
        <v>275</v>
      </c>
      <c r="U668" s="19" t="n">
        <v>25</v>
      </c>
      <c r="V668" s="9"/>
      <c r="W668" s="9"/>
      <c r="X668" s="9" t="s">
        <v>199</v>
      </c>
      <c r="Y668" s="23" t="n">
        <v>2.111E-005</v>
      </c>
      <c r="Z668" s="23" t="n">
        <v>0.129</v>
      </c>
      <c r="AA668" s="23" t="n">
        <v>3</v>
      </c>
      <c r="AB668" s="9" t="s">
        <v>1618</v>
      </c>
      <c r="AC668" s="9" t="s">
        <v>1655</v>
      </c>
      <c r="AD668" s="23" t="s">
        <v>197</v>
      </c>
      <c r="AE668" s="23" t="s">
        <v>197</v>
      </c>
      <c r="AF668" s="23" t="s">
        <v>197</v>
      </c>
      <c r="AG668" s="23" t="s">
        <v>197</v>
      </c>
      <c r="AH668" s="23" t="s">
        <v>197</v>
      </c>
      <c r="AI668" s="23" t="s">
        <v>197</v>
      </c>
      <c r="AJ668" s="23" t="s">
        <v>197</v>
      </c>
      <c r="AK668" s="23" t="s">
        <v>197</v>
      </c>
      <c r="AL668" s="23" t="s">
        <v>197</v>
      </c>
      <c r="AM668" s="9" t="s">
        <v>197</v>
      </c>
      <c r="AN668" s="23" t="n">
        <v>4.3</v>
      </c>
      <c r="AO668" s="23" t="n">
        <v>2</v>
      </c>
      <c r="AP668" s="23" t="n">
        <v>3</v>
      </c>
    </row>
    <row r="669" customFormat="false" ht="21.75" hidden="false" customHeight="true" outlineLevel="0" collapsed="false">
      <c r="B669" s="14" t="n">
        <v>665</v>
      </c>
      <c r="C669" s="7" t="s">
        <v>50</v>
      </c>
      <c r="D669" s="7" t="s">
        <v>23</v>
      </c>
      <c r="E669" s="7" t="s">
        <v>122</v>
      </c>
      <c r="F669" s="7" t="s">
        <v>70</v>
      </c>
      <c r="G669" s="7" t="s">
        <v>1694</v>
      </c>
      <c r="H669" s="7" t="s">
        <v>369</v>
      </c>
      <c r="I669" s="7" t="s">
        <v>1036</v>
      </c>
      <c r="J669" s="7" t="s">
        <v>753</v>
      </c>
      <c r="K669" s="7" t="s">
        <v>1653</v>
      </c>
      <c r="L669" s="7" t="s">
        <v>1618</v>
      </c>
      <c r="M669" s="7" t="s">
        <v>1692</v>
      </c>
      <c r="N669" s="7" t="s">
        <v>189</v>
      </c>
      <c r="O669" s="7" t="s">
        <v>189</v>
      </c>
      <c r="P669" s="7" t="s">
        <v>952</v>
      </c>
      <c r="Q669" s="7" t="s">
        <v>1178</v>
      </c>
      <c r="R669" s="7" t="s">
        <v>364</v>
      </c>
      <c r="S669" s="7" t="s">
        <v>1369</v>
      </c>
      <c r="T669" s="7" t="s">
        <v>275</v>
      </c>
      <c r="U669" s="18" t="n">
        <v>35</v>
      </c>
      <c r="V669" s="7"/>
      <c r="W669" s="7"/>
      <c r="X669" s="7" t="s">
        <v>1696</v>
      </c>
      <c r="Y669" s="22" t="n">
        <v>1.497E-005</v>
      </c>
      <c r="Z669" s="22" t="n">
        <v>0.097</v>
      </c>
      <c r="AA669" s="22" t="n">
        <v>3</v>
      </c>
      <c r="AB669" s="7" t="s">
        <v>1618</v>
      </c>
      <c r="AC669" s="7" t="s">
        <v>1655</v>
      </c>
      <c r="AD669" s="22" t="s">
        <v>197</v>
      </c>
      <c r="AE669" s="22" t="s">
        <v>197</v>
      </c>
      <c r="AF669" s="22" t="s">
        <v>197</v>
      </c>
      <c r="AG669" s="22" t="s">
        <v>197</v>
      </c>
      <c r="AH669" s="22" t="s">
        <v>197</v>
      </c>
      <c r="AI669" s="22" t="s">
        <v>197</v>
      </c>
      <c r="AJ669" s="22" t="s">
        <v>197</v>
      </c>
      <c r="AK669" s="22" t="s">
        <v>197</v>
      </c>
      <c r="AL669" s="22" t="s">
        <v>197</v>
      </c>
      <c r="AM669" s="7" t="s">
        <v>197</v>
      </c>
      <c r="AN669" s="22" t="n">
        <v>3.2</v>
      </c>
      <c r="AO669" s="22" t="n">
        <v>2</v>
      </c>
      <c r="AP669" s="22" t="n">
        <v>3</v>
      </c>
    </row>
    <row r="670" customFormat="false" ht="21.75" hidden="false" customHeight="true" outlineLevel="0" collapsed="false">
      <c r="B670" s="15" t="n">
        <v>666</v>
      </c>
      <c r="C670" s="9" t="s">
        <v>50</v>
      </c>
      <c r="D670" s="9" t="s">
        <v>23</v>
      </c>
      <c r="E670" s="9" t="s">
        <v>122</v>
      </c>
      <c r="F670" s="9" t="s">
        <v>70</v>
      </c>
      <c r="G670" s="9" t="s">
        <v>1701</v>
      </c>
      <c r="H670" s="9" t="s">
        <v>339</v>
      </c>
      <c r="I670" s="9" t="s">
        <v>1036</v>
      </c>
      <c r="J670" s="9" t="s">
        <v>753</v>
      </c>
      <c r="K670" s="9" t="s">
        <v>1653</v>
      </c>
      <c r="L670" s="9" t="s">
        <v>1618</v>
      </c>
      <c r="M670" s="9" t="s">
        <v>1692</v>
      </c>
      <c r="N670" s="9" t="s">
        <v>189</v>
      </c>
      <c r="O670" s="9" t="s">
        <v>189</v>
      </c>
      <c r="P670" s="9" t="s">
        <v>952</v>
      </c>
      <c r="Q670" s="9" t="s">
        <v>1178</v>
      </c>
      <c r="R670" s="9" t="s">
        <v>364</v>
      </c>
      <c r="S670" s="9" t="s">
        <v>1369</v>
      </c>
      <c r="T670" s="9" t="s">
        <v>275</v>
      </c>
      <c r="U670" s="19" t="n">
        <v>50</v>
      </c>
      <c r="V670" s="9"/>
      <c r="W670" s="9"/>
      <c r="X670" s="9" t="s">
        <v>203</v>
      </c>
      <c r="Y670" s="23" t="n">
        <v>1.493E-005</v>
      </c>
      <c r="Z670" s="23" t="n">
        <v>0.097</v>
      </c>
      <c r="AA670" s="23" t="n">
        <v>3</v>
      </c>
      <c r="AB670" s="9" t="s">
        <v>1618</v>
      </c>
      <c r="AC670" s="9" t="s">
        <v>1655</v>
      </c>
      <c r="AD670" s="23" t="s">
        <v>197</v>
      </c>
      <c r="AE670" s="23" t="s">
        <v>197</v>
      </c>
      <c r="AF670" s="23" t="s">
        <v>197</v>
      </c>
      <c r="AG670" s="23" t="s">
        <v>197</v>
      </c>
      <c r="AH670" s="23" t="s">
        <v>197</v>
      </c>
      <c r="AI670" s="23" t="s">
        <v>197</v>
      </c>
      <c r="AJ670" s="23" t="s">
        <v>197</v>
      </c>
      <c r="AK670" s="23" t="s">
        <v>197</v>
      </c>
      <c r="AL670" s="23" t="s">
        <v>197</v>
      </c>
      <c r="AM670" s="9" t="s">
        <v>197</v>
      </c>
      <c r="AN670" s="23" t="n">
        <v>3.2</v>
      </c>
      <c r="AO670" s="23" t="n">
        <v>2</v>
      </c>
      <c r="AP670" s="23" t="n">
        <v>3</v>
      </c>
    </row>
    <row r="671" customFormat="false" ht="21.75" hidden="false" customHeight="true" outlineLevel="0" collapsed="false">
      <c r="B671" s="14" t="n">
        <v>667</v>
      </c>
      <c r="C671" s="7" t="s">
        <v>50</v>
      </c>
      <c r="D671" s="7" t="s">
        <v>23</v>
      </c>
      <c r="E671" s="7" t="s">
        <v>122</v>
      </c>
      <c r="F671" s="7" t="s">
        <v>70</v>
      </c>
      <c r="G671" s="7" t="s">
        <v>1702</v>
      </c>
      <c r="H671" s="7" t="s">
        <v>352</v>
      </c>
      <c r="I671" s="7" t="s">
        <v>1036</v>
      </c>
      <c r="J671" s="7" t="s">
        <v>753</v>
      </c>
      <c r="K671" s="7" t="s">
        <v>1653</v>
      </c>
      <c r="L671" s="7" t="s">
        <v>1618</v>
      </c>
      <c r="M671" s="7" t="s">
        <v>1692</v>
      </c>
      <c r="N671" s="7" t="s">
        <v>189</v>
      </c>
      <c r="O671" s="7" t="s">
        <v>189</v>
      </c>
      <c r="P671" s="7" t="s">
        <v>952</v>
      </c>
      <c r="Q671" s="7" t="s">
        <v>1178</v>
      </c>
      <c r="R671" s="7" t="s">
        <v>364</v>
      </c>
      <c r="S671" s="7" t="s">
        <v>1369</v>
      </c>
      <c r="T671" s="7" t="s">
        <v>275</v>
      </c>
      <c r="U671" s="18" t="n">
        <v>75</v>
      </c>
      <c r="V671" s="7"/>
      <c r="W671" s="7"/>
      <c r="X671" s="7" t="s">
        <v>205</v>
      </c>
      <c r="Y671" s="22" t="n">
        <v>1.796E-005</v>
      </c>
      <c r="Z671" s="22" t="n">
        <v>0.113</v>
      </c>
      <c r="AA671" s="22" t="n">
        <v>3</v>
      </c>
      <c r="AB671" s="7" t="s">
        <v>1618</v>
      </c>
      <c r="AC671" s="7" t="s">
        <v>1655</v>
      </c>
      <c r="AD671" s="22" t="s">
        <v>197</v>
      </c>
      <c r="AE671" s="22" t="s">
        <v>197</v>
      </c>
      <c r="AF671" s="22" t="s">
        <v>197</v>
      </c>
      <c r="AG671" s="22" t="s">
        <v>197</v>
      </c>
      <c r="AH671" s="22" t="s">
        <v>197</v>
      </c>
      <c r="AI671" s="22" t="s">
        <v>197</v>
      </c>
      <c r="AJ671" s="22" t="s">
        <v>197</v>
      </c>
      <c r="AK671" s="22" t="s">
        <v>197</v>
      </c>
      <c r="AL671" s="22" t="s">
        <v>197</v>
      </c>
      <c r="AM671" s="7" t="s">
        <v>197</v>
      </c>
      <c r="AN671" s="22" t="n">
        <v>3.8</v>
      </c>
      <c r="AO671" s="22" t="n">
        <v>2</v>
      </c>
      <c r="AP671" s="22" t="n">
        <v>3</v>
      </c>
    </row>
    <row r="672" customFormat="false" ht="21.75" hidden="false" customHeight="true" outlineLevel="0" collapsed="false">
      <c r="B672" s="15" t="n">
        <v>668</v>
      </c>
      <c r="C672" s="9" t="s">
        <v>50</v>
      </c>
      <c r="D672" s="9" t="s">
        <v>23</v>
      </c>
      <c r="E672" s="9" t="s">
        <v>122</v>
      </c>
      <c r="F672" s="9" t="s">
        <v>71</v>
      </c>
      <c r="G672" s="9" t="s">
        <v>1703</v>
      </c>
      <c r="H672" s="9" t="s">
        <v>374</v>
      </c>
      <c r="I672" s="9" t="s">
        <v>1704</v>
      </c>
      <c r="J672" s="9" t="s">
        <v>1705</v>
      </c>
      <c r="K672" s="9" t="s">
        <v>1590</v>
      </c>
      <c r="L672" s="9" t="s">
        <v>1618</v>
      </c>
      <c r="M672" s="9" t="s">
        <v>235</v>
      </c>
      <c r="N672" s="9" t="s">
        <v>1188</v>
      </c>
      <c r="O672" s="9" t="s">
        <v>189</v>
      </c>
      <c r="P672" s="9" t="s">
        <v>952</v>
      </c>
      <c r="Q672" s="9" t="s">
        <v>1706</v>
      </c>
      <c r="R672" s="9" t="s">
        <v>1707</v>
      </c>
      <c r="S672" s="9" t="s">
        <v>1369</v>
      </c>
      <c r="T672" s="9" t="s">
        <v>1708</v>
      </c>
      <c r="U672" s="19" t="n">
        <v>45</v>
      </c>
      <c r="V672" s="9"/>
      <c r="W672" s="9"/>
      <c r="X672" s="9" t="s">
        <v>195</v>
      </c>
      <c r="Y672" s="23" t="n">
        <v>0.092</v>
      </c>
      <c r="Z672" s="23" t="n">
        <v>0.33</v>
      </c>
      <c r="AA672" s="23" t="n">
        <v>12</v>
      </c>
      <c r="AB672" s="9" t="s">
        <v>1618</v>
      </c>
      <c r="AC672" s="9" t="s">
        <v>1644</v>
      </c>
      <c r="AD672" s="23" t="s">
        <v>197</v>
      </c>
      <c r="AE672" s="23" t="s">
        <v>197</v>
      </c>
      <c r="AF672" s="23" t="s">
        <v>197</v>
      </c>
      <c r="AG672" s="23" t="s">
        <v>197</v>
      </c>
      <c r="AH672" s="23" t="s">
        <v>197</v>
      </c>
      <c r="AI672" s="23" t="s">
        <v>197</v>
      </c>
      <c r="AJ672" s="23" t="s">
        <v>197</v>
      </c>
      <c r="AK672" s="23" t="s">
        <v>197</v>
      </c>
      <c r="AL672" s="23" t="s">
        <v>197</v>
      </c>
      <c r="AM672" s="9" t="s">
        <v>197</v>
      </c>
      <c r="AN672" s="23" t="s">
        <v>197</v>
      </c>
      <c r="AO672" s="23" t="s">
        <v>197</v>
      </c>
      <c r="AP672" s="23" t="s">
        <v>197</v>
      </c>
    </row>
    <row r="673" customFormat="false" ht="21.75" hidden="false" customHeight="true" outlineLevel="0" collapsed="false">
      <c r="B673" s="14" t="n">
        <v>669</v>
      </c>
      <c r="C673" s="7" t="s">
        <v>50</v>
      </c>
      <c r="D673" s="7" t="s">
        <v>23</v>
      </c>
      <c r="E673" s="7" t="s">
        <v>122</v>
      </c>
      <c r="F673" s="7" t="s">
        <v>71</v>
      </c>
      <c r="G673" s="7" t="s">
        <v>1709</v>
      </c>
      <c r="H673" s="7" t="s">
        <v>383</v>
      </c>
      <c r="I673" s="7" t="s">
        <v>1704</v>
      </c>
      <c r="J673" s="7" t="s">
        <v>1705</v>
      </c>
      <c r="K673" s="7" t="s">
        <v>1590</v>
      </c>
      <c r="L673" s="7" t="s">
        <v>1618</v>
      </c>
      <c r="M673" s="7" t="s">
        <v>235</v>
      </c>
      <c r="N673" s="7" t="s">
        <v>1188</v>
      </c>
      <c r="O673" s="7" t="s">
        <v>189</v>
      </c>
      <c r="P673" s="7" t="s">
        <v>952</v>
      </c>
      <c r="Q673" s="7" t="s">
        <v>1706</v>
      </c>
      <c r="R673" s="7" t="s">
        <v>1707</v>
      </c>
      <c r="S673" s="7" t="s">
        <v>1369</v>
      </c>
      <c r="T673" s="7" t="s">
        <v>1708</v>
      </c>
      <c r="U673" s="18" t="n">
        <v>70</v>
      </c>
      <c r="V673" s="7"/>
      <c r="W673" s="7"/>
      <c r="X673" s="7" t="s">
        <v>199</v>
      </c>
      <c r="Y673" s="22" t="n">
        <v>0.092</v>
      </c>
      <c r="Z673" s="22" t="n">
        <v>0.33</v>
      </c>
      <c r="AA673" s="22" t="n">
        <v>12</v>
      </c>
      <c r="AB673" s="7" t="s">
        <v>1618</v>
      </c>
      <c r="AC673" s="7" t="s">
        <v>1644</v>
      </c>
      <c r="AD673" s="22" t="s">
        <v>197</v>
      </c>
      <c r="AE673" s="22" t="s">
        <v>197</v>
      </c>
      <c r="AF673" s="22" t="s">
        <v>197</v>
      </c>
      <c r="AG673" s="22" t="s">
        <v>197</v>
      </c>
      <c r="AH673" s="22" t="s">
        <v>197</v>
      </c>
      <c r="AI673" s="22" t="s">
        <v>197</v>
      </c>
      <c r="AJ673" s="22" t="s">
        <v>197</v>
      </c>
      <c r="AK673" s="22" t="s">
        <v>197</v>
      </c>
      <c r="AL673" s="22" t="s">
        <v>197</v>
      </c>
      <c r="AM673" s="7" t="s">
        <v>197</v>
      </c>
      <c r="AN673" s="22" t="s">
        <v>197</v>
      </c>
      <c r="AO673" s="22" t="s">
        <v>197</v>
      </c>
      <c r="AP673" s="22" t="s">
        <v>197</v>
      </c>
    </row>
    <row r="674" customFormat="false" ht="21.75" hidden="false" customHeight="true" outlineLevel="0" collapsed="false">
      <c r="B674" s="15" t="n">
        <v>670</v>
      </c>
      <c r="C674" s="9" t="s">
        <v>50</v>
      </c>
      <c r="D674" s="9" t="s">
        <v>23</v>
      </c>
      <c r="E674" s="9" t="s">
        <v>122</v>
      </c>
      <c r="F674" s="9" t="s">
        <v>71</v>
      </c>
      <c r="G674" s="9" t="s">
        <v>1710</v>
      </c>
      <c r="H674" s="9" t="s">
        <v>385</v>
      </c>
      <c r="I674" s="9" t="s">
        <v>1704</v>
      </c>
      <c r="J674" s="9" t="s">
        <v>1705</v>
      </c>
      <c r="K674" s="9" t="s">
        <v>1590</v>
      </c>
      <c r="L674" s="9" t="s">
        <v>1618</v>
      </c>
      <c r="M674" s="9" t="s">
        <v>235</v>
      </c>
      <c r="N674" s="9" t="s">
        <v>1188</v>
      </c>
      <c r="O674" s="9" t="s">
        <v>189</v>
      </c>
      <c r="P674" s="9" t="s">
        <v>952</v>
      </c>
      <c r="Q674" s="9" t="s">
        <v>1706</v>
      </c>
      <c r="R674" s="9" t="s">
        <v>1707</v>
      </c>
      <c r="S674" s="9" t="s">
        <v>1369</v>
      </c>
      <c r="T674" s="9" t="s">
        <v>1708</v>
      </c>
      <c r="U674" s="19" t="n">
        <v>95</v>
      </c>
      <c r="V674" s="9"/>
      <c r="W674" s="9"/>
      <c r="X674" s="9" t="s">
        <v>1711</v>
      </c>
      <c r="Y674" s="23" t="n">
        <v>0.086</v>
      </c>
      <c r="Z674" s="23" t="n">
        <v>0.316</v>
      </c>
      <c r="AA674" s="23" t="n">
        <v>12</v>
      </c>
      <c r="AB674" s="9" t="s">
        <v>1618</v>
      </c>
      <c r="AC674" s="9" t="s">
        <v>1644</v>
      </c>
      <c r="AD674" s="23" t="s">
        <v>197</v>
      </c>
      <c r="AE674" s="23" t="s">
        <v>197</v>
      </c>
      <c r="AF674" s="23" t="s">
        <v>197</v>
      </c>
      <c r="AG674" s="23" t="s">
        <v>197</v>
      </c>
      <c r="AH674" s="23" t="s">
        <v>197</v>
      </c>
      <c r="AI674" s="23" t="s">
        <v>197</v>
      </c>
      <c r="AJ674" s="23" t="s">
        <v>197</v>
      </c>
      <c r="AK674" s="23" t="s">
        <v>197</v>
      </c>
      <c r="AL674" s="23" t="s">
        <v>197</v>
      </c>
      <c r="AM674" s="9" t="s">
        <v>197</v>
      </c>
      <c r="AN674" s="23" t="s">
        <v>197</v>
      </c>
      <c r="AO674" s="23" t="s">
        <v>197</v>
      </c>
      <c r="AP674" s="23" t="s">
        <v>197</v>
      </c>
    </row>
    <row r="675" customFormat="false" ht="21.75" hidden="false" customHeight="true" outlineLevel="0" collapsed="false">
      <c r="B675" s="14" t="n">
        <v>671</v>
      </c>
      <c r="C675" s="7" t="s">
        <v>50</v>
      </c>
      <c r="D675" s="7" t="s">
        <v>23</v>
      </c>
      <c r="E675" s="7" t="s">
        <v>122</v>
      </c>
      <c r="F675" s="7" t="s">
        <v>71</v>
      </c>
      <c r="G675" s="7" t="s">
        <v>1712</v>
      </c>
      <c r="H675" s="7" t="s">
        <v>388</v>
      </c>
      <c r="I675" s="7" t="s">
        <v>1704</v>
      </c>
      <c r="J675" s="7" t="s">
        <v>1705</v>
      </c>
      <c r="K675" s="7" t="s">
        <v>1590</v>
      </c>
      <c r="L675" s="7" t="s">
        <v>1618</v>
      </c>
      <c r="M675" s="7" t="s">
        <v>235</v>
      </c>
      <c r="N675" s="7" t="s">
        <v>1188</v>
      </c>
      <c r="O675" s="7" t="s">
        <v>189</v>
      </c>
      <c r="P675" s="7" t="s">
        <v>952</v>
      </c>
      <c r="Q675" s="7" t="s">
        <v>1706</v>
      </c>
      <c r="R675" s="7" t="s">
        <v>1707</v>
      </c>
      <c r="S675" s="7" t="s">
        <v>1369</v>
      </c>
      <c r="T675" s="7" t="s">
        <v>1708</v>
      </c>
      <c r="U675" s="18" t="n">
        <v>145</v>
      </c>
      <c r="V675" s="7"/>
      <c r="W675" s="7"/>
      <c r="X675" s="7" t="s">
        <v>203</v>
      </c>
      <c r="Y675" s="22" t="n">
        <v>0.074</v>
      </c>
      <c r="Z675" s="22" t="n">
        <v>0.285</v>
      </c>
      <c r="AA675" s="22" t="n">
        <v>12</v>
      </c>
      <c r="AB675" s="7" t="s">
        <v>1618</v>
      </c>
      <c r="AC675" s="7" t="s">
        <v>1644</v>
      </c>
      <c r="AD675" s="22" t="s">
        <v>197</v>
      </c>
      <c r="AE675" s="22" t="s">
        <v>197</v>
      </c>
      <c r="AF675" s="22" t="s">
        <v>197</v>
      </c>
      <c r="AG675" s="22" t="s">
        <v>197</v>
      </c>
      <c r="AH675" s="22" t="s">
        <v>197</v>
      </c>
      <c r="AI675" s="22" t="s">
        <v>197</v>
      </c>
      <c r="AJ675" s="22" t="s">
        <v>197</v>
      </c>
      <c r="AK675" s="22" t="s">
        <v>197</v>
      </c>
      <c r="AL675" s="22" t="s">
        <v>197</v>
      </c>
      <c r="AM675" s="7" t="s">
        <v>197</v>
      </c>
      <c r="AN675" s="22" t="s">
        <v>197</v>
      </c>
      <c r="AO675" s="22" t="s">
        <v>197</v>
      </c>
      <c r="AP675" s="22" t="s">
        <v>197</v>
      </c>
    </row>
    <row r="676" customFormat="false" ht="21.75" hidden="false" customHeight="true" outlineLevel="0" collapsed="false">
      <c r="B676" s="15" t="n">
        <v>672</v>
      </c>
      <c r="C676" s="9" t="s">
        <v>50</v>
      </c>
      <c r="D676" s="9" t="s">
        <v>23</v>
      </c>
      <c r="E676" s="9" t="s">
        <v>122</v>
      </c>
      <c r="F676" s="9" t="s">
        <v>71</v>
      </c>
      <c r="G676" s="9" t="s">
        <v>1713</v>
      </c>
      <c r="H676" s="9" t="s">
        <v>390</v>
      </c>
      <c r="I676" s="9" t="s">
        <v>1704</v>
      </c>
      <c r="J676" s="9" t="s">
        <v>1705</v>
      </c>
      <c r="K676" s="9" t="s">
        <v>1590</v>
      </c>
      <c r="L676" s="9" t="s">
        <v>1618</v>
      </c>
      <c r="M676" s="9" t="s">
        <v>235</v>
      </c>
      <c r="N676" s="9" t="s">
        <v>1188</v>
      </c>
      <c r="O676" s="9" t="s">
        <v>189</v>
      </c>
      <c r="P676" s="9" t="s">
        <v>952</v>
      </c>
      <c r="Q676" s="9" t="s">
        <v>1706</v>
      </c>
      <c r="R676" s="9" t="s">
        <v>1707</v>
      </c>
      <c r="S676" s="9" t="s">
        <v>1369</v>
      </c>
      <c r="T676" s="9" t="s">
        <v>1708</v>
      </c>
      <c r="U676" s="19" t="n">
        <v>215</v>
      </c>
      <c r="V676" s="9"/>
      <c r="W676" s="9"/>
      <c r="X676" s="9" t="s">
        <v>205</v>
      </c>
      <c r="Y676" s="23" t="n">
        <v>0.099</v>
      </c>
      <c r="Z676" s="23" t="n">
        <v>0.347</v>
      </c>
      <c r="AA676" s="23" t="n">
        <v>12</v>
      </c>
      <c r="AB676" s="9" t="s">
        <v>1618</v>
      </c>
      <c r="AC676" s="9" t="s">
        <v>1644</v>
      </c>
      <c r="AD676" s="23" t="s">
        <v>197</v>
      </c>
      <c r="AE676" s="23" t="s">
        <v>197</v>
      </c>
      <c r="AF676" s="23" t="s">
        <v>197</v>
      </c>
      <c r="AG676" s="23" t="s">
        <v>197</v>
      </c>
      <c r="AH676" s="23" t="s">
        <v>197</v>
      </c>
      <c r="AI676" s="23" t="s">
        <v>197</v>
      </c>
      <c r="AJ676" s="23" t="s">
        <v>197</v>
      </c>
      <c r="AK676" s="23" t="s">
        <v>197</v>
      </c>
      <c r="AL676" s="23" t="s">
        <v>197</v>
      </c>
      <c r="AM676" s="9" t="s">
        <v>197</v>
      </c>
      <c r="AN676" s="23" t="s">
        <v>197</v>
      </c>
      <c r="AO676" s="23" t="s">
        <v>197</v>
      </c>
      <c r="AP676" s="23" t="s">
        <v>197</v>
      </c>
    </row>
    <row r="677" customFormat="false" ht="21.75" hidden="false" customHeight="true" outlineLevel="0" collapsed="false">
      <c r="B677" s="14" t="n">
        <v>673</v>
      </c>
      <c r="C677" s="7" t="s">
        <v>50</v>
      </c>
      <c r="D677" s="7" t="s">
        <v>23</v>
      </c>
      <c r="E677" s="7" t="s">
        <v>122</v>
      </c>
      <c r="F677" s="7" t="s">
        <v>72</v>
      </c>
      <c r="G677" s="7" t="s">
        <v>391</v>
      </c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18"/>
      <c r="V677" s="7"/>
      <c r="W677" s="7"/>
      <c r="X677" s="7" t="s">
        <v>1714</v>
      </c>
      <c r="Y677" s="22" t="s">
        <v>197</v>
      </c>
      <c r="Z677" s="22" t="s">
        <v>197</v>
      </c>
      <c r="AA677" s="22" t="s">
        <v>197</v>
      </c>
      <c r="AB677" s="7" t="s">
        <v>197</v>
      </c>
      <c r="AC677" s="7" t="s">
        <v>197</v>
      </c>
      <c r="AD677" s="22" t="s">
        <v>197</v>
      </c>
      <c r="AE677" s="22" t="s">
        <v>197</v>
      </c>
      <c r="AF677" s="22" t="s">
        <v>197</v>
      </c>
      <c r="AG677" s="22" t="s">
        <v>197</v>
      </c>
      <c r="AH677" s="22" t="s">
        <v>197</v>
      </c>
      <c r="AI677" s="22" t="s">
        <v>197</v>
      </c>
      <c r="AJ677" s="22" t="s">
        <v>197</v>
      </c>
      <c r="AK677" s="22" t="s">
        <v>197</v>
      </c>
      <c r="AL677" s="22" t="s">
        <v>197</v>
      </c>
      <c r="AM677" s="7" t="s">
        <v>197</v>
      </c>
      <c r="AN677" s="22" t="s">
        <v>197</v>
      </c>
      <c r="AO677" s="22" t="s">
        <v>197</v>
      </c>
      <c r="AP677" s="22" t="s">
        <v>197</v>
      </c>
    </row>
    <row r="678" customFormat="false" ht="21.75" hidden="false" customHeight="true" outlineLevel="0" collapsed="false">
      <c r="B678" s="15" t="n">
        <v>674</v>
      </c>
      <c r="C678" s="9" t="s">
        <v>50</v>
      </c>
      <c r="D678" s="9" t="s">
        <v>23</v>
      </c>
      <c r="E678" s="9" t="s">
        <v>122</v>
      </c>
      <c r="F678" s="9" t="s">
        <v>73</v>
      </c>
      <c r="G678" s="9" t="s">
        <v>1715</v>
      </c>
      <c r="H678" s="9" t="s">
        <v>394</v>
      </c>
      <c r="I678" s="9" t="s">
        <v>1716</v>
      </c>
      <c r="J678" s="9" t="s">
        <v>1717</v>
      </c>
      <c r="K678" s="9" t="s">
        <v>1641</v>
      </c>
      <c r="L678" s="9" t="s">
        <v>1618</v>
      </c>
      <c r="M678" s="9" t="s">
        <v>235</v>
      </c>
      <c r="N678" s="9" t="s">
        <v>778</v>
      </c>
      <c r="O678" s="9" t="s">
        <v>189</v>
      </c>
      <c r="P678" s="9" t="s">
        <v>952</v>
      </c>
      <c r="Q678" s="9" t="s">
        <v>1718</v>
      </c>
      <c r="R678" s="9" t="s">
        <v>780</v>
      </c>
      <c r="S678" s="9" t="s">
        <v>1369</v>
      </c>
      <c r="T678" s="9" t="s">
        <v>1719</v>
      </c>
      <c r="U678" s="19" t="n">
        <v>25</v>
      </c>
      <c r="V678" s="9"/>
      <c r="W678" s="9"/>
      <c r="X678" s="9" t="s">
        <v>195</v>
      </c>
      <c r="Y678" s="23" t="n">
        <v>0.032</v>
      </c>
      <c r="Z678" s="23" t="n">
        <v>0.053</v>
      </c>
      <c r="AA678" s="23" t="n">
        <v>12</v>
      </c>
      <c r="AB678" s="9" t="s">
        <v>1618</v>
      </c>
      <c r="AC678" s="9" t="s">
        <v>1644</v>
      </c>
      <c r="AD678" s="23" t="s">
        <v>197</v>
      </c>
      <c r="AE678" s="23" t="s">
        <v>197</v>
      </c>
      <c r="AF678" s="23" t="s">
        <v>197</v>
      </c>
      <c r="AG678" s="23" t="n">
        <v>4</v>
      </c>
      <c r="AH678" s="23" t="s">
        <v>197</v>
      </c>
      <c r="AI678" s="23" t="s">
        <v>197</v>
      </c>
      <c r="AJ678" s="23" t="s">
        <v>197</v>
      </c>
      <c r="AK678" s="23" t="s">
        <v>197</v>
      </c>
      <c r="AL678" s="23" t="s">
        <v>197</v>
      </c>
      <c r="AM678" s="9" t="s">
        <v>197</v>
      </c>
      <c r="AN678" s="23" t="s">
        <v>197</v>
      </c>
      <c r="AO678" s="23" t="s">
        <v>197</v>
      </c>
      <c r="AP678" s="23" t="s">
        <v>197</v>
      </c>
    </row>
    <row r="679" customFormat="false" ht="21.75" hidden="false" customHeight="true" outlineLevel="0" collapsed="false">
      <c r="B679" s="14" t="n">
        <v>675</v>
      </c>
      <c r="C679" s="7" t="s">
        <v>50</v>
      </c>
      <c r="D679" s="7" t="s">
        <v>23</v>
      </c>
      <c r="E679" s="7" t="s">
        <v>122</v>
      </c>
      <c r="F679" s="7" t="s">
        <v>73</v>
      </c>
      <c r="G679" s="7" t="s">
        <v>1720</v>
      </c>
      <c r="H679" s="7" t="s">
        <v>402</v>
      </c>
      <c r="I679" s="7" t="s">
        <v>1716</v>
      </c>
      <c r="J679" s="7" t="s">
        <v>1717</v>
      </c>
      <c r="K679" s="7" t="s">
        <v>1641</v>
      </c>
      <c r="L679" s="7" t="s">
        <v>1618</v>
      </c>
      <c r="M679" s="7" t="s">
        <v>235</v>
      </c>
      <c r="N679" s="7" t="s">
        <v>778</v>
      </c>
      <c r="O679" s="7" t="s">
        <v>189</v>
      </c>
      <c r="P679" s="7" t="s">
        <v>952</v>
      </c>
      <c r="Q679" s="7" t="s">
        <v>1718</v>
      </c>
      <c r="R679" s="7" t="s">
        <v>780</v>
      </c>
      <c r="S679" s="7" t="s">
        <v>1369</v>
      </c>
      <c r="T679" s="7" t="s">
        <v>1719</v>
      </c>
      <c r="U679" s="18" t="n">
        <v>40</v>
      </c>
      <c r="V679" s="7"/>
      <c r="W679" s="7"/>
      <c r="X679" s="7" t="s">
        <v>199</v>
      </c>
      <c r="Y679" s="22" t="n">
        <v>0.047</v>
      </c>
      <c r="Z679" s="22" t="n">
        <v>0.072</v>
      </c>
      <c r="AA679" s="22" t="n">
        <v>12</v>
      </c>
      <c r="AB679" s="7" t="s">
        <v>1618</v>
      </c>
      <c r="AC679" s="7" t="s">
        <v>1644</v>
      </c>
      <c r="AD679" s="22" t="s">
        <v>197</v>
      </c>
      <c r="AE679" s="22" t="s">
        <v>197</v>
      </c>
      <c r="AF679" s="22" t="s">
        <v>197</v>
      </c>
      <c r="AG679" s="22" t="n">
        <v>8</v>
      </c>
      <c r="AH679" s="22" t="s">
        <v>197</v>
      </c>
      <c r="AI679" s="22" t="s">
        <v>197</v>
      </c>
      <c r="AJ679" s="22" t="s">
        <v>197</v>
      </c>
      <c r="AK679" s="22" t="s">
        <v>197</v>
      </c>
      <c r="AL679" s="22" t="s">
        <v>197</v>
      </c>
      <c r="AM679" s="7" t="s">
        <v>197</v>
      </c>
      <c r="AN679" s="22" t="s">
        <v>197</v>
      </c>
      <c r="AO679" s="22" t="s">
        <v>197</v>
      </c>
      <c r="AP679" s="22" t="s">
        <v>197</v>
      </c>
    </row>
    <row r="680" customFormat="false" ht="21.75" hidden="false" customHeight="true" outlineLevel="0" collapsed="false">
      <c r="B680" s="15" t="n">
        <v>676</v>
      </c>
      <c r="C680" s="9" t="s">
        <v>50</v>
      </c>
      <c r="D680" s="9" t="s">
        <v>23</v>
      </c>
      <c r="E680" s="9" t="s">
        <v>122</v>
      </c>
      <c r="F680" s="9" t="s">
        <v>73</v>
      </c>
      <c r="G680" s="9" t="s">
        <v>1721</v>
      </c>
      <c r="H680" s="9" t="s">
        <v>404</v>
      </c>
      <c r="I680" s="9" t="s">
        <v>1716</v>
      </c>
      <c r="J680" s="9" t="s">
        <v>1717</v>
      </c>
      <c r="K680" s="9" t="s">
        <v>1641</v>
      </c>
      <c r="L680" s="9" t="s">
        <v>1618</v>
      </c>
      <c r="M680" s="9" t="s">
        <v>235</v>
      </c>
      <c r="N680" s="9" t="s">
        <v>778</v>
      </c>
      <c r="O680" s="9" t="s">
        <v>189</v>
      </c>
      <c r="P680" s="9" t="s">
        <v>952</v>
      </c>
      <c r="Q680" s="9" t="s">
        <v>1718</v>
      </c>
      <c r="R680" s="9" t="s">
        <v>780</v>
      </c>
      <c r="S680" s="9" t="s">
        <v>1369</v>
      </c>
      <c r="T680" s="9" t="s">
        <v>1719</v>
      </c>
      <c r="U680" s="19" t="n">
        <v>55</v>
      </c>
      <c r="V680" s="9"/>
      <c r="W680" s="9"/>
      <c r="X680" s="9" t="s">
        <v>1722</v>
      </c>
      <c r="Y680" s="23" t="n">
        <v>0.044</v>
      </c>
      <c r="Z680" s="23" t="n">
        <v>0.069</v>
      </c>
      <c r="AA680" s="23" t="n">
        <v>12</v>
      </c>
      <c r="AB680" s="9" t="s">
        <v>1618</v>
      </c>
      <c r="AC680" s="9" t="s">
        <v>1644</v>
      </c>
      <c r="AD680" s="23" t="s">
        <v>197</v>
      </c>
      <c r="AE680" s="23" t="s">
        <v>197</v>
      </c>
      <c r="AF680" s="23" t="s">
        <v>197</v>
      </c>
      <c r="AG680" s="23" t="n">
        <v>8</v>
      </c>
      <c r="AH680" s="23" t="s">
        <v>197</v>
      </c>
      <c r="AI680" s="23" t="s">
        <v>197</v>
      </c>
      <c r="AJ680" s="23" t="s">
        <v>197</v>
      </c>
      <c r="AK680" s="23" t="s">
        <v>197</v>
      </c>
      <c r="AL680" s="23" t="s">
        <v>197</v>
      </c>
      <c r="AM680" s="9" t="s">
        <v>197</v>
      </c>
      <c r="AN680" s="23" t="s">
        <v>197</v>
      </c>
      <c r="AO680" s="23" t="s">
        <v>197</v>
      </c>
      <c r="AP680" s="23" t="s">
        <v>197</v>
      </c>
    </row>
    <row r="681" customFormat="false" ht="21.75" hidden="false" customHeight="true" outlineLevel="0" collapsed="false">
      <c r="B681" s="14" t="n">
        <v>677</v>
      </c>
      <c r="C681" s="7" t="s">
        <v>50</v>
      </c>
      <c r="D681" s="7" t="s">
        <v>23</v>
      </c>
      <c r="E681" s="7" t="s">
        <v>122</v>
      </c>
      <c r="F681" s="7" t="s">
        <v>73</v>
      </c>
      <c r="G681" s="7" t="s">
        <v>1723</v>
      </c>
      <c r="H681" s="7" t="s">
        <v>407</v>
      </c>
      <c r="I681" s="7" t="s">
        <v>1716</v>
      </c>
      <c r="J681" s="7" t="s">
        <v>1717</v>
      </c>
      <c r="K681" s="7" t="s">
        <v>1641</v>
      </c>
      <c r="L681" s="7" t="s">
        <v>1618</v>
      </c>
      <c r="M681" s="7" t="s">
        <v>235</v>
      </c>
      <c r="N681" s="7" t="s">
        <v>778</v>
      </c>
      <c r="O681" s="7" t="s">
        <v>189</v>
      </c>
      <c r="P681" s="7" t="s">
        <v>952</v>
      </c>
      <c r="Q681" s="7" t="s">
        <v>1718</v>
      </c>
      <c r="R681" s="7" t="s">
        <v>780</v>
      </c>
      <c r="S681" s="7" t="s">
        <v>1369</v>
      </c>
      <c r="T681" s="7" t="s">
        <v>1719</v>
      </c>
      <c r="U681" s="18" t="n">
        <v>85</v>
      </c>
      <c r="V681" s="7"/>
      <c r="W681" s="7"/>
      <c r="X681" s="7" t="s">
        <v>203</v>
      </c>
      <c r="Y681" s="22" t="n">
        <v>0.035</v>
      </c>
      <c r="Z681" s="22" t="n">
        <v>0.057</v>
      </c>
      <c r="AA681" s="22" t="n">
        <v>12</v>
      </c>
      <c r="AB681" s="7" t="s">
        <v>1618</v>
      </c>
      <c r="AC681" s="7" t="s">
        <v>1644</v>
      </c>
      <c r="AD681" s="22" t="s">
        <v>197</v>
      </c>
      <c r="AE681" s="22" t="s">
        <v>197</v>
      </c>
      <c r="AF681" s="22" t="s">
        <v>197</v>
      </c>
      <c r="AG681" s="22" t="n">
        <v>16</v>
      </c>
      <c r="AH681" s="22" t="s">
        <v>197</v>
      </c>
      <c r="AI681" s="22" t="s">
        <v>197</v>
      </c>
      <c r="AJ681" s="22" t="s">
        <v>197</v>
      </c>
      <c r="AK681" s="22" t="s">
        <v>197</v>
      </c>
      <c r="AL681" s="22" t="s">
        <v>197</v>
      </c>
      <c r="AM681" s="7" t="s">
        <v>197</v>
      </c>
      <c r="AN681" s="22" t="s">
        <v>197</v>
      </c>
      <c r="AO681" s="22" t="s">
        <v>197</v>
      </c>
      <c r="AP681" s="22" t="s">
        <v>197</v>
      </c>
    </row>
    <row r="682" customFormat="false" ht="21.75" hidden="false" customHeight="true" outlineLevel="0" collapsed="false">
      <c r="B682" s="15" t="n">
        <v>678</v>
      </c>
      <c r="C682" s="9" t="s">
        <v>50</v>
      </c>
      <c r="D682" s="9" t="s">
        <v>23</v>
      </c>
      <c r="E682" s="9" t="s">
        <v>122</v>
      </c>
      <c r="F682" s="9" t="s">
        <v>73</v>
      </c>
      <c r="G682" s="9" t="s">
        <v>1724</v>
      </c>
      <c r="H682" s="9" t="s">
        <v>409</v>
      </c>
      <c r="I682" s="9" t="s">
        <v>1716</v>
      </c>
      <c r="J682" s="9" t="s">
        <v>1717</v>
      </c>
      <c r="K682" s="9" t="s">
        <v>1641</v>
      </c>
      <c r="L682" s="9" t="s">
        <v>1618</v>
      </c>
      <c r="M682" s="9" t="s">
        <v>235</v>
      </c>
      <c r="N682" s="9" t="s">
        <v>778</v>
      </c>
      <c r="O682" s="9" t="s">
        <v>189</v>
      </c>
      <c r="P682" s="9" t="s">
        <v>952</v>
      </c>
      <c r="Q682" s="9" t="s">
        <v>1718</v>
      </c>
      <c r="R682" s="9" t="s">
        <v>780</v>
      </c>
      <c r="S682" s="9" t="s">
        <v>1369</v>
      </c>
      <c r="T682" s="9" t="s">
        <v>1719</v>
      </c>
      <c r="U682" s="19" t="n">
        <v>125</v>
      </c>
      <c r="V682" s="9"/>
      <c r="W682" s="9"/>
      <c r="X682" s="9" t="s">
        <v>205</v>
      </c>
      <c r="Y682" s="23" t="n">
        <v>0.046</v>
      </c>
      <c r="Z682" s="23" t="n">
        <v>0.072</v>
      </c>
      <c r="AA682" s="23" t="n">
        <v>12</v>
      </c>
      <c r="AB682" s="9" t="s">
        <v>1618</v>
      </c>
      <c r="AC682" s="9" t="s">
        <v>1644</v>
      </c>
      <c r="AD682" s="23" t="s">
        <v>197</v>
      </c>
      <c r="AE682" s="23" t="s">
        <v>197</v>
      </c>
      <c r="AF682" s="23" t="s">
        <v>197</v>
      </c>
      <c r="AG682" s="23" t="n">
        <v>16</v>
      </c>
      <c r="AH682" s="23" t="s">
        <v>197</v>
      </c>
      <c r="AI682" s="23" t="s">
        <v>197</v>
      </c>
      <c r="AJ682" s="23" t="s">
        <v>197</v>
      </c>
      <c r="AK682" s="23" t="s">
        <v>197</v>
      </c>
      <c r="AL682" s="23" t="s">
        <v>197</v>
      </c>
      <c r="AM682" s="9" t="s">
        <v>197</v>
      </c>
      <c r="AN682" s="23" t="s">
        <v>197</v>
      </c>
      <c r="AO682" s="23" t="s">
        <v>197</v>
      </c>
      <c r="AP682" s="23" t="s">
        <v>197</v>
      </c>
    </row>
    <row r="683" customFormat="false" ht="21.75" hidden="false" customHeight="true" outlineLevel="0" collapsed="false">
      <c r="B683" s="14" t="n">
        <v>679</v>
      </c>
      <c r="C683" s="7" t="s">
        <v>50</v>
      </c>
      <c r="D683" s="7" t="s">
        <v>23</v>
      </c>
      <c r="E683" s="7" t="s">
        <v>122</v>
      </c>
      <c r="F683" s="7" t="s">
        <v>74</v>
      </c>
      <c r="G683" s="7" t="s">
        <v>391</v>
      </c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18"/>
      <c r="V683" s="7"/>
      <c r="W683" s="7"/>
      <c r="X683" s="7" t="s">
        <v>1725</v>
      </c>
      <c r="Y683" s="22" t="s">
        <v>197</v>
      </c>
      <c r="Z683" s="22" t="s">
        <v>197</v>
      </c>
      <c r="AA683" s="22" t="s">
        <v>197</v>
      </c>
      <c r="AB683" s="7" t="s">
        <v>197</v>
      </c>
      <c r="AC683" s="7" t="s">
        <v>197</v>
      </c>
      <c r="AD683" s="22" t="s">
        <v>197</v>
      </c>
      <c r="AE683" s="22" t="s">
        <v>197</v>
      </c>
      <c r="AF683" s="22" t="s">
        <v>197</v>
      </c>
      <c r="AG683" s="22" t="s">
        <v>197</v>
      </c>
      <c r="AH683" s="22" t="s">
        <v>197</v>
      </c>
      <c r="AI683" s="22" t="s">
        <v>197</v>
      </c>
      <c r="AJ683" s="22" t="s">
        <v>197</v>
      </c>
      <c r="AK683" s="22" t="s">
        <v>197</v>
      </c>
      <c r="AL683" s="22" t="s">
        <v>197</v>
      </c>
      <c r="AM683" s="7" t="s">
        <v>197</v>
      </c>
      <c r="AN683" s="22" t="s">
        <v>197</v>
      </c>
      <c r="AO683" s="22" t="s">
        <v>197</v>
      </c>
      <c r="AP683" s="22" t="s">
        <v>197</v>
      </c>
    </row>
    <row r="684" customFormat="false" ht="21.75" hidden="false" customHeight="true" outlineLevel="0" collapsed="false">
      <c r="B684" s="15" t="n">
        <v>680</v>
      </c>
      <c r="C684" s="9" t="s">
        <v>50</v>
      </c>
      <c r="D684" s="9" t="s">
        <v>23</v>
      </c>
      <c r="E684" s="9" t="s">
        <v>122</v>
      </c>
      <c r="F684" s="9" t="s">
        <v>75</v>
      </c>
      <c r="G684" s="9" t="s">
        <v>1726</v>
      </c>
      <c r="H684" s="9" t="s">
        <v>430</v>
      </c>
      <c r="I684" s="9" t="s">
        <v>1727</v>
      </c>
      <c r="J684" s="9" t="s">
        <v>626</v>
      </c>
      <c r="K684" s="9" t="s">
        <v>1728</v>
      </c>
      <c r="L684" s="9" t="s">
        <v>1618</v>
      </c>
      <c r="M684" s="9" t="s">
        <v>1729</v>
      </c>
      <c r="N684" s="9" t="s">
        <v>189</v>
      </c>
      <c r="O684" s="9" t="s">
        <v>189</v>
      </c>
      <c r="P684" s="9" t="s">
        <v>952</v>
      </c>
      <c r="Q684" s="9" t="s">
        <v>1730</v>
      </c>
      <c r="R684" s="9" t="s">
        <v>418</v>
      </c>
      <c r="S684" s="9" t="s">
        <v>1369</v>
      </c>
      <c r="T684" s="9" t="s">
        <v>436</v>
      </c>
      <c r="U684" s="19" t="n">
        <v>13</v>
      </c>
      <c r="V684" s="9"/>
      <c r="W684" s="9"/>
      <c r="X684" s="9" t="s">
        <v>195</v>
      </c>
      <c r="Y684" s="23" t="n">
        <v>3.22E-006</v>
      </c>
      <c r="Z684" s="23" t="n">
        <v>1.608E-005</v>
      </c>
      <c r="AA684" s="23" t="n">
        <v>3</v>
      </c>
      <c r="AB684" s="9" t="s">
        <v>1618</v>
      </c>
      <c r="AC684" s="9" t="s">
        <v>1683</v>
      </c>
      <c r="AD684" s="23" t="s">
        <v>197</v>
      </c>
      <c r="AE684" s="23" t="s">
        <v>197</v>
      </c>
      <c r="AF684" s="23" t="s">
        <v>197</v>
      </c>
      <c r="AG684" s="23" t="s">
        <v>197</v>
      </c>
      <c r="AH684" s="23" t="s">
        <v>197</v>
      </c>
      <c r="AI684" s="23" t="s">
        <v>197</v>
      </c>
      <c r="AJ684" s="23" t="s">
        <v>197</v>
      </c>
      <c r="AK684" s="23" t="s">
        <v>197</v>
      </c>
      <c r="AL684" s="23" t="s">
        <v>197</v>
      </c>
      <c r="AM684" s="9" t="s">
        <v>197</v>
      </c>
      <c r="AN684" s="23" t="s">
        <v>197</v>
      </c>
      <c r="AO684" s="23" t="s">
        <v>197</v>
      </c>
      <c r="AP684" s="23" t="s">
        <v>197</v>
      </c>
    </row>
    <row r="685" customFormat="false" ht="21.75" hidden="false" customHeight="true" outlineLevel="0" collapsed="false">
      <c r="B685" s="14" t="n">
        <v>681</v>
      </c>
      <c r="C685" s="7" t="s">
        <v>50</v>
      </c>
      <c r="D685" s="7" t="s">
        <v>23</v>
      </c>
      <c r="E685" s="7" t="s">
        <v>122</v>
      </c>
      <c r="F685" s="7" t="s">
        <v>75</v>
      </c>
      <c r="G685" s="7" t="s">
        <v>1731</v>
      </c>
      <c r="H685" s="7" t="s">
        <v>438</v>
      </c>
      <c r="I685" s="7" t="s">
        <v>1727</v>
      </c>
      <c r="J685" s="7" t="s">
        <v>626</v>
      </c>
      <c r="K685" s="7" t="s">
        <v>1728</v>
      </c>
      <c r="L685" s="7" t="s">
        <v>1618</v>
      </c>
      <c r="M685" s="7" t="s">
        <v>1729</v>
      </c>
      <c r="N685" s="7" t="s">
        <v>189</v>
      </c>
      <c r="O685" s="7" t="s">
        <v>189</v>
      </c>
      <c r="P685" s="7" t="s">
        <v>952</v>
      </c>
      <c r="Q685" s="7" t="s">
        <v>1730</v>
      </c>
      <c r="R685" s="7" t="s">
        <v>418</v>
      </c>
      <c r="S685" s="7" t="s">
        <v>1369</v>
      </c>
      <c r="T685" s="7" t="s">
        <v>436</v>
      </c>
      <c r="U685" s="18" t="n">
        <v>20</v>
      </c>
      <c r="V685" s="7"/>
      <c r="W685" s="7"/>
      <c r="X685" s="7" t="s">
        <v>199</v>
      </c>
      <c r="Y685" s="22" t="n">
        <v>4.41E-006</v>
      </c>
      <c r="Z685" s="22" t="n">
        <v>2.207E-005</v>
      </c>
      <c r="AA685" s="22" t="n">
        <v>3</v>
      </c>
      <c r="AB685" s="7" t="s">
        <v>1618</v>
      </c>
      <c r="AC685" s="7" t="s">
        <v>1683</v>
      </c>
      <c r="AD685" s="22" t="s">
        <v>197</v>
      </c>
      <c r="AE685" s="22" t="s">
        <v>197</v>
      </c>
      <c r="AF685" s="22" t="s">
        <v>197</v>
      </c>
      <c r="AG685" s="22" t="s">
        <v>197</v>
      </c>
      <c r="AH685" s="22" t="s">
        <v>197</v>
      </c>
      <c r="AI685" s="22" t="s">
        <v>197</v>
      </c>
      <c r="AJ685" s="22" t="s">
        <v>197</v>
      </c>
      <c r="AK685" s="22" t="s">
        <v>197</v>
      </c>
      <c r="AL685" s="22" t="s">
        <v>197</v>
      </c>
      <c r="AM685" s="7" t="s">
        <v>197</v>
      </c>
      <c r="AN685" s="22" t="s">
        <v>197</v>
      </c>
      <c r="AO685" s="22" t="s">
        <v>197</v>
      </c>
      <c r="AP685" s="22" t="s">
        <v>197</v>
      </c>
    </row>
    <row r="686" customFormat="false" ht="21.75" hidden="false" customHeight="true" outlineLevel="0" collapsed="false">
      <c r="B686" s="15" t="n">
        <v>682</v>
      </c>
      <c r="C686" s="9" t="s">
        <v>50</v>
      </c>
      <c r="D686" s="9" t="s">
        <v>23</v>
      </c>
      <c r="E686" s="9" t="s">
        <v>122</v>
      </c>
      <c r="F686" s="9" t="s">
        <v>75</v>
      </c>
      <c r="G686" s="9" t="s">
        <v>1732</v>
      </c>
      <c r="H686" s="9" t="s">
        <v>440</v>
      </c>
      <c r="I686" s="9" t="s">
        <v>1727</v>
      </c>
      <c r="J686" s="9" t="s">
        <v>626</v>
      </c>
      <c r="K686" s="9" t="s">
        <v>1728</v>
      </c>
      <c r="L686" s="9" t="s">
        <v>1618</v>
      </c>
      <c r="M686" s="9" t="s">
        <v>1729</v>
      </c>
      <c r="N686" s="9" t="s">
        <v>189</v>
      </c>
      <c r="O686" s="9" t="s">
        <v>189</v>
      </c>
      <c r="P686" s="9" t="s">
        <v>952</v>
      </c>
      <c r="Q686" s="9" t="s">
        <v>1730</v>
      </c>
      <c r="R686" s="9" t="s">
        <v>418</v>
      </c>
      <c r="S686" s="9" t="s">
        <v>1369</v>
      </c>
      <c r="T686" s="9" t="s">
        <v>436</v>
      </c>
      <c r="U686" s="19" t="n">
        <v>25</v>
      </c>
      <c r="V686" s="9"/>
      <c r="W686" s="9"/>
      <c r="X686" s="9" t="s">
        <v>1733</v>
      </c>
      <c r="Y686" s="23" t="n">
        <v>5.61E-006</v>
      </c>
      <c r="Z686" s="23" t="n">
        <v>2.803E-005</v>
      </c>
      <c r="AA686" s="23" t="n">
        <v>3</v>
      </c>
      <c r="AB686" s="9" t="s">
        <v>1618</v>
      </c>
      <c r="AC686" s="9" t="s">
        <v>1683</v>
      </c>
      <c r="AD686" s="23" t="s">
        <v>197</v>
      </c>
      <c r="AE686" s="23" t="s">
        <v>197</v>
      </c>
      <c r="AF686" s="23" t="s">
        <v>197</v>
      </c>
      <c r="AG686" s="23" t="s">
        <v>197</v>
      </c>
      <c r="AH686" s="23" t="s">
        <v>197</v>
      </c>
      <c r="AI686" s="23" t="s">
        <v>197</v>
      </c>
      <c r="AJ686" s="23" t="s">
        <v>197</v>
      </c>
      <c r="AK686" s="23" t="s">
        <v>197</v>
      </c>
      <c r="AL686" s="23" t="s">
        <v>197</v>
      </c>
      <c r="AM686" s="9" t="s">
        <v>197</v>
      </c>
      <c r="AN686" s="23" t="s">
        <v>197</v>
      </c>
      <c r="AO686" s="23" t="s">
        <v>197</v>
      </c>
      <c r="AP686" s="23" t="s">
        <v>197</v>
      </c>
    </row>
    <row r="687" customFormat="false" ht="21.75" hidden="false" customHeight="true" outlineLevel="0" collapsed="false">
      <c r="B687" s="14" t="n">
        <v>683</v>
      </c>
      <c r="C687" s="7" t="s">
        <v>50</v>
      </c>
      <c r="D687" s="7" t="s">
        <v>23</v>
      </c>
      <c r="E687" s="7" t="s">
        <v>122</v>
      </c>
      <c r="F687" s="7" t="s">
        <v>75</v>
      </c>
      <c r="G687" s="7" t="s">
        <v>1734</v>
      </c>
      <c r="H687" s="7" t="s">
        <v>443</v>
      </c>
      <c r="I687" s="7" t="s">
        <v>1727</v>
      </c>
      <c r="J687" s="7" t="s">
        <v>626</v>
      </c>
      <c r="K687" s="7" t="s">
        <v>1728</v>
      </c>
      <c r="L687" s="7" t="s">
        <v>1618</v>
      </c>
      <c r="M687" s="7" t="s">
        <v>1729</v>
      </c>
      <c r="N687" s="7" t="s">
        <v>189</v>
      </c>
      <c r="O687" s="7" t="s">
        <v>189</v>
      </c>
      <c r="P687" s="7" t="s">
        <v>952</v>
      </c>
      <c r="Q687" s="7" t="s">
        <v>1730</v>
      </c>
      <c r="R687" s="7" t="s">
        <v>418</v>
      </c>
      <c r="S687" s="7" t="s">
        <v>1369</v>
      </c>
      <c r="T687" s="7" t="s">
        <v>436</v>
      </c>
      <c r="U687" s="18" t="n">
        <v>35</v>
      </c>
      <c r="V687" s="7"/>
      <c r="W687" s="7"/>
      <c r="X687" s="7" t="s">
        <v>203</v>
      </c>
      <c r="Y687" s="22" t="n">
        <v>5.71E-006</v>
      </c>
      <c r="Z687" s="22" t="n">
        <v>2.856E-005</v>
      </c>
      <c r="AA687" s="22" t="n">
        <v>3</v>
      </c>
      <c r="AB687" s="7" t="s">
        <v>1618</v>
      </c>
      <c r="AC687" s="7" t="s">
        <v>1683</v>
      </c>
      <c r="AD687" s="22" t="s">
        <v>197</v>
      </c>
      <c r="AE687" s="22" t="s">
        <v>197</v>
      </c>
      <c r="AF687" s="22" t="s">
        <v>197</v>
      </c>
      <c r="AG687" s="22" t="s">
        <v>197</v>
      </c>
      <c r="AH687" s="22" t="s">
        <v>197</v>
      </c>
      <c r="AI687" s="22" t="s">
        <v>197</v>
      </c>
      <c r="AJ687" s="22" t="s">
        <v>197</v>
      </c>
      <c r="AK687" s="22" t="s">
        <v>197</v>
      </c>
      <c r="AL687" s="22" t="s">
        <v>197</v>
      </c>
      <c r="AM687" s="7" t="s">
        <v>197</v>
      </c>
      <c r="AN687" s="22" t="s">
        <v>197</v>
      </c>
      <c r="AO687" s="22" t="s">
        <v>197</v>
      </c>
      <c r="AP687" s="22" t="s">
        <v>197</v>
      </c>
    </row>
    <row r="688" customFormat="false" ht="21.75" hidden="false" customHeight="true" outlineLevel="0" collapsed="false">
      <c r="B688" s="15" t="n">
        <v>684</v>
      </c>
      <c r="C688" s="9" t="s">
        <v>50</v>
      </c>
      <c r="D688" s="9" t="s">
        <v>23</v>
      </c>
      <c r="E688" s="9" t="s">
        <v>122</v>
      </c>
      <c r="F688" s="9" t="s">
        <v>75</v>
      </c>
      <c r="G688" s="9" t="s">
        <v>1735</v>
      </c>
      <c r="H688" s="9" t="s">
        <v>444</v>
      </c>
      <c r="I688" s="9" t="s">
        <v>1727</v>
      </c>
      <c r="J688" s="9" t="s">
        <v>626</v>
      </c>
      <c r="K688" s="9" t="s">
        <v>1728</v>
      </c>
      <c r="L688" s="9" t="s">
        <v>1618</v>
      </c>
      <c r="M688" s="9" t="s">
        <v>1729</v>
      </c>
      <c r="N688" s="9" t="s">
        <v>189</v>
      </c>
      <c r="O688" s="9" t="s">
        <v>189</v>
      </c>
      <c r="P688" s="9" t="s">
        <v>952</v>
      </c>
      <c r="Q688" s="9" t="s">
        <v>1730</v>
      </c>
      <c r="R688" s="9" t="s">
        <v>418</v>
      </c>
      <c r="S688" s="9" t="s">
        <v>1369</v>
      </c>
      <c r="T688" s="9" t="s">
        <v>436</v>
      </c>
      <c r="U688" s="19" t="n">
        <v>55</v>
      </c>
      <c r="V688" s="9"/>
      <c r="W688" s="9"/>
      <c r="X688" s="9" t="s">
        <v>205</v>
      </c>
      <c r="Y688" s="23" t="n">
        <v>5.8E-006</v>
      </c>
      <c r="Z688" s="23" t="n">
        <v>2.898E-005</v>
      </c>
      <c r="AA688" s="23" t="n">
        <v>3</v>
      </c>
      <c r="AB688" s="9" t="s">
        <v>1618</v>
      </c>
      <c r="AC688" s="9" t="s">
        <v>1683</v>
      </c>
      <c r="AD688" s="23" t="s">
        <v>197</v>
      </c>
      <c r="AE688" s="23" t="s">
        <v>197</v>
      </c>
      <c r="AF688" s="23" t="s">
        <v>197</v>
      </c>
      <c r="AG688" s="23" t="s">
        <v>197</v>
      </c>
      <c r="AH688" s="23" t="s">
        <v>197</v>
      </c>
      <c r="AI688" s="23" t="s">
        <v>197</v>
      </c>
      <c r="AJ688" s="23" t="s">
        <v>197</v>
      </c>
      <c r="AK688" s="23" t="s">
        <v>197</v>
      </c>
      <c r="AL688" s="23" t="s">
        <v>197</v>
      </c>
      <c r="AM688" s="9" t="s">
        <v>197</v>
      </c>
      <c r="AN688" s="23" t="s">
        <v>197</v>
      </c>
      <c r="AO688" s="23" t="s">
        <v>197</v>
      </c>
      <c r="AP688" s="23" t="s">
        <v>197</v>
      </c>
    </row>
    <row r="689" customFormat="false" ht="21.75" hidden="false" customHeight="true" outlineLevel="0" collapsed="false">
      <c r="B689" s="14" t="n">
        <v>685</v>
      </c>
      <c r="C689" s="7" t="s">
        <v>51</v>
      </c>
      <c r="D689" s="7" t="s">
        <v>23</v>
      </c>
      <c r="E689" s="7" t="s">
        <v>123</v>
      </c>
      <c r="F689" s="7" t="s">
        <v>60</v>
      </c>
      <c r="G689" s="7" t="s">
        <v>1736</v>
      </c>
      <c r="H689" s="7" t="s">
        <v>1737</v>
      </c>
      <c r="I689" s="7" t="s">
        <v>1738</v>
      </c>
      <c r="J689" s="7" t="s">
        <v>1739</v>
      </c>
      <c r="K689" s="7" t="s">
        <v>1740</v>
      </c>
      <c r="L689" s="7" t="s">
        <v>1741</v>
      </c>
      <c r="M689" s="7" t="s">
        <v>1742</v>
      </c>
      <c r="N689" s="7" t="s">
        <v>1743</v>
      </c>
      <c r="O689" s="7" t="s">
        <v>189</v>
      </c>
      <c r="P689" s="7" t="s">
        <v>1744</v>
      </c>
      <c r="Q689" s="7" t="s">
        <v>1745</v>
      </c>
      <c r="R689" s="7" t="s">
        <v>1746</v>
      </c>
      <c r="S689" s="7" t="s">
        <v>1747</v>
      </c>
      <c r="T689" s="7" t="s">
        <v>644</v>
      </c>
      <c r="U689" s="18" t="n">
        <v>160</v>
      </c>
      <c r="V689" s="7"/>
      <c r="W689" s="7"/>
      <c r="X689" s="7" t="s">
        <v>195</v>
      </c>
      <c r="Y689" s="22" t="n">
        <v>0.053</v>
      </c>
      <c r="Z689" s="22" t="n">
        <v>0.5</v>
      </c>
      <c r="AA689" s="22" t="n">
        <v>12</v>
      </c>
      <c r="AB689" s="7" t="s">
        <v>1741</v>
      </c>
      <c r="AC689" s="7" t="s">
        <v>1748</v>
      </c>
      <c r="AD689" s="22" t="n">
        <v>0.053</v>
      </c>
      <c r="AE689" s="22" t="n">
        <v>0.5</v>
      </c>
      <c r="AF689" s="22" t="n">
        <v>3.5</v>
      </c>
      <c r="AG689" s="22" t="n">
        <v>128</v>
      </c>
      <c r="AH689" s="22" t="n">
        <v>32</v>
      </c>
      <c r="AI689" s="22" t="s">
        <v>197</v>
      </c>
      <c r="AJ689" s="22" t="s">
        <v>197</v>
      </c>
      <c r="AK689" s="22" t="s">
        <v>197</v>
      </c>
      <c r="AL689" s="22" t="s">
        <v>197</v>
      </c>
      <c r="AM689" s="7" t="s">
        <v>197</v>
      </c>
      <c r="AN689" s="22" t="s">
        <v>197</v>
      </c>
      <c r="AO689" s="22" t="s">
        <v>197</v>
      </c>
      <c r="AP689" s="22" t="s">
        <v>197</v>
      </c>
    </row>
    <row r="690" customFormat="false" ht="21.75" hidden="false" customHeight="true" outlineLevel="0" collapsed="false">
      <c r="B690" s="15" t="n">
        <v>686</v>
      </c>
      <c r="C690" s="9" t="s">
        <v>51</v>
      </c>
      <c r="D690" s="9" t="s">
        <v>23</v>
      </c>
      <c r="E690" s="9" t="s">
        <v>123</v>
      </c>
      <c r="F690" s="9" t="s">
        <v>60</v>
      </c>
      <c r="G690" s="9" t="s">
        <v>1749</v>
      </c>
      <c r="H690" s="9" t="s">
        <v>1737</v>
      </c>
      <c r="I690" s="9" t="s">
        <v>1738</v>
      </c>
      <c r="J690" s="9" t="s">
        <v>1739</v>
      </c>
      <c r="K690" s="9" t="s">
        <v>1740</v>
      </c>
      <c r="L690" s="9" t="s">
        <v>1741</v>
      </c>
      <c r="M690" s="9" t="s">
        <v>1742</v>
      </c>
      <c r="N690" s="9" t="s">
        <v>1743</v>
      </c>
      <c r="O690" s="9" t="s">
        <v>189</v>
      </c>
      <c r="P690" s="9" t="s">
        <v>1744</v>
      </c>
      <c r="Q690" s="9" t="s">
        <v>1745</v>
      </c>
      <c r="R690" s="9" t="s">
        <v>1746</v>
      </c>
      <c r="S690" s="9" t="s">
        <v>1747</v>
      </c>
      <c r="T690" s="9" t="s">
        <v>644</v>
      </c>
      <c r="U690" s="19" t="n">
        <v>240</v>
      </c>
      <c r="V690" s="9"/>
      <c r="W690" s="9"/>
      <c r="X690" s="9" t="s">
        <v>199</v>
      </c>
      <c r="Y690" s="23" t="n">
        <v>0.104</v>
      </c>
      <c r="Z690" s="23" t="n">
        <v>0.5</v>
      </c>
      <c r="AA690" s="23" t="n">
        <v>12</v>
      </c>
      <c r="AB690" s="9" t="s">
        <v>1741</v>
      </c>
      <c r="AC690" s="9" t="s">
        <v>1748</v>
      </c>
      <c r="AD690" s="23" t="n">
        <v>0.104</v>
      </c>
      <c r="AE690" s="23" t="n">
        <v>0.5</v>
      </c>
      <c r="AF690" s="23" t="n">
        <v>3.5</v>
      </c>
      <c r="AG690" s="23" t="n">
        <v>128</v>
      </c>
      <c r="AH690" s="23" t="n">
        <v>32</v>
      </c>
      <c r="AI690" s="23" t="s">
        <v>197</v>
      </c>
      <c r="AJ690" s="23" t="s">
        <v>197</v>
      </c>
      <c r="AK690" s="23" t="s">
        <v>197</v>
      </c>
      <c r="AL690" s="23" t="s">
        <v>197</v>
      </c>
      <c r="AM690" s="9" t="s">
        <v>197</v>
      </c>
      <c r="AN690" s="23" t="s">
        <v>197</v>
      </c>
      <c r="AO690" s="23" t="s">
        <v>197</v>
      </c>
      <c r="AP690" s="23" t="s">
        <v>197</v>
      </c>
    </row>
    <row r="691" customFormat="false" ht="21.75" hidden="false" customHeight="true" outlineLevel="0" collapsed="false">
      <c r="B691" s="14" t="n">
        <v>687</v>
      </c>
      <c r="C691" s="7" t="s">
        <v>51</v>
      </c>
      <c r="D691" s="7" t="s">
        <v>23</v>
      </c>
      <c r="E691" s="7" t="s">
        <v>123</v>
      </c>
      <c r="F691" s="7" t="s">
        <v>60</v>
      </c>
      <c r="G691" s="7" t="s">
        <v>1750</v>
      </c>
      <c r="H691" s="7" t="s">
        <v>1737</v>
      </c>
      <c r="I691" s="7" t="s">
        <v>1738</v>
      </c>
      <c r="J691" s="7" t="s">
        <v>1739</v>
      </c>
      <c r="K691" s="7" t="s">
        <v>1740</v>
      </c>
      <c r="L691" s="7" t="s">
        <v>1741</v>
      </c>
      <c r="M691" s="7" t="s">
        <v>1742</v>
      </c>
      <c r="N691" s="7" t="s">
        <v>1743</v>
      </c>
      <c r="O691" s="7" t="s">
        <v>189</v>
      </c>
      <c r="P691" s="7" t="s">
        <v>1744</v>
      </c>
      <c r="Q691" s="7" t="s">
        <v>1745</v>
      </c>
      <c r="R691" s="7" t="s">
        <v>1746</v>
      </c>
      <c r="S691" s="7" t="s">
        <v>1747</v>
      </c>
      <c r="T691" s="7" t="s">
        <v>644</v>
      </c>
      <c r="U691" s="18" t="n">
        <v>325</v>
      </c>
      <c r="V691" s="7"/>
      <c r="W691" s="7"/>
      <c r="X691" s="7" t="s">
        <v>1751</v>
      </c>
      <c r="Y691" s="22" t="n">
        <v>0.118</v>
      </c>
      <c r="Z691" s="22" t="n">
        <v>0.5</v>
      </c>
      <c r="AA691" s="22" t="n">
        <v>12</v>
      </c>
      <c r="AB691" s="7" t="s">
        <v>1741</v>
      </c>
      <c r="AC691" s="7" t="s">
        <v>1748</v>
      </c>
      <c r="AD691" s="22" t="n">
        <v>0.118</v>
      </c>
      <c r="AE691" s="22" t="n">
        <v>0.5</v>
      </c>
      <c r="AF691" s="22" t="n">
        <v>3.5</v>
      </c>
      <c r="AG691" s="22" t="n">
        <v>128</v>
      </c>
      <c r="AH691" s="22" t="n">
        <v>32</v>
      </c>
      <c r="AI691" s="22" t="s">
        <v>197</v>
      </c>
      <c r="AJ691" s="22" t="s">
        <v>197</v>
      </c>
      <c r="AK691" s="22" t="s">
        <v>197</v>
      </c>
      <c r="AL691" s="22" t="s">
        <v>197</v>
      </c>
      <c r="AM691" s="7" t="s">
        <v>197</v>
      </c>
      <c r="AN691" s="22" t="s">
        <v>197</v>
      </c>
      <c r="AO691" s="22" t="s">
        <v>197</v>
      </c>
      <c r="AP691" s="22" t="s">
        <v>197</v>
      </c>
    </row>
    <row r="692" customFormat="false" ht="21.75" hidden="false" customHeight="true" outlineLevel="0" collapsed="false">
      <c r="B692" s="15" t="n">
        <v>688</v>
      </c>
      <c r="C692" s="9" t="s">
        <v>51</v>
      </c>
      <c r="D692" s="9" t="s">
        <v>23</v>
      </c>
      <c r="E692" s="9" t="s">
        <v>123</v>
      </c>
      <c r="F692" s="9" t="s">
        <v>60</v>
      </c>
      <c r="G692" s="9" t="s">
        <v>1752</v>
      </c>
      <c r="H692" s="9" t="s">
        <v>1737</v>
      </c>
      <c r="I692" s="9" t="s">
        <v>1738</v>
      </c>
      <c r="J692" s="9" t="s">
        <v>1739</v>
      </c>
      <c r="K692" s="9" t="s">
        <v>1740</v>
      </c>
      <c r="L692" s="9" t="s">
        <v>1741</v>
      </c>
      <c r="M692" s="9" t="s">
        <v>1742</v>
      </c>
      <c r="N692" s="9" t="s">
        <v>1743</v>
      </c>
      <c r="O692" s="9" t="s">
        <v>189</v>
      </c>
      <c r="P692" s="9" t="s">
        <v>1744</v>
      </c>
      <c r="Q692" s="9" t="s">
        <v>1745</v>
      </c>
      <c r="R692" s="9" t="s">
        <v>1746</v>
      </c>
      <c r="S692" s="9" t="s">
        <v>1747</v>
      </c>
      <c r="T692" s="9" t="s">
        <v>644</v>
      </c>
      <c r="U692" s="19" t="n">
        <v>485</v>
      </c>
      <c r="V692" s="9"/>
      <c r="W692" s="9"/>
      <c r="X692" s="9" t="s">
        <v>203</v>
      </c>
      <c r="Y692" s="23" t="n">
        <v>0.075</v>
      </c>
      <c r="Z692" s="23" t="n">
        <v>0.5</v>
      </c>
      <c r="AA692" s="23" t="n">
        <v>12</v>
      </c>
      <c r="AB692" s="9" t="s">
        <v>1741</v>
      </c>
      <c r="AC692" s="9" t="s">
        <v>1748</v>
      </c>
      <c r="AD692" s="23" t="n">
        <v>0.075</v>
      </c>
      <c r="AE692" s="23" t="n">
        <v>0.5</v>
      </c>
      <c r="AF692" s="23" t="n">
        <v>3.5</v>
      </c>
      <c r="AG692" s="23" t="n">
        <v>128</v>
      </c>
      <c r="AH692" s="23" t="n">
        <v>32</v>
      </c>
      <c r="AI692" s="23" t="s">
        <v>197</v>
      </c>
      <c r="AJ692" s="23" t="s">
        <v>197</v>
      </c>
      <c r="AK692" s="23" t="s">
        <v>197</v>
      </c>
      <c r="AL692" s="23" t="s">
        <v>197</v>
      </c>
      <c r="AM692" s="9" t="s">
        <v>197</v>
      </c>
      <c r="AN692" s="23" t="s">
        <v>197</v>
      </c>
      <c r="AO692" s="23" t="s">
        <v>197</v>
      </c>
      <c r="AP692" s="23" t="s">
        <v>197</v>
      </c>
    </row>
    <row r="693" customFormat="false" ht="21.75" hidden="false" customHeight="true" outlineLevel="0" collapsed="false">
      <c r="B693" s="14" t="n">
        <v>689</v>
      </c>
      <c r="C693" s="7" t="s">
        <v>51</v>
      </c>
      <c r="D693" s="7" t="s">
        <v>23</v>
      </c>
      <c r="E693" s="7" t="s">
        <v>123</v>
      </c>
      <c r="F693" s="7" t="s">
        <v>60</v>
      </c>
      <c r="G693" s="7" t="s">
        <v>1753</v>
      </c>
      <c r="H693" s="7" t="s">
        <v>1737</v>
      </c>
      <c r="I693" s="7" t="s">
        <v>1738</v>
      </c>
      <c r="J693" s="7" t="s">
        <v>1739</v>
      </c>
      <c r="K693" s="7" t="s">
        <v>1740</v>
      </c>
      <c r="L693" s="7" t="s">
        <v>1741</v>
      </c>
      <c r="M693" s="7" t="s">
        <v>1742</v>
      </c>
      <c r="N693" s="7" t="s">
        <v>1743</v>
      </c>
      <c r="O693" s="7" t="s">
        <v>189</v>
      </c>
      <c r="P693" s="7" t="s">
        <v>1744</v>
      </c>
      <c r="Q693" s="7" t="s">
        <v>1745</v>
      </c>
      <c r="R693" s="7" t="s">
        <v>1746</v>
      </c>
      <c r="S693" s="7" t="s">
        <v>1747</v>
      </c>
      <c r="T693" s="7" t="s">
        <v>644</v>
      </c>
      <c r="U693" s="18" t="n">
        <v>715</v>
      </c>
      <c r="V693" s="7"/>
      <c r="W693" s="7"/>
      <c r="X693" s="7" t="s">
        <v>205</v>
      </c>
      <c r="Y693" s="22" t="n">
        <v>0.105</v>
      </c>
      <c r="Z693" s="22" t="n">
        <v>0.5</v>
      </c>
      <c r="AA693" s="22" t="n">
        <v>12</v>
      </c>
      <c r="AB693" s="7" t="s">
        <v>1741</v>
      </c>
      <c r="AC693" s="7" t="s">
        <v>1748</v>
      </c>
      <c r="AD693" s="22" t="n">
        <v>0.105</v>
      </c>
      <c r="AE693" s="22" t="n">
        <v>0.5</v>
      </c>
      <c r="AF693" s="22" t="n">
        <v>3.5</v>
      </c>
      <c r="AG693" s="22" t="n">
        <v>128</v>
      </c>
      <c r="AH693" s="22" t="n">
        <v>32</v>
      </c>
      <c r="AI693" s="22" t="s">
        <v>197</v>
      </c>
      <c r="AJ693" s="22" t="s">
        <v>197</v>
      </c>
      <c r="AK693" s="22" t="s">
        <v>197</v>
      </c>
      <c r="AL693" s="22" t="s">
        <v>197</v>
      </c>
      <c r="AM693" s="7" t="s">
        <v>197</v>
      </c>
      <c r="AN693" s="22" t="s">
        <v>197</v>
      </c>
      <c r="AO693" s="22" t="s">
        <v>197</v>
      </c>
      <c r="AP693" s="22" t="s">
        <v>197</v>
      </c>
    </row>
    <row r="694" customFormat="false" ht="21.75" hidden="false" customHeight="true" outlineLevel="0" collapsed="false">
      <c r="B694" s="15" t="n">
        <v>690</v>
      </c>
      <c r="C694" s="9" t="s">
        <v>51</v>
      </c>
      <c r="D694" s="9" t="s">
        <v>23</v>
      </c>
      <c r="E694" s="9" t="s">
        <v>123</v>
      </c>
      <c r="F694" s="9" t="s">
        <v>61</v>
      </c>
      <c r="G694" s="9" t="s">
        <v>1750</v>
      </c>
      <c r="H694" s="9" t="s">
        <v>1754</v>
      </c>
      <c r="I694" s="9" t="s">
        <v>1755</v>
      </c>
      <c r="J694" s="9" t="s">
        <v>1756</v>
      </c>
      <c r="K694" s="9" t="s">
        <v>1740</v>
      </c>
      <c r="L694" s="9" t="s">
        <v>1741</v>
      </c>
      <c r="M694" s="9" t="s">
        <v>1742</v>
      </c>
      <c r="N694" s="9" t="s">
        <v>222</v>
      </c>
      <c r="O694" s="9" t="s">
        <v>189</v>
      </c>
      <c r="P694" s="9" t="s">
        <v>1744</v>
      </c>
      <c r="Q694" s="9" t="s">
        <v>1757</v>
      </c>
      <c r="R694" s="9" t="s">
        <v>1368</v>
      </c>
      <c r="S694" s="9" t="s">
        <v>1747</v>
      </c>
      <c r="T694" s="9" t="s">
        <v>1758</v>
      </c>
      <c r="U694" s="19" t="n">
        <v>110</v>
      </c>
      <c r="V694" s="9"/>
      <c r="W694" s="9"/>
      <c r="X694" s="9" t="s">
        <v>195</v>
      </c>
      <c r="Y694" s="23" t="n">
        <v>0.118</v>
      </c>
      <c r="Z694" s="23" t="n">
        <v>0.45</v>
      </c>
      <c r="AA694" s="23" t="n">
        <v>12</v>
      </c>
      <c r="AB694" s="9" t="s">
        <v>1741</v>
      </c>
      <c r="AC694" s="9" t="s">
        <v>1748</v>
      </c>
      <c r="AD694" s="23" t="n">
        <v>0.118</v>
      </c>
      <c r="AE694" s="23" t="n">
        <v>0.45</v>
      </c>
      <c r="AF694" s="23" t="n">
        <v>3</v>
      </c>
      <c r="AG694" s="23" t="n">
        <v>64</v>
      </c>
      <c r="AH694" s="23" t="n">
        <v>32</v>
      </c>
      <c r="AI694" s="23" t="s">
        <v>197</v>
      </c>
      <c r="AJ694" s="23" t="s">
        <v>197</v>
      </c>
      <c r="AK694" s="23" t="s">
        <v>197</v>
      </c>
      <c r="AL694" s="23" t="s">
        <v>197</v>
      </c>
      <c r="AM694" s="9" t="s">
        <v>197</v>
      </c>
      <c r="AN694" s="23" t="s">
        <v>197</v>
      </c>
      <c r="AO694" s="23" t="s">
        <v>197</v>
      </c>
      <c r="AP694" s="23" t="s">
        <v>197</v>
      </c>
    </row>
    <row r="695" customFormat="false" ht="21.75" hidden="false" customHeight="true" outlineLevel="0" collapsed="false">
      <c r="B695" s="14" t="n">
        <v>691</v>
      </c>
      <c r="C695" s="7" t="s">
        <v>51</v>
      </c>
      <c r="D695" s="7" t="s">
        <v>23</v>
      </c>
      <c r="E695" s="7" t="s">
        <v>123</v>
      </c>
      <c r="F695" s="7" t="s">
        <v>61</v>
      </c>
      <c r="G695" s="7" t="s">
        <v>1752</v>
      </c>
      <c r="H695" s="7" t="s">
        <v>1754</v>
      </c>
      <c r="I695" s="7" t="s">
        <v>1755</v>
      </c>
      <c r="J695" s="7" t="s">
        <v>1756</v>
      </c>
      <c r="K695" s="7" t="s">
        <v>1740</v>
      </c>
      <c r="L695" s="7" t="s">
        <v>1741</v>
      </c>
      <c r="M695" s="7" t="s">
        <v>1742</v>
      </c>
      <c r="N695" s="7" t="s">
        <v>222</v>
      </c>
      <c r="O695" s="7" t="s">
        <v>189</v>
      </c>
      <c r="P695" s="7" t="s">
        <v>1744</v>
      </c>
      <c r="Q695" s="7" t="s">
        <v>1757</v>
      </c>
      <c r="R695" s="7" t="s">
        <v>1368</v>
      </c>
      <c r="S695" s="7" t="s">
        <v>1747</v>
      </c>
      <c r="T695" s="7" t="s">
        <v>1758</v>
      </c>
      <c r="U695" s="18" t="n">
        <v>170</v>
      </c>
      <c r="V695" s="7"/>
      <c r="W695" s="7"/>
      <c r="X695" s="7" t="s">
        <v>199</v>
      </c>
      <c r="Y695" s="22" t="n">
        <v>0.075</v>
      </c>
      <c r="Z695" s="22" t="n">
        <v>0.45</v>
      </c>
      <c r="AA695" s="22" t="n">
        <v>12</v>
      </c>
      <c r="AB695" s="7" t="s">
        <v>1741</v>
      </c>
      <c r="AC695" s="7" t="s">
        <v>1748</v>
      </c>
      <c r="AD695" s="22" t="n">
        <v>0.075</v>
      </c>
      <c r="AE695" s="22" t="n">
        <v>0.45</v>
      </c>
      <c r="AF695" s="22" t="n">
        <v>3</v>
      </c>
      <c r="AG695" s="22" t="n">
        <v>64</v>
      </c>
      <c r="AH695" s="22" t="n">
        <v>32</v>
      </c>
      <c r="AI695" s="22" t="s">
        <v>197</v>
      </c>
      <c r="AJ695" s="22" t="s">
        <v>197</v>
      </c>
      <c r="AK695" s="22" t="s">
        <v>197</v>
      </c>
      <c r="AL695" s="22" t="s">
        <v>197</v>
      </c>
      <c r="AM695" s="7" t="s">
        <v>197</v>
      </c>
      <c r="AN695" s="22" t="s">
        <v>197</v>
      </c>
      <c r="AO695" s="22" t="s">
        <v>197</v>
      </c>
      <c r="AP695" s="22" t="s">
        <v>197</v>
      </c>
    </row>
    <row r="696" customFormat="false" ht="21.75" hidden="false" customHeight="true" outlineLevel="0" collapsed="false">
      <c r="B696" s="15" t="n">
        <v>692</v>
      </c>
      <c r="C696" s="9" t="s">
        <v>51</v>
      </c>
      <c r="D696" s="9" t="s">
        <v>23</v>
      </c>
      <c r="E696" s="9" t="s">
        <v>123</v>
      </c>
      <c r="F696" s="9" t="s">
        <v>61</v>
      </c>
      <c r="G696" s="9" t="s">
        <v>1759</v>
      </c>
      <c r="H696" s="9" t="s">
        <v>1754</v>
      </c>
      <c r="I696" s="9" t="s">
        <v>1755</v>
      </c>
      <c r="J696" s="9" t="s">
        <v>1756</v>
      </c>
      <c r="K696" s="9" t="s">
        <v>1740</v>
      </c>
      <c r="L696" s="9" t="s">
        <v>1741</v>
      </c>
      <c r="M696" s="9" t="s">
        <v>1742</v>
      </c>
      <c r="N696" s="9" t="s">
        <v>222</v>
      </c>
      <c r="O696" s="9" t="s">
        <v>189</v>
      </c>
      <c r="P696" s="9" t="s">
        <v>1744</v>
      </c>
      <c r="Q696" s="9" t="s">
        <v>1757</v>
      </c>
      <c r="R696" s="9" t="s">
        <v>1368</v>
      </c>
      <c r="S696" s="9" t="s">
        <v>1747</v>
      </c>
      <c r="T696" s="9" t="s">
        <v>1758</v>
      </c>
      <c r="U696" s="19" t="n">
        <v>225</v>
      </c>
      <c r="V696" s="9"/>
      <c r="W696" s="9"/>
      <c r="X696" s="9" t="s">
        <v>1760</v>
      </c>
      <c r="Y696" s="23" t="n">
        <v>0.07</v>
      </c>
      <c r="Z696" s="23" t="n">
        <v>0.45</v>
      </c>
      <c r="AA696" s="23" t="n">
        <v>12</v>
      </c>
      <c r="AB696" s="9" t="s">
        <v>1741</v>
      </c>
      <c r="AC696" s="9" t="s">
        <v>1748</v>
      </c>
      <c r="AD696" s="23" t="n">
        <v>0.07</v>
      </c>
      <c r="AE696" s="23" t="n">
        <v>0.45</v>
      </c>
      <c r="AF696" s="23" t="n">
        <v>3</v>
      </c>
      <c r="AG696" s="23" t="n">
        <v>64</v>
      </c>
      <c r="AH696" s="23" t="n">
        <v>32</v>
      </c>
      <c r="AI696" s="23" t="s">
        <v>197</v>
      </c>
      <c r="AJ696" s="23" t="s">
        <v>197</v>
      </c>
      <c r="AK696" s="23" t="s">
        <v>197</v>
      </c>
      <c r="AL696" s="23" t="s">
        <v>197</v>
      </c>
      <c r="AM696" s="9" t="s">
        <v>197</v>
      </c>
      <c r="AN696" s="23" t="s">
        <v>197</v>
      </c>
      <c r="AO696" s="23" t="s">
        <v>197</v>
      </c>
      <c r="AP696" s="23" t="s">
        <v>197</v>
      </c>
    </row>
    <row r="697" customFormat="false" ht="21.75" hidden="false" customHeight="true" outlineLevel="0" collapsed="false">
      <c r="B697" s="14" t="n">
        <v>693</v>
      </c>
      <c r="C697" s="7" t="s">
        <v>51</v>
      </c>
      <c r="D697" s="7" t="s">
        <v>23</v>
      </c>
      <c r="E697" s="7" t="s">
        <v>123</v>
      </c>
      <c r="F697" s="7" t="s">
        <v>61</v>
      </c>
      <c r="G697" s="7" t="s">
        <v>1761</v>
      </c>
      <c r="H697" s="7" t="s">
        <v>1754</v>
      </c>
      <c r="I697" s="7" t="s">
        <v>1755</v>
      </c>
      <c r="J697" s="7" t="s">
        <v>1756</v>
      </c>
      <c r="K697" s="7" t="s">
        <v>1740</v>
      </c>
      <c r="L697" s="7" t="s">
        <v>1741</v>
      </c>
      <c r="M697" s="7" t="s">
        <v>1742</v>
      </c>
      <c r="N697" s="7" t="s">
        <v>222</v>
      </c>
      <c r="O697" s="7" t="s">
        <v>189</v>
      </c>
      <c r="P697" s="7" t="s">
        <v>1744</v>
      </c>
      <c r="Q697" s="7" t="s">
        <v>1757</v>
      </c>
      <c r="R697" s="7" t="s">
        <v>1368</v>
      </c>
      <c r="S697" s="7" t="s">
        <v>1747</v>
      </c>
      <c r="T697" s="7" t="s">
        <v>1758</v>
      </c>
      <c r="U697" s="18" t="n">
        <v>340</v>
      </c>
      <c r="V697" s="7"/>
      <c r="W697" s="7"/>
      <c r="X697" s="7" t="s">
        <v>203</v>
      </c>
      <c r="Y697" s="22" t="n">
        <v>0.098</v>
      </c>
      <c r="Z697" s="22" t="n">
        <v>0.45</v>
      </c>
      <c r="AA697" s="22" t="n">
        <v>12</v>
      </c>
      <c r="AB697" s="7" t="s">
        <v>1741</v>
      </c>
      <c r="AC697" s="7" t="s">
        <v>1748</v>
      </c>
      <c r="AD697" s="22" t="n">
        <v>0.098</v>
      </c>
      <c r="AE697" s="22" t="n">
        <v>0.45</v>
      </c>
      <c r="AF697" s="22" t="n">
        <v>3</v>
      </c>
      <c r="AG697" s="22" t="n">
        <v>64</v>
      </c>
      <c r="AH697" s="22" t="n">
        <v>32</v>
      </c>
      <c r="AI697" s="22" t="s">
        <v>197</v>
      </c>
      <c r="AJ697" s="22" t="s">
        <v>197</v>
      </c>
      <c r="AK697" s="22" t="s">
        <v>197</v>
      </c>
      <c r="AL697" s="22" t="s">
        <v>197</v>
      </c>
      <c r="AM697" s="7" t="s">
        <v>197</v>
      </c>
      <c r="AN697" s="22" t="s">
        <v>197</v>
      </c>
      <c r="AO697" s="22" t="s">
        <v>197</v>
      </c>
      <c r="AP697" s="22" t="s">
        <v>197</v>
      </c>
    </row>
    <row r="698" customFormat="false" ht="21.75" hidden="false" customHeight="true" outlineLevel="0" collapsed="false">
      <c r="B698" s="15" t="n">
        <v>694</v>
      </c>
      <c r="C698" s="9" t="s">
        <v>51</v>
      </c>
      <c r="D698" s="9" t="s">
        <v>23</v>
      </c>
      <c r="E698" s="9" t="s">
        <v>123</v>
      </c>
      <c r="F698" s="9" t="s">
        <v>61</v>
      </c>
      <c r="G698" s="9" t="s">
        <v>1762</v>
      </c>
      <c r="H698" s="9" t="s">
        <v>1754</v>
      </c>
      <c r="I698" s="9" t="s">
        <v>1755</v>
      </c>
      <c r="J698" s="9" t="s">
        <v>1756</v>
      </c>
      <c r="K698" s="9" t="s">
        <v>1740</v>
      </c>
      <c r="L698" s="9" t="s">
        <v>1741</v>
      </c>
      <c r="M698" s="9" t="s">
        <v>1742</v>
      </c>
      <c r="N698" s="9" t="s">
        <v>222</v>
      </c>
      <c r="O698" s="9" t="s">
        <v>189</v>
      </c>
      <c r="P698" s="9" t="s">
        <v>1744</v>
      </c>
      <c r="Q698" s="9" t="s">
        <v>1757</v>
      </c>
      <c r="R698" s="9" t="s">
        <v>1368</v>
      </c>
      <c r="S698" s="9" t="s">
        <v>1747</v>
      </c>
      <c r="T698" s="9" t="s">
        <v>1758</v>
      </c>
      <c r="U698" s="19" t="n">
        <v>500</v>
      </c>
      <c r="V698" s="9"/>
      <c r="W698" s="9"/>
      <c r="X698" s="9" t="s">
        <v>205</v>
      </c>
      <c r="Y698" s="23" t="n">
        <v>0.095</v>
      </c>
      <c r="Z698" s="23" t="n">
        <v>0.45</v>
      </c>
      <c r="AA698" s="23" t="n">
        <v>12</v>
      </c>
      <c r="AB698" s="9" t="s">
        <v>1741</v>
      </c>
      <c r="AC698" s="9" t="s">
        <v>1748</v>
      </c>
      <c r="AD698" s="23" t="n">
        <v>0.095</v>
      </c>
      <c r="AE698" s="23" t="n">
        <v>0.45</v>
      </c>
      <c r="AF698" s="23" t="n">
        <v>3</v>
      </c>
      <c r="AG698" s="23" t="n">
        <v>64</v>
      </c>
      <c r="AH698" s="23" t="n">
        <v>32</v>
      </c>
      <c r="AI698" s="23" t="s">
        <v>197</v>
      </c>
      <c r="AJ698" s="23" t="s">
        <v>197</v>
      </c>
      <c r="AK698" s="23" t="s">
        <v>197</v>
      </c>
      <c r="AL698" s="23" t="s">
        <v>197</v>
      </c>
      <c r="AM698" s="9" t="s">
        <v>197</v>
      </c>
      <c r="AN698" s="23" t="s">
        <v>197</v>
      </c>
      <c r="AO698" s="23" t="s">
        <v>197</v>
      </c>
      <c r="AP698" s="23" t="s">
        <v>197</v>
      </c>
    </row>
    <row r="699" customFormat="false" ht="21.75" hidden="false" customHeight="true" outlineLevel="0" collapsed="false">
      <c r="B699" s="14" t="n">
        <v>695</v>
      </c>
      <c r="C699" s="7" t="s">
        <v>51</v>
      </c>
      <c r="D699" s="7" t="s">
        <v>23</v>
      </c>
      <c r="E699" s="7" t="s">
        <v>123</v>
      </c>
      <c r="F699" s="7" t="s">
        <v>62</v>
      </c>
      <c r="G699" s="7" t="s">
        <v>1763</v>
      </c>
      <c r="H699" s="7" t="s">
        <v>1764</v>
      </c>
      <c r="I699" s="7" t="s">
        <v>1765</v>
      </c>
      <c r="J699" s="7" t="s">
        <v>1766</v>
      </c>
      <c r="K699" s="7" t="s">
        <v>1767</v>
      </c>
      <c r="L699" s="7" t="s">
        <v>1741</v>
      </c>
      <c r="M699" s="7" t="s">
        <v>1631</v>
      </c>
      <c r="N699" s="7" t="s">
        <v>1768</v>
      </c>
      <c r="O699" s="7" t="s">
        <v>189</v>
      </c>
      <c r="P699" s="7" t="s">
        <v>1744</v>
      </c>
      <c r="Q699" s="7" t="s">
        <v>1769</v>
      </c>
      <c r="R699" s="7" t="s">
        <v>664</v>
      </c>
      <c r="S699" s="7" t="s">
        <v>1747</v>
      </c>
      <c r="T699" s="7" t="s">
        <v>482</v>
      </c>
      <c r="U699" s="18" t="n">
        <v>90</v>
      </c>
      <c r="V699" s="7"/>
      <c r="W699" s="7"/>
      <c r="X699" s="7" t="s">
        <v>195</v>
      </c>
      <c r="Y699" s="22" t="n">
        <v>0.067</v>
      </c>
      <c r="Z699" s="22" t="n">
        <v>0.32</v>
      </c>
      <c r="AA699" s="22" t="n">
        <v>12</v>
      </c>
      <c r="AB699" s="7" t="s">
        <v>1741</v>
      </c>
      <c r="AC699" s="7" t="s">
        <v>1748</v>
      </c>
      <c r="AD699" s="22" t="n">
        <v>0.067</v>
      </c>
      <c r="AE699" s="22" t="n">
        <v>0.32</v>
      </c>
      <c r="AF699" s="22" t="n">
        <v>2</v>
      </c>
      <c r="AG699" s="22" t="n">
        <v>32</v>
      </c>
      <c r="AH699" s="22" t="n">
        <v>2</v>
      </c>
      <c r="AI699" s="22" t="s">
        <v>197</v>
      </c>
      <c r="AJ699" s="22" t="s">
        <v>197</v>
      </c>
      <c r="AK699" s="22" t="s">
        <v>197</v>
      </c>
      <c r="AL699" s="22" t="s">
        <v>197</v>
      </c>
      <c r="AM699" s="7" t="s">
        <v>197</v>
      </c>
      <c r="AN699" s="22" t="s">
        <v>197</v>
      </c>
      <c r="AO699" s="22" t="s">
        <v>197</v>
      </c>
      <c r="AP699" s="22" t="s">
        <v>197</v>
      </c>
    </row>
    <row r="700" customFormat="false" ht="21.75" hidden="false" customHeight="true" outlineLevel="0" collapsed="false">
      <c r="B700" s="15" t="n">
        <v>696</v>
      </c>
      <c r="C700" s="9" t="s">
        <v>51</v>
      </c>
      <c r="D700" s="9" t="s">
        <v>23</v>
      </c>
      <c r="E700" s="9" t="s">
        <v>123</v>
      </c>
      <c r="F700" s="9" t="s">
        <v>62</v>
      </c>
      <c r="G700" s="9" t="s">
        <v>1770</v>
      </c>
      <c r="H700" s="9" t="s">
        <v>1764</v>
      </c>
      <c r="I700" s="9" t="s">
        <v>1765</v>
      </c>
      <c r="J700" s="9" t="s">
        <v>1766</v>
      </c>
      <c r="K700" s="9" t="s">
        <v>1767</v>
      </c>
      <c r="L700" s="9" t="s">
        <v>1741</v>
      </c>
      <c r="M700" s="9" t="s">
        <v>1631</v>
      </c>
      <c r="N700" s="9" t="s">
        <v>1768</v>
      </c>
      <c r="O700" s="9" t="s">
        <v>189</v>
      </c>
      <c r="P700" s="9" t="s">
        <v>1744</v>
      </c>
      <c r="Q700" s="9" t="s">
        <v>1769</v>
      </c>
      <c r="R700" s="9" t="s">
        <v>664</v>
      </c>
      <c r="S700" s="9" t="s">
        <v>1747</v>
      </c>
      <c r="T700" s="9" t="s">
        <v>482</v>
      </c>
      <c r="U700" s="19" t="n">
        <v>135</v>
      </c>
      <c r="V700" s="9"/>
      <c r="W700" s="9"/>
      <c r="X700" s="9" t="s">
        <v>199</v>
      </c>
      <c r="Y700" s="23" t="n">
        <v>0.098</v>
      </c>
      <c r="Z700" s="23" t="n">
        <v>0.32</v>
      </c>
      <c r="AA700" s="23" t="n">
        <v>12</v>
      </c>
      <c r="AB700" s="9" t="s">
        <v>1741</v>
      </c>
      <c r="AC700" s="9" t="s">
        <v>1748</v>
      </c>
      <c r="AD700" s="23" t="n">
        <v>0.098</v>
      </c>
      <c r="AE700" s="23" t="n">
        <v>0.32</v>
      </c>
      <c r="AF700" s="23" t="n">
        <v>2</v>
      </c>
      <c r="AG700" s="23" t="n">
        <v>32</v>
      </c>
      <c r="AH700" s="23" t="n">
        <v>2</v>
      </c>
      <c r="AI700" s="23" t="s">
        <v>197</v>
      </c>
      <c r="AJ700" s="23" t="s">
        <v>197</v>
      </c>
      <c r="AK700" s="23" t="s">
        <v>197</v>
      </c>
      <c r="AL700" s="23" t="s">
        <v>197</v>
      </c>
      <c r="AM700" s="9" t="s">
        <v>197</v>
      </c>
      <c r="AN700" s="23" t="s">
        <v>197</v>
      </c>
      <c r="AO700" s="23" t="s">
        <v>197</v>
      </c>
      <c r="AP700" s="23" t="s">
        <v>197</v>
      </c>
    </row>
    <row r="701" customFormat="false" ht="21.75" hidden="false" customHeight="true" outlineLevel="0" collapsed="false">
      <c r="B701" s="14" t="n">
        <v>697</v>
      </c>
      <c r="C701" s="7" t="s">
        <v>51</v>
      </c>
      <c r="D701" s="7" t="s">
        <v>23</v>
      </c>
      <c r="E701" s="7" t="s">
        <v>123</v>
      </c>
      <c r="F701" s="7" t="s">
        <v>62</v>
      </c>
      <c r="G701" s="7" t="s">
        <v>1771</v>
      </c>
      <c r="H701" s="7" t="s">
        <v>1764</v>
      </c>
      <c r="I701" s="7" t="s">
        <v>1765</v>
      </c>
      <c r="J701" s="7" t="s">
        <v>1766</v>
      </c>
      <c r="K701" s="7" t="s">
        <v>1767</v>
      </c>
      <c r="L701" s="7" t="s">
        <v>1741</v>
      </c>
      <c r="M701" s="7" t="s">
        <v>1631</v>
      </c>
      <c r="N701" s="7" t="s">
        <v>1768</v>
      </c>
      <c r="O701" s="7" t="s">
        <v>189</v>
      </c>
      <c r="P701" s="7" t="s">
        <v>1744</v>
      </c>
      <c r="Q701" s="7" t="s">
        <v>1769</v>
      </c>
      <c r="R701" s="7" t="s">
        <v>664</v>
      </c>
      <c r="S701" s="7" t="s">
        <v>1747</v>
      </c>
      <c r="T701" s="7" t="s">
        <v>482</v>
      </c>
      <c r="U701" s="18" t="n">
        <v>180</v>
      </c>
      <c r="V701" s="7"/>
      <c r="W701" s="7"/>
      <c r="X701" s="7" t="s">
        <v>1772</v>
      </c>
      <c r="Y701" s="22" t="n">
        <v>0.078</v>
      </c>
      <c r="Z701" s="22" t="n">
        <v>0.32</v>
      </c>
      <c r="AA701" s="22" t="n">
        <v>12</v>
      </c>
      <c r="AB701" s="7" t="s">
        <v>1741</v>
      </c>
      <c r="AC701" s="7" t="s">
        <v>1748</v>
      </c>
      <c r="AD701" s="22" t="n">
        <v>0.078</v>
      </c>
      <c r="AE701" s="22" t="n">
        <v>0.32</v>
      </c>
      <c r="AF701" s="22" t="n">
        <v>2</v>
      </c>
      <c r="AG701" s="22" t="n">
        <v>32</v>
      </c>
      <c r="AH701" s="22" t="n">
        <v>2</v>
      </c>
      <c r="AI701" s="22" t="s">
        <v>197</v>
      </c>
      <c r="AJ701" s="22" t="s">
        <v>197</v>
      </c>
      <c r="AK701" s="22" t="s">
        <v>197</v>
      </c>
      <c r="AL701" s="22" t="s">
        <v>197</v>
      </c>
      <c r="AM701" s="7" t="s">
        <v>197</v>
      </c>
      <c r="AN701" s="22" t="s">
        <v>197</v>
      </c>
      <c r="AO701" s="22" t="s">
        <v>197</v>
      </c>
      <c r="AP701" s="22" t="s">
        <v>197</v>
      </c>
    </row>
    <row r="702" customFormat="false" ht="21.75" hidden="false" customHeight="true" outlineLevel="0" collapsed="false">
      <c r="B702" s="15" t="n">
        <v>698</v>
      </c>
      <c r="C702" s="9" t="s">
        <v>51</v>
      </c>
      <c r="D702" s="9" t="s">
        <v>23</v>
      </c>
      <c r="E702" s="9" t="s">
        <v>123</v>
      </c>
      <c r="F702" s="9" t="s">
        <v>62</v>
      </c>
      <c r="G702" s="9" t="s">
        <v>1773</v>
      </c>
      <c r="H702" s="9" t="s">
        <v>1764</v>
      </c>
      <c r="I702" s="9" t="s">
        <v>1765</v>
      </c>
      <c r="J702" s="9" t="s">
        <v>1766</v>
      </c>
      <c r="K702" s="9" t="s">
        <v>1767</v>
      </c>
      <c r="L702" s="9" t="s">
        <v>1741</v>
      </c>
      <c r="M702" s="9" t="s">
        <v>1631</v>
      </c>
      <c r="N702" s="9" t="s">
        <v>1768</v>
      </c>
      <c r="O702" s="9" t="s">
        <v>189</v>
      </c>
      <c r="P702" s="9" t="s">
        <v>1744</v>
      </c>
      <c r="Q702" s="9" t="s">
        <v>1769</v>
      </c>
      <c r="R702" s="9" t="s">
        <v>664</v>
      </c>
      <c r="S702" s="9" t="s">
        <v>1747</v>
      </c>
      <c r="T702" s="9" t="s">
        <v>482</v>
      </c>
      <c r="U702" s="19" t="n">
        <v>270</v>
      </c>
      <c r="V702" s="9"/>
      <c r="W702" s="9"/>
      <c r="X702" s="9" t="s">
        <v>203</v>
      </c>
      <c r="Y702" s="23" t="n">
        <v>0.053</v>
      </c>
      <c r="Z702" s="23" t="n">
        <v>0.32</v>
      </c>
      <c r="AA702" s="23" t="n">
        <v>12</v>
      </c>
      <c r="AB702" s="9" t="s">
        <v>1741</v>
      </c>
      <c r="AC702" s="9" t="s">
        <v>1748</v>
      </c>
      <c r="AD702" s="23" t="n">
        <v>0.053</v>
      </c>
      <c r="AE702" s="23" t="n">
        <v>0.32</v>
      </c>
      <c r="AF702" s="23" t="n">
        <v>2</v>
      </c>
      <c r="AG702" s="23" t="n">
        <v>32</v>
      </c>
      <c r="AH702" s="23" t="n">
        <v>2</v>
      </c>
      <c r="AI702" s="23" t="s">
        <v>197</v>
      </c>
      <c r="AJ702" s="23" t="s">
        <v>197</v>
      </c>
      <c r="AK702" s="23" t="s">
        <v>197</v>
      </c>
      <c r="AL702" s="23" t="s">
        <v>197</v>
      </c>
      <c r="AM702" s="9" t="s">
        <v>197</v>
      </c>
      <c r="AN702" s="23" t="s">
        <v>197</v>
      </c>
      <c r="AO702" s="23" t="s">
        <v>197</v>
      </c>
      <c r="AP702" s="23" t="s">
        <v>197</v>
      </c>
    </row>
    <row r="703" customFormat="false" ht="21.75" hidden="false" customHeight="true" outlineLevel="0" collapsed="false">
      <c r="B703" s="14" t="n">
        <v>699</v>
      </c>
      <c r="C703" s="7" t="s">
        <v>51</v>
      </c>
      <c r="D703" s="7" t="s">
        <v>23</v>
      </c>
      <c r="E703" s="7" t="s">
        <v>123</v>
      </c>
      <c r="F703" s="7" t="s">
        <v>62</v>
      </c>
      <c r="G703" s="7" t="s">
        <v>1774</v>
      </c>
      <c r="H703" s="7" t="s">
        <v>1764</v>
      </c>
      <c r="I703" s="7" t="s">
        <v>1765</v>
      </c>
      <c r="J703" s="7" t="s">
        <v>1766</v>
      </c>
      <c r="K703" s="7" t="s">
        <v>1767</v>
      </c>
      <c r="L703" s="7" t="s">
        <v>1741</v>
      </c>
      <c r="M703" s="7" t="s">
        <v>1631</v>
      </c>
      <c r="N703" s="7" t="s">
        <v>1768</v>
      </c>
      <c r="O703" s="7" t="s">
        <v>189</v>
      </c>
      <c r="P703" s="7" t="s">
        <v>1744</v>
      </c>
      <c r="Q703" s="7" t="s">
        <v>1769</v>
      </c>
      <c r="R703" s="7" t="s">
        <v>664</v>
      </c>
      <c r="S703" s="7" t="s">
        <v>1747</v>
      </c>
      <c r="T703" s="7" t="s">
        <v>482</v>
      </c>
      <c r="U703" s="18" t="n">
        <v>400</v>
      </c>
      <c r="V703" s="7"/>
      <c r="W703" s="7"/>
      <c r="X703" s="7" t="s">
        <v>205</v>
      </c>
      <c r="Y703" s="22" t="n">
        <v>0.082</v>
      </c>
      <c r="Z703" s="22" t="n">
        <v>0.32</v>
      </c>
      <c r="AA703" s="22" t="n">
        <v>12</v>
      </c>
      <c r="AB703" s="7" t="s">
        <v>1741</v>
      </c>
      <c r="AC703" s="7" t="s">
        <v>1748</v>
      </c>
      <c r="AD703" s="22" t="n">
        <v>0.082</v>
      </c>
      <c r="AE703" s="22" t="n">
        <v>0.32</v>
      </c>
      <c r="AF703" s="22" t="n">
        <v>2</v>
      </c>
      <c r="AG703" s="22" t="n">
        <v>32</v>
      </c>
      <c r="AH703" s="22" t="n">
        <v>2</v>
      </c>
      <c r="AI703" s="22" t="s">
        <v>197</v>
      </c>
      <c r="AJ703" s="22" t="s">
        <v>197</v>
      </c>
      <c r="AK703" s="22" t="s">
        <v>197</v>
      </c>
      <c r="AL703" s="22" t="s">
        <v>197</v>
      </c>
      <c r="AM703" s="7" t="s">
        <v>197</v>
      </c>
      <c r="AN703" s="22" t="s">
        <v>197</v>
      </c>
      <c r="AO703" s="22" t="s">
        <v>197</v>
      </c>
      <c r="AP703" s="22" t="s">
        <v>197</v>
      </c>
    </row>
    <row r="704" customFormat="false" ht="21.75" hidden="false" customHeight="true" outlineLevel="0" collapsed="false">
      <c r="B704" s="15" t="n">
        <v>700</v>
      </c>
      <c r="C704" s="9" t="s">
        <v>51</v>
      </c>
      <c r="D704" s="9" t="s">
        <v>23</v>
      </c>
      <c r="E704" s="9" t="s">
        <v>123</v>
      </c>
      <c r="F704" s="9" t="s">
        <v>63</v>
      </c>
      <c r="G704" s="9" t="s">
        <v>1775</v>
      </c>
      <c r="H704" s="9" t="s">
        <v>489</v>
      </c>
      <c r="I704" s="9" t="s">
        <v>490</v>
      </c>
      <c r="J704" s="9" t="s">
        <v>1776</v>
      </c>
      <c r="K704" s="9" t="s">
        <v>1777</v>
      </c>
      <c r="L704" s="9" t="s">
        <v>1741</v>
      </c>
      <c r="M704" s="9" t="s">
        <v>235</v>
      </c>
      <c r="N704" s="9" t="s">
        <v>836</v>
      </c>
      <c r="O704" s="9" t="s">
        <v>189</v>
      </c>
      <c r="P704" s="9" t="s">
        <v>1744</v>
      </c>
      <c r="Q704" s="9" t="s">
        <v>1778</v>
      </c>
      <c r="R704" s="9" t="s">
        <v>1779</v>
      </c>
      <c r="S704" s="9" t="s">
        <v>1747</v>
      </c>
      <c r="T704" s="9" t="s">
        <v>239</v>
      </c>
      <c r="U704" s="19" t="n">
        <v>30</v>
      </c>
      <c r="V704" s="9"/>
      <c r="W704" s="9"/>
      <c r="X704" s="9" t="s">
        <v>195</v>
      </c>
      <c r="Y704" s="23" t="n">
        <v>0.055</v>
      </c>
      <c r="Z704" s="23" t="n">
        <v>0.101</v>
      </c>
      <c r="AA704" s="23" t="n">
        <v>12</v>
      </c>
      <c r="AB704" s="9" t="s">
        <v>1741</v>
      </c>
      <c r="AC704" s="9" t="s">
        <v>1780</v>
      </c>
      <c r="AD704" s="23" t="s">
        <v>197</v>
      </c>
      <c r="AE704" s="23" t="s">
        <v>197</v>
      </c>
      <c r="AF704" s="23" t="s">
        <v>197</v>
      </c>
      <c r="AG704" s="23" t="s">
        <v>197</v>
      </c>
      <c r="AH704" s="23" t="s">
        <v>197</v>
      </c>
      <c r="AI704" s="23" t="s">
        <v>197</v>
      </c>
      <c r="AJ704" s="23" t="s">
        <v>197</v>
      </c>
      <c r="AK704" s="23" t="s">
        <v>197</v>
      </c>
      <c r="AL704" s="23" t="s">
        <v>197</v>
      </c>
      <c r="AM704" s="9" t="s">
        <v>197</v>
      </c>
      <c r="AN704" s="23" t="s">
        <v>197</v>
      </c>
      <c r="AO704" s="23" t="n">
        <v>1.2</v>
      </c>
      <c r="AP704" s="23" t="n">
        <v>1.6</v>
      </c>
    </row>
    <row r="705" customFormat="false" ht="21.75" hidden="false" customHeight="true" outlineLevel="0" collapsed="false">
      <c r="B705" s="14" t="n">
        <v>701</v>
      </c>
      <c r="C705" s="7" t="s">
        <v>51</v>
      </c>
      <c r="D705" s="7" t="s">
        <v>23</v>
      </c>
      <c r="E705" s="7" t="s">
        <v>123</v>
      </c>
      <c r="F705" s="7" t="s">
        <v>63</v>
      </c>
      <c r="G705" s="7" t="s">
        <v>1781</v>
      </c>
      <c r="H705" s="7" t="s">
        <v>489</v>
      </c>
      <c r="I705" s="7" t="s">
        <v>490</v>
      </c>
      <c r="J705" s="7" t="s">
        <v>1776</v>
      </c>
      <c r="K705" s="7" t="s">
        <v>1777</v>
      </c>
      <c r="L705" s="7" t="s">
        <v>1741</v>
      </c>
      <c r="M705" s="7" t="s">
        <v>235</v>
      </c>
      <c r="N705" s="7" t="s">
        <v>836</v>
      </c>
      <c r="O705" s="7" t="s">
        <v>189</v>
      </c>
      <c r="P705" s="7" t="s">
        <v>1744</v>
      </c>
      <c r="Q705" s="7" t="s">
        <v>1778</v>
      </c>
      <c r="R705" s="7" t="s">
        <v>1779</v>
      </c>
      <c r="S705" s="7" t="s">
        <v>1747</v>
      </c>
      <c r="T705" s="7" t="s">
        <v>239</v>
      </c>
      <c r="U705" s="18" t="n">
        <v>50</v>
      </c>
      <c r="V705" s="7"/>
      <c r="W705" s="7"/>
      <c r="X705" s="7" t="s">
        <v>199</v>
      </c>
      <c r="Y705" s="22" t="n">
        <v>0.045</v>
      </c>
      <c r="Z705" s="22" t="n">
        <v>0.085</v>
      </c>
      <c r="AA705" s="22" t="n">
        <v>12</v>
      </c>
      <c r="AB705" s="7" t="s">
        <v>1741</v>
      </c>
      <c r="AC705" s="7" t="s">
        <v>1780</v>
      </c>
      <c r="AD705" s="22" t="s">
        <v>197</v>
      </c>
      <c r="AE705" s="22" t="s">
        <v>197</v>
      </c>
      <c r="AF705" s="22" t="s">
        <v>197</v>
      </c>
      <c r="AG705" s="22" t="s">
        <v>197</v>
      </c>
      <c r="AH705" s="22" t="s">
        <v>197</v>
      </c>
      <c r="AI705" s="22" t="s">
        <v>197</v>
      </c>
      <c r="AJ705" s="22" t="s">
        <v>197</v>
      </c>
      <c r="AK705" s="22" t="s">
        <v>197</v>
      </c>
      <c r="AL705" s="22" t="s">
        <v>197</v>
      </c>
      <c r="AM705" s="7" t="s">
        <v>197</v>
      </c>
      <c r="AN705" s="22" t="s">
        <v>197</v>
      </c>
      <c r="AO705" s="22" t="n">
        <v>1.2</v>
      </c>
      <c r="AP705" s="22" t="n">
        <v>1.6</v>
      </c>
    </row>
    <row r="706" customFormat="false" ht="21.75" hidden="false" customHeight="true" outlineLevel="0" collapsed="false">
      <c r="B706" s="15" t="n">
        <v>702</v>
      </c>
      <c r="C706" s="9" t="s">
        <v>51</v>
      </c>
      <c r="D706" s="9" t="s">
        <v>23</v>
      </c>
      <c r="E706" s="9" t="s">
        <v>123</v>
      </c>
      <c r="F706" s="9" t="s">
        <v>63</v>
      </c>
      <c r="G706" s="9" t="s">
        <v>1782</v>
      </c>
      <c r="H706" s="9" t="s">
        <v>489</v>
      </c>
      <c r="I706" s="9" t="s">
        <v>490</v>
      </c>
      <c r="J706" s="9" t="s">
        <v>1776</v>
      </c>
      <c r="K706" s="9" t="s">
        <v>1777</v>
      </c>
      <c r="L706" s="9" t="s">
        <v>1741</v>
      </c>
      <c r="M706" s="9" t="s">
        <v>235</v>
      </c>
      <c r="N706" s="9" t="s">
        <v>836</v>
      </c>
      <c r="O706" s="9" t="s">
        <v>189</v>
      </c>
      <c r="P706" s="9" t="s">
        <v>1744</v>
      </c>
      <c r="Q706" s="9" t="s">
        <v>1778</v>
      </c>
      <c r="R706" s="9" t="s">
        <v>1779</v>
      </c>
      <c r="S706" s="9" t="s">
        <v>1747</v>
      </c>
      <c r="T706" s="9" t="s">
        <v>239</v>
      </c>
      <c r="U706" s="19" t="n">
        <v>65</v>
      </c>
      <c r="V706" s="9"/>
      <c r="W706" s="9"/>
      <c r="X706" s="9" t="s">
        <v>1783</v>
      </c>
      <c r="Y706" s="23" t="n">
        <v>0.045</v>
      </c>
      <c r="Z706" s="23" t="n">
        <v>0.084</v>
      </c>
      <c r="AA706" s="23" t="n">
        <v>12</v>
      </c>
      <c r="AB706" s="9" t="s">
        <v>1741</v>
      </c>
      <c r="AC706" s="9" t="s">
        <v>1780</v>
      </c>
      <c r="AD706" s="23" t="s">
        <v>197</v>
      </c>
      <c r="AE706" s="23" t="s">
        <v>197</v>
      </c>
      <c r="AF706" s="23" t="s">
        <v>197</v>
      </c>
      <c r="AG706" s="23" t="s">
        <v>197</v>
      </c>
      <c r="AH706" s="23" t="s">
        <v>197</v>
      </c>
      <c r="AI706" s="23" t="s">
        <v>197</v>
      </c>
      <c r="AJ706" s="23" t="s">
        <v>197</v>
      </c>
      <c r="AK706" s="23" t="s">
        <v>197</v>
      </c>
      <c r="AL706" s="23" t="s">
        <v>197</v>
      </c>
      <c r="AM706" s="9" t="s">
        <v>197</v>
      </c>
      <c r="AN706" s="23" t="s">
        <v>197</v>
      </c>
      <c r="AO706" s="23" t="n">
        <v>1.2</v>
      </c>
      <c r="AP706" s="23" t="n">
        <v>1.6</v>
      </c>
    </row>
    <row r="707" customFormat="false" ht="21.75" hidden="false" customHeight="true" outlineLevel="0" collapsed="false">
      <c r="B707" s="14" t="n">
        <v>703</v>
      </c>
      <c r="C707" s="7" t="s">
        <v>51</v>
      </c>
      <c r="D707" s="7" t="s">
        <v>23</v>
      </c>
      <c r="E707" s="7" t="s">
        <v>123</v>
      </c>
      <c r="F707" s="7" t="s">
        <v>63</v>
      </c>
      <c r="G707" s="7" t="s">
        <v>1784</v>
      </c>
      <c r="H707" s="7" t="s">
        <v>489</v>
      </c>
      <c r="I707" s="7" t="s">
        <v>490</v>
      </c>
      <c r="J707" s="7" t="s">
        <v>1776</v>
      </c>
      <c r="K707" s="7" t="s">
        <v>1777</v>
      </c>
      <c r="L707" s="7" t="s">
        <v>1741</v>
      </c>
      <c r="M707" s="7" t="s">
        <v>235</v>
      </c>
      <c r="N707" s="7" t="s">
        <v>836</v>
      </c>
      <c r="O707" s="7" t="s">
        <v>189</v>
      </c>
      <c r="P707" s="7" t="s">
        <v>1744</v>
      </c>
      <c r="Q707" s="7" t="s">
        <v>1778</v>
      </c>
      <c r="R707" s="7" t="s">
        <v>1779</v>
      </c>
      <c r="S707" s="7" t="s">
        <v>1747</v>
      </c>
      <c r="T707" s="7" t="s">
        <v>239</v>
      </c>
      <c r="U707" s="18" t="n">
        <v>100</v>
      </c>
      <c r="V707" s="7"/>
      <c r="W707" s="7"/>
      <c r="X707" s="7" t="s">
        <v>203</v>
      </c>
      <c r="Y707" s="22" t="n">
        <v>0.036</v>
      </c>
      <c r="Z707" s="22" t="n">
        <v>0.07</v>
      </c>
      <c r="AA707" s="22" t="n">
        <v>12</v>
      </c>
      <c r="AB707" s="7" t="s">
        <v>1741</v>
      </c>
      <c r="AC707" s="7" t="s">
        <v>1780</v>
      </c>
      <c r="AD707" s="22" t="s">
        <v>197</v>
      </c>
      <c r="AE707" s="22" t="s">
        <v>197</v>
      </c>
      <c r="AF707" s="22" t="s">
        <v>197</v>
      </c>
      <c r="AG707" s="22" t="s">
        <v>197</v>
      </c>
      <c r="AH707" s="22" t="s">
        <v>197</v>
      </c>
      <c r="AI707" s="22" t="s">
        <v>197</v>
      </c>
      <c r="AJ707" s="22" t="s">
        <v>197</v>
      </c>
      <c r="AK707" s="22" t="s">
        <v>197</v>
      </c>
      <c r="AL707" s="22" t="s">
        <v>197</v>
      </c>
      <c r="AM707" s="7" t="s">
        <v>197</v>
      </c>
      <c r="AN707" s="22" t="s">
        <v>197</v>
      </c>
      <c r="AO707" s="22" t="n">
        <v>1.2</v>
      </c>
      <c r="AP707" s="22" t="n">
        <v>1.6</v>
      </c>
    </row>
    <row r="708" customFormat="false" ht="21.75" hidden="false" customHeight="true" outlineLevel="0" collapsed="false">
      <c r="B708" s="15" t="n">
        <v>704</v>
      </c>
      <c r="C708" s="9" t="s">
        <v>51</v>
      </c>
      <c r="D708" s="9" t="s">
        <v>23</v>
      </c>
      <c r="E708" s="9" t="s">
        <v>123</v>
      </c>
      <c r="F708" s="9" t="s">
        <v>63</v>
      </c>
      <c r="G708" s="9" t="s">
        <v>1785</v>
      </c>
      <c r="H708" s="9" t="s">
        <v>489</v>
      </c>
      <c r="I708" s="9" t="s">
        <v>490</v>
      </c>
      <c r="J708" s="9" t="s">
        <v>1776</v>
      </c>
      <c r="K708" s="9" t="s">
        <v>1777</v>
      </c>
      <c r="L708" s="9" t="s">
        <v>1741</v>
      </c>
      <c r="M708" s="9" t="s">
        <v>235</v>
      </c>
      <c r="N708" s="9" t="s">
        <v>836</v>
      </c>
      <c r="O708" s="9" t="s">
        <v>189</v>
      </c>
      <c r="P708" s="9" t="s">
        <v>1744</v>
      </c>
      <c r="Q708" s="9" t="s">
        <v>1778</v>
      </c>
      <c r="R708" s="9" t="s">
        <v>1779</v>
      </c>
      <c r="S708" s="9" t="s">
        <v>1747</v>
      </c>
      <c r="T708" s="9" t="s">
        <v>239</v>
      </c>
      <c r="U708" s="19" t="n">
        <v>145</v>
      </c>
      <c r="V708" s="9"/>
      <c r="W708" s="9"/>
      <c r="X708" s="9" t="s">
        <v>205</v>
      </c>
      <c r="Y708" s="23" t="n">
        <v>0.032</v>
      </c>
      <c r="Z708" s="23" t="n">
        <v>0.064</v>
      </c>
      <c r="AA708" s="23" t="n">
        <v>12</v>
      </c>
      <c r="AB708" s="9" t="s">
        <v>1741</v>
      </c>
      <c r="AC708" s="9" t="s">
        <v>1780</v>
      </c>
      <c r="AD708" s="23" t="s">
        <v>197</v>
      </c>
      <c r="AE708" s="23" t="s">
        <v>197</v>
      </c>
      <c r="AF708" s="23" t="s">
        <v>197</v>
      </c>
      <c r="AG708" s="23" t="s">
        <v>197</v>
      </c>
      <c r="AH708" s="23" t="s">
        <v>197</v>
      </c>
      <c r="AI708" s="23" t="s">
        <v>197</v>
      </c>
      <c r="AJ708" s="23" t="s">
        <v>197</v>
      </c>
      <c r="AK708" s="23" t="s">
        <v>197</v>
      </c>
      <c r="AL708" s="23" t="s">
        <v>197</v>
      </c>
      <c r="AM708" s="9" t="s">
        <v>197</v>
      </c>
      <c r="AN708" s="23" t="s">
        <v>197</v>
      </c>
      <c r="AO708" s="23" t="n">
        <v>1.2</v>
      </c>
      <c r="AP708" s="23" t="n">
        <v>1.6</v>
      </c>
    </row>
    <row r="709" customFormat="false" ht="21.75" hidden="false" customHeight="true" outlineLevel="0" collapsed="false">
      <c r="B709" s="14" t="n">
        <v>705</v>
      </c>
      <c r="C709" s="7" t="s">
        <v>51</v>
      </c>
      <c r="D709" s="7" t="s">
        <v>23</v>
      </c>
      <c r="E709" s="7" t="s">
        <v>123</v>
      </c>
      <c r="F709" s="7" t="s">
        <v>64</v>
      </c>
      <c r="G709" s="7" t="s">
        <v>1786</v>
      </c>
      <c r="H709" s="7" t="s">
        <v>247</v>
      </c>
      <c r="I709" s="7" t="s">
        <v>1535</v>
      </c>
      <c r="J709" s="7" t="s">
        <v>1787</v>
      </c>
      <c r="K709" s="7" t="s">
        <v>250</v>
      </c>
      <c r="L709" s="7" t="s">
        <v>1741</v>
      </c>
      <c r="M709" s="7" t="s">
        <v>251</v>
      </c>
      <c r="N709" s="7" t="s">
        <v>1788</v>
      </c>
      <c r="O709" s="7" t="s">
        <v>189</v>
      </c>
      <c r="P709" s="7" t="s">
        <v>1744</v>
      </c>
      <c r="Q709" s="7" t="s">
        <v>1789</v>
      </c>
      <c r="R709" s="7" t="s">
        <v>1790</v>
      </c>
      <c r="S709" s="7" t="s">
        <v>1747</v>
      </c>
      <c r="T709" s="7" t="s">
        <v>507</v>
      </c>
      <c r="U709" s="18" t="n">
        <v>12</v>
      </c>
      <c r="V709" s="7"/>
      <c r="W709" s="7"/>
      <c r="X709" s="7" t="s">
        <v>195</v>
      </c>
      <c r="Y709" s="22" t="n">
        <v>0.011</v>
      </c>
      <c r="Z709" s="22" t="n">
        <v>0.016</v>
      </c>
      <c r="AA709" s="22" t="n">
        <v>12</v>
      </c>
      <c r="AB709" s="7" t="s">
        <v>1741</v>
      </c>
      <c r="AC709" s="7" t="s">
        <v>1791</v>
      </c>
      <c r="AD709" s="22" t="s">
        <v>197</v>
      </c>
      <c r="AE709" s="22" t="s">
        <v>197</v>
      </c>
      <c r="AF709" s="22" t="s">
        <v>197</v>
      </c>
      <c r="AG709" s="22" t="s">
        <v>197</v>
      </c>
      <c r="AH709" s="22" t="s">
        <v>197</v>
      </c>
      <c r="AI709" s="22" t="s">
        <v>197</v>
      </c>
      <c r="AJ709" s="22" t="n">
        <v>8</v>
      </c>
      <c r="AK709" s="22" t="s">
        <v>197</v>
      </c>
      <c r="AL709" s="22" t="n">
        <v>90</v>
      </c>
      <c r="AM709" s="7" t="s">
        <v>257</v>
      </c>
      <c r="AN709" s="22" t="s">
        <v>197</v>
      </c>
      <c r="AO709" s="22" t="n">
        <v>2</v>
      </c>
      <c r="AP709" s="22" t="n">
        <v>2.7</v>
      </c>
    </row>
    <row r="710" customFormat="false" ht="21.75" hidden="false" customHeight="true" outlineLevel="0" collapsed="false">
      <c r="B710" s="15" t="n">
        <v>706</v>
      </c>
      <c r="C710" s="9" t="s">
        <v>51</v>
      </c>
      <c r="D710" s="9" t="s">
        <v>23</v>
      </c>
      <c r="E710" s="9" t="s">
        <v>123</v>
      </c>
      <c r="F710" s="9" t="s">
        <v>64</v>
      </c>
      <c r="G710" s="9" t="s">
        <v>1792</v>
      </c>
      <c r="H710" s="9" t="s">
        <v>259</v>
      </c>
      <c r="I710" s="9" t="s">
        <v>1535</v>
      </c>
      <c r="J710" s="9" t="s">
        <v>1787</v>
      </c>
      <c r="K710" s="9" t="s">
        <v>250</v>
      </c>
      <c r="L710" s="9" t="s">
        <v>1741</v>
      </c>
      <c r="M710" s="9" t="s">
        <v>251</v>
      </c>
      <c r="N710" s="9" t="s">
        <v>1788</v>
      </c>
      <c r="O710" s="9" t="s">
        <v>189</v>
      </c>
      <c r="P710" s="9" t="s">
        <v>1744</v>
      </c>
      <c r="Q710" s="9" t="s">
        <v>1789</v>
      </c>
      <c r="R710" s="9" t="s">
        <v>1790</v>
      </c>
      <c r="S710" s="9" t="s">
        <v>1747</v>
      </c>
      <c r="T710" s="9" t="s">
        <v>507</v>
      </c>
      <c r="U710" s="19" t="n">
        <v>18</v>
      </c>
      <c r="V710" s="9"/>
      <c r="W710" s="9"/>
      <c r="X710" s="9" t="s">
        <v>199</v>
      </c>
      <c r="Y710" s="23" t="n">
        <v>0.012</v>
      </c>
      <c r="Z710" s="23" t="n">
        <v>0.017</v>
      </c>
      <c r="AA710" s="23" t="n">
        <v>12</v>
      </c>
      <c r="AB710" s="9" t="s">
        <v>1741</v>
      </c>
      <c r="AC710" s="9" t="s">
        <v>1791</v>
      </c>
      <c r="AD710" s="23" t="s">
        <v>197</v>
      </c>
      <c r="AE710" s="23" t="s">
        <v>197</v>
      </c>
      <c r="AF710" s="23" t="s">
        <v>197</v>
      </c>
      <c r="AG710" s="23" t="s">
        <v>197</v>
      </c>
      <c r="AH710" s="23" t="s">
        <v>197</v>
      </c>
      <c r="AI710" s="23" t="s">
        <v>197</v>
      </c>
      <c r="AJ710" s="23" t="n">
        <v>10</v>
      </c>
      <c r="AK710" s="23" t="s">
        <v>197</v>
      </c>
      <c r="AL710" s="23" t="n">
        <v>90</v>
      </c>
      <c r="AM710" s="9" t="s">
        <v>257</v>
      </c>
      <c r="AN710" s="23" t="s">
        <v>197</v>
      </c>
      <c r="AO710" s="23" t="n">
        <v>2</v>
      </c>
      <c r="AP710" s="23" t="n">
        <v>2.7</v>
      </c>
    </row>
    <row r="711" customFormat="false" ht="21.75" hidden="false" customHeight="true" outlineLevel="0" collapsed="false">
      <c r="B711" s="14" t="n">
        <v>707</v>
      </c>
      <c r="C711" s="7" t="s">
        <v>51</v>
      </c>
      <c r="D711" s="7" t="s">
        <v>23</v>
      </c>
      <c r="E711" s="7" t="s">
        <v>123</v>
      </c>
      <c r="F711" s="7" t="s">
        <v>64</v>
      </c>
      <c r="G711" s="7" t="s">
        <v>1793</v>
      </c>
      <c r="H711" s="7" t="s">
        <v>261</v>
      </c>
      <c r="I711" s="7" t="s">
        <v>1535</v>
      </c>
      <c r="J711" s="7" t="s">
        <v>1787</v>
      </c>
      <c r="K711" s="7" t="s">
        <v>250</v>
      </c>
      <c r="L711" s="7" t="s">
        <v>1741</v>
      </c>
      <c r="M711" s="7" t="s">
        <v>251</v>
      </c>
      <c r="N711" s="7" t="s">
        <v>1788</v>
      </c>
      <c r="O711" s="7" t="s">
        <v>189</v>
      </c>
      <c r="P711" s="7" t="s">
        <v>1744</v>
      </c>
      <c r="Q711" s="7" t="s">
        <v>1789</v>
      </c>
      <c r="R711" s="7" t="s">
        <v>1790</v>
      </c>
      <c r="S711" s="7" t="s">
        <v>1747</v>
      </c>
      <c r="T711" s="7" t="s">
        <v>507</v>
      </c>
      <c r="U711" s="18" t="n">
        <v>20</v>
      </c>
      <c r="V711" s="7"/>
      <c r="W711" s="7"/>
      <c r="X711" s="7" t="s">
        <v>1794</v>
      </c>
      <c r="Y711" s="22" t="n">
        <v>0.011</v>
      </c>
      <c r="Z711" s="22" t="n">
        <v>0.015</v>
      </c>
      <c r="AA711" s="22" t="n">
        <v>12</v>
      </c>
      <c r="AB711" s="7" t="s">
        <v>1741</v>
      </c>
      <c r="AC711" s="7" t="s">
        <v>1791</v>
      </c>
      <c r="AD711" s="22" t="s">
        <v>197</v>
      </c>
      <c r="AE711" s="22" t="s">
        <v>197</v>
      </c>
      <c r="AF711" s="22" t="s">
        <v>197</v>
      </c>
      <c r="AG711" s="22" t="s">
        <v>197</v>
      </c>
      <c r="AH711" s="22" t="s">
        <v>197</v>
      </c>
      <c r="AI711" s="22" t="s">
        <v>197</v>
      </c>
      <c r="AJ711" s="22" t="n">
        <v>12</v>
      </c>
      <c r="AK711" s="22" t="s">
        <v>197</v>
      </c>
      <c r="AL711" s="22" t="n">
        <v>90</v>
      </c>
      <c r="AM711" s="7" t="s">
        <v>257</v>
      </c>
      <c r="AN711" s="22" t="s">
        <v>197</v>
      </c>
      <c r="AO711" s="22" t="n">
        <v>2</v>
      </c>
      <c r="AP711" s="22" t="n">
        <v>2.7</v>
      </c>
    </row>
    <row r="712" customFormat="false" ht="21.75" hidden="false" customHeight="true" outlineLevel="0" collapsed="false">
      <c r="B712" s="15" t="n">
        <v>708</v>
      </c>
      <c r="C712" s="9" t="s">
        <v>51</v>
      </c>
      <c r="D712" s="9" t="s">
        <v>23</v>
      </c>
      <c r="E712" s="9" t="s">
        <v>123</v>
      </c>
      <c r="F712" s="9" t="s">
        <v>64</v>
      </c>
      <c r="G712" s="9" t="s">
        <v>1795</v>
      </c>
      <c r="H712" s="9" t="s">
        <v>264</v>
      </c>
      <c r="I712" s="9" t="s">
        <v>1535</v>
      </c>
      <c r="J712" s="9" t="s">
        <v>1787</v>
      </c>
      <c r="K712" s="9" t="s">
        <v>250</v>
      </c>
      <c r="L712" s="9" t="s">
        <v>1741</v>
      </c>
      <c r="M712" s="9" t="s">
        <v>251</v>
      </c>
      <c r="N712" s="9" t="s">
        <v>1788</v>
      </c>
      <c r="O712" s="9" t="s">
        <v>189</v>
      </c>
      <c r="P712" s="9" t="s">
        <v>1744</v>
      </c>
      <c r="Q712" s="9" t="s">
        <v>1789</v>
      </c>
      <c r="R712" s="9" t="s">
        <v>1790</v>
      </c>
      <c r="S712" s="9" t="s">
        <v>1747</v>
      </c>
      <c r="T712" s="9" t="s">
        <v>507</v>
      </c>
      <c r="U712" s="19" t="n">
        <v>35</v>
      </c>
      <c r="V712" s="9"/>
      <c r="W712" s="9"/>
      <c r="X712" s="9" t="s">
        <v>203</v>
      </c>
      <c r="Y712" s="23" t="n">
        <v>0.012</v>
      </c>
      <c r="Z712" s="23" t="n">
        <v>0.018</v>
      </c>
      <c r="AA712" s="23" t="n">
        <v>12</v>
      </c>
      <c r="AB712" s="9" t="s">
        <v>1741</v>
      </c>
      <c r="AC712" s="9" t="s">
        <v>1791</v>
      </c>
      <c r="AD712" s="23" t="s">
        <v>197</v>
      </c>
      <c r="AE712" s="23" t="s">
        <v>197</v>
      </c>
      <c r="AF712" s="23" t="s">
        <v>197</v>
      </c>
      <c r="AG712" s="23" t="s">
        <v>197</v>
      </c>
      <c r="AH712" s="23" t="s">
        <v>197</v>
      </c>
      <c r="AI712" s="23" t="s">
        <v>197</v>
      </c>
      <c r="AJ712" s="23" t="n">
        <v>12</v>
      </c>
      <c r="AK712" s="23" t="s">
        <v>197</v>
      </c>
      <c r="AL712" s="23" t="n">
        <v>110</v>
      </c>
      <c r="AM712" s="9" t="s">
        <v>257</v>
      </c>
      <c r="AN712" s="23" t="s">
        <v>197</v>
      </c>
      <c r="AO712" s="23" t="n">
        <v>2</v>
      </c>
      <c r="AP712" s="23" t="n">
        <v>2.7</v>
      </c>
    </row>
    <row r="713" customFormat="false" ht="21.75" hidden="false" customHeight="true" outlineLevel="0" collapsed="false">
      <c r="B713" s="14" t="n">
        <v>709</v>
      </c>
      <c r="C713" s="7" t="s">
        <v>51</v>
      </c>
      <c r="D713" s="7" t="s">
        <v>23</v>
      </c>
      <c r="E713" s="7" t="s">
        <v>123</v>
      </c>
      <c r="F713" s="7" t="s">
        <v>64</v>
      </c>
      <c r="G713" s="7" t="s">
        <v>1796</v>
      </c>
      <c r="H713" s="7" t="s">
        <v>266</v>
      </c>
      <c r="I713" s="7" t="s">
        <v>1535</v>
      </c>
      <c r="J713" s="7" t="s">
        <v>1787</v>
      </c>
      <c r="K713" s="7" t="s">
        <v>250</v>
      </c>
      <c r="L713" s="7" t="s">
        <v>1741</v>
      </c>
      <c r="M713" s="7" t="s">
        <v>251</v>
      </c>
      <c r="N713" s="7" t="s">
        <v>1788</v>
      </c>
      <c r="O713" s="7" t="s">
        <v>189</v>
      </c>
      <c r="P713" s="7" t="s">
        <v>1744</v>
      </c>
      <c r="Q713" s="7" t="s">
        <v>1789</v>
      </c>
      <c r="R713" s="7" t="s">
        <v>1790</v>
      </c>
      <c r="S713" s="7" t="s">
        <v>1747</v>
      </c>
      <c r="T713" s="7" t="s">
        <v>507</v>
      </c>
      <c r="U713" s="18" t="n">
        <v>50</v>
      </c>
      <c r="V713" s="7"/>
      <c r="W713" s="7"/>
      <c r="X713" s="7" t="s">
        <v>205</v>
      </c>
      <c r="Y713" s="22" t="n">
        <v>0.016</v>
      </c>
      <c r="Z713" s="22" t="n">
        <v>0.023</v>
      </c>
      <c r="AA713" s="22" t="n">
        <v>12</v>
      </c>
      <c r="AB713" s="7" t="s">
        <v>1741</v>
      </c>
      <c r="AC713" s="7" t="s">
        <v>1791</v>
      </c>
      <c r="AD713" s="22" t="s">
        <v>197</v>
      </c>
      <c r="AE713" s="22" t="s">
        <v>197</v>
      </c>
      <c r="AF713" s="22" t="s">
        <v>197</v>
      </c>
      <c r="AG713" s="22" t="s">
        <v>197</v>
      </c>
      <c r="AH713" s="22" t="s">
        <v>197</v>
      </c>
      <c r="AI713" s="22" t="s">
        <v>197</v>
      </c>
      <c r="AJ713" s="22" t="n">
        <v>15</v>
      </c>
      <c r="AK713" s="22" t="s">
        <v>197</v>
      </c>
      <c r="AL713" s="22" t="n">
        <v>110</v>
      </c>
      <c r="AM713" s="7" t="s">
        <v>257</v>
      </c>
      <c r="AN713" s="22" t="s">
        <v>197</v>
      </c>
      <c r="AO713" s="22" t="n">
        <v>2</v>
      </c>
      <c r="AP713" s="22" t="n">
        <v>2.7</v>
      </c>
    </row>
    <row r="714" customFormat="false" ht="21.75" hidden="false" customHeight="true" outlineLevel="0" collapsed="false">
      <c r="B714" s="15" t="n">
        <v>710</v>
      </c>
      <c r="C714" s="9" t="s">
        <v>51</v>
      </c>
      <c r="D714" s="9" t="s">
        <v>23</v>
      </c>
      <c r="E714" s="9" t="s">
        <v>123</v>
      </c>
      <c r="F714" s="9" t="s">
        <v>65</v>
      </c>
      <c r="G714" s="9" t="s">
        <v>1797</v>
      </c>
      <c r="H714" s="9" t="s">
        <v>247</v>
      </c>
      <c r="I714" s="9" t="s">
        <v>1798</v>
      </c>
      <c r="J714" s="9" t="s">
        <v>1799</v>
      </c>
      <c r="K714" s="9" t="s">
        <v>1800</v>
      </c>
      <c r="L714" s="9" t="s">
        <v>1741</v>
      </c>
      <c r="M714" s="9" t="s">
        <v>518</v>
      </c>
      <c r="N714" s="9" t="s">
        <v>699</v>
      </c>
      <c r="O714" s="9" t="s">
        <v>189</v>
      </c>
      <c r="P714" s="9" t="s">
        <v>1744</v>
      </c>
      <c r="Q714" s="9" t="s">
        <v>1131</v>
      </c>
      <c r="R714" s="9" t="s">
        <v>521</v>
      </c>
      <c r="S714" s="9" t="s">
        <v>1747</v>
      </c>
      <c r="T714" s="9" t="s">
        <v>275</v>
      </c>
      <c r="U714" s="19" t="n">
        <v>19</v>
      </c>
      <c r="V714" s="9"/>
      <c r="W714" s="9"/>
      <c r="X714" s="9" t="s">
        <v>195</v>
      </c>
      <c r="Y714" s="23" t="n">
        <v>2.113E-005</v>
      </c>
      <c r="Z714" s="23" t="n">
        <v>4.846E-005</v>
      </c>
      <c r="AA714" s="23" t="n">
        <v>3</v>
      </c>
      <c r="AB714" s="9" t="s">
        <v>1741</v>
      </c>
      <c r="AC714" s="9" t="s">
        <v>1801</v>
      </c>
      <c r="AD714" s="23" t="s">
        <v>197</v>
      </c>
      <c r="AE714" s="23" t="s">
        <v>197</v>
      </c>
      <c r="AF714" s="23" t="s">
        <v>197</v>
      </c>
      <c r="AG714" s="23" t="s">
        <v>197</v>
      </c>
      <c r="AH714" s="23" t="s">
        <v>197</v>
      </c>
      <c r="AI714" s="23" t="s">
        <v>197</v>
      </c>
      <c r="AJ714" s="23" t="n">
        <v>8</v>
      </c>
      <c r="AK714" s="23" t="s">
        <v>197</v>
      </c>
      <c r="AL714" s="23" t="n">
        <v>90</v>
      </c>
      <c r="AM714" s="9" t="s">
        <v>257</v>
      </c>
      <c r="AN714" s="23" t="s">
        <v>197</v>
      </c>
      <c r="AO714" s="23" t="n">
        <v>2</v>
      </c>
      <c r="AP714" s="23" t="n">
        <v>2.7</v>
      </c>
    </row>
    <row r="715" customFormat="false" ht="21.75" hidden="false" customHeight="true" outlineLevel="0" collapsed="false">
      <c r="B715" s="14" t="n">
        <v>711</v>
      </c>
      <c r="C715" s="7" t="s">
        <v>51</v>
      </c>
      <c r="D715" s="7" t="s">
        <v>23</v>
      </c>
      <c r="E715" s="7" t="s">
        <v>123</v>
      </c>
      <c r="F715" s="7" t="s">
        <v>65</v>
      </c>
      <c r="G715" s="7" t="s">
        <v>1802</v>
      </c>
      <c r="H715" s="7" t="s">
        <v>259</v>
      </c>
      <c r="I715" s="7" t="s">
        <v>1798</v>
      </c>
      <c r="J715" s="7" t="s">
        <v>1799</v>
      </c>
      <c r="K715" s="7" t="s">
        <v>1800</v>
      </c>
      <c r="L715" s="7" t="s">
        <v>1741</v>
      </c>
      <c r="M715" s="7" t="s">
        <v>518</v>
      </c>
      <c r="N715" s="7" t="s">
        <v>699</v>
      </c>
      <c r="O715" s="7" t="s">
        <v>189</v>
      </c>
      <c r="P715" s="7" t="s">
        <v>1744</v>
      </c>
      <c r="Q715" s="7" t="s">
        <v>1131</v>
      </c>
      <c r="R715" s="7" t="s">
        <v>521</v>
      </c>
      <c r="S715" s="7" t="s">
        <v>1747</v>
      </c>
      <c r="T715" s="7" t="s">
        <v>275</v>
      </c>
      <c r="U715" s="18" t="n">
        <v>25</v>
      </c>
      <c r="V715" s="7"/>
      <c r="W715" s="7"/>
      <c r="X715" s="7" t="s">
        <v>199</v>
      </c>
      <c r="Y715" s="22" t="n">
        <v>8.62E-006</v>
      </c>
      <c r="Z715" s="22" t="n">
        <v>2.611E-005</v>
      </c>
      <c r="AA715" s="22" t="n">
        <v>3</v>
      </c>
      <c r="AB715" s="7" t="s">
        <v>1741</v>
      </c>
      <c r="AC715" s="7" t="s">
        <v>1801</v>
      </c>
      <c r="AD715" s="22" t="s">
        <v>197</v>
      </c>
      <c r="AE715" s="22" t="s">
        <v>197</v>
      </c>
      <c r="AF715" s="22" t="s">
        <v>197</v>
      </c>
      <c r="AG715" s="22" t="s">
        <v>197</v>
      </c>
      <c r="AH715" s="22" t="s">
        <v>197</v>
      </c>
      <c r="AI715" s="22" t="s">
        <v>197</v>
      </c>
      <c r="AJ715" s="22" t="n">
        <v>10</v>
      </c>
      <c r="AK715" s="22" t="s">
        <v>197</v>
      </c>
      <c r="AL715" s="22" t="n">
        <v>90</v>
      </c>
      <c r="AM715" s="7" t="s">
        <v>257</v>
      </c>
      <c r="AN715" s="22" t="s">
        <v>197</v>
      </c>
      <c r="AO715" s="22" t="n">
        <v>2</v>
      </c>
      <c r="AP715" s="22" t="n">
        <v>2.7</v>
      </c>
    </row>
    <row r="716" customFormat="false" ht="21.75" hidden="false" customHeight="true" outlineLevel="0" collapsed="false">
      <c r="B716" s="15" t="n">
        <v>712</v>
      </c>
      <c r="C716" s="9" t="s">
        <v>51</v>
      </c>
      <c r="D716" s="9" t="s">
        <v>23</v>
      </c>
      <c r="E716" s="9" t="s">
        <v>123</v>
      </c>
      <c r="F716" s="9" t="s">
        <v>65</v>
      </c>
      <c r="G716" s="9" t="s">
        <v>1803</v>
      </c>
      <c r="H716" s="9" t="s">
        <v>261</v>
      </c>
      <c r="I716" s="9" t="s">
        <v>1798</v>
      </c>
      <c r="J716" s="9" t="s">
        <v>1799</v>
      </c>
      <c r="K716" s="9" t="s">
        <v>1800</v>
      </c>
      <c r="L716" s="9" t="s">
        <v>1741</v>
      </c>
      <c r="M716" s="9" t="s">
        <v>518</v>
      </c>
      <c r="N716" s="9" t="s">
        <v>699</v>
      </c>
      <c r="O716" s="9" t="s">
        <v>189</v>
      </c>
      <c r="P716" s="9" t="s">
        <v>1744</v>
      </c>
      <c r="Q716" s="9" t="s">
        <v>1131</v>
      </c>
      <c r="R716" s="9" t="s">
        <v>521</v>
      </c>
      <c r="S716" s="9" t="s">
        <v>1747</v>
      </c>
      <c r="T716" s="9" t="s">
        <v>275</v>
      </c>
      <c r="U716" s="19" t="n">
        <v>35</v>
      </c>
      <c r="V716" s="9"/>
      <c r="W716" s="9"/>
      <c r="X716" s="9" t="s">
        <v>1804</v>
      </c>
      <c r="Y716" s="23" t="n">
        <v>2.138E-005</v>
      </c>
      <c r="Z716" s="23" t="n">
        <v>4.889E-005</v>
      </c>
      <c r="AA716" s="23" t="n">
        <v>3</v>
      </c>
      <c r="AB716" s="9" t="s">
        <v>1741</v>
      </c>
      <c r="AC716" s="9" t="s">
        <v>1801</v>
      </c>
      <c r="AD716" s="23" t="s">
        <v>197</v>
      </c>
      <c r="AE716" s="23" t="s">
        <v>197</v>
      </c>
      <c r="AF716" s="23" t="s">
        <v>197</v>
      </c>
      <c r="AG716" s="23" t="s">
        <v>197</v>
      </c>
      <c r="AH716" s="23" t="s">
        <v>197</v>
      </c>
      <c r="AI716" s="23" t="s">
        <v>197</v>
      </c>
      <c r="AJ716" s="23" t="n">
        <v>12</v>
      </c>
      <c r="AK716" s="23" t="s">
        <v>197</v>
      </c>
      <c r="AL716" s="23" t="n">
        <v>90</v>
      </c>
      <c r="AM716" s="9" t="s">
        <v>257</v>
      </c>
      <c r="AN716" s="23" t="s">
        <v>197</v>
      </c>
      <c r="AO716" s="23" t="n">
        <v>2</v>
      </c>
      <c r="AP716" s="23" t="n">
        <v>2.7</v>
      </c>
    </row>
    <row r="717" customFormat="false" ht="21.75" hidden="false" customHeight="true" outlineLevel="0" collapsed="false">
      <c r="B717" s="14" t="n">
        <v>713</v>
      </c>
      <c r="C717" s="7" t="s">
        <v>51</v>
      </c>
      <c r="D717" s="7" t="s">
        <v>23</v>
      </c>
      <c r="E717" s="7" t="s">
        <v>123</v>
      </c>
      <c r="F717" s="7" t="s">
        <v>65</v>
      </c>
      <c r="G717" s="7" t="s">
        <v>1805</v>
      </c>
      <c r="H717" s="7" t="s">
        <v>281</v>
      </c>
      <c r="I717" s="7" t="s">
        <v>1798</v>
      </c>
      <c r="J717" s="7" t="s">
        <v>1799</v>
      </c>
      <c r="K717" s="7" t="s">
        <v>1800</v>
      </c>
      <c r="L717" s="7" t="s">
        <v>1741</v>
      </c>
      <c r="M717" s="7" t="s">
        <v>518</v>
      </c>
      <c r="N717" s="7" t="s">
        <v>699</v>
      </c>
      <c r="O717" s="7" t="s">
        <v>189</v>
      </c>
      <c r="P717" s="7" t="s">
        <v>1744</v>
      </c>
      <c r="Q717" s="7" t="s">
        <v>1131</v>
      </c>
      <c r="R717" s="7" t="s">
        <v>521</v>
      </c>
      <c r="S717" s="7" t="s">
        <v>1747</v>
      </c>
      <c r="T717" s="7" t="s">
        <v>275</v>
      </c>
      <c r="U717" s="18" t="n">
        <v>55</v>
      </c>
      <c r="V717" s="7"/>
      <c r="W717" s="7"/>
      <c r="X717" s="7" t="s">
        <v>203</v>
      </c>
      <c r="Y717" s="22" t="n">
        <v>2.113E-005</v>
      </c>
      <c r="Z717" s="22" t="n">
        <v>4.845E-005</v>
      </c>
      <c r="AA717" s="22" t="n">
        <v>3</v>
      </c>
      <c r="AB717" s="7" t="s">
        <v>1741</v>
      </c>
      <c r="AC717" s="7" t="s">
        <v>1801</v>
      </c>
      <c r="AD717" s="22" t="s">
        <v>197</v>
      </c>
      <c r="AE717" s="22" t="s">
        <v>197</v>
      </c>
      <c r="AF717" s="22" t="s">
        <v>197</v>
      </c>
      <c r="AG717" s="22" t="s">
        <v>197</v>
      </c>
      <c r="AH717" s="22" t="s">
        <v>197</v>
      </c>
      <c r="AI717" s="22" t="s">
        <v>197</v>
      </c>
      <c r="AJ717" s="22" t="n">
        <v>12</v>
      </c>
      <c r="AK717" s="22" t="s">
        <v>197</v>
      </c>
      <c r="AL717" s="22" t="n">
        <v>90</v>
      </c>
      <c r="AM717" s="7" t="s">
        <v>257</v>
      </c>
      <c r="AN717" s="22" t="s">
        <v>197</v>
      </c>
      <c r="AO717" s="22" t="n">
        <v>2</v>
      </c>
      <c r="AP717" s="22" t="n">
        <v>2.7</v>
      </c>
    </row>
    <row r="718" customFormat="false" ht="21.75" hidden="false" customHeight="true" outlineLevel="0" collapsed="false">
      <c r="B718" s="15" t="n">
        <v>714</v>
      </c>
      <c r="C718" s="9" t="s">
        <v>51</v>
      </c>
      <c r="D718" s="9" t="s">
        <v>23</v>
      </c>
      <c r="E718" s="9" t="s">
        <v>123</v>
      </c>
      <c r="F718" s="9" t="s">
        <v>65</v>
      </c>
      <c r="G718" s="9" t="s">
        <v>1806</v>
      </c>
      <c r="H718" s="9" t="s">
        <v>283</v>
      </c>
      <c r="I718" s="9" t="s">
        <v>1798</v>
      </c>
      <c r="J718" s="9" t="s">
        <v>1799</v>
      </c>
      <c r="K718" s="9" t="s">
        <v>1800</v>
      </c>
      <c r="L718" s="9" t="s">
        <v>1741</v>
      </c>
      <c r="M718" s="9" t="s">
        <v>518</v>
      </c>
      <c r="N718" s="9" t="s">
        <v>699</v>
      </c>
      <c r="O718" s="9" t="s">
        <v>189</v>
      </c>
      <c r="P718" s="9" t="s">
        <v>1744</v>
      </c>
      <c r="Q718" s="9" t="s">
        <v>1131</v>
      </c>
      <c r="R718" s="9" t="s">
        <v>521</v>
      </c>
      <c r="S718" s="9" t="s">
        <v>1747</v>
      </c>
      <c r="T718" s="9" t="s">
        <v>275</v>
      </c>
      <c r="U718" s="19" t="n">
        <v>80</v>
      </c>
      <c r="V718" s="9"/>
      <c r="W718" s="9"/>
      <c r="X718" s="9" t="s">
        <v>205</v>
      </c>
      <c r="Y718" s="23" t="n">
        <v>9.54E-006</v>
      </c>
      <c r="Z718" s="23" t="n">
        <v>2.775E-005</v>
      </c>
      <c r="AA718" s="23" t="n">
        <v>3</v>
      </c>
      <c r="AB718" s="9" t="s">
        <v>1741</v>
      </c>
      <c r="AC718" s="9" t="s">
        <v>1801</v>
      </c>
      <c r="AD718" s="23" t="s">
        <v>197</v>
      </c>
      <c r="AE718" s="23" t="s">
        <v>197</v>
      </c>
      <c r="AF718" s="23" t="s">
        <v>197</v>
      </c>
      <c r="AG718" s="23" t="s">
        <v>197</v>
      </c>
      <c r="AH718" s="23" t="s">
        <v>197</v>
      </c>
      <c r="AI718" s="23" t="s">
        <v>197</v>
      </c>
      <c r="AJ718" s="23" t="n">
        <v>15</v>
      </c>
      <c r="AK718" s="23" t="s">
        <v>197</v>
      </c>
      <c r="AL718" s="23" t="n">
        <v>90</v>
      </c>
      <c r="AM718" s="9" t="s">
        <v>257</v>
      </c>
      <c r="AN718" s="23" t="s">
        <v>197</v>
      </c>
      <c r="AO718" s="23" t="n">
        <v>2</v>
      </c>
      <c r="AP718" s="23" t="n">
        <v>2.7</v>
      </c>
    </row>
    <row r="719" customFormat="false" ht="21.75" hidden="false" customHeight="true" outlineLevel="0" collapsed="false">
      <c r="B719" s="14" t="n">
        <v>715</v>
      </c>
      <c r="C719" s="7" t="s">
        <v>51</v>
      </c>
      <c r="D719" s="7" t="s">
        <v>23</v>
      </c>
      <c r="E719" s="7" t="s">
        <v>123</v>
      </c>
      <c r="F719" s="7" t="s">
        <v>66</v>
      </c>
      <c r="G719" s="7" t="s">
        <v>1807</v>
      </c>
      <c r="H719" s="7" t="s">
        <v>285</v>
      </c>
      <c r="I719" s="7" t="s">
        <v>1808</v>
      </c>
      <c r="J719" s="7" t="s">
        <v>1140</v>
      </c>
      <c r="K719" s="7" t="s">
        <v>250</v>
      </c>
      <c r="L719" s="7" t="s">
        <v>1741</v>
      </c>
      <c r="M719" s="7" t="s">
        <v>251</v>
      </c>
      <c r="N719" s="7" t="s">
        <v>288</v>
      </c>
      <c r="O719" s="7" t="s">
        <v>998</v>
      </c>
      <c r="P719" s="7" t="s">
        <v>1744</v>
      </c>
      <c r="Q719" s="7" t="s">
        <v>1201</v>
      </c>
      <c r="R719" s="7" t="s">
        <v>380</v>
      </c>
      <c r="S719" s="7" t="s">
        <v>1747</v>
      </c>
      <c r="T719" s="7" t="s">
        <v>1665</v>
      </c>
      <c r="U719" s="18" t="n">
        <v>30</v>
      </c>
      <c r="V719" s="7"/>
      <c r="W719" s="7"/>
      <c r="X719" s="7" t="s">
        <v>195</v>
      </c>
      <c r="Y719" s="22" t="n">
        <v>0.02</v>
      </c>
      <c r="Z719" s="22" t="n">
        <v>0.03</v>
      </c>
      <c r="AA719" s="22" t="n">
        <v>12</v>
      </c>
      <c r="AB719" s="7" t="s">
        <v>1741</v>
      </c>
      <c r="AC719" s="7" t="s">
        <v>1791</v>
      </c>
      <c r="AD719" s="22" t="s">
        <v>197</v>
      </c>
      <c r="AE719" s="22" t="s">
        <v>197</v>
      </c>
      <c r="AF719" s="22" t="s">
        <v>197</v>
      </c>
      <c r="AG719" s="22" t="s">
        <v>197</v>
      </c>
      <c r="AH719" s="22" t="s">
        <v>197</v>
      </c>
      <c r="AI719" s="22" t="s">
        <v>197</v>
      </c>
      <c r="AJ719" s="22" t="s">
        <v>197</v>
      </c>
      <c r="AK719" s="22" t="n">
        <v>10</v>
      </c>
      <c r="AL719" s="22" t="n">
        <v>90</v>
      </c>
      <c r="AM719" s="7" t="s">
        <v>292</v>
      </c>
      <c r="AN719" s="22" t="s">
        <v>197</v>
      </c>
      <c r="AO719" s="22" t="n">
        <v>2</v>
      </c>
      <c r="AP719" s="22" t="n">
        <v>3</v>
      </c>
    </row>
    <row r="720" customFormat="false" ht="21.75" hidden="false" customHeight="true" outlineLevel="0" collapsed="false">
      <c r="B720" s="15" t="n">
        <v>716</v>
      </c>
      <c r="C720" s="9" t="s">
        <v>51</v>
      </c>
      <c r="D720" s="9" t="s">
        <v>23</v>
      </c>
      <c r="E720" s="9" t="s">
        <v>123</v>
      </c>
      <c r="F720" s="9" t="s">
        <v>66</v>
      </c>
      <c r="G720" s="9" t="s">
        <v>1806</v>
      </c>
      <c r="H720" s="9" t="s">
        <v>294</v>
      </c>
      <c r="I720" s="9" t="s">
        <v>1808</v>
      </c>
      <c r="J720" s="9" t="s">
        <v>1140</v>
      </c>
      <c r="K720" s="9" t="s">
        <v>250</v>
      </c>
      <c r="L720" s="9" t="s">
        <v>1741</v>
      </c>
      <c r="M720" s="9" t="s">
        <v>251</v>
      </c>
      <c r="N720" s="9" t="s">
        <v>288</v>
      </c>
      <c r="O720" s="9" t="s">
        <v>998</v>
      </c>
      <c r="P720" s="9" t="s">
        <v>1744</v>
      </c>
      <c r="Q720" s="9" t="s">
        <v>1201</v>
      </c>
      <c r="R720" s="9" t="s">
        <v>380</v>
      </c>
      <c r="S720" s="9" t="s">
        <v>1747</v>
      </c>
      <c r="T720" s="9" t="s">
        <v>1665</v>
      </c>
      <c r="U720" s="19" t="n">
        <v>45</v>
      </c>
      <c r="V720" s="9"/>
      <c r="W720" s="9"/>
      <c r="X720" s="9" t="s">
        <v>199</v>
      </c>
      <c r="Y720" s="23" t="n">
        <v>0.017</v>
      </c>
      <c r="Z720" s="23" t="n">
        <v>0.027</v>
      </c>
      <c r="AA720" s="23" t="n">
        <v>12</v>
      </c>
      <c r="AB720" s="9" t="s">
        <v>1741</v>
      </c>
      <c r="AC720" s="9" t="s">
        <v>1791</v>
      </c>
      <c r="AD720" s="23" t="s">
        <v>197</v>
      </c>
      <c r="AE720" s="23" t="s">
        <v>197</v>
      </c>
      <c r="AF720" s="23" t="s">
        <v>197</v>
      </c>
      <c r="AG720" s="23" t="s">
        <v>197</v>
      </c>
      <c r="AH720" s="23" t="s">
        <v>197</v>
      </c>
      <c r="AI720" s="23" t="s">
        <v>197</v>
      </c>
      <c r="AJ720" s="23" t="s">
        <v>197</v>
      </c>
      <c r="AK720" s="23" t="n">
        <v>12</v>
      </c>
      <c r="AL720" s="23" t="n">
        <v>90</v>
      </c>
      <c r="AM720" s="9" t="s">
        <v>292</v>
      </c>
      <c r="AN720" s="23" t="s">
        <v>197</v>
      </c>
      <c r="AO720" s="23" t="n">
        <v>2</v>
      </c>
      <c r="AP720" s="23" t="n">
        <v>3</v>
      </c>
    </row>
    <row r="721" customFormat="false" ht="21.75" hidden="false" customHeight="true" outlineLevel="0" collapsed="false">
      <c r="B721" s="14" t="n">
        <v>717</v>
      </c>
      <c r="C721" s="7" t="s">
        <v>51</v>
      </c>
      <c r="D721" s="7" t="s">
        <v>23</v>
      </c>
      <c r="E721" s="7" t="s">
        <v>123</v>
      </c>
      <c r="F721" s="7" t="s">
        <v>66</v>
      </c>
      <c r="G721" s="7" t="s">
        <v>1809</v>
      </c>
      <c r="H721" s="7" t="s">
        <v>296</v>
      </c>
      <c r="I721" s="7" t="s">
        <v>1808</v>
      </c>
      <c r="J721" s="7" t="s">
        <v>1140</v>
      </c>
      <c r="K721" s="7" t="s">
        <v>250</v>
      </c>
      <c r="L721" s="7" t="s">
        <v>1741</v>
      </c>
      <c r="M721" s="7" t="s">
        <v>251</v>
      </c>
      <c r="N721" s="7" t="s">
        <v>288</v>
      </c>
      <c r="O721" s="7" t="s">
        <v>998</v>
      </c>
      <c r="P721" s="7" t="s">
        <v>1744</v>
      </c>
      <c r="Q721" s="7" t="s">
        <v>1201</v>
      </c>
      <c r="R721" s="7" t="s">
        <v>380</v>
      </c>
      <c r="S721" s="7" t="s">
        <v>1747</v>
      </c>
      <c r="T721" s="7" t="s">
        <v>1665</v>
      </c>
      <c r="U721" s="18" t="n">
        <v>60</v>
      </c>
      <c r="V721" s="7"/>
      <c r="W721" s="7"/>
      <c r="X721" s="7" t="s">
        <v>1810</v>
      </c>
      <c r="Y721" s="22" t="n">
        <v>0.026</v>
      </c>
      <c r="Z721" s="22" t="n">
        <v>0.036</v>
      </c>
      <c r="AA721" s="22" t="n">
        <v>12</v>
      </c>
      <c r="AB721" s="7" t="s">
        <v>1741</v>
      </c>
      <c r="AC721" s="7" t="s">
        <v>1791</v>
      </c>
      <c r="AD721" s="22" t="s">
        <v>197</v>
      </c>
      <c r="AE721" s="22" t="s">
        <v>197</v>
      </c>
      <c r="AF721" s="22" t="s">
        <v>197</v>
      </c>
      <c r="AG721" s="22" t="s">
        <v>197</v>
      </c>
      <c r="AH721" s="22" t="s">
        <v>197</v>
      </c>
      <c r="AI721" s="22" t="s">
        <v>197</v>
      </c>
      <c r="AJ721" s="22" t="s">
        <v>197</v>
      </c>
      <c r="AK721" s="22" t="n">
        <v>12</v>
      </c>
      <c r="AL721" s="22" t="n">
        <v>90</v>
      </c>
      <c r="AM721" s="7" t="s">
        <v>292</v>
      </c>
      <c r="AN721" s="22" t="s">
        <v>197</v>
      </c>
      <c r="AO721" s="22" t="n">
        <v>2</v>
      </c>
      <c r="AP721" s="22" t="n">
        <v>3</v>
      </c>
    </row>
    <row r="722" customFormat="false" ht="21.75" hidden="false" customHeight="true" outlineLevel="0" collapsed="false">
      <c r="B722" s="15" t="n">
        <v>718</v>
      </c>
      <c r="C722" s="9" t="s">
        <v>51</v>
      </c>
      <c r="D722" s="9" t="s">
        <v>23</v>
      </c>
      <c r="E722" s="9" t="s">
        <v>123</v>
      </c>
      <c r="F722" s="9" t="s">
        <v>66</v>
      </c>
      <c r="G722" s="9" t="s">
        <v>1811</v>
      </c>
      <c r="H722" s="9" t="s">
        <v>299</v>
      </c>
      <c r="I722" s="9" t="s">
        <v>1808</v>
      </c>
      <c r="J722" s="9" t="s">
        <v>1140</v>
      </c>
      <c r="K722" s="9" t="s">
        <v>250</v>
      </c>
      <c r="L722" s="9" t="s">
        <v>1741</v>
      </c>
      <c r="M722" s="9" t="s">
        <v>251</v>
      </c>
      <c r="N722" s="9" t="s">
        <v>288</v>
      </c>
      <c r="O722" s="9" t="s">
        <v>998</v>
      </c>
      <c r="P722" s="9" t="s">
        <v>1744</v>
      </c>
      <c r="Q722" s="9" t="s">
        <v>1201</v>
      </c>
      <c r="R722" s="9" t="s">
        <v>380</v>
      </c>
      <c r="S722" s="9" t="s">
        <v>1747</v>
      </c>
      <c r="T722" s="9" t="s">
        <v>1665</v>
      </c>
      <c r="U722" s="19" t="n">
        <v>90</v>
      </c>
      <c r="V722" s="9"/>
      <c r="W722" s="9"/>
      <c r="X722" s="9" t="s">
        <v>203</v>
      </c>
      <c r="Y722" s="23" t="n">
        <v>0.018</v>
      </c>
      <c r="Z722" s="23" t="n">
        <v>0.028</v>
      </c>
      <c r="AA722" s="23" t="n">
        <v>12</v>
      </c>
      <c r="AB722" s="9" t="s">
        <v>1741</v>
      </c>
      <c r="AC722" s="9" t="s">
        <v>1791</v>
      </c>
      <c r="AD722" s="23" t="s">
        <v>197</v>
      </c>
      <c r="AE722" s="23" t="s">
        <v>197</v>
      </c>
      <c r="AF722" s="23" t="s">
        <v>197</v>
      </c>
      <c r="AG722" s="23" t="s">
        <v>197</v>
      </c>
      <c r="AH722" s="23" t="s">
        <v>197</v>
      </c>
      <c r="AI722" s="23" t="s">
        <v>197</v>
      </c>
      <c r="AJ722" s="23" t="s">
        <v>197</v>
      </c>
      <c r="AK722" s="23" t="n">
        <v>15</v>
      </c>
      <c r="AL722" s="23" t="n">
        <v>90</v>
      </c>
      <c r="AM722" s="9" t="s">
        <v>292</v>
      </c>
      <c r="AN722" s="23" t="s">
        <v>197</v>
      </c>
      <c r="AO722" s="23" t="n">
        <v>2</v>
      </c>
      <c r="AP722" s="23" t="n">
        <v>3</v>
      </c>
    </row>
    <row r="723" customFormat="false" ht="21.75" hidden="false" customHeight="true" outlineLevel="0" collapsed="false">
      <c r="B723" s="14" t="n">
        <v>719</v>
      </c>
      <c r="C723" s="7" t="s">
        <v>51</v>
      </c>
      <c r="D723" s="7" t="s">
        <v>23</v>
      </c>
      <c r="E723" s="7" t="s">
        <v>123</v>
      </c>
      <c r="F723" s="7" t="s">
        <v>66</v>
      </c>
      <c r="G723" s="7" t="s">
        <v>1812</v>
      </c>
      <c r="H723" s="7" t="s">
        <v>301</v>
      </c>
      <c r="I723" s="7" t="s">
        <v>1808</v>
      </c>
      <c r="J723" s="7" t="s">
        <v>1140</v>
      </c>
      <c r="K723" s="7" t="s">
        <v>250</v>
      </c>
      <c r="L723" s="7" t="s">
        <v>1741</v>
      </c>
      <c r="M723" s="7" t="s">
        <v>251</v>
      </c>
      <c r="N723" s="7" t="s">
        <v>288</v>
      </c>
      <c r="O723" s="7" t="s">
        <v>998</v>
      </c>
      <c r="P723" s="7" t="s">
        <v>1744</v>
      </c>
      <c r="Q723" s="7" t="s">
        <v>1201</v>
      </c>
      <c r="R723" s="7" t="s">
        <v>380</v>
      </c>
      <c r="S723" s="7" t="s">
        <v>1747</v>
      </c>
      <c r="T723" s="7" t="s">
        <v>1665</v>
      </c>
      <c r="U723" s="18" t="n">
        <v>135</v>
      </c>
      <c r="V723" s="7"/>
      <c r="W723" s="7"/>
      <c r="X723" s="7" t="s">
        <v>205</v>
      </c>
      <c r="Y723" s="22" t="n">
        <v>0.017</v>
      </c>
      <c r="Z723" s="22" t="n">
        <v>0.027</v>
      </c>
      <c r="AA723" s="22" t="n">
        <v>12</v>
      </c>
      <c r="AB723" s="7" t="s">
        <v>1741</v>
      </c>
      <c r="AC723" s="7" t="s">
        <v>1791</v>
      </c>
      <c r="AD723" s="22" t="s">
        <v>197</v>
      </c>
      <c r="AE723" s="22" t="s">
        <v>197</v>
      </c>
      <c r="AF723" s="22" t="s">
        <v>197</v>
      </c>
      <c r="AG723" s="22" t="s">
        <v>197</v>
      </c>
      <c r="AH723" s="22" t="s">
        <v>197</v>
      </c>
      <c r="AI723" s="22" t="s">
        <v>197</v>
      </c>
      <c r="AJ723" s="22" t="s">
        <v>197</v>
      </c>
      <c r="AK723" s="22" t="n">
        <v>20</v>
      </c>
      <c r="AL723" s="22" t="n">
        <v>90</v>
      </c>
      <c r="AM723" s="7" t="s">
        <v>292</v>
      </c>
      <c r="AN723" s="22" t="s">
        <v>197</v>
      </c>
      <c r="AO723" s="22" t="n">
        <v>2</v>
      </c>
      <c r="AP723" s="22" t="n">
        <v>3</v>
      </c>
    </row>
    <row r="724" customFormat="false" ht="21.75" hidden="false" customHeight="true" outlineLevel="0" collapsed="false">
      <c r="B724" s="15" t="n">
        <v>720</v>
      </c>
      <c r="C724" s="9" t="s">
        <v>51</v>
      </c>
      <c r="D724" s="9" t="s">
        <v>23</v>
      </c>
      <c r="E724" s="9" t="s">
        <v>123</v>
      </c>
      <c r="F724" s="9" t="s">
        <v>67</v>
      </c>
      <c r="G724" s="9" t="s">
        <v>1813</v>
      </c>
      <c r="H724" s="9" t="s">
        <v>303</v>
      </c>
      <c r="I724" s="9" t="s">
        <v>1814</v>
      </c>
      <c r="J724" s="9" t="s">
        <v>1815</v>
      </c>
      <c r="K724" s="9" t="s">
        <v>1800</v>
      </c>
      <c r="L724" s="9" t="s">
        <v>1741</v>
      </c>
      <c r="M724" s="9" t="s">
        <v>542</v>
      </c>
      <c r="N724" s="9" t="s">
        <v>543</v>
      </c>
      <c r="O724" s="9" t="s">
        <v>189</v>
      </c>
      <c r="P724" s="9" t="s">
        <v>1744</v>
      </c>
      <c r="Q724" s="9" t="s">
        <v>1438</v>
      </c>
      <c r="R724" s="9" t="s">
        <v>1816</v>
      </c>
      <c r="S724" s="9" t="s">
        <v>1747</v>
      </c>
      <c r="T724" s="9" t="s">
        <v>309</v>
      </c>
      <c r="U724" s="19" t="n">
        <v>15</v>
      </c>
      <c r="V724" s="9"/>
      <c r="W724" s="9"/>
      <c r="X724" s="9" t="s">
        <v>195</v>
      </c>
      <c r="Y724" s="23" t="n">
        <v>0</v>
      </c>
      <c r="Z724" s="23" t="n">
        <v>0</v>
      </c>
      <c r="AA724" s="23" t="s">
        <v>197</v>
      </c>
      <c r="AB724" s="9" t="s">
        <v>1741</v>
      </c>
      <c r="AC724" s="9" t="s">
        <v>1791</v>
      </c>
      <c r="AD724" s="23" t="s">
        <v>197</v>
      </c>
      <c r="AE724" s="23" t="s">
        <v>197</v>
      </c>
      <c r="AF724" s="23" t="s">
        <v>197</v>
      </c>
      <c r="AG724" s="23" t="s">
        <v>197</v>
      </c>
      <c r="AH724" s="23" t="s">
        <v>197</v>
      </c>
      <c r="AI724" s="23" t="s">
        <v>197</v>
      </c>
      <c r="AJ724" s="23" t="s">
        <v>197</v>
      </c>
      <c r="AK724" s="23" t="s">
        <v>197</v>
      </c>
      <c r="AL724" s="23" t="s">
        <v>197</v>
      </c>
      <c r="AM724" s="9" t="s">
        <v>310</v>
      </c>
      <c r="AN724" s="23" t="s">
        <v>197</v>
      </c>
      <c r="AO724" s="23" t="s">
        <v>197</v>
      </c>
      <c r="AP724" s="23" t="s">
        <v>197</v>
      </c>
    </row>
    <row r="725" customFormat="false" ht="21.75" hidden="false" customHeight="true" outlineLevel="0" collapsed="false">
      <c r="B725" s="14" t="n">
        <v>721</v>
      </c>
      <c r="C725" s="7" t="s">
        <v>51</v>
      </c>
      <c r="D725" s="7" t="s">
        <v>23</v>
      </c>
      <c r="E725" s="7" t="s">
        <v>123</v>
      </c>
      <c r="F725" s="7" t="s">
        <v>67</v>
      </c>
      <c r="G725" s="7" t="s">
        <v>1817</v>
      </c>
      <c r="H725" s="7" t="s">
        <v>312</v>
      </c>
      <c r="I725" s="7" t="s">
        <v>1814</v>
      </c>
      <c r="J725" s="7" t="s">
        <v>1815</v>
      </c>
      <c r="K725" s="7" t="s">
        <v>1800</v>
      </c>
      <c r="L725" s="7" t="s">
        <v>1741</v>
      </c>
      <c r="M725" s="7" t="s">
        <v>542</v>
      </c>
      <c r="N725" s="7" t="s">
        <v>543</v>
      </c>
      <c r="O725" s="7" t="s">
        <v>189</v>
      </c>
      <c r="P725" s="7" t="s">
        <v>1744</v>
      </c>
      <c r="Q725" s="7" t="s">
        <v>1438</v>
      </c>
      <c r="R725" s="7" t="s">
        <v>1816</v>
      </c>
      <c r="S725" s="7" t="s">
        <v>1747</v>
      </c>
      <c r="T725" s="7" t="s">
        <v>309</v>
      </c>
      <c r="U725" s="18" t="n">
        <v>20</v>
      </c>
      <c r="V725" s="7"/>
      <c r="W725" s="7"/>
      <c r="X725" s="7" t="s">
        <v>199</v>
      </c>
      <c r="Y725" s="22" t="n">
        <v>0</v>
      </c>
      <c r="Z725" s="22" t="n">
        <v>0</v>
      </c>
      <c r="AA725" s="22" t="s">
        <v>197</v>
      </c>
      <c r="AB725" s="7" t="s">
        <v>1741</v>
      </c>
      <c r="AC725" s="7" t="s">
        <v>1791</v>
      </c>
      <c r="AD725" s="22" t="s">
        <v>197</v>
      </c>
      <c r="AE725" s="22" t="s">
        <v>197</v>
      </c>
      <c r="AF725" s="22" t="s">
        <v>197</v>
      </c>
      <c r="AG725" s="22" t="s">
        <v>197</v>
      </c>
      <c r="AH725" s="22" t="s">
        <v>197</v>
      </c>
      <c r="AI725" s="22" t="s">
        <v>197</v>
      </c>
      <c r="AJ725" s="22" t="s">
        <v>197</v>
      </c>
      <c r="AK725" s="22" t="s">
        <v>197</v>
      </c>
      <c r="AL725" s="22" t="s">
        <v>197</v>
      </c>
      <c r="AM725" s="7" t="s">
        <v>310</v>
      </c>
      <c r="AN725" s="22" t="s">
        <v>197</v>
      </c>
      <c r="AO725" s="22" t="s">
        <v>197</v>
      </c>
      <c r="AP725" s="22" t="s">
        <v>197</v>
      </c>
    </row>
    <row r="726" customFormat="false" ht="21.75" hidden="false" customHeight="true" outlineLevel="0" collapsed="false">
      <c r="B726" s="15" t="n">
        <v>722</v>
      </c>
      <c r="C726" s="9" t="s">
        <v>51</v>
      </c>
      <c r="D726" s="9" t="s">
        <v>23</v>
      </c>
      <c r="E726" s="9" t="s">
        <v>123</v>
      </c>
      <c r="F726" s="9" t="s">
        <v>67</v>
      </c>
      <c r="G726" s="9" t="s">
        <v>1818</v>
      </c>
      <c r="H726" s="9" t="s">
        <v>314</v>
      </c>
      <c r="I726" s="9" t="s">
        <v>1814</v>
      </c>
      <c r="J726" s="9" t="s">
        <v>1815</v>
      </c>
      <c r="K726" s="9" t="s">
        <v>1800</v>
      </c>
      <c r="L726" s="9" t="s">
        <v>1741</v>
      </c>
      <c r="M726" s="9" t="s">
        <v>542</v>
      </c>
      <c r="N726" s="9" t="s">
        <v>543</v>
      </c>
      <c r="O726" s="9" t="s">
        <v>189</v>
      </c>
      <c r="P726" s="9" t="s">
        <v>1744</v>
      </c>
      <c r="Q726" s="9" t="s">
        <v>1438</v>
      </c>
      <c r="R726" s="9" t="s">
        <v>1816</v>
      </c>
      <c r="S726" s="9" t="s">
        <v>1747</v>
      </c>
      <c r="T726" s="9" t="s">
        <v>309</v>
      </c>
      <c r="U726" s="19" t="n">
        <v>30</v>
      </c>
      <c r="V726" s="9"/>
      <c r="W726" s="9"/>
      <c r="X726" s="9" t="s">
        <v>728</v>
      </c>
      <c r="Y726" s="23" t="n">
        <v>0</v>
      </c>
      <c r="Z726" s="23" t="n">
        <v>0</v>
      </c>
      <c r="AA726" s="23" t="s">
        <v>197</v>
      </c>
      <c r="AB726" s="9" t="s">
        <v>1741</v>
      </c>
      <c r="AC726" s="9" t="s">
        <v>1791</v>
      </c>
      <c r="AD726" s="23" t="s">
        <v>197</v>
      </c>
      <c r="AE726" s="23" t="s">
        <v>197</v>
      </c>
      <c r="AF726" s="23" t="s">
        <v>197</v>
      </c>
      <c r="AG726" s="23" t="s">
        <v>197</v>
      </c>
      <c r="AH726" s="23" t="s">
        <v>197</v>
      </c>
      <c r="AI726" s="23" t="s">
        <v>197</v>
      </c>
      <c r="AJ726" s="23" t="s">
        <v>197</v>
      </c>
      <c r="AK726" s="23" t="s">
        <v>197</v>
      </c>
      <c r="AL726" s="23" t="s">
        <v>197</v>
      </c>
      <c r="AM726" s="9" t="s">
        <v>310</v>
      </c>
      <c r="AN726" s="23" t="s">
        <v>197</v>
      </c>
      <c r="AO726" s="23" t="s">
        <v>197</v>
      </c>
      <c r="AP726" s="23" t="s">
        <v>197</v>
      </c>
    </row>
    <row r="727" customFormat="false" ht="21.75" hidden="false" customHeight="true" outlineLevel="0" collapsed="false">
      <c r="B727" s="14" t="n">
        <v>723</v>
      </c>
      <c r="C727" s="7" t="s">
        <v>51</v>
      </c>
      <c r="D727" s="7" t="s">
        <v>23</v>
      </c>
      <c r="E727" s="7" t="s">
        <v>123</v>
      </c>
      <c r="F727" s="7" t="s">
        <v>67</v>
      </c>
      <c r="G727" s="7" t="s">
        <v>1819</v>
      </c>
      <c r="H727" s="7" t="s">
        <v>317</v>
      </c>
      <c r="I727" s="7" t="s">
        <v>1814</v>
      </c>
      <c r="J727" s="7" t="s">
        <v>1815</v>
      </c>
      <c r="K727" s="7" t="s">
        <v>1800</v>
      </c>
      <c r="L727" s="7" t="s">
        <v>1741</v>
      </c>
      <c r="M727" s="7" t="s">
        <v>542</v>
      </c>
      <c r="N727" s="7" t="s">
        <v>543</v>
      </c>
      <c r="O727" s="7" t="s">
        <v>189</v>
      </c>
      <c r="P727" s="7" t="s">
        <v>1744</v>
      </c>
      <c r="Q727" s="7" t="s">
        <v>1438</v>
      </c>
      <c r="R727" s="7" t="s">
        <v>1816</v>
      </c>
      <c r="S727" s="7" t="s">
        <v>1747</v>
      </c>
      <c r="T727" s="7" t="s">
        <v>309</v>
      </c>
      <c r="U727" s="18" t="n">
        <v>45</v>
      </c>
      <c r="V727" s="7"/>
      <c r="W727" s="7"/>
      <c r="X727" s="7" t="s">
        <v>203</v>
      </c>
      <c r="Y727" s="22" t="n">
        <v>0</v>
      </c>
      <c r="Z727" s="22" t="n">
        <v>0</v>
      </c>
      <c r="AA727" s="22" t="s">
        <v>197</v>
      </c>
      <c r="AB727" s="7" t="s">
        <v>1741</v>
      </c>
      <c r="AC727" s="7" t="s">
        <v>1791</v>
      </c>
      <c r="AD727" s="22" t="s">
        <v>197</v>
      </c>
      <c r="AE727" s="22" t="s">
        <v>197</v>
      </c>
      <c r="AF727" s="22" t="s">
        <v>197</v>
      </c>
      <c r="AG727" s="22" t="s">
        <v>197</v>
      </c>
      <c r="AH727" s="22" t="s">
        <v>197</v>
      </c>
      <c r="AI727" s="22" t="s">
        <v>197</v>
      </c>
      <c r="AJ727" s="22" t="s">
        <v>197</v>
      </c>
      <c r="AK727" s="22" t="s">
        <v>197</v>
      </c>
      <c r="AL727" s="22" t="s">
        <v>197</v>
      </c>
      <c r="AM727" s="7" t="s">
        <v>310</v>
      </c>
      <c r="AN727" s="22" t="s">
        <v>197</v>
      </c>
      <c r="AO727" s="22" t="s">
        <v>197</v>
      </c>
      <c r="AP727" s="22" t="s">
        <v>197</v>
      </c>
    </row>
    <row r="728" customFormat="false" ht="21.75" hidden="false" customHeight="true" outlineLevel="0" collapsed="false">
      <c r="B728" s="15" t="n">
        <v>724</v>
      </c>
      <c r="C728" s="9" t="s">
        <v>51</v>
      </c>
      <c r="D728" s="9" t="s">
        <v>23</v>
      </c>
      <c r="E728" s="9" t="s">
        <v>123</v>
      </c>
      <c r="F728" s="9" t="s">
        <v>67</v>
      </c>
      <c r="G728" s="9" t="s">
        <v>1820</v>
      </c>
      <c r="H728" s="9" t="s">
        <v>319</v>
      </c>
      <c r="I728" s="9" t="s">
        <v>1814</v>
      </c>
      <c r="J728" s="9" t="s">
        <v>1815</v>
      </c>
      <c r="K728" s="9" t="s">
        <v>1800</v>
      </c>
      <c r="L728" s="9" t="s">
        <v>1741</v>
      </c>
      <c r="M728" s="9" t="s">
        <v>542</v>
      </c>
      <c r="N728" s="9" t="s">
        <v>543</v>
      </c>
      <c r="O728" s="9" t="s">
        <v>189</v>
      </c>
      <c r="P728" s="9" t="s">
        <v>1744</v>
      </c>
      <c r="Q728" s="9" t="s">
        <v>1438</v>
      </c>
      <c r="R728" s="9" t="s">
        <v>1816</v>
      </c>
      <c r="S728" s="9" t="s">
        <v>1747</v>
      </c>
      <c r="T728" s="9" t="s">
        <v>309</v>
      </c>
      <c r="U728" s="19" t="n">
        <v>65</v>
      </c>
      <c r="V728" s="9"/>
      <c r="W728" s="9"/>
      <c r="X728" s="9" t="s">
        <v>205</v>
      </c>
      <c r="Y728" s="23" t="n">
        <v>0</v>
      </c>
      <c r="Z728" s="23" t="n">
        <v>0</v>
      </c>
      <c r="AA728" s="23" t="s">
        <v>197</v>
      </c>
      <c r="AB728" s="9" t="s">
        <v>1741</v>
      </c>
      <c r="AC728" s="9" t="s">
        <v>1791</v>
      </c>
      <c r="AD728" s="23" t="s">
        <v>197</v>
      </c>
      <c r="AE728" s="23" t="s">
        <v>197</v>
      </c>
      <c r="AF728" s="23" t="s">
        <v>197</v>
      </c>
      <c r="AG728" s="23" t="s">
        <v>197</v>
      </c>
      <c r="AH728" s="23" t="s">
        <v>197</v>
      </c>
      <c r="AI728" s="23" t="s">
        <v>197</v>
      </c>
      <c r="AJ728" s="23" t="s">
        <v>197</v>
      </c>
      <c r="AK728" s="23" t="s">
        <v>197</v>
      </c>
      <c r="AL728" s="23" t="s">
        <v>197</v>
      </c>
      <c r="AM728" s="9" t="s">
        <v>310</v>
      </c>
      <c r="AN728" s="23" t="s">
        <v>197</v>
      </c>
      <c r="AO728" s="23" t="s">
        <v>197</v>
      </c>
      <c r="AP728" s="23" t="s">
        <v>197</v>
      </c>
    </row>
    <row r="729" customFormat="false" ht="21.75" hidden="false" customHeight="true" outlineLevel="0" collapsed="false">
      <c r="B729" s="14" t="n">
        <v>725</v>
      </c>
      <c r="C729" s="7" t="s">
        <v>51</v>
      </c>
      <c r="D729" s="7" t="s">
        <v>23</v>
      </c>
      <c r="E729" s="7" t="s">
        <v>123</v>
      </c>
      <c r="F729" s="7" t="s">
        <v>68</v>
      </c>
      <c r="G729" s="7" t="s">
        <v>391</v>
      </c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18"/>
      <c r="V729" s="7"/>
      <c r="W729" s="7"/>
      <c r="X729" s="7" t="s">
        <v>1821</v>
      </c>
      <c r="Y729" s="22" t="s">
        <v>197</v>
      </c>
      <c r="Z729" s="22" t="s">
        <v>197</v>
      </c>
      <c r="AA729" s="22" t="s">
        <v>197</v>
      </c>
      <c r="AB729" s="7" t="s">
        <v>197</v>
      </c>
      <c r="AC729" s="7" t="s">
        <v>197</v>
      </c>
      <c r="AD729" s="22" t="s">
        <v>197</v>
      </c>
      <c r="AE729" s="22" t="s">
        <v>197</v>
      </c>
      <c r="AF729" s="22" t="s">
        <v>197</v>
      </c>
      <c r="AG729" s="22" t="s">
        <v>197</v>
      </c>
      <c r="AH729" s="22" t="s">
        <v>197</v>
      </c>
      <c r="AI729" s="22" t="s">
        <v>197</v>
      </c>
      <c r="AJ729" s="22" t="s">
        <v>197</v>
      </c>
      <c r="AK729" s="22" t="s">
        <v>197</v>
      </c>
      <c r="AL729" s="22" t="s">
        <v>197</v>
      </c>
      <c r="AM729" s="7" t="s">
        <v>197</v>
      </c>
      <c r="AN729" s="22" t="s">
        <v>197</v>
      </c>
      <c r="AO729" s="22" t="s">
        <v>197</v>
      </c>
      <c r="AP729" s="22" t="s">
        <v>197</v>
      </c>
    </row>
    <row r="730" customFormat="false" ht="21.75" hidden="false" customHeight="true" outlineLevel="0" collapsed="false">
      <c r="B730" s="15" t="n">
        <v>726</v>
      </c>
      <c r="C730" s="9" t="s">
        <v>51</v>
      </c>
      <c r="D730" s="9" t="s">
        <v>23</v>
      </c>
      <c r="E730" s="9" t="s">
        <v>123</v>
      </c>
      <c r="F730" s="9" t="s">
        <v>69</v>
      </c>
      <c r="G730" s="9" t="s">
        <v>1822</v>
      </c>
      <c r="H730" s="9" t="s">
        <v>339</v>
      </c>
      <c r="I730" s="9" t="s">
        <v>1823</v>
      </c>
      <c r="J730" s="9" t="s">
        <v>565</v>
      </c>
      <c r="K730" s="9" t="s">
        <v>342</v>
      </c>
      <c r="L730" s="9" t="s">
        <v>1741</v>
      </c>
      <c r="M730" s="9" t="s">
        <v>1824</v>
      </c>
      <c r="N730" s="9" t="s">
        <v>1825</v>
      </c>
      <c r="O730" s="9" t="s">
        <v>345</v>
      </c>
      <c r="P730" s="9" t="s">
        <v>1744</v>
      </c>
      <c r="Q730" s="9" t="s">
        <v>1826</v>
      </c>
      <c r="R730" s="9" t="s">
        <v>347</v>
      </c>
      <c r="S730" s="9" t="s">
        <v>1747</v>
      </c>
      <c r="T730" s="9" t="s">
        <v>348</v>
      </c>
      <c r="U730" s="19" t="n">
        <v>25</v>
      </c>
      <c r="V730" s="9"/>
      <c r="W730" s="9"/>
      <c r="X730" s="9" t="s">
        <v>195</v>
      </c>
      <c r="Y730" s="23" t="n">
        <v>0.008</v>
      </c>
      <c r="Z730" s="23" t="n">
        <v>0.388</v>
      </c>
      <c r="AA730" s="23" t="n">
        <v>12</v>
      </c>
      <c r="AB730" s="9" t="s">
        <v>1741</v>
      </c>
      <c r="AC730" s="9" t="s">
        <v>1791</v>
      </c>
      <c r="AD730" s="23" t="s">
        <v>197</v>
      </c>
      <c r="AE730" s="23" t="s">
        <v>197</v>
      </c>
      <c r="AF730" s="23" t="s">
        <v>197</v>
      </c>
      <c r="AG730" s="23" t="s">
        <v>197</v>
      </c>
      <c r="AH730" s="23" t="s">
        <v>197</v>
      </c>
      <c r="AI730" s="23" t="s">
        <v>197</v>
      </c>
      <c r="AJ730" s="23" t="s">
        <v>197</v>
      </c>
      <c r="AK730" s="23" t="s">
        <v>197</v>
      </c>
      <c r="AL730" s="23" t="s">
        <v>197</v>
      </c>
      <c r="AM730" s="9" t="s">
        <v>197</v>
      </c>
      <c r="AN730" s="23" t="n">
        <v>19.4</v>
      </c>
      <c r="AO730" s="23" t="n">
        <v>2.5</v>
      </c>
      <c r="AP730" s="23" t="n">
        <v>4.5</v>
      </c>
    </row>
    <row r="731" customFormat="false" ht="21.75" hidden="false" customHeight="true" outlineLevel="0" collapsed="false">
      <c r="B731" s="14" t="n">
        <v>727</v>
      </c>
      <c r="C731" s="7" t="s">
        <v>51</v>
      </c>
      <c r="D731" s="7" t="s">
        <v>23</v>
      </c>
      <c r="E731" s="7" t="s">
        <v>123</v>
      </c>
      <c r="F731" s="7" t="s">
        <v>69</v>
      </c>
      <c r="G731" s="7" t="s">
        <v>1827</v>
      </c>
      <c r="H731" s="7" t="s">
        <v>350</v>
      </c>
      <c r="I731" s="7" t="s">
        <v>1823</v>
      </c>
      <c r="J731" s="7" t="s">
        <v>565</v>
      </c>
      <c r="K731" s="7" t="s">
        <v>342</v>
      </c>
      <c r="L731" s="7" t="s">
        <v>1741</v>
      </c>
      <c r="M731" s="7" t="s">
        <v>1824</v>
      </c>
      <c r="N731" s="7" t="s">
        <v>1825</v>
      </c>
      <c r="O731" s="7" t="s">
        <v>345</v>
      </c>
      <c r="P731" s="7" t="s">
        <v>1744</v>
      </c>
      <c r="Q731" s="7" t="s">
        <v>1826</v>
      </c>
      <c r="R731" s="7" t="s">
        <v>347</v>
      </c>
      <c r="S731" s="7" t="s">
        <v>1747</v>
      </c>
      <c r="T731" s="7" t="s">
        <v>348</v>
      </c>
      <c r="U731" s="18" t="n">
        <v>40</v>
      </c>
      <c r="V731" s="7"/>
      <c r="W731" s="7"/>
      <c r="X731" s="7" t="s">
        <v>199</v>
      </c>
      <c r="Y731" s="22" t="n">
        <v>0.011</v>
      </c>
      <c r="Z731" s="22" t="n">
        <v>0.52</v>
      </c>
      <c r="AA731" s="22" t="n">
        <v>12</v>
      </c>
      <c r="AB731" s="7" t="s">
        <v>1741</v>
      </c>
      <c r="AC731" s="7" t="s">
        <v>1791</v>
      </c>
      <c r="AD731" s="22" t="s">
        <v>197</v>
      </c>
      <c r="AE731" s="22" t="s">
        <v>197</v>
      </c>
      <c r="AF731" s="22" t="s">
        <v>197</v>
      </c>
      <c r="AG731" s="22" t="s">
        <v>197</v>
      </c>
      <c r="AH731" s="22" t="s">
        <v>197</v>
      </c>
      <c r="AI731" s="22" t="s">
        <v>197</v>
      </c>
      <c r="AJ731" s="22" t="s">
        <v>197</v>
      </c>
      <c r="AK731" s="22" t="s">
        <v>197</v>
      </c>
      <c r="AL731" s="22" t="s">
        <v>197</v>
      </c>
      <c r="AM731" s="7" t="s">
        <v>197</v>
      </c>
      <c r="AN731" s="22" t="n">
        <v>24.7</v>
      </c>
      <c r="AO731" s="22" t="n">
        <v>2.5</v>
      </c>
      <c r="AP731" s="22" t="n">
        <v>4.5</v>
      </c>
    </row>
    <row r="732" customFormat="false" ht="21.75" hidden="false" customHeight="true" outlineLevel="0" collapsed="false">
      <c r="B732" s="15" t="n">
        <v>728</v>
      </c>
      <c r="C732" s="9" t="s">
        <v>51</v>
      </c>
      <c r="D732" s="9" t="s">
        <v>23</v>
      </c>
      <c r="E732" s="9" t="s">
        <v>123</v>
      </c>
      <c r="F732" s="9" t="s">
        <v>69</v>
      </c>
      <c r="G732" s="9" t="s">
        <v>1828</v>
      </c>
      <c r="H732" s="9" t="s">
        <v>352</v>
      </c>
      <c r="I732" s="9" t="s">
        <v>1823</v>
      </c>
      <c r="J732" s="9" t="s">
        <v>565</v>
      </c>
      <c r="K732" s="9" t="s">
        <v>342</v>
      </c>
      <c r="L732" s="9" t="s">
        <v>1741</v>
      </c>
      <c r="M732" s="9" t="s">
        <v>1824</v>
      </c>
      <c r="N732" s="9" t="s">
        <v>1825</v>
      </c>
      <c r="O732" s="9" t="s">
        <v>345</v>
      </c>
      <c r="P732" s="9" t="s">
        <v>1744</v>
      </c>
      <c r="Q732" s="9" t="s">
        <v>1826</v>
      </c>
      <c r="R732" s="9" t="s">
        <v>347</v>
      </c>
      <c r="S732" s="9" t="s">
        <v>1747</v>
      </c>
      <c r="T732" s="9" t="s">
        <v>348</v>
      </c>
      <c r="U732" s="19" t="n">
        <v>55</v>
      </c>
      <c r="V732" s="9"/>
      <c r="W732" s="9"/>
      <c r="X732" s="9" t="s">
        <v>1829</v>
      </c>
      <c r="Y732" s="23" t="n">
        <v>0.012</v>
      </c>
      <c r="Z732" s="23" t="n">
        <v>0.533</v>
      </c>
      <c r="AA732" s="23" t="n">
        <v>12</v>
      </c>
      <c r="AB732" s="9" t="s">
        <v>1741</v>
      </c>
      <c r="AC732" s="9" t="s">
        <v>1791</v>
      </c>
      <c r="AD732" s="23" t="s">
        <v>197</v>
      </c>
      <c r="AE732" s="23" t="s">
        <v>197</v>
      </c>
      <c r="AF732" s="23" t="s">
        <v>197</v>
      </c>
      <c r="AG732" s="23" t="s">
        <v>197</v>
      </c>
      <c r="AH732" s="23" t="s">
        <v>197</v>
      </c>
      <c r="AI732" s="23" t="s">
        <v>197</v>
      </c>
      <c r="AJ732" s="23" t="s">
        <v>197</v>
      </c>
      <c r="AK732" s="23" t="s">
        <v>197</v>
      </c>
      <c r="AL732" s="23" t="s">
        <v>197</v>
      </c>
      <c r="AM732" s="9" t="s">
        <v>197</v>
      </c>
      <c r="AN732" s="23" t="n">
        <v>25.3</v>
      </c>
      <c r="AO732" s="23" t="n">
        <v>2.5</v>
      </c>
      <c r="AP732" s="23" t="n">
        <v>4.5</v>
      </c>
    </row>
    <row r="733" customFormat="false" ht="21.75" hidden="false" customHeight="true" outlineLevel="0" collapsed="false">
      <c r="B733" s="14" t="n">
        <v>729</v>
      </c>
      <c r="C733" s="7" t="s">
        <v>51</v>
      </c>
      <c r="D733" s="7" t="s">
        <v>23</v>
      </c>
      <c r="E733" s="7" t="s">
        <v>123</v>
      </c>
      <c r="F733" s="7" t="s">
        <v>69</v>
      </c>
      <c r="G733" s="7" t="s">
        <v>1830</v>
      </c>
      <c r="H733" s="7" t="s">
        <v>355</v>
      </c>
      <c r="I733" s="7" t="s">
        <v>1823</v>
      </c>
      <c r="J733" s="7" t="s">
        <v>565</v>
      </c>
      <c r="K733" s="7" t="s">
        <v>342</v>
      </c>
      <c r="L733" s="7" t="s">
        <v>1741</v>
      </c>
      <c r="M733" s="7" t="s">
        <v>1824</v>
      </c>
      <c r="N733" s="7" t="s">
        <v>1825</v>
      </c>
      <c r="O733" s="7" t="s">
        <v>345</v>
      </c>
      <c r="P733" s="7" t="s">
        <v>1744</v>
      </c>
      <c r="Q733" s="7" t="s">
        <v>1826</v>
      </c>
      <c r="R733" s="7" t="s">
        <v>347</v>
      </c>
      <c r="S733" s="7" t="s">
        <v>1747</v>
      </c>
      <c r="T733" s="7" t="s">
        <v>348</v>
      </c>
      <c r="U733" s="18" t="n">
        <v>85</v>
      </c>
      <c r="V733" s="7"/>
      <c r="W733" s="7"/>
      <c r="X733" s="7" t="s">
        <v>203</v>
      </c>
      <c r="Y733" s="22" t="n">
        <v>0.013</v>
      </c>
      <c r="Z733" s="22" t="n">
        <v>0.563</v>
      </c>
      <c r="AA733" s="22" t="n">
        <v>12</v>
      </c>
      <c r="AB733" s="7" t="s">
        <v>1741</v>
      </c>
      <c r="AC733" s="7" t="s">
        <v>1791</v>
      </c>
      <c r="AD733" s="22" t="s">
        <v>197</v>
      </c>
      <c r="AE733" s="22" t="s">
        <v>197</v>
      </c>
      <c r="AF733" s="22" t="s">
        <v>197</v>
      </c>
      <c r="AG733" s="22" t="s">
        <v>197</v>
      </c>
      <c r="AH733" s="22" t="s">
        <v>197</v>
      </c>
      <c r="AI733" s="22" t="s">
        <v>197</v>
      </c>
      <c r="AJ733" s="22" t="s">
        <v>197</v>
      </c>
      <c r="AK733" s="22" t="s">
        <v>197</v>
      </c>
      <c r="AL733" s="22" t="s">
        <v>197</v>
      </c>
      <c r="AM733" s="7" t="s">
        <v>197</v>
      </c>
      <c r="AN733" s="22" t="n">
        <v>26.5</v>
      </c>
      <c r="AO733" s="22" t="n">
        <v>2.5</v>
      </c>
      <c r="AP733" s="22" t="n">
        <v>4.5</v>
      </c>
    </row>
    <row r="734" customFormat="false" ht="21.75" hidden="false" customHeight="true" outlineLevel="0" collapsed="false">
      <c r="B734" s="15" t="n">
        <v>730</v>
      </c>
      <c r="C734" s="9" t="s">
        <v>51</v>
      </c>
      <c r="D734" s="9" t="s">
        <v>23</v>
      </c>
      <c r="E734" s="9" t="s">
        <v>123</v>
      </c>
      <c r="F734" s="9" t="s">
        <v>69</v>
      </c>
      <c r="G734" s="9" t="s">
        <v>1831</v>
      </c>
      <c r="H734" s="9" t="s">
        <v>357</v>
      </c>
      <c r="I734" s="9" t="s">
        <v>1823</v>
      </c>
      <c r="J734" s="9" t="s">
        <v>565</v>
      </c>
      <c r="K734" s="9" t="s">
        <v>342</v>
      </c>
      <c r="L734" s="9" t="s">
        <v>1741</v>
      </c>
      <c r="M734" s="9" t="s">
        <v>1824</v>
      </c>
      <c r="N734" s="9" t="s">
        <v>1825</v>
      </c>
      <c r="O734" s="9" t="s">
        <v>345</v>
      </c>
      <c r="P734" s="9" t="s">
        <v>1744</v>
      </c>
      <c r="Q734" s="9" t="s">
        <v>1826</v>
      </c>
      <c r="R734" s="9" t="s">
        <v>347</v>
      </c>
      <c r="S734" s="9" t="s">
        <v>1747</v>
      </c>
      <c r="T734" s="9" t="s">
        <v>348</v>
      </c>
      <c r="U734" s="19" t="n">
        <v>125</v>
      </c>
      <c r="V734" s="9"/>
      <c r="W734" s="9"/>
      <c r="X734" s="9" t="s">
        <v>205</v>
      </c>
      <c r="Y734" s="23" t="n">
        <v>0.014</v>
      </c>
      <c r="Z734" s="23" t="n">
        <v>0.623</v>
      </c>
      <c r="AA734" s="23" t="n">
        <v>12</v>
      </c>
      <c r="AB734" s="9" t="s">
        <v>1741</v>
      </c>
      <c r="AC734" s="9" t="s">
        <v>1791</v>
      </c>
      <c r="AD734" s="23" t="s">
        <v>197</v>
      </c>
      <c r="AE734" s="23" t="s">
        <v>197</v>
      </c>
      <c r="AF734" s="23" t="s">
        <v>197</v>
      </c>
      <c r="AG734" s="23" t="s">
        <v>197</v>
      </c>
      <c r="AH734" s="23" t="s">
        <v>197</v>
      </c>
      <c r="AI734" s="23" t="s">
        <v>197</v>
      </c>
      <c r="AJ734" s="23" t="s">
        <v>197</v>
      </c>
      <c r="AK734" s="23" t="s">
        <v>197</v>
      </c>
      <c r="AL734" s="23" t="s">
        <v>197</v>
      </c>
      <c r="AM734" s="9" t="s">
        <v>197</v>
      </c>
      <c r="AN734" s="23" t="n">
        <v>28.9</v>
      </c>
      <c r="AO734" s="23" t="n">
        <v>2.5</v>
      </c>
      <c r="AP734" s="23" t="n">
        <v>4.5</v>
      </c>
    </row>
    <row r="735" customFormat="false" ht="21.75" hidden="false" customHeight="true" outlineLevel="0" collapsed="false">
      <c r="B735" s="14" t="n">
        <v>731</v>
      </c>
      <c r="C735" s="7" t="s">
        <v>51</v>
      </c>
      <c r="D735" s="7" t="s">
        <v>23</v>
      </c>
      <c r="E735" s="7" t="s">
        <v>123</v>
      </c>
      <c r="F735" s="7" t="s">
        <v>70</v>
      </c>
      <c r="G735" s="7" t="s">
        <v>1832</v>
      </c>
      <c r="H735" s="7" t="s">
        <v>359</v>
      </c>
      <c r="I735" s="7" t="s">
        <v>752</v>
      </c>
      <c r="J735" s="7" t="s">
        <v>753</v>
      </c>
      <c r="K735" s="7" t="s">
        <v>342</v>
      </c>
      <c r="L735" s="7" t="s">
        <v>1741</v>
      </c>
      <c r="M735" s="7" t="s">
        <v>251</v>
      </c>
      <c r="N735" s="7" t="s">
        <v>1833</v>
      </c>
      <c r="O735" s="7" t="s">
        <v>189</v>
      </c>
      <c r="P735" s="7" t="s">
        <v>1744</v>
      </c>
      <c r="Q735" s="7" t="s">
        <v>1582</v>
      </c>
      <c r="R735" s="7" t="s">
        <v>1834</v>
      </c>
      <c r="S735" s="7" t="s">
        <v>1747</v>
      </c>
      <c r="T735" s="7" t="s">
        <v>275</v>
      </c>
      <c r="U735" s="18" t="n">
        <v>14</v>
      </c>
      <c r="V735" s="7"/>
      <c r="W735" s="7"/>
      <c r="X735" s="7" t="s">
        <v>195</v>
      </c>
      <c r="Y735" s="22" t="n">
        <v>0.007</v>
      </c>
      <c r="Z735" s="22" t="n">
        <v>0.326</v>
      </c>
      <c r="AA735" s="22" t="n">
        <v>12</v>
      </c>
      <c r="AB735" s="7" t="s">
        <v>1741</v>
      </c>
      <c r="AC735" s="7" t="s">
        <v>1791</v>
      </c>
      <c r="AD735" s="22" t="s">
        <v>197</v>
      </c>
      <c r="AE735" s="22" t="s">
        <v>197</v>
      </c>
      <c r="AF735" s="22" t="s">
        <v>197</v>
      </c>
      <c r="AG735" s="22" t="s">
        <v>197</v>
      </c>
      <c r="AH735" s="22" t="s">
        <v>197</v>
      </c>
      <c r="AI735" s="22" t="s">
        <v>197</v>
      </c>
      <c r="AJ735" s="22" t="s">
        <v>197</v>
      </c>
      <c r="AK735" s="22" t="s">
        <v>197</v>
      </c>
      <c r="AL735" s="22" t="s">
        <v>197</v>
      </c>
      <c r="AM735" s="7" t="s">
        <v>197</v>
      </c>
      <c r="AN735" s="22" t="n">
        <v>17</v>
      </c>
      <c r="AO735" s="22" t="n">
        <v>2</v>
      </c>
      <c r="AP735" s="22" t="n">
        <v>3</v>
      </c>
    </row>
    <row r="736" customFormat="false" ht="21.75" hidden="false" customHeight="true" outlineLevel="0" collapsed="false">
      <c r="B736" s="15" t="n">
        <v>732</v>
      </c>
      <c r="C736" s="9" t="s">
        <v>51</v>
      </c>
      <c r="D736" s="9" t="s">
        <v>23</v>
      </c>
      <c r="E736" s="9" t="s">
        <v>123</v>
      </c>
      <c r="F736" s="9" t="s">
        <v>70</v>
      </c>
      <c r="G736" s="9" t="s">
        <v>1835</v>
      </c>
      <c r="H736" s="9" t="s">
        <v>367</v>
      </c>
      <c r="I736" s="9" t="s">
        <v>752</v>
      </c>
      <c r="J736" s="9" t="s">
        <v>753</v>
      </c>
      <c r="K736" s="9" t="s">
        <v>342</v>
      </c>
      <c r="L736" s="9" t="s">
        <v>1741</v>
      </c>
      <c r="M736" s="9" t="s">
        <v>251</v>
      </c>
      <c r="N736" s="9" t="s">
        <v>1833</v>
      </c>
      <c r="O736" s="9" t="s">
        <v>189</v>
      </c>
      <c r="P736" s="9" t="s">
        <v>1744</v>
      </c>
      <c r="Q736" s="9" t="s">
        <v>1582</v>
      </c>
      <c r="R736" s="9" t="s">
        <v>1834</v>
      </c>
      <c r="S736" s="9" t="s">
        <v>1747</v>
      </c>
      <c r="T736" s="9" t="s">
        <v>275</v>
      </c>
      <c r="U736" s="19" t="n">
        <v>20</v>
      </c>
      <c r="V736" s="9"/>
      <c r="W736" s="9"/>
      <c r="X736" s="9" t="s">
        <v>199</v>
      </c>
      <c r="Y736" s="23" t="n">
        <v>0.004</v>
      </c>
      <c r="Z736" s="23" t="n">
        <v>0.235</v>
      </c>
      <c r="AA736" s="23" t="n">
        <v>12</v>
      </c>
      <c r="AB736" s="9" t="s">
        <v>1741</v>
      </c>
      <c r="AC736" s="9" t="s">
        <v>1791</v>
      </c>
      <c r="AD736" s="23" t="s">
        <v>197</v>
      </c>
      <c r="AE736" s="23" t="s">
        <v>197</v>
      </c>
      <c r="AF736" s="23" t="s">
        <v>197</v>
      </c>
      <c r="AG736" s="23" t="s">
        <v>197</v>
      </c>
      <c r="AH736" s="23" t="s">
        <v>197</v>
      </c>
      <c r="AI736" s="23" t="s">
        <v>197</v>
      </c>
      <c r="AJ736" s="23" t="s">
        <v>197</v>
      </c>
      <c r="AK736" s="23" t="s">
        <v>197</v>
      </c>
      <c r="AL736" s="23" t="s">
        <v>197</v>
      </c>
      <c r="AM736" s="9" t="s">
        <v>197</v>
      </c>
      <c r="AN736" s="23" t="n">
        <v>13.4</v>
      </c>
      <c r="AO736" s="23" t="n">
        <v>2</v>
      </c>
      <c r="AP736" s="23" t="n">
        <v>3</v>
      </c>
    </row>
    <row r="737" customFormat="false" ht="21.75" hidden="false" customHeight="true" outlineLevel="0" collapsed="false">
      <c r="B737" s="14" t="n">
        <v>733</v>
      </c>
      <c r="C737" s="7" t="s">
        <v>51</v>
      </c>
      <c r="D737" s="7" t="s">
        <v>23</v>
      </c>
      <c r="E737" s="7" t="s">
        <v>123</v>
      </c>
      <c r="F737" s="7" t="s">
        <v>70</v>
      </c>
      <c r="G737" s="7" t="s">
        <v>1836</v>
      </c>
      <c r="H737" s="7" t="s">
        <v>369</v>
      </c>
      <c r="I737" s="7" t="s">
        <v>752</v>
      </c>
      <c r="J737" s="7" t="s">
        <v>753</v>
      </c>
      <c r="K737" s="7" t="s">
        <v>342</v>
      </c>
      <c r="L737" s="7" t="s">
        <v>1741</v>
      </c>
      <c r="M737" s="7" t="s">
        <v>251</v>
      </c>
      <c r="N737" s="7" t="s">
        <v>1833</v>
      </c>
      <c r="O737" s="7" t="s">
        <v>189</v>
      </c>
      <c r="P737" s="7" t="s">
        <v>1744</v>
      </c>
      <c r="Q737" s="7" t="s">
        <v>1582</v>
      </c>
      <c r="R737" s="7" t="s">
        <v>1834</v>
      </c>
      <c r="S737" s="7" t="s">
        <v>1747</v>
      </c>
      <c r="T737" s="7" t="s">
        <v>275</v>
      </c>
      <c r="U737" s="18" t="n">
        <v>25</v>
      </c>
      <c r="V737" s="7"/>
      <c r="W737" s="7"/>
      <c r="X737" s="7" t="s">
        <v>758</v>
      </c>
      <c r="Y737" s="22" t="n">
        <v>0.006</v>
      </c>
      <c r="Z737" s="22" t="n">
        <v>0.302</v>
      </c>
      <c r="AA737" s="22" t="n">
        <v>12</v>
      </c>
      <c r="AB737" s="7" t="s">
        <v>1741</v>
      </c>
      <c r="AC737" s="7" t="s">
        <v>1791</v>
      </c>
      <c r="AD737" s="22" t="s">
        <v>197</v>
      </c>
      <c r="AE737" s="22" t="s">
        <v>197</v>
      </c>
      <c r="AF737" s="22" t="s">
        <v>197</v>
      </c>
      <c r="AG737" s="22" t="s">
        <v>197</v>
      </c>
      <c r="AH737" s="22" t="s">
        <v>197</v>
      </c>
      <c r="AI737" s="22" t="s">
        <v>197</v>
      </c>
      <c r="AJ737" s="22" t="s">
        <v>197</v>
      </c>
      <c r="AK737" s="22" t="s">
        <v>197</v>
      </c>
      <c r="AL737" s="22" t="s">
        <v>197</v>
      </c>
      <c r="AM737" s="7" t="s">
        <v>197</v>
      </c>
      <c r="AN737" s="22" t="n">
        <v>16.1</v>
      </c>
      <c r="AO737" s="22" t="n">
        <v>2</v>
      </c>
      <c r="AP737" s="22" t="n">
        <v>3</v>
      </c>
    </row>
    <row r="738" customFormat="false" ht="21.75" hidden="false" customHeight="true" outlineLevel="0" collapsed="false">
      <c r="B738" s="15" t="n">
        <v>734</v>
      </c>
      <c r="C738" s="9" t="s">
        <v>51</v>
      </c>
      <c r="D738" s="9" t="s">
        <v>23</v>
      </c>
      <c r="E738" s="9" t="s">
        <v>123</v>
      </c>
      <c r="F738" s="9" t="s">
        <v>70</v>
      </c>
      <c r="G738" s="9" t="s">
        <v>1837</v>
      </c>
      <c r="H738" s="9" t="s">
        <v>339</v>
      </c>
      <c r="I738" s="9" t="s">
        <v>752</v>
      </c>
      <c r="J738" s="9" t="s">
        <v>753</v>
      </c>
      <c r="K738" s="9" t="s">
        <v>342</v>
      </c>
      <c r="L738" s="9" t="s">
        <v>1741</v>
      </c>
      <c r="M738" s="9" t="s">
        <v>251</v>
      </c>
      <c r="N738" s="9" t="s">
        <v>1833</v>
      </c>
      <c r="O738" s="9" t="s">
        <v>189</v>
      </c>
      <c r="P738" s="9" t="s">
        <v>1744</v>
      </c>
      <c r="Q738" s="9" t="s">
        <v>1582</v>
      </c>
      <c r="R738" s="9" t="s">
        <v>1834</v>
      </c>
      <c r="S738" s="9" t="s">
        <v>1747</v>
      </c>
      <c r="T738" s="9" t="s">
        <v>275</v>
      </c>
      <c r="U738" s="19" t="n">
        <v>40</v>
      </c>
      <c r="V738" s="9"/>
      <c r="W738" s="9"/>
      <c r="X738" s="9" t="s">
        <v>203</v>
      </c>
      <c r="Y738" s="23" t="n">
        <v>0.001</v>
      </c>
      <c r="Z738" s="23" t="n">
        <v>0.16</v>
      </c>
      <c r="AA738" s="23" t="n">
        <v>12</v>
      </c>
      <c r="AB738" s="9" t="s">
        <v>1741</v>
      </c>
      <c r="AC738" s="9" t="s">
        <v>1791</v>
      </c>
      <c r="AD738" s="23" t="s">
        <v>197</v>
      </c>
      <c r="AE738" s="23" t="s">
        <v>197</v>
      </c>
      <c r="AF738" s="23" t="s">
        <v>197</v>
      </c>
      <c r="AG738" s="23" t="s">
        <v>197</v>
      </c>
      <c r="AH738" s="23" t="s">
        <v>197</v>
      </c>
      <c r="AI738" s="23" t="s">
        <v>197</v>
      </c>
      <c r="AJ738" s="23" t="s">
        <v>197</v>
      </c>
      <c r="AK738" s="23" t="s">
        <v>197</v>
      </c>
      <c r="AL738" s="23" t="s">
        <v>197</v>
      </c>
      <c r="AM738" s="9" t="s">
        <v>197</v>
      </c>
      <c r="AN738" s="23" t="n">
        <v>10.4</v>
      </c>
      <c r="AO738" s="23" t="n">
        <v>2</v>
      </c>
      <c r="AP738" s="23" t="n">
        <v>3</v>
      </c>
    </row>
    <row r="739" customFormat="false" ht="21.75" hidden="false" customHeight="true" outlineLevel="0" collapsed="false">
      <c r="B739" s="14" t="n">
        <v>735</v>
      </c>
      <c r="C739" s="7" t="s">
        <v>51</v>
      </c>
      <c r="D739" s="7" t="s">
        <v>23</v>
      </c>
      <c r="E739" s="7" t="s">
        <v>123</v>
      </c>
      <c r="F739" s="7" t="s">
        <v>70</v>
      </c>
      <c r="G739" s="7" t="s">
        <v>1838</v>
      </c>
      <c r="H739" s="7" t="s">
        <v>352</v>
      </c>
      <c r="I739" s="7" t="s">
        <v>752</v>
      </c>
      <c r="J739" s="7" t="s">
        <v>753</v>
      </c>
      <c r="K739" s="7" t="s">
        <v>342</v>
      </c>
      <c r="L739" s="7" t="s">
        <v>1741</v>
      </c>
      <c r="M739" s="7" t="s">
        <v>251</v>
      </c>
      <c r="N739" s="7" t="s">
        <v>1833</v>
      </c>
      <c r="O739" s="7" t="s">
        <v>189</v>
      </c>
      <c r="P739" s="7" t="s">
        <v>1744</v>
      </c>
      <c r="Q739" s="7" t="s">
        <v>1582</v>
      </c>
      <c r="R739" s="7" t="s">
        <v>1834</v>
      </c>
      <c r="S739" s="7" t="s">
        <v>1747</v>
      </c>
      <c r="T739" s="7" t="s">
        <v>275</v>
      </c>
      <c r="U739" s="18" t="n">
        <v>60</v>
      </c>
      <c r="V739" s="7"/>
      <c r="W739" s="7"/>
      <c r="X739" s="7" t="s">
        <v>205</v>
      </c>
      <c r="Y739" s="22" t="n">
        <v>0.001</v>
      </c>
      <c r="Z739" s="22" t="n">
        <v>0.162</v>
      </c>
      <c r="AA739" s="22" t="n">
        <v>12</v>
      </c>
      <c r="AB739" s="7" t="s">
        <v>1741</v>
      </c>
      <c r="AC739" s="7" t="s">
        <v>1791</v>
      </c>
      <c r="AD739" s="22" t="s">
        <v>197</v>
      </c>
      <c r="AE739" s="22" t="s">
        <v>197</v>
      </c>
      <c r="AF739" s="22" t="s">
        <v>197</v>
      </c>
      <c r="AG739" s="22" t="s">
        <v>197</v>
      </c>
      <c r="AH739" s="22" t="s">
        <v>197</v>
      </c>
      <c r="AI739" s="22" t="s">
        <v>197</v>
      </c>
      <c r="AJ739" s="22" t="s">
        <v>197</v>
      </c>
      <c r="AK739" s="22" t="s">
        <v>197</v>
      </c>
      <c r="AL739" s="22" t="s">
        <v>197</v>
      </c>
      <c r="AM739" s="7" t="s">
        <v>197</v>
      </c>
      <c r="AN739" s="22" t="n">
        <v>10.5</v>
      </c>
      <c r="AO739" s="22" t="n">
        <v>2</v>
      </c>
      <c r="AP739" s="22" t="n">
        <v>3</v>
      </c>
    </row>
    <row r="740" customFormat="false" ht="21.75" hidden="false" customHeight="true" outlineLevel="0" collapsed="false">
      <c r="B740" s="15" t="n">
        <v>736</v>
      </c>
      <c r="C740" s="9" t="s">
        <v>51</v>
      </c>
      <c r="D740" s="9" t="s">
        <v>23</v>
      </c>
      <c r="E740" s="9" t="s">
        <v>123</v>
      </c>
      <c r="F740" s="9" t="s">
        <v>71</v>
      </c>
      <c r="G740" s="9" t="s">
        <v>1839</v>
      </c>
      <c r="H740" s="9" t="s">
        <v>374</v>
      </c>
      <c r="I740" s="9" t="s">
        <v>1840</v>
      </c>
      <c r="J740" s="9" t="s">
        <v>1841</v>
      </c>
      <c r="K740" s="9" t="s">
        <v>1331</v>
      </c>
      <c r="L740" s="9" t="s">
        <v>1741</v>
      </c>
      <c r="M740" s="9" t="s">
        <v>235</v>
      </c>
      <c r="N740" s="9" t="s">
        <v>1332</v>
      </c>
      <c r="O740" s="9" t="s">
        <v>189</v>
      </c>
      <c r="P740" s="9" t="s">
        <v>1744</v>
      </c>
      <c r="Q740" s="9" t="s">
        <v>1189</v>
      </c>
      <c r="R740" s="9" t="s">
        <v>1842</v>
      </c>
      <c r="S740" s="9" t="s">
        <v>1747</v>
      </c>
      <c r="T740" s="9" t="s">
        <v>767</v>
      </c>
      <c r="U740" s="19" t="n">
        <v>50</v>
      </c>
      <c r="V740" s="9"/>
      <c r="W740" s="9"/>
      <c r="X740" s="9" t="s">
        <v>195</v>
      </c>
      <c r="Y740" s="23" t="n">
        <v>0.062</v>
      </c>
      <c r="Z740" s="23" t="n">
        <v>0.254</v>
      </c>
      <c r="AA740" s="23" t="n">
        <v>12</v>
      </c>
      <c r="AB740" s="9" t="s">
        <v>1741</v>
      </c>
      <c r="AC740" s="9" t="s">
        <v>1780</v>
      </c>
      <c r="AD740" s="23" t="s">
        <v>197</v>
      </c>
      <c r="AE740" s="23" t="s">
        <v>197</v>
      </c>
      <c r="AF740" s="23" t="s">
        <v>197</v>
      </c>
      <c r="AG740" s="23" t="s">
        <v>197</v>
      </c>
      <c r="AH740" s="23" t="s">
        <v>197</v>
      </c>
      <c r="AI740" s="23" t="s">
        <v>197</v>
      </c>
      <c r="AJ740" s="23" t="s">
        <v>197</v>
      </c>
      <c r="AK740" s="23" t="s">
        <v>197</v>
      </c>
      <c r="AL740" s="23" t="s">
        <v>197</v>
      </c>
      <c r="AM740" s="9" t="s">
        <v>197</v>
      </c>
      <c r="AN740" s="23" t="s">
        <v>197</v>
      </c>
      <c r="AO740" s="23" t="s">
        <v>197</v>
      </c>
      <c r="AP740" s="23" t="s">
        <v>197</v>
      </c>
    </row>
    <row r="741" customFormat="false" ht="21.75" hidden="false" customHeight="true" outlineLevel="0" collapsed="false">
      <c r="B741" s="14" t="n">
        <v>737</v>
      </c>
      <c r="C741" s="7" t="s">
        <v>51</v>
      </c>
      <c r="D741" s="7" t="s">
        <v>23</v>
      </c>
      <c r="E741" s="7" t="s">
        <v>123</v>
      </c>
      <c r="F741" s="7" t="s">
        <v>71</v>
      </c>
      <c r="G741" s="7" t="s">
        <v>1843</v>
      </c>
      <c r="H741" s="7" t="s">
        <v>383</v>
      </c>
      <c r="I741" s="7" t="s">
        <v>1840</v>
      </c>
      <c r="J741" s="7" t="s">
        <v>1841</v>
      </c>
      <c r="K741" s="7" t="s">
        <v>1331</v>
      </c>
      <c r="L741" s="7" t="s">
        <v>1741</v>
      </c>
      <c r="M741" s="7" t="s">
        <v>235</v>
      </c>
      <c r="N741" s="7" t="s">
        <v>1332</v>
      </c>
      <c r="O741" s="7" t="s">
        <v>189</v>
      </c>
      <c r="P741" s="7" t="s">
        <v>1744</v>
      </c>
      <c r="Q741" s="7" t="s">
        <v>1189</v>
      </c>
      <c r="R741" s="7" t="s">
        <v>1842</v>
      </c>
      <c r="S741" s="7" t="s">
        <v>1747</v>
      </c>
      <c r="T741" s="7" t="s">
        <v>767</v>
      </c>
      <c r="U741" s="18" t="n">
        <v>80</v>
      </c>
      <c r="V741" s="7"/>
      <c r="W741" s="7"/>
      <c r="X741" s="7" t="s">
        <v>199</v>
      </c>
      <c r="Y741" s="22" t="n">
        <v>0.082</v>
      </c>
      <c r="Z741" s="22" t="n">
        <v>0.306</v>
      </c>
      <c r="AA741" s="22" t="n">
        <v>12</v>
      </c>
      <c r="AB741" s="7" t="s">
        <v>1741</v>
      </c>
      <c r="AC741" s="7" t="s">
        <v>1780</v>
      </c>
      <c r="AD741" s="22" t="s">
        <v>197</v>
      </c>
      <c r="AE741" s="22" t="s">
        <v>197</v>
      </c>
      <c r="AF741" s="22" t="s">
        <v>197</v>
      </c>
      <c r="AG741" s="22" t="s">
        <v>197</v>
      </c>
      <c r="AH741" s="22" t="s">
        <v>197</v>
      </c>
      <c r="AI741" s="22" t="s">
        <v>197</v>
      </c>
      <c r="AJ741" s="22" t="s">
        <v>197</v>
      </c>
      <c r="AK741" s="22" t="s">
        <v>197</v>
      </c>
      <c r="AL741" s="22" t="s">
        <v>197</v>
      </c>
      <c r="AM741" s="7" t="s">
        <v>197</v>
      </c>
      <c r="AN741" s="22" t="s">
        <v>197</v>
      </c>
      <c r="AO741" s="22" t="s">
        <v>197</v>
      </c>
      <c r="AP741" s="22" t="s">
        <v>197</v>
      </c>
    </row>
    <row r="742" customFormat="false" ht="21.75" hidden="false" customHeight="true" outlineLevel="0" collapsed="false">
      <c r="B742" s="15" t="n">
        <v>738</v>
      </c>
      <c r="C742" s="9" t="s">
        <v>51</v>
      </c>
      <c r="D742" s="9" t="s">
        <v>23</v>
      </c>
      <c r="E742" s="9" t="s">
        <v>123</v>
      </c>
      <c r="F742" s="9" t="s">
        <v>71</v>
      </c>
      <c r="G742" s="9" t="s">
        <v>1844</v>
      </c>
      <c r="H742" s="9" t="s">
        <v>385</v>
      </c>
      <c r="I742" s="9" t="s">
        <v>1840</v>
      </c>
      <c r="J742" s="9" t="s">
        <v>1841</v>
      </c>
      <c r="K742" s="9" t="s">
        <v>1331</v>
      </c>
      <c r="L742" s="9" t="s">
        <v>1741</v>
      </c>
      <c r="M742" s="9" t="s">
        <v>235</v>
      </c>
      <c r="N742" s="9" t="s">
        <v>1332</v>
      </c>
      <c r="O742" s="9" t="s">
        <v>189</v>
      </c>
      <c r="P742" s="9" t="s">
        <v>1744</v>
      </c>
      <c r="Q742" s="9" t="s">
        <v>1189</v>
      </c>
      <c r="R742" s="9" t="s">
        <v>1842</v>
      </c>
      <c r="S742" s="9" t="s">
        <v>1747</v>
      </c>
      <c r="T742" s="9" t="s">
        <v>767</v>
      </c>
      <c r="U742" s="19" t="n">
        <v>105</v>
      </c>
      <c r="V742" s="9"/>
      <c r="W742" s="9"/>
      <c r="X742" s="9" t="s">
        <v>1804</v>
      </c>
      <c r="Y742" s="23" t="n">
        <v>0.087</v>
      </c>
      <c r="Z742" s="23" t="n">
        <v>0.318</v>
      </c>
      <c r="AA742" s="23" t="n">
        <v>12</v>
      </c>
      <c r="AB742" s="9" t="s">
        <v>1741</v>
      </c>
      <c r="AC742" s="9" t="s">
        <v>1780</v>
      </c>
      <c r="AD742" s="23" t="s">
        <v>197</v>
      </c>
      <c r="AE742" s="23" t="s">
        <v>197</v>
      </c>
      <c r="AF742" s="23" t="s">
        <v>197</v>
      </c>
      <c r="AG742" s="23" t="s">
        <v>197</v>
      </c>
      <c r="AH742" s="23" t="s">
        <v>197</v>
      </c>
      <c r="AI742" s="23" t="s">
        <v>197</v>
      </c>
      <c r="AJ742" s="23" t="s">
        <v>197</v>
      </c>
      <c r="AK742" s="23" t="s">
        <v>197</v>
      </c>
      <c r="AL742" s="23" t="s">
        <v>197</v>
      </c>
      <c r="AM742" s="9" t="s">
        <v>197</v>
      </c>
      <c r="AN742" s="23" t="s">
        <v>197</v>
      </c>
      <c r="AO742" s="23" t="s">
        <v>197</v>
      </c>
      <c r="AP742" s="23" t="s">
        <v>197</v>
      </c>
    </row>
    <row r="743" customFormat="false" ht="21.75" hidden="false" customHeight="true" outlineLevel="0" collapsed="false">
      <c r="B743" s="14" t="n">
        <v>739</v>
      </c>
      <c r="C743" s="7" t="s">
        <v>51</v>
      </c>
      <c r="D743" s="7" t="s">
        <v>23</v>
      </c>
      <c r="E743" s="7" t="s">
        <v>123</v>
      </c>
      <c r="F743" s="7" t="s">
        <v>71</v>
      </c>
      <c r="G743" s="7" t="s">
        <v>1845</v>
      </c>
      <c r="H743" s="7" t="s">
        <v>388</v>
      </c>
      <c r="I743" s="7" t="s">
        <v>1840</v>
      </c>
      <c r="J743" s="7" t="s">
        <v>1841</v>
      </c>
      <c r="K743" s="7" t="s">
        <v>1331</v>
      </c>
      <c r="L743" s="7" t="s">
        <v>1741</v>
      </c>
      <c r="M743" s="7" t="s">
        <v>235</v>
      </c>
      <c r="N743" s="7" t="s">
        <v>1332</v>
      </c>
      <c r="O743" s="7" t="s">
        <v>189</v>
      </c>
      <c r="P743" s="7" t="s">
        <v>1744</v>
      </c>
      <c r="Q743" s="7" t="s">
        <v>1189</v>
      </c>
      <c r="R743" s="7" t="s">
        <v>1842</v>
      </c>
      <c r="S743" s="7" t="s">
        <v>1747</v>
      </c>
      <c r="T743" s="7" t="s">
        <v>767</v>
      </c>
      <c r="U743" s="18" t="n">
        <v>160</v>
      </c>
      <c r="V743" s="7"/>
      <c r="W743" s="7"/>
      <c r="X743" s="7" t="s">
        <v>203</v>
      </c>
      <c r="Y743" s="22" t="n">
        <v>0.041</v>
      </c>
      <c r="Z743" s="22" t="n">
        <v>0.203</v>
      </c>
      <c r="AA743" s="22" t="n">
        <v>12</v>
      </c>
      <c r="AB743" s="7" t="s">
        <v>1741</v>
      </c>
      <c r="AC743" s="7" t="s">
        <v>1780</v>
      </c>
      <c r="AD743" s="22" t="s">
        <v>197</v>
      </c>
      <c r="AE743" s="22" t="s">
        <v>197</v>
      </c>
      <c r="AF743" s="22" t="s">
        <v>197</v>
      </c>
      <c r="AG743" s="22" t="s">
        <v>197</v>
      </c>
      <c r="AH743" s="22" t="s">
        <v>197</v>
      </c>
      <c r="AI743" s="22" t="s">
        <v>197</v>
      </c>
      <c r="AJ743" s="22" t="s">
        <v>197</v>
      </c>
      <c r="AK743" s="22" t="s">
        <v>197</v>
      </c>
      <c r="AL743" s="22" t="s">
        <v>197</v>
      </c>
      <c r="AM743" s="7" t="s">
        <v>197</v>
      </c>
      <c r="AN743" s="22" t="s">
        <v>197</v>
      </c>
      <c r="AO743" s="22" t="s">
        <v>197</v>
      </c>
      <c r="AP743" s="22" t="s">
        <v>197</v>
      </c>
    </row>
    <row r="744" customFormat="false" ht="21.75" hidden="false" customHeight="true" outlineLevel="0" collapsed="false">
      <c r="B744" s="15" t="n">
        <v>740</v>
      </c>
      <c r="C744" s="9" t="s">
        <v>51</v>
      </c>
      <c r="D744" s="9" t="s">
        <v>23</v>
      </c>
      <c r="E744" s="9" t="s">
        <v>123</v>
      </c>
      <c r="F744" s="9" t="s">
        <v>71</v>
      </c>
      <c r="G744" s="9" t="s">
        <v>1846</v>
      </c>
      <c r="H744" s="9" t="s">
        <v>390</v>
      </c>
      <c r="I744" s="9" t="s">
        <v>1840</v>
      </c>
      <c r="J744" s="9" t="s">
        <v>1841</v>
      </c>
      <c r="K744" s="9" t="s">
        <v>1331</v>
      </c>
      <c r="L744" s="9" t="s">
        <v>1741</v>
      </c>
      <c r="M744" s="9" t="s">
        <v>235</v>
      </c>
      <c r="N744" s="9" t="s">
        <v>1332</v>
      </c>
      <c r="O744" s="9" t="s">
        <v>189</v>
      </c>
      <c r="P744" s="9" t="s">
        <v>1744</v>
      </c>
      <c r="Q744" s="9" t="s">
        <v>1189</v>
      </c>
      <c r="R744" s="9" t="s">
        <v>1842</v>
      </c>
      <c r="S744" s="9" t="s">
        <v>1747</v>
      </c>
      <c r="T744" s="9" t="s">
        <v>767</v>
      </c>
      <c r="U744" s="19" t="n">
        <v>235</v>
      </c>
      <c r="V744" s="9"/>
      <c r="W744" s="9"/>
      <c r="X744" s="9" t="s">
        <v>205</v>
      </c>
      <c r="Y744" s="23" t="n">
        <v>0.077</v>
      </c>
      <c r="Z744" s="23" t="n">
        <v>0.292</v>
      </c>
      <c r="AA744" s="23" t="n">
        <v>12</v>
      </c>
      <c r="AB744" s="9" t="s">
        <v>1741</v>
      </c>
      <c r="AC744" s="9" t="s">
        <v>1780</v>
      </c>
      <c r="AD744" s="23" t="s">
        <v>197</v>
      </c>
      <c r="AE744" s="23" t="s">
        <v>197</v>
      </c>
      <c r="AF744" s="23" t="s">
        <v>197</v>
      </c>
      <c r="AG744" s="23" t="s">
        <v>197</v>
      </c>
      <c r="AH744" s="23" t="s">
        <v>197</v>
      </c>
      <c r="AI744" s="23" t="s">
        <v>197</v>
      </c>
      <c r="AJ744" s="23" t="s">
        <v>197</v>
      </c>
      <c r="AK744" s="23" t="s">
        <v>197</v>
      </c>
      <c r="AL744" s="23" t="s">
        <v>197</v>
      </c>
      <c r="AM744" s="9" t="s">
        <v>197</v>
      </c>
      <c r="AN744" s="23" t="s">
        <v>197</v>
      </c>
      <c r="AO744" s="23" t="s">
        <v>197</v>
      </c>
      <c r="AP744" s="23" t="s">
        <v>197</v>
      </c>
    </row>
    <row r="745" customFormat="false" ht="21.75" hidden="false" customHeight="true" outlineLevel="0" collapsed="false">
      <c r="B745" s="14" t="n">
        <v>741</v>
      </c>
      <c r="C745" s="7" t="s">
        <v>51</v>
      </c>
      <c r="D745" s="7" t="s">
        <v>23</v>
      </c>
      <c r="E745" s="7" t="s">
        <v>123</v>
      </c>
      <c r="F745" s="7" t="s">
        <v>72</v>
      </c>
      <c r="G745" s="7" t="s">
        <v>391</v>
      </c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18"/>
      <c r="V745" s="7"/>
      <c r="W745" s="7"/>
      <c r="X745" s="7" t="s">
        <v>1847</v>
      </c>
      <c r="Y745" s="22" t="s">
        <v>197</v>
      </c>
      <c r="Z745" s="22" t="s">
        <v>197</v>
      </c>
      <c r="AA745" s="22" t="s">
        <v>197</v>
      </c>
      <c r="AB745" s="7" t="s">
        <v>197</v>
      </c>
      <c r="AC745" s="7" t="s">
        <v>197</v>
      </c>
      <c r="AD745" s="22" t="s">
        <v>197</v>
      </c>
      <c r="AE745" s="22" t="s">
        <v>197</v>
      </c>
      <c r="AF745" s="22" t="s">
        <v>197</v>
      </c>
      <c r="AG745" s="22" t="s">
        <v>197</v>
      </c>
      <c r="AH745" s="22" t="s">
        <v>197</v>
      </c>
      <c r="AI745" s="22" t="s">
        <v>197</v>
      </c>
      <c r="AJ745" s="22" t="s">
        <v>197</v>
      </c>
      <c r="AK745" s="22" t="s">
        <v>197</v>
      </c>
      <c r="AL745" s="22" t="s">
        <v>197</v>
      </c>
      <c r="AM745" s="7" t="s">
        <v>197</v>
      </c>
      <c r="AN745" s="22" t="s">
        <v>197</v>
      </c>
      <c r="AO745" s="22" t="s">
        <v>197</v>
      </c>
      <c r="AP745" s="22" t="s">
        <v>197</v>
      </c>
    </row>
    <row r="746" customFormat="false" ht="21.75" hidden="false" customHeight="true" outlineLevel="0" collapsed="false">
      <c r="B746" s="15" t="n">
        <v>742</v>
      </c>
      <c r="C746" s="9" t="s">
        <v>51</v>
      </c>
      <c r="D746" s="9" t="s">
        <v>23</v>
      </c>
      <c r="E746" s="9" t="s">
        <v>123</v>
      </c>
      <c r="F746" s="9" t="s">
        <v>73</v>
      </c>
      <c r="G746" s="9" t="s">
        <v>1848</v>
      </c>
      <c r="H746" s="9" t="s">
        <v>394</v>
      </c>
      <c r="I746" s="9" t="s">
        <v>1849</v>
      </c>
      <c r="J746" s="9" t="s">
        <v>1850</v>
      </c>
      <c r="K746" s="9" t="s">
        <v>1851</v>
      </c>
      <c r="L746" s="9" t="s">
        <v>1741</v>
      </c>
      <c r="M746" s="9" t="s">
        <v>235</v>
      </c>
      <c r="N746" s="9" t="s">
        <v>1852</v>
      </c>
      <c r="O746" s="9" t="s">
        <v>189</v>
      </c>
      <c r="P746" s="9" t="s">
        <v>1744</v>
      </c>
      <c r="Q746" s="9" t="s">
        <v>1853</v>
      </c>
      <c r="R746" s="9" t="s">
        <v>933</v>
      </c>
      <c r="S746" s="9" t="s">
        <v>1747</v>
      </c>
      <c r="T746" s="9" t="s">
        <v>1854</v>
      </c>
      <c r="U746" s="19" t="n">
        <v>35</v>
      </c>
      <c r="V746" s="9"/>
      <c r="W746" s="9"/>
      <c r="X746" s="9" t="s">
        <v>195</v>
      </c>
      <c r="Y746" s="23" t="n">
        <v>0.033</v>
      </c>
      <c r="Z746" s="23" t="n">
        <v>0.054</v>
      </c>
      <c r="AA746" s="23" t="n">
        <v>12</v>
      </c>
      <c r="AB746" s="9" t="s">
        <v>1741</v>
      </c>
      <c r="AC746" s="9" t="s">
        <v>1780</v>
      </c>
      <c r="AD746" s="23" t="s">
        <v>197</v>
      </c>
      <c r="AE746" s="23" t="s">
        <v>197</v>
      </c>
      <c r="AF746" s="23" t="s">
        <v>197</v>
      </c>
      <c r="AG746" s="23" t="n">
        <v>4</v>
      </c>
      <c r="AH746" s="23" t="s">
        <v>197</v>
      </c>
      <c r="AI746" s="23" t="s">
        <v>197</v>
      </c>
      <c r="AJ746" s="23" t="s">
        <v>197</v>
      </c>
      <c r="AK746" s="23" t="s">
        <v>197</v>
      </c>
      <c r="AL746" s="23" t="s">
        <v>197</v>
      </c>
      <c r="AM746" s="9" t="s">
        <v>197</v>
      </c>
      <c r="AN746" s="23" t="s">
        <v>197</v>
      </c>
      <c r="AO746" s="23" t="s">
        <v>197</v>
      </c>
      <c r="AP746" s="23" t="s">
        <v>197</v>
      </c>
    </row>
    <row r="747" customFormat="false" ht="21.75" hidden="false" customHeight="true" outlineLevel="0" collapsed="false">
      <c r="B747" s="14" t="n">
        <v>743</v>
      </c>
      <c r="C747" s="7" t="s">
        <v>51</v>
      </c>
      <c r="D747" s="7" t="s">
        <v>23</v>
      </c>
      <c r="E747" s="7" t="s">
        <v>123</v>
      </c>
      <c r="F747" s="7" t="s">
        <v>73</v>
      </c>
      <c r="G747" s="7" t="s">
        <v>1855</v>
      </c>
      <c r="H747" s="7" t="s">
        <v>402</v>
      </c>
      <c r="I747" s="7" t="s">
        <v>1849</v>
      </c>
      <c r="J747" s="7" t="s">
        <v>1850</v>
      </c>
      <c r="K747" s="7" t="s">
        <v>1851</v>
      </c>
      <c r="L747" s="7" t="s">
        <v>1741</v>
      </c>
      <c r="M747" s="7" t="s">
        <v>235</v>
      </c>
      <c r="N747" s="7" t="s">
        <v>1852</v>
      </c>
      <c r="O747" s="7" t="s">
        <v>189</v>
      </c>
      <c r="P747" s="7" t="s">
        <v>1744</v>
      </c>
      <c r="Q747" s="7" t="s">
        <v>1853</v>
      </c>
      <c r="R747" s="7" t="s">
        <v>933</v>
      </c>
      <c r="S747" s="7" t="s">
        <v>1747</v>
      </c>
      <c r="T747" s="7" t="s">
        <v>1854</v>
      </c>
      <c r="U747" s="18" t="n">
        <v>50</v>
      </c>
      <c r="V747" s="7"/>
      <c r="W747" s="7"/>
      <c r="X747" s="7" t="s">
        <v>199</v>
      </c>
      <c r="Y747" s="22" t="n">
        <v>0.04</v>
      </c>
      <c r="Z747" s="22" t="n">
        <v>0.063</v>
      </c>
      <c r="AA747" s="22" t="n">
        <v>12</v>
      </c>
      <c r="AB747" s="7" t="s">
        <v>1741</v>
      </c>
      <c r="AC747" s="7" t="s">
        <v>1780</v>
      </c>
      <c r="AD747" s="22" t="s">
        <v>197</v>
      </c>
      <c r="AE747" s="22" t="s">
        <v>197</v>
      </c>
      <c r="AF747" s="22" t="s">
        <v>197</v>
      </c>
      <c r="AG747" s="22" t="n">
        <v>8</v>
      </c>
      <c r="AH747" s="22" t="s">
        <v>197</v>
      </c>
      <c r="AI747" s="22" t="s">
        <v>197</v>
      </c>
      <c r="AJ747" s="22" t="s">
        <v>197</v>
      </c>
      <c r="AK747" s="22" t="s">
        <v>197</v>
      </c>
      <c r="AL747" s="22" t="s">
        <v>197</v>
      </c>
      <c r="AM747" s="7" t="s">
        <v>197</v>
      </c>
      <c r="AN747" s="22" t="s">
        <v>197</v>
      </c>
      <c r="AO747" s="22" t="s">
        <v>197</v>
      </c>
      <c r="AP747" s="22" t="s">
        <v>197</v>
      </c>
    </row>
    <row r="748" customFormat="false" ht="21.75" hidden="false" customHeight="true" outlineLevel="0" collapsed="false">
      <c r="B748" s="15" t="n">
        <v>744</v>
      </c>
      <c r="C748" s="9" t="s">
        <v>51</v>
      </c>
      <c r="D748" s="9" t="s">
        <v>23</v>
      </c>
      <c r="E748" s="9" t="s">
        <v>123</v>
      </c>
      <c r="F748" s="9" t="s">
        <v>73</v>
      </c>
      <c r="G748" s="9" t="s">
        <v>1856</v>
      </c>
      <c r="H748" s="9" t="s">
        <v>404</v>
      </c>
      <c r="I748" s="9" t="s">
        <v>1849</v>
      </c>
      <c r="J748" s="9" t="s">
        <v>1850</v>
      </c>
      <c r="K748" s="9" t="s">
        <v>1851</v>
      </c>
      <c r="L748" s="9" t="s">
        <v>1741</v>
      </c>
      <c r="M748" s="9" t="s">
        <v>235</v>
      </c>
      <c r="N748" s="9" t="s">
        <v>1852</v>
      </c>
      <c r="O748" s="9" t="s">
        <v>189</v>
      </c>
      <c r="P748" s="9" t="s">
        <v>1744</v>
      </c>
      <c r="Q748" s="9" t="s">
        <v>1853</v>
      </c>
      <c r="R748" s="9" t="s">
        <v>933</v>
      </c>
      <c r="S748" s="9" t="s">
        <v>1747</v>
      </c>
      <c r="T748" s="9" t="s">
        <v>1854</v>
      </c>
      <c r="U748" s="19" t="n">
        <v>70</v>
      </c>
      <c r="V748" s="9"/>
      <c r="W748" s="9"/>
      <c r="X748" s="9" t="s">
        <v>1857</v>
      </c>
      <c r="Y748" s="23" t="n">
        <v>0.056</v>
      </c>
      <c r="Z748" s="23" t="n">
        <v>0.084</v>
      </c>
      <c r="AA748" s="23" t="n">
        <v>12</v>
      </c>
      <c r="AB748" s="9" t="s">
        <v>1741</v>
      </c>
      <c r="AC748" s="9" t="s">
        <v>1780</v>
      </c>
      <c r="AD748" s="23" t="s">
        <v>197</v>
      </c>
      <c r="AE748" s="23" t="s">
        <v>197</v>
      </c>
      <c r="AF748" s="23" t="s">
        <v>197</v>
      </c>
      <c r="AG748" s="23" t="n">
        <v>8</v>
      </c>
      <c r="AH748" s="23" t="s">
        <v>197</v>
      </c>
      <c r="AI748" s="23" t="s">
        <v>197</v>
      </c>
      <c r="AJ748" s="23" t="s">
        <v>197</v>
      </c>
      <c r="AK748" s="23" t="s">
        <v>197</v>
      </c>
      <c r="AL748" s="23" t="s">
        <v>197</v>
      </c>
      <c r="AM748" s="9" t="s">
        <v>197</v>
      </c>
      <c r="AN748" s="23" t="s">
        <v>197</v>
      </c>
      <c r="AO748" s="23" t="s">
        <v>197</v>
      </c>
      <c r="AP748" s="23" t="s">
        <v>197</v>
      </c>
    </row>
    <row r="749" customFormat="false" ht="21.75" hidden="false" customHeight="true" outlineLevel="0" collapsed="false">
      <c r="B749" s="14" t="n">
        <v>745</v>
      </c>
      <c r="C749" s="7" t="s">
        <v>51</v>
      </c>
      <c r="D749" s="7" t="s">
        <v>23</v>
      </c>
      <c r="E749" s="7" t="s">
        <v>123</v>
      </c>
      <c r="F749" s="7" t="s">
        <v>73</v>
      </c>
      <c r="G749" s="7" t="s">
        <v>1858</v>
      </c>
      <c r="H749" s="7" t="s">
        <v>407</v>
      </c>
      <c r="I749" s="7" t="s">
        <v>1849</v>
      </c>
      <c r="J749" s="7" t="s">
        <v>1850</v>
      </c>
      <c r="K749" s="7" t="s">
        <v>1851</v>
      </c>
      <c r="L749" s="7" t="s">
        <v>1741</v>
      </c>
      <c r="M749" s="7" t="s">
        <v>235</v>
      </c>
      <c r="N749" s="7" t="s">
        <v>1852</v>
      </c>
      <c r="O749" s="7" t="s">
        <v>189</v>
      </c>
      <c r="P749" s="7" t="s">
        <v>1744</v>
      </c>
      <c r="Q749" s="7" t="s">
        <v>1853</v>
      </c>
      <c r="R749" s="7" t="s">
        <v>933</v>
      </c>
      <c r="S749" s="7" t="s">
        <v>1747</v>
      </c>
      <c r="T749" s="7" t="s">
        <v>1854</v>
      </c>
      <c r="U749" s="18" t="n">
        <v>105</v>
      </c>
      <c r="V749" s="7"/>
      <c r="W749" s="7"/>
      <c r="X749" s="7" t="s">
        <v>203</v>
      </c>
      <c r="Y749" s="22" t="n">
        <v>0.039</v>
      </c>
      <c r="Z749" s="22" t="n">
        <v>0.062</v>
      </c>
      <c r="AA749" s="22" t="n">
        <v>12</v>
      </c>
      <c r="AB749" s="7" t="s">
        <v>1741</v>
      </c>
      <c r="AC749" s="7" t="s">
        <v>1780</v>
      </c>
      <c r="AD749" s="22" t="s">
        <v>197</v>
      </c>
      <c r="AE749" s="22" t="s">
        <v>197</v>
      </c>
      <c r="AF749" s="22" t="s">
        <v>197</v>
      </c>
      <c r="AG749" s="22" t="n">
        <v>16</v>
      </c>
      <c r="AH749" s="22" t="s">
        <v>197</v>
      </c>
      <c r="AI749" s="22" t="s">
        <v>197</v>
      </c>
      <c r="AJ749" s="22" t="s">
        <v>197</v>
      </c>
      <c r="AK749" s="22" t="s">
        <v>197</v>
      </c>
      <c r="AL749" s="22" t="s">
        <v>197</v>
      </c>
      <c r="AM749" s="7" t="s">
        <v>197</v>
      </c>
      <c r="AN749" s="22" t="s">
        <v>197</v>
      </c>
      <c r="AO749" s="22" t="s">
        <v>197</v>
      </c>
      <c r="AP749" s="22" t="s">
        <v>197</v>
      </c>
    </row>
    <row r="750" customFormat="false" ht="21.75" hidden="false" customHeight="true" outlineLevel="0" collapsed="false">
      <c r="B750" s="15" t="n">
        <v>746</v>
      </c>
      <c r="C750" s="9" t="s">
        <v>51</v>
      </c>
      <c r="D750" s="9" t="s">
        <v>23</v>
      </c>
      <c r="E750" s="9" t="s">
        <v>123</v>
      </c>
      <c r="F750" s="9" t="s">
        <v>73</v>
      </c>
      <c r="G750" s="9" t="s">
        <v>1859</v>
      </c>
      <c r="H750" s="9" t="s">
        <v>409</v>
      </c>
      <c r="I750" s="9" t="s">
        <v>1849</v>
      </c>
      <c r="J750" s="9" t="s">
        <v>1850</v>
      </c>
      <c r="K750" s="9" t="s">
        <v>1851</v>
      </c>
      <c r="L750" s="9" t="s">
        <v>1741</v>
      </c>
      <c r="M750" s="9" t="s">
        <v>235</v>
      </c>
      <c r="N750" s="9" t="s">
        <v>1852</v>
      </c>
      <c r="O750" s="9" t="s">
        <v>189</v>
      </c>
      <c r="P750" s="9" t="s">
        <v>1744</v>
      </c>
      <c r="Q750" s="9" t="s">
        <v>1853</v>
      </c>
      <c r="R750" s="9" t="s">
        <v>933</v>
      </c>
      <c r="S750" s="9" t="s">
        <v>1747</v>
      </c>
      <c r="T750" s="9" t="s">
        <v>1854</v>
      </c>
      <c r="U750" s="19" t="n">
        <v>155</v>
      </c>
      <c r="V750" s="9"/>
      <c r="W750" s="9"/>
      <c r="X750" s="9" t="s">
        <v>205</v>
      </c>
      <c r="Y750" s="23" t="n">
        <v>0.044</v>
      </c>
      <c r="Z750" s="23" t="n">
        <v>0.069</v>
      </c>
      <c r="AA750" s="23" t="n">
        <v>12</v>
      </c>
      <c r="AB750" s="9" t="s">
        <v>1741</v>
      </c>
      <c r="AC750" s="9" t="s">
        <v>1780</v>
      </c>
      <c r="AD750" s="23" t="s">
        <v>197</v>
      </c>
      <c r="AE750" s="23" t="s">
        <v>197</v>
      </c>
      <c r="AF750" s="23" t="s">
        <v>197</v>
      </c>
      <c r="AG750" s="23" t="n">
        <v>16</v>
      </c>
      <c r="AH750" s="23" t="s">
        <v>197</v>
      </c>
      <c r="AI750" s="23" t="s">
        <v>197</v>
      </c>
      <c r="AJ750" s="23" t="s">
        <v>197</v>
      </c>
      <c r="AK750" s="23" t="s">
        <v>197</v>
      </c>
      <c r="AL750" s="23" t="s">
        <v>197</v>
      </c>
      <c r="AM750" s="9" t="s">
        <v>197</v>
      </c>
      <c r="AN750" s="23" t="s">
        <v>197</v>
      </c>
      <c r="AO750" s="23" t="s">
        <v>197</v>
      </c>
      <c r="AP750" s="23" t="s">
        <v>197</v>
      </c>
    </row>
    <row r="751" customFormat="false" ht="21.75" hidden="false" customHeight="true" outlineLevel="0" collapsed="false">
      <c r="B751" s="14" t="n">
        <v>747</v>
      </c>
      <c r="C751" s="7" t="s">
        <v>51</v>
      </c>
      <c r="D751" s="7" t="s">
        <v>23</v>
      </c>
      <c r="E751" s="7" t="s">
        <v>123</v>
      </c>
      <c r="F751" s="7" t="s">
        <v>74</v>
      </c>
      <c r="G751" s="7" t="s">
        <v>391</v>
      </c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18"/>
      <c r="V751" s="7"/>
      <c r="W751" s="7"/>
      <c r="X751" s="7" t="s">
        <v>1860</v>
      </c>
      <c r="Y751" s="22" t="s">
        <v>197</v>
      </c>
      <c r="Z751" s="22" t="s">
        <v>197</v>
      </c>
      <c r="AA751" s="22" t="s">
        <v>197</v>
      </c>
      <c r="AB751" s="7" t="s">
        <v>197</v>
      </c>
      <c r="AC751" s="7" t="s">
        <v>197</v>
      </c>
      <c r="AD751" s="22" t="s">
        <v>197</v>
      </c>
      <c r="AE751" s="22" t="s">
        <v>197</v>
      </c>
      <c r="AF751" s="22" t="s">
        <v>197</v>
      </c>
      <c r="AG751" s="22" t="s">
        <v>197</v>
      </c>
      <c r="AH751" s="22" t="s">
        <v>197</v>
      </c>
      <c r="AI751" s="22" t="s">
        <v>197</v>
      </c>
      <c r="AJ751" s="22" t="s">
        <v>197</v>
      </c>
      <c r="AK751" s="22" t="s">
        <v>197</v>
      </c>
      <c r="AL751" s="22" t="s">
        <v>197</v>
      </c>
      <c r="AM751" s="7" t="s">
        <v>197</v>
      </c>
      <c r="AN751" s="22" t="s">
        <v>197</v>
      </c>
      <c r="AO751" s="22" t="s">
        <v>197</v>
      </c>
      <c r="AP751" s="22" t="s">
        <v>197</v>
      </c>
    </row>
    <row r="752" customFormat="false" ht="21.75" hidden="false" customHeight="true" outlineLevel="0" collapsed="false">
      <c r="B752" s="15" t="n">
        <v>748</v>
      </c>
      <c r="C752" s="9" t="s">
        <v>51</v>
      </c>
      <c r="D752" s="9" t="s">
        <v>23</v>
      </c>
      <c r="E752" s="9" t="s">
        <v>123</v>
      </c>
      <c r="F752" s="9" t="s">
        <v>75</v>
      </c>
      <c r="G752" s="9" t="s">
        <v>1861</v>
      </c>
      <c r="H752" s="9" t="s">
        <v>430</v>
      </c>
      <c r="I752" s="9" t="s">
        <v>1862</v>
      </c>
      <c r="J752" s="9" t="s">
        <v>626</v>
      </c>
      <c r="K752" s="9" t="s">
        <v>1863</v>
      </c>
      <c r="L752" s="9" t="s">
        <v>1741</v>
      </c>
      <c r="M752" s="9" t="s">
        <v>791</v>
      </c>
      <c r="N752" s="9" t="s">
        <v>189</v>
      </c>
      <c r="O752" s="9" t="s">
        <v>189</v>
      </c>
      <c r="P752" s="9" t="s">
        <v>1744</v>
      </c>
      <c r="Q752" s="9" t="s">
        <v>1864</v>
      </c>
      <c r="R752" s="9" t="s">
        <v>435</v>
      </c>
      <c r="S752" s="9" t="s">
        <v>1747</v>
      </c>
      <c r="T752" s="9" t="s">
        <v>436</v>
      </c>
      <c r="U752" s="19" t="n">
        <v>12</v>
      </c>
      <c r="V752" s="9"/>
      <c r="W752" s="9"/>
      <c r="X752" s="9" t="s">
        <v>195</v>
      </c>
      <c r="Y752" s="23" t="n">
        <v>4.92E-006</v>
      </c>
      <c r="Z752" s="23" t="n">
        <v>2.462E-005</v>
      </c>
      <c r="AA752" s="23" t="n">
        <v>3</v>
      </c>
      <c r="AB752" s="9" t="s">
        <v>1741</v>
      </c>
      <c r="AC752" s="9" t="s">
        <v>1791</v>
      </c>
      <c r="AD752" s="23" t="s">
        <v>197</v>
      </c>
      <c r="AE752" s="23" t="s">
        <v>197</v>
      </c>
      <c r="AF752" s="23" t="s">
        <v>197</v>
      </c>
      <c r="AG752" s="23" t="s">
        <v>197</v>
      </c>
      <c r="AH752" s="23" t="s">
        <v>197</v>
      </c>
      <c r="AI752" s="23" t="s">
        <v>197</v>
      </c>
      <c r="AJ752" s="23" t="s">
        <v>197</v>
      </c>
      <c r="AK752" s="23" t="s">
        <v>197</v>
      </c>
      <c r="AL752" s="23" t="s">
        <v>197</v>
      </c>
      <c r="AM752" s="9" t="s">
        <v>197</v>
      </c>
      <c r="AN752" s="23" t="s">
        <v>197</v>
      </c>
      <c r="AO752" s="23" t="s">
        <v>197</v>
      </c>
      <c r="AP752" s="23" t="s">
        <v>197</v>
      </c>
    </row>
    <row r="753" customFormat="false" ht="21.75" hidden="false" customHeight="true" outlineLevel="0" collapsed="false">
      <c r="B753" s="14" t="n">
        <v>749</v>
      </c>
      <c r="C753" s="7" t="s">
        <v>51</v>
      </c>
      <c r="D753" s="7" t="s">
        <v>23</v>
      </c>
      <c r="E753" s="7" t="s">
        <v>123</v>
      </c>
      <c r="F753" s="7" t="s">
        <v>75</v>
      </c>
      <c r="G753" s="7" t="s">
        <v>1865</v>
      </c>
      <c r="H753" s="7" t="s">
        <v>438</v>
      </c>
      <c r="I753" s="7" t="s">
        <v>1862</v>
      </c>
      <c r="J753" s="7" t="s">
        <v>626</v>
      </c>
      <c r="K753" s="7" t="s">
        <v>1863</v>
      </c>
      <c r="L753" s="7" t="s">
        <v>1741</v>
      </c>
      <c r="M753" s="7" t="s">
        <v>791</v>
      </c>
      <c r="N753" s="7" t="s">
        <v>189</v>
      </c>
      <c r="O753" s="7" t="s">
        <v>189</v>
      </c>
      <c r="P753" s="7" t="s">
        <v>1744</v>
      </c>
      <c r="Q753" s="7" t="s">
        <v>1864</v>
      </c>
      <c r="R753" s="7" t="s">
        <v>435</v>
      </c>
      <c r="S753" s="7" t="s">
        <v>1747</v>
      </c>
      <c r="T753" s="7" t="s">
        <v>436</v>
      </c>
      <c r="U753" s="18" t="n">
        <v>18</v>
      </c>
      <c r="V753" s="7"/>
      <c r="W753" s="7"/>
      <c r="X753" s="7" t="s">
        <v>199</v>
      </c>
      <c r="Y753" s="22" t="n">
        <v>3.14E-006</v>
      </c>
      <c r="Z753" s="22" t="n">
        <v>1.572E-005</v>
      </c>
      <c r="AA753" s="22" t="n">
        <v>3</v>
      </c>
      <c r="AB753" s="7" t="s">
        <v>1741</v>
      </c>
      <c r="AC753" s="7" t="s">
        <v>1791</v>
      </c>
      <c r="AD753" s="22" t="s">
        <v>197</v>
      </c>
      <c r="AE753" s="22" t="s">
        <v>197</v>
      </c>
      <c r="AF753" s="22" t="s">
        <v>197</v>
      </c>
      <c r="AG753" s="22" t="s">
        <v>197</v>
      </c>
      <c r="AH753" s="22" t="s">
        <v>197</v>
      </c>
      <c r="AI753" s="22" t="s">
        <v>197</v>
      </c>
      <c r="AJ753" s="22" t="s">
        <v>197</v>
      </c>
      <c r="AK753" s="22" t="s">
        <v>197</v>
      </c>
      <c r="AL753" s="22" t="s">
        <v>197</v>
      </c>
      <c r="AM753" s="7" t="s">
        <v>197</v>
      </c>
      <c r="AN753" s="22" t="s">
        <v>197</v>
      </c>
      <c r="AO753" s="22" t="s">
        <v>197</v>
      </c>
      <c r="AP753" s="22" t="s">
        <v>197</v>
      </c>
    </row>
    <row r="754" customFormat="false" ht="21.75" hidden="false" customHeight="true" outlineLevel="0" collapsed="false">
      <c r="B754" s="15" t="n">
        <v>750</v>
      </c>
      <c r="C754" s="9" t="s">
        <v>51</v>
      </c>
      <c r="D754" s="9" t="s">
        <v>23</v>
      </c>
      <c r="E754" s="9" t="s">
        <v>123</v>
      </c>
      <c r="F754" s="9" t="s">
        <v>75</v>
      </c>
      <c r="G754" s="9" t="s">
        <v>1866</v>
      </c>
      <c r="H754" s="9" t="s">
        <v>440</v>
      </c>
      <c r="I754" s="9" t="s">
        <v>1862</v>
      </c>
      <c r="J754" s="9" t="s">
        <v>626</v>
      </c>
      <c r="K754" s="9" t="s">
        <v>1863</v>
      </c>
      <c r="L754" s="9" t="s">
        <v>1741</v>
      </c>
      <c r="M754" s="9" t="s">
        <v>791</v>
      </c>
      <c r="N754" s="9" t="s">
        <v>189</v>
      </c>
      <c r="O754" s="9" t="s">
        <v>189</v>
      </c>
      <c r="P754" s="9" t="s">
        <v>1744</v>
      </c>
      <c r="Q754" s="9" t="s">
        <v>1864</v>
      </c>
      <c r="R754" s="9" t="s">
        <v>435</v>
      </c>
      <c r="S754" s="9" t="s">
        <v>1747</v>
      </c>
      <c r="T754" s="9" t="s">
        <v>436</v>
      </c>
      <c r="U754" s="19" t="n">
        <v>20</v>
      </c>
      <c r="V754" s="9"/>
      <c r="W754" s="9"/>
      <c r="X754" s="9" t="s">
        <v>1867</v>
      </c>
      <c r="Y754" s="23" t="n">
        <v>2.35E-006</v>
      </c>
      <c r="Z754" s="23" t="n">
        <v>1.173E-005</v>
      </c>
      <c r="AA754" s="23" t="n">
        <v>3</v>
      </c>
      <c r="AB754" s="9" t="s">
        <v>1741</v>
      </c>
      <c r="AC754" s="9" t="s">
        <v>1791</v>
      </c>
      <c r="AD754" s="23" t="s">
        <v>197</v>
      </c>
      <c r="AE754" s="23" t="s">
        <v>197</v>
      </c>
      <c r="AF754" s="23" t="s">
        <v>197</v>
      </c>
      <c r="AG754" s="23" t="s">
        <v>197</v>
      </c>
      <c r="AH754" s="23" t="s">
        <v>197</v>
      </c>
      <c r="AI754" s="23" t="s">
        <v>197</v>
      </c>
      <c r="AJ754" s="23" t="s">
        <v>197</v>
      </c>
      <c r="AK754" s="23" t="s">
        <v>197</v>
      </c>
      <c r="AL754" s="23" t="s">
        <v>197</v>
      </c>
      <c r="AM754" s="9" t="s">
        <v>197</v>
      </c>
      <c r="AN754" s="23" t="s">
        <v>197</v>
      </c>
      <c r="AO754" s="23" t="s">
        <v>197</v>
      </c>
      <c r="AP754" s="23" t="s">
        <v>197</v>
      </c>
    </row>
    <row r="755" customFormat="false" ht="21.75" hidden="false" customHeight="true" outlineLevel="0" collapsed="false">
      <c r="B755" s="14" t="n">
        <v>751</v>
      </c>
      <c r="C755" s="7" t="s">
        <v>51</v>
      </c>
      <c r="D755" s="7" t="s">
        <v>23</v>
      </c>
      <c r="E755" s="7" t="s">
        <v>123</v>
      </c>
      <c r="F755" s="7" t="s">
        <v>75</v>
      </c>
      <c r="G755" s="7" t="s">
        <v>1868</v>
      </c>
      <c r="H755" s="7" t="s">
        <v>443</v>
      </c>
      <c r="I755" s="7" t="s">
        <v>1862</v>
      </c>
      <c r="J755" s="7" t="s">
        <v>626</v>
      </c>
      <c r="K755" s="7" t="s">
        <v>1863</v>
      </c>
      <c r="L755" s="7" t="s">
        <v>1741</v>
      </c>
      <c r="M755" s="7" t="s">
        <v>791</v>
      </c>
      <c r="N755" s="7" t="s">
        <v>189</v>
      </c>
      <c r="O755" s="7" t="s">
        <v>189</v>
      </c>
      <c r="P755" s="7" t="s">
        <v>1744</v>
      </c>
      <c r="Q755" s="7" t="s">
        <v>1864</v>
      </c>
      <c r="R755" s="7" t="s">
        <v>435</v>
      </c>
      <c r="S755" s="7" t="s">
        <v>1747</v>
      </c>
      <c r="T755" s="7" t="s">
        <v>436</v>
      </c>
      <c r="U755" s="18" t="n">
        <v>35</v>
      </c>
      <c r="V755" s="7"/>
      <c r="W755" s="7"/>
      <c r="X755" s="7" t="s">
        <v>203</v>
      </c>
      <c r="Y755" s="22" t="n">
        <v>2.68E-006</v>
      </c>
      <c r="Z755" s="22" t="n">
        <v>1.339E-005</v>
      </c>
      <c r="AA755" s="22" t="n">
        <v>3</v>
      </c>
      <c r="AB755" s="7" t="s">
        <v>1741</v>
      </c>
      <c r="AC755" s="7" t="s">
        <v>1791</v>
      </c>
      <c r="AD755" s="22" t="s">
        <v>197</v>
      </c>
      <c r="AE755" s="22" t="s">
        <v>197</v>
      </c>
      <c r="AF755" s="22" t="s">
        <v>197</v>
      </c>
      <c r="AG755" s="22" t="s">
        <v>197</v>
      </c>
      <c r="AH755" s="22" t="s">
        <v>197</v>
      </c>
      <c r="AI755" s="22" t="s">
        <v>197</v>
      </c>
      <c r="AJ755" s="22" t="s">
        <v>197</v>
      </c>
      <c r="AK755" s="22" t="s">
        <v>197</v>
      </c>
      <c r="AL755" s="22" t="s">
        <v>197</v>
      </c>
      <c r="AM755" s="7" t="s">
        <v>197</v>
      </c>
      <c r="AN755" s="22" t="s">
        <v>197</v>
      </c>
      <c r="AO755" s="22" t="s">
        <v>197</v>
      </c>
      <c r="AP755" s="22" t="s">
        <v>197</v>
      </c>
    </row>
    <row r="756" customFormat="false" ht="21.75" hidden="false" customHeight="true" outlineLevel="0" collapsed="false">
      <c r="B756" s="15" t="n">
        <v>752</v>
      </c>
      <c r="C756" s="9" t="s">
        <v>51</v>
      </c>
      <c r="D756" s="9" t="s">
        <v>23</v>
      </c>
      <c r="E756" s="9" t="s">
        <v>123</v>
      </c>
      <c r="F756" s="9" t="s">
        <v>75</v>
      </c>
      <c r="G756" s="9" t="s">
        <v>1869</v>
      </c>
      <c r="H756" s="9" t="s">
        <v>444</v>
      </c>
      <c r="I756" s="9" t="s">
        <v>1862</v>
      </c>
      <c r="J756" s="9" t="s">
        <v>626</v>
      </c>
      <c r="K756" s="9" t="s">
        <v>1863</v>
      </c>
      <c r="L756" s="9" t="s">
        <v>1741</v>
      </c>
      <c r="M756" s="9" t="s">
        <v>791</v>
      </c>
      <c r="N756" s="9" t="s">
        <v>189</v>
      </c>
      <c r="O756" s="9" t="s">
        <v>189</v>
      </c>
      <c r="P756" s="9" t="s">
        <v>1744</v>
      </c>
      <c r="Q756" s="9" t="s">
        <v>1864</v>
      </c>
      <c r="R756" s="9" t="s">
        <v>435</v>
      </c>
      <c r="S756" s="9" t="s">
        <v>1747</v>
      </c>
      <c r="T756" s="9" t="s">
        <v>436</v>
      </c>
      <c r="U756" s="19" t="n">
        <v>50</v>
      </c>
      <c r="V756" s="9"/>
      <c r="W756" s="9"/>
      <c r="X756" s="9" t="s">
        <v>205</v>
      </c>
      <c r="Y756" s="23" t="n">
        <v>3.92E-006</v>
      </c>
      <c r="Z756" s="23" t="n">
        <v>1.96E-005</v>
      </c>
      <c r="AA756" s="23" t="n">
        <v>3</v>
      </c>
      <c r="AB756" s="9" t="s">
        <v>1741</v>
      </c>
      <c r="AC756" s="9" t="s">
        <v>1791</v>
      </c>
      <c r="AD756" s="23" t="s">
        <v>197</v>
      </c>
      <c r="AE756" s="23" t="s">
        <v>197</v>
      </c>
      <c r="AF756" s="23" t="s">
        <v>197</v>
      </c>
      <c r="AG756" s="23" t="s">
        <v>197</v>
      </c>
      <c r="AH756" s="23" t="s">
        <v>197</v>
      </c>
      <c r="AI756" s="23" t="s">
        <v>197</v>
      </c>
      <c r="AJ756" s="23" t="s">
        <v>197</v>
      </c>
      <c r="AK756" s="23" t="s">
        <v>197</v>
      </c>
      <c r="AL756" s="23" t="s">
        <v>197</v>
      </c>
      <c r="AM756" s="9" t="s">
        <v>197</v>
      </c>
      <c r="AN756" s="23" t="s">
        <v>197</v>
      </c>
      <c r="AO756" s="23" t="s">
        <v>197</v>
      </c>
      <c r="AP756" s="23" t="s">
        <v>197</v>
      </c>
    </row>
    <row r="757" customFormat="false" ht="21.75" hidden="false" customHeight="true" outlineLevel="0" collapsed="false">
      <c r="B757" s="14" t="n">
        <v>753</v>
      </c>
      <c r="C757" s="7" t="s">
        <v>52</v>
      </c>
      <c r="D757" s="7" t="s">
        <v>23</v>
      </c>
      <c r="E757" s="7" t="s">
        <v>121</v>
      </c>
      <c r="F757" s="7" t="s">
        <v>60</v>
      </c>
      <c r="G757" s="7" t="s">
        <v>1870</v>
      </c>
      <c r="H757" s="7" t="s">
        <v>446</v>
      </c>
      <c r="I757" s="7" t="s">
        <v>1871</v>
      </c>
      <c r="J757" s="7" t="s">
        <v>1872</v>
      </c>
      <c r="K757" s="7" t="s">
        <v>1873</v>
      </c>
      <c r="L757" s="7" t="s">
        <v>1874</v>
      </c>
      <c r="M757" s="7" t="s">
        <v>1742</v>
      </c>
      <c r="N757" s="7" t="s">
        <v>222</v>
      </c>
      <c r="O757" s="7" t="s">
        <v>189</v>
      </c>
      <c r="P757" s="7" t="s">
        <v>1744</v>
      </c>
      <c r="Q757" s="7" t="s">
        <v>1875</v>
      </c>
      <c r="R757" s="7" t="s">
        <v>804</v>
      </c>
      <c r="S757" s="7" t="s">
        <v>1369</v>
      </c>
      <c r="T757" s="7" t="s">
        <v>213</v>
      </c>
      <c r="U757" s="18" t="n">
        <v>95</v>
      </c>
      <c r="V757" s="7"/>
      <c r="W757" s="7"/>
      <c r="X757" s="7" t="s">
        <v>195</v>
      </c>
      <c r="Y757" s="22" t="n">
        <v>0.07</v>
      </c>
      <c r="Z757" s="22" t="n">
        <v>0.45</v>
      </c>
      <c r="AA757" s="22" t="n">
        <v>12</v>
      </c>
      <c r="AB757" s="7" t="s">
        <v>1874</v>
      </c>
      <c r="AC757" s="7" t="s">
        <v>1876</v>
      </c>
      <c r="AD757" s="22" t="n">
        <v>0.07</v>
      </c>
      <c r="AE757" s="22" t="n">
        <v>0.45</v>
      </c>
      <c r="AF757" s="22" t="n">
        <v>2.5</v>
      </c>
      <c r="AG757" s="22" t="n">
        <v>32</v>
      </c>
      <c r="AH757" s="22" t="n">
        <v>2</v>
      </c>
      <c r="AI757" s="22" t="s">
        <v>197</v>
      </c>
      <c r="AJ757" s="22" t="s">
        <v>197</v>
      </c>
      <c r="AK757" s="22" t="s">
        <v>197</v>
      </c>
      <c r="AL757" s="22" t="s">
        <v>197</v>
      </c>
      <c r="AM757" s="7" t="s">
        <v>197</v>
      </c>
      <c r="AN757" s="22" t="s">
        <v>197</v>
      </c>
      <c r="AO757" s="22" t="s">
        <v>197</v>
      </c>
      <c r="AP757" s="22" t="s">
        <v>197</v>
      </c>
    </row>
    <row r="758" customFormat="false" ht="21.75" hidden="false" customHeight="true" outlineLevel="0" collapsed="false">
      <c r="B758" s="15" t="n">
        <v>754</v>
      </c>
      <c r="C758" s="9" t="s">
        <v>52</v>
      </c>
      <c r="D758" s="9" t="s">
        <v>23</v>
      </c>
      <c r="E758" s="9" t="s">
        <v>121</v>
      </c>
      <c r="F758" s="9" t="s">
        <v>60</v>
      </c>
      <c r="G758" s="9" t="s">
        <v>1877</v>
      </c>
      <c r="H758" s="9" t="s">
        <v>446</v>
      </c>
      <c r="I758" s="9" t="s">
        <v>1871</v>
      </c>
      <c r="J758" s="9" t="s">
        <v>1872</v>
      </c>
      <c r="K758" s="9" t="s">
        <v>1873</v>
      </c>
      <c r="L758" s="9" t="s">
        <v>1874</v>
      </c>
      <c r="M758" s="9" t="s">
        <v>1742</v>
      </c>
      <c r="N758" s="9" t="s">
        <v>222</v>
      </c>
      <c r="O758" s="9" t="s">
        <v>189</v>
      </c>
      <c r="P758" s="9" t="s">
        <v>1744</v>
      </c>
      <c r="Q758" s="9" t="s">
        <v>1875</v>
      </c>
      <c r="R758" s="9" t="s">
        <v>804</v>
      </c>
      <c r="S758" s="9" t="s">
        <v>1369</v>
      </c>
      <c r="T758" s="9" t="s">
        <v>213</v>
      </c>
      <c r="U758" s="19" t="n">
        <v>145</v>
      </c>
      <c r="V758" s="9"/>
      <c r="W758" s="9"/>
      <c r="X758" s="9" t="s">
        <v>199</v>
      </c>
      <c r="Y758" s="23" t="n">
        <v>0.089</v>
      </c>
      <c r="Z758" s="23" t="n">
        <v>0.45</v>
      </c>
      <c r="AA758" s="23" t="n">
        <v>12</v>
      </c>
      <c r="AB758" s="9" t="s">
        <v>1874</v>
      </c>
      <c r="AC758" s="9" t="s">
        <v>1876</v>
      </c>
      <c r="AD758" s="23" t="n">
        <v>0.089</v>
      </c>
      <c r="AE758" s="23" t="n">
        <v>0.45</v>
      </c>
      <c r="AF758" s="23" t="n">
        <v>2.5</v>
      </c>
      <c r="AG758" s="23" t="n">
        <v>32</v>
      </c>
      <c r="AH758" s="23" t="n">
        <v>2</v>
      </c>
      <c r="AI758" s="23" t="s">
        <v>197</v>
      </c>
      <c r="AJ758" s="23" t="s">
        <v>197</v>
      </c>
      <c r="AK758" s="23" t="s">
        <v>197</v>
      </c>
      <c r="AL758" s="23" t="s">
        <v>197</v>
      </c>
      <c r="AM758" s="9" t="s">
        <v>197</v>
      </c>
      <c r="AN758" s="23" t="s">
        <v>197</v>
      </c>
      <c r="AO758" s="23" t="s">
        <v>197</v>
      </c>
      <c r="AP758" s="23" t="s">
        <v>197</v>
      </c>
    </row>
    <row r="759" customFormat="false" ht="21.75" hidden="false" customHeight="true" outlineLevel="0" collapsed="false">
      <c r="B759" s="14" t="n">
        <v>755</v>
      </c>
      <c r="C759" s="7" t="s">
        <v>52</v>
      </c>
      <c r="D759" s="7" t="s">
        <v>23</v>
      </c>
      <c r="E759" s="7" t="s">
        <v>121</v>
      </c>
      <c r="F759" s="7" t="s">
        <v>60</v>
      </c>
      <c r="G759" s="7" t="s">
        <v>1878</v>
      </c>
      <c r="H759" s="7" t="s">
        <v>446</v>
      </c>
      <c r="I759" s="7" t="s">
        <v>1871</v>
      </c>
      <c r="J759" s="7" t="s">
        <v>1872</v>
      </c>
      <c r="K759" s="7" t="s">
        <v>1873</v>
      </c>
      <c r="L759" s="7" t="s">
        <v>1874</v>
      </c>
      <c r="M759" s="7" t="s">
        <v>1742</v>
      </c>
      <c r="N759" s="7" t="s">
        <v>222</v>
      </c>
      <c r="O759" s="7" t="s">
        <v>189</v>
      </c>
      <c r="P759" s="7" t="s">
        <v>1744</v>
      </c>
      <c r="Q759" s="7" t="s">
        <v>1875</v>
      </c>
      <c r="R759" s="7" t="s">
        <v>804</v>
      </c>
      <c r="S759" s="7" t="s">
        <v>1369</v>
      </c>
      <c r="T759" s="7" t="s">
        <v>213</v>
      </c>
      <c r="U759" s="18" t="n">
        <v>195</v>
      </c>
      <c r="V759" s="7"/>
      <c r="W759" s="7"/>
      <c r="X759" s="7" t="s">
        <v>1879</v>
      </c>
      <c r="Y759" s="22" t="n">
        <v>0.057</v>
      </c>
      <c r="Z759" s="22" t="n">
        <v>0.45</v>
      </c>
      <c r="AA759" s="22" t="n">
        <v>12</v>
      </c>
      <c r="AB759" s="7" t="s">
        <v>1874</v>
      </c>
      <c r="AC759" s="7" t="s">
        <v>1876</v>
      </c>
      <c r="AD759" s="22" t="n">
        <v>0.057</v>
      </c>
      <c r="AE759" s="22" t="n">
        <v>0.45</v>
      </c>
      <c r="AF759" s="22" t="n">
        <v>2.5</v>
      </c>
      <c r="AG759" s="22" t="n">
        <v>32</v>
      </c>
      <c r="AH759" s="22" t="n">
        <v>2</v>
      </c>
      <c r="AI759" s="22" t="s">
        <v>197</v>
      </c>
      <c r="AJ759" s="22" t="s">
        <v>197</v>
      </c>
      <c r="AK759" s="22" t="s">
        <v>197</v>
      </c>
      <c r="AL759" s="22" t="s">
        <v>197</v>
      </c>
      <c r="AM759" s="7" t="s">
        <v>197</v>
      </c>
      <c r="AN759" s="22" t="s">
        <v>197</v>
      </c>
      <c r="AO759" s="22" t="s">
        <v>197</v>
      </c>
      <c r="AP759" s="22" t="s">
        <v>197</v>
      </c>
    </row>
    <row r="760" customFormat="false" ht="21.75" hidden="false" customHeight="true" outlineLevel="0" collapsed="false">
      <c r="B760" s="15" t="n">
        <v>756</v>
      </c>
      <c r="C760" s="9" t="s">
        <v>52</v>
      </c>
      <c r="D760" s="9" t="s">
        <v>23</v>
      </c>
      <c r="E760" s="9" t="s">
        <v>121</v>
      </c>
      <c r="F760" s="9" t="s">
        <v>60</v>
      </c>
      <c r="G760" s="9" t="s">
        <v>1880</v>
      </c>
      <c r="H760" s="9" t="s">
        <v>446</v>
      </c>
      <c r="I760" s="9" t="s">
        <v>1871</v>
      </c>
      <c r="J760" s="9" t="s">
        <v>1872</v>
      </c>
      <c r="K760" s="9" t="s">
        <v>1873</v>
      </c>
      <c r="L760" s="9" t="s">
        <v>1874</v>
      </c>
      <c r="M760" s="9" t="s">
        <v>1742</v>
      </c>
      <c r="N760" s="9" t="s">
        <v>222</v>
      </c>
      <c r="O760" s="9" t="s">
        <v>189</v>
      </c>
      <c r="P760" s="9" t="s">
        <v>1744</v>
      </c>
      <c r="Q760" s="9" t="s">
        <v>1875</v>
      </c>
      <c r="R760" s="9" t="s">
        <v>804</v>
      </c>
      <c r="S760" s="9" t="s">
        <v>1369</v>
      </c>
      <c r="T760" s="9" t="s">
        <v>213</v>
      </c>
      <c r="U760" s="19" t="n">
        <v>290</v>
      </c>
      <c r="V760" s="9"/>
      <c r="W760" s="9"/>
      <c r="X760" s="9" t="s">
        <v>203</v>
      </c>
      <c r="Y760" s="23" t="n">
        <v>0.115</v>
      </c>
      <c r="Z760" s="23" t="n">
        <v>0.45</v>
      </c>
      <c r="AA760" s="23" t="n">
        <v>12</v>
      </c>
      <c r="AB760" s="9" t="s">
        <v>1874</v>
      </c>
      <c r="AC760" s="9" t="s">
        <v>1876</v>
      </c>
      <c r="AD760" s="23" t="n">
        <v>0.115</v>
      </c>
      <c r="AE760" s="23" t="n">
        <v>0.45</v>
      </c>
      <c r="AF760" s="23" t="n">
        <v>2.5</v>
      </c>
      <c r="AG760" s="23" t="n">
        <v>32</v>
      </c>
      <c r="AH760" s="23" t="n">
        <v>2</v>
      </c>
      <c r="AI760" s="23" t="s">
        <v>197</v>
      </c>
      <c r="AJ760" s="23" t="s">
        <v>197</v>
      </c>
      <c r="AK760" s="23" t="s">
        <v>197</v>
      </c>
      <c r="AL760" s="23" t="s">
        <v>197</v>
      </c>
      <c r="AM760" s="9" t="s">
        <v>197</v>
      </c>
      <c r="AN760" s="23" t="s">
        <v>197</v>
      </c>
      <c r="AO760" s="23" t="s">
        <v>197</v>
      </c>
      <c r="AP760" s="23" t="s">
        <v>197</v>
      </c>
    </row>
    <row r="761" customFormat="false" ht="21.75" hidden="false" customHeight="true" outlineLevel="0" collapsed="false">
      <c r="B761" s="14" t="n">
        <v>757</v>
      </c>
      <c r="C761" s="7" t="s">
        <v>52</v>
      </c>
      <c r="D761" s="7" t="s">
        <v>23</v>
      </c>
      <c r="E761" s="7" t="s">
        <v>121</v>
      </c>
      <c r="F761" s="7" t="s">
        <v>60</v>
      </c>
      <c r="G761" s="7" t="s">
        <v>1881</v>
      </c>
      <c r="H761" s="7" t="s">
        <v>446</v>
      </c>
      <c r="I761" s="7" t="s">
        <v>1871</v>
      </c>
      <c r="J761" s="7" t="s">
        <v>1872</v>
      </c>
      <c r="K761" s="7" t="s">
        <v>1873</v>
      </c>
      <c r="L761" s="7" t="s">
        <v>1874</v>
      </c>
      <c r="M761" s="7" t="s">
        <v>1742</v>
      </c>
      <c r="N761" s="7" t="s">
        <v>222</v>
      </c>
      <c r="O761" s="7" t="s">
        <v>189</v>
      </c>
      <c r="P761" s="7" t="s">
        <v>1744</v>
      </c>
      <c r="Q761" s="7" t="s">
        <v>1875</v>
      </c>
      <c r="R761" s="7" t="s">
        <v>804</v>
      </c>
      <c r="S761" s="7" t="s">
        <v>1369</v>
      </c>
      <c r="T761" s="7" t="s">
        <v>213</v>
      </c>
      <c r="U761" s="18" t="n">
        <v>425</v>
      </c>
      <c r="V761" s="7"/>
      <c r="W761" s="7"/>
      <c r="X761" s="7" t="s">
        <v>205</v>
      </c>
      <c r="Y761" s="22" t="n">
        <v>0.102</v>
      </c>
      <c r="Z761" s="22" t="n">
        <v>0.45</v>
      </c>
      <c r="AA761" s="22" t="n">
        <v>12</v>
      </c>
      <c r="AB761" s="7" t="s">
        <v>1874</v>
      </c>
      <c r="AC761" s="7" t="s">
        <v>1876</v>
      </c>
      <c r="AD761" s="22" t="n">
        <v>0.102</v>
      </c>
      <c r="AE761" s="22" t="n">
        <v>0.45</v>
      </c>
      <c r="AF761" s="22" t="n">
        <v>2.5</v>
      </c>
      <c r="AG761" s="22" t="n">
        <v>32</v>
      </c>
      <c r="AH761" s="22" t="n">
        <v>2</v>
      </c>
      <c r="AI761" s="22" t="s">
        <v>197</v>
      </c>
      <c r="AJ761" s="22" t="s">
        <v>197</v>
      </c>
      <c r="AK761" s="22" t="s">
        <v>197</v>
      </c>
      <c r="AL761" s="22" t="s">
        <v>197</v>
      </c>
      <c r="AM761" s="7" t="s">
        <v>197</v>
      </c>
      <c r="AN761" s="22" t="s">
        <v>197</v>
      </c>
      <c r="AO761" s="22" t="s">
        <v>197</v>
      </c>
      <c r="AP761" s="22" t="s">
        <v>197</v>
      </c>
    </row>
    <row r="762" customFormat="false" ht="21.75" hidden="false" customHeight="true" outlineLevel="0" collapsed="false">
      <c r="B762" s="15" t="n">
        <v>758</v>
      </c>
      <c r="C762" s="9" t="s">
        <v>52</v>
      </c>
      <c r="D762" s="9" t="s">
        <v>23</v>
      </c>
      <c r="E762" s="9" t="s">
        <v>121</v>
      </c>
      <c r="F762" s="9" t="s">
        <v>61</v>
      </c>
      <c r="G762" s="9" t="s">
        <v>391</v>
      </c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19"/>
      <c r="V762" s="9"/>
      <c r="W762" s="9"/>
      <c r="X762" s="9" t="s">
        <v>1882</v>
      </c>
      <c r="Y762" s="23" t="s">
        <v>197</v>
      </c>
      <c r="Z762" s="23" t="s">
        <v>197</v>
      </c>
      <c r="AA762" s="23" t="s">
        <v>197</v>
      </c>
      <c r="AB762" s="9" t="s">
        <v>197</v>
      </c>
      <c r="AC762" s="9" t="s">
        <v>197</v>
      </c>
      <c r="AD762" s="23" t="s">
        <v>197</v>
      </c>
      <c r="AE762" s="23" t="s">
        <v>197</v>
      </c>
      <c r="AF762" s="23" t="s">
        <v>197</v>
      </c>
      <c r="AG762" s="23" t="s">
        <v>197</v>
      </c>
      <c r="AH762" s="23" t="s">
        <v>197</v>
      </c>
      <c r="AI762" s="23" t="s">
        <v>197</v>
      </c>
      <c r="AJ762" s="23" t="s">
        <v>197</v>
      </c>
      <c r="AK762" s="23" t="s">
        <v>197</v>
      </c>
      <c r="AL762" s="23" t="s">
        <v>197</v>
      </c>
      <c r="AM762" s="9" t="s">
        <v>197</v>
      </c>
      <c r="AN762" s="23" t="s">
        <v>197</v>
      </c>
      <c r="AO762" s="23" t="s">
        <v>197</v>
      </c>
      <c r="AP762" s="23" t="s">
        <v>197</v>
      </c>
    </row>
    <row r="763" customFormat="false" ht="21.75" hidden="false" customHeight="true" outlineLevel="0" collapsed="false">
      <c r="B763" s="14" t="n">
        <v>759</v>
      </c>
      <c r="C763" s="7" t="s">
        <v>52</v>
      </c>
      <c r="D763" s="7" t="s">
        <v>23</v>
      </c>
      <c r="E763" s="7" t="s">
        <v>121</v>
      </c>
      <c r="F763" s="7" t="s">
        <v>62</v>
      </c>
      <c r="G763" s="7" t="s">
        <v>1883</v>
      </c>
      <c r="H763" s="7" t="s">
        <v>1884</v>
      </c>
      <c r="I763" s="7" t="s">
        <v>1885</v>
      </c>
      <c r="J763" s="7" t="s">
        <v>1886</v>
      </c>
      <c r="K763" s="7" t="s">
        <v>1887</v>
      </c>
      <c r="L763" s="7" t="s">
        <v>1874</v>
      </c>
      <c r="M763" s="7" t="s">
        <v>1631</v>
      </c>
      <c r="N763" s="7" t="s">
        <v>1632</v>
      </c>
      <c r="O763" s="7" t="s">
        <v>189</v>
      </c>
      <c r="P763" s="7" t="s">
        <v>1744</v>
      </c>
      <c r="Q763" s="7" t="s">
        <v>1888</v>
      </c>
      <c r="R763" s="7" t="s">
        <v>664</v>
      </c>
      <c r="S763" s="7" t="s">
        <v>1369</v>
      </c>
      <c r="T763" s="7" t="s">
        <v>225</v>
      </c>
      <c r="U763" s="18" t="n">
        <v>80</v>
      </c>
      <c r="V763" s="7"/>
      <c r="W763" s="7"/>
      <c r="X763" s="7" t="s">
        <v>195</v>
      </c>
      <c r="Y763" s="22" t="n">
        <v>0.104</v>
      </c>
      <c r="Z763" s="22" t="n">
        <v>0.3</v>
      </c>
      <c r="AA763" s="22" t="n">
        <v>12</v>
      </c>
      <c r="AB763" s="7" t="s">
        <v>1874</v>
      </c>
      <c r="AC763" s="7" t="s">
        <v>1876</v>
      </c>
      <c r="AD763" s="22" t="n">
        <v>0.104</v>
      </c>
      <c r="AE763" s="22" t="n">
        <v>0.3</v>
      </c>
      <c r="AF763" s="22" t="n">
        <v>2</v>
      </c>
      <c r="AG763" s="22" t="n">
        <v>32</v>
      </c>
      <c r="AH763" s="22" t="n">
        <v>2</v>
      </c>
      <c r="AI763" s="22" t="s">
        <v>197</v>
      </c>
      <c r="AJ763" s="22" t="s">
        <v>197</v>
      </c>
      <c r="AK763" s="22" t="s">
        <v>197</v>
      </c>
      <c r="AL763" s="22" t="s">
        <v>197</v>
      </c>
      <c r="AM763" s="7" t="s">
        <v>197</v>
      </c>
      <c r="AN763" s="22" t="s">
        <v>197</v>
      </c>
      <c r="AO763" s="22" t="s">
        <v>197</v>
      </c>
      <c r="AP763" s="22" t="s">
        <v>197</v>
      </c>
    </row>
    <row r="764" customFormat="false" ht="21.75" hidden="false" customHeight="true" outlineLevel="0" collapsed="false">
      <c r="B764" s="15" t="n">
        <v>760</v>
      </c>
      <c r="C764" s="9" t="s">
        <v>52</v>
      </c>
      <c r="D764" s="9" t="s">
        <v>23</v>
      </c>
      <c r="E764" s="9" t="s">
        <v>121</v>
      </c>
      <c r="F764" s="9" t="s">
        <v>62</v>
      </c>
      <c r="G764" s="9" t="s">
        <v>1889</v>
      </c>
      <c r="H764" s="9" t="s">
        <v>1884</v>
      </c>
      <c r="I764" s="9" t="s">
        <v>1885</v>
      </c>
      <c r="J764" s="9" t="s">
        <v>1886</v>
      </c>
      <c r="K764" s="9" t="s">
        <v>1887</v>
      </c>
      <c r="L764" s="9" t="s">
        <v>1874</v>
      </c>
      <c r="M764" s="9" t="s">
        <v>1631</v>
      </c>
      <c r="N764" s="9" t="s">
        <v>1632</v>
      </c>
      <c r="O764" s="9" t="s">
        <v>189</v>
      </c>
      <c r="P764" s="9" t="s">
        <v>1744</v>
      </c>
      <c r="Q764" s="9" t="s">
        <v>1888</v>
      </c>
      <c r="R764" s="9" t="s">
        <v>664</v>
      </c>
      <c r="S764" s="9" t="s">
        <v>1369</v>
      </c>
      <c r="T764" s="9" t="s">
        <v>225</v>
      </c>
      <c r="U764" s="19" t="n">
        <v>125</v>
      </c>
      <c r="V764" s="9"/>
      <c r="W764" s="9"/>
      <c r="X764" s="9" t="s">
        <v>199</v>
      </c>
      <c r="Y764" s="23" t="n">
        <v>0.08</v>
      </c>
      <c r="Z764" s="23" t="n">
        <v>0.3</v>
      </c>
      <c r="AA764" s="23" t="n">
        <v>12</v>
      </c>
      <c r="AB764" s="9" t="s">
        <v>1874</v>
      </c>
      <c r="AC764" s="9" t="s">
        <v>1876</v>
      </c>
      <c r="AD764" s="23" t="n">
        <v>0.08</v>
      </c>
      <c r="AE764" s="23" t="n">
        <v>0.3</v>
      </c>
      <c r="AF764" s="23" t="n">
        <v>2</v>
      </c>
      <c r="AG764" s="23" t="n">
        <v>32</v>
      </c>
      <c r="AH764" s="23" t="n">
        <v>2</v>
      </c>
      <c r="AI764" s="23" t="s">
        <v>197</v>
      </c>
      <c r="AJ764" s="23" t="s">
        <v>197</v>
      </c>
      <c r="AK764" s="23" t="s">
        <v>197</v>
      </c>
      <c r="AL764" s="23" t="s">
        <v>197</v>
      </c>
      <c r="AM764" s="9" t="s">
        <v>197</v>
      </c>
      <c r="AN764" s="23" t="s">
        <v>197</v>
      </c>
      <c r="AO764" s="23" t="s">
        <v>197</v>
      </c>
      <c r="AP764" s="23" t="s">
        <v>197</v>
      </c>
    </row>
    <row r="765" customFormat="false" ht="21.75" hidden="false" customHeight="true" outlineLevel="0" collapsed="false">
      <c r="B765" s="14" t="n">
        <v>761</v>
      </c>
      <c r="C765" s="7" t="s">
        <v>52</v>
      </c>
      <c r="D765" s="7" t="s">
        <v>23</v>
      </c>
      <c r="E765" s="7" t="s">
        <v>121</v>
      </c>
      <c r="F765" s="7" t="s">
        <v>62</v>
      </c>
      <c r="G765" s="7" t="s">
        <v>1881</v>
      </c>
      <c r="H765" s="7" t="s">
        <v>1884</v>
      </c>
      <c r="I765" s="7" t="s">
        <v>1885</v>
      </c>
      <c r="J765" s="7" t="s">
        <v>1886</v>
      </c>
      <c r="K765" s="7" t="s">
        <v>1887</v>
      </c>
      <c r="L765" s="7" t="s">
        <v>1874</v>
      </c>
      <c r="M765" s="7" t="s">
        <v>1631</v>
      </c>
      <c r="N765" s="7" t="s">
        <v>1632</v>
      </c>
      <c r="O765" s="7" t="s">
        <v>189</v>
      </c>
      <c r="P765" s="7" t="s">
        <v>1744</v>
      </c>
      <c r="Q765" s="7" t="s">
        <v>1888</v>
      </c>
      <c r="R765" s="7" t="s">
        <v>664</v>
      </c>
      <c r="S765" s="7" t="s">
        <v>1369</v>
      </c>
      <c r="T765" s="7" t="s">
        <v>225</v>
      </c>
      <c r="U765" s="18" t="n">
        <v>165</v>
      </c>
      <c r="V765" s="7"/>
      <c r="W765" s="7"/>
      <c r="X765" s="7" t="s">
        <v>1890</v>
      </c>
      <c r="Y765" s="22" t="n">
        <v>0.102</v>
      </c>
      <c r="Z765" s="22" t="n">
        <v>0.3</v>
      </c>
      <c r="AA765" s="22" t="n">
        <v>12</v>
      </c>
      <c r="AB765" s="7" t="s">
        <v>1874</v>
      </c>
      <c r="AC765" s="7" t="s">
        <v>1876</v>
      </c>
      <c r="AD765" s="22" t="n">
        <v>0.102</v>
      </c>
      <c r="AE765" s="22" t="n">
        <v>0.3</v>
      </c>
      <c r="AF765" s="22" t="n">
        <v>2</v>
      </c>
      <c r="AG765" s="22" t="n">
        <v>32</v>
      </c>
      <c r="AH765" s="22" t="n">
        <v>2</v>
      </c>
      <c r="AI765" s="22" t="s">
        <v>197</v>
      </c>
      <c r="AJ765" s="22" t="s">
        <v>197</v>
      </c>
      <c r="AK765" s="22" t="s">
        <v>197</v>
      </c>
      <c r="AL765" s="22" t="s">
        <v>197</v>
      </c>
      <c r="AM765" s="7" t="s">
        <v>197</v>
      </c>
      <c r="AN765" s="22" t="s">
        <v>197</v>
      </c>
      <c r="AO765" s="22" t="s">
        <v>197</v>
      </c>
      <c r="AP765" s="22" t="s">
        <v>197</v>
      </c>
    </row>
    <row r="766" customFormat="false" ht="21.75" hidden="false" customHeight="true" outlineLevel="0" collapsed="false">
      <c r="B766" s="15" t="n">
        <v>762</v>
      </c>
      <c r="C766" s="9" t="s">
        <v>52</v>
      </c>
      <c r="D766" s="9" t="s">
        <v>23</v>
      </c>
      <c r="E766" s="9" t="s">
        <v>121</v>
      </c>
      <c r="F766" s="9" t="s">
        <v>62</v>
      </c>
      <c r="G766" s="9" t="s">
        <v>1891</v>
      </c>
      <c r="H766" s="9" t="s">
        <v>1884</v>
      </c>
      <c r="I766" s="9" t="s">
        <v>1885</v>
      </c>
      <c r="J766" s="9" t="s">
        <v>1886</v>
      </c>
      <c r="K766" s="9" t="s">
        <v>1887</v>
      </c>
      <c r="L766" s="9" t="s">
        <v>1874</v>
      </c>
      <c r="M766" s="9" t="s">
        <v>1631</v>
      </c>
      <c r="N766" s="9" t="s">
        <v>1632</v>
      </c>
      <c r="O766" s="9" t="s">
        <v>189</v>
      </c>
      <c r="P766" s="9" t="s">
        <v>1744</v>
      </c>
      <c r="Q766" s="9" t="s">
        <v>1888</v>
      </c>
      <c r="R766" s="9" t="s">
        <v>664</v>
      </c>
      <c r="S766" s="9" t="s">
        <v>1369</v>
      </c>
      <c r="T766" s="9" t="s">
        <v>225</v>
      </c>
      <c r="U766" s="19" t="n">
        <v>250</v>
      </c>
      <c r="V766" s="9"/>
      <c r="W766" s="9"/>
      <c r="X766" s="9" t="s">
        <v>203</v>
      </c>
      <c r="Y766" s="23" t="n">
        <v>0.107</v>
      </c>
      <c r="Z766" s="23" t="n">
        <v>0.3</v>
      </c>
      <c r="AA766" s="23" t="n">
        <v>12</v>
      </c>
      <c r="AB766" s="9" t="s">
        <v>1874</v>
      </c>
      <c r="AC766" s="9" t="s">
        <v>1876</v>
      </c>
      <c r="AD766" s="23" t="n">
        <v>0.107</v>
      </c>
      <c r="AE766" s="23" t="n">
        <v>0.3</v>
      </c>
      <c r="AF766" s="23" t="n">
        <v>2</v>
      </c>
      <c r="AG766" s="23" t="n">
        <v>32</v>
      </c>
      <c r="AH766" s="23" t="n">
        <v>2</v>
      </c>
      <c r="AI766" s="23" t="s">
        <v>197</v>
      </c>
      <c r="AJ766" s="23" t="s">
        <v>197</v>
      </c>
      <c r="AK766" s="23" t="s">
        <v>197</v>
      </c>
      <c r="AL766" s="23" t="s">
        <v>197</v>
      </c>
      <c r="AM766" s="9" t="s">
        <v>197</v>
      </c>
      <c r="AN766" s="23" t="s">
        <v>197</v>
      </c>
      <c r="AO766" s="23" t="s">
        <v>197</v>
      </c>
      <c r="AP766" s="23" t="s">
        <v>197</v>
      </c>
    </row>
    <row r="767" customFormat="false" ht="21.75" hidden="false" customHeight="true" outlineLevel="0" collapsed="false">
      <c r="B767" s="14" t="n">
        <v>763</v>
      </c>
      <c r="C767" s="7" t="s">
        <v>52</v>
      </c>
      <c r="D767" s="7" t="s">
        <v>23</v>
      </c>
      <c r="E767" s="7" t="s">
        <v>121</v>
      </c>
      <c r="F767" s="7" t="s">
        <v>62</v>
      </c>
      <c r="G767" s="7" t="s">
        <v>1892</v>
      </c>
      <c r="H767" s="7" t="s">
        <v>1884</v>
      </c>
      <c r="I767" s="7" t="s">
        <v>1885</v>
      </c>
      <c r="J767" s="7" t="s">
        <v>1886</v>
      </c>
      <c r="K767" s="7" t="s">
        <v>1887</v>
      </c>
      <c r="L767" s="7" t="s">
        <v>1874</v>
      </c>
      <c r="M767" s="7" t="s">
        <v>1631</v>
      </c>
      <c r="N767" s="7" t="s">
        <v>1632</v>
      </c>
      <c r="O767" s="7" t="s">
        <v>189</v>
      </c>
      <c r="P767" s="7" t="s">
        <v>1744</v>
      </c>
      <c r="Q767" s="7" t="s">
        <v>1888</v>
      </c>
      <c r="R767" s="7" t="s">
        <v>664</v>
      </c>
      <c r="S767" s="7" t="s">
        <v>1369</v>
      </c>
      <c r="T767" s="7" t="s">
        <v>225</v>
      </c>
      <c r="U767" s="18" t="n">
        <v>365</v>
      </c>
      <c r="V767" s="7"/>
      <c r="W767" s="7"/>
      <c r="X767" s="7" t="s">
        <v>205</v>
      </c>
      <c r="Y767" s="22" t="n">
        <v>0.084</v>
      </c>
      <c r="Z767" s="22" t="n">
        <v>0.3</v>
      </c>
      <c r="AA767" s="22" t="n">
        <v>12</v>
      </c>
      <c r="AB767" s="7" t="s">
        <v>1874</v>
      </c>
      <c r="AC767" s="7" t="s">
        <v>1876</v>
      </c>
      <c r="AD767" s="22" t="n">
        <v>0.084</v>
      </c>
      <c r="AE767" s="22" t="n">
        <v>0.3</v>
      </c>
      <c r="AF767" s="22" t="n">
        <v>2</v>
      </c>
      <c r="AG767" s="22" t="n">
        <v>32</v>
      </c>
      <c r="AH767" s="22" t="n">
        <v>2</v>
      </c>
      <c r="AI767" s="22" t="s">
        <v>197</v>
      </c>
      <c r="AJ767" s="22" t="s">
        <v>197</v>
      </c>
      <c r="AK767" s="22" t="s">
        <v>197</v>
      </c>
      <c r="AL767" s="22" t="s">
        <v>197</v>
      </c>
      <c r="AM767" s="7" t="s">
        <v>197</v>
      </c>
      <c r="AN767" s="22" t="s">
        <v>197</v>
      </c>
      <c r="AO767" s="22" t="s">
        <v>197</v>
      </c>
      <c r="AP767" s="22" t="s">
        <v>197</v>
      </c>
    </row>
    <row r="768" customFormat="false" ht="21.75" hidden="false" customHeight="true" outlineLevel="0" collapsed="false">
      <c r="B768" s="15" t="n">
        <v>764</v>
      </c>
      <c r="C768" s="9" t="s">
        <v>52</v>
      </c>
      <c r="D768" s="9" t="s">
        <v>23</v>
      </c>
      <c r="E768" s="9" t="s">
        <v>121</v>
      </c>
      <c r="F768" s="9" t="s">
        <v>63</v>
      </c>
      <c r="G768" s="9" t="s">
        <v>1893</v>
      </c>
      <c r="H768" s="9" t="s">
        <v>1390</v>
      </c>
      <c r="I768" s="9" t="s">
        <v>490</v>
      </c>
      <c r="J768" s="9" t="s">
        <v>1392</v>
      </c>
      <c r="K768" s="9" t="s">
        <v>1894</v>
      </c>
      <c r="L768" s="9" t="s">
        <v>1874</v>
      </c>
      <c r="M768" s="9" t="s">
        <v>235</v>
      </c>
      <c r="N768" s="9" t="s">
        <v>836</v>
      </c>
      <c r="O768" s="9" t="s">
        <v>189</v>
      </c>
      <c r="P768" s="9" t="s">
        <v>1744</v>
      </c>
      <c r="Q768" s="9" t="s">
        <v>1895</v>
      </c>
      <c r="R768" s="9" t="s">
        <v>838</v>
      </c>
      <c r="S768" s="9" t="s">
        <v>1369</v>
      </c>
      <c r="T768" s="9" t="s">
        <v>239</v>
      </c>
      <c r="U768" s="19" t="n">
        <v>35</v>
      </c>
      <c r="V768" s="9"/>
      <c r="W768" s="9"/>
      <c r="X768" s="9" t="s">
        <v>195</v>
      </c>
      <c r="Y768" s="23" t="n">
        <v>0.052</v>
      </c>
      <c r="Z768" s="23" t="n">
        <v>0.097</v>
      </c>
      <c r="AA768" s="23" t="n">
        <v>12</v>
      </c>
      <c r="AB768" s="9" t="s">
        <v>1874</v>
      </c>
      <c r="AC768" s="9" t="s">
        <v>1896</v>
      </c>
      <c r="AD768" s="23" t="s">
        <v>197</v>
      </c>
      <c r="AE768" s="23" t="s">
        <v>197</v>
      </c>
      <c r="AF768" s="23" t="s">
        <v>197</v>
      </c>
      <c r="AG768" s="23" t="s">
        <v>197</v>
      </c>
      <c r="AH768" s="23" t="s">
        <v>197</v>
      </c>
      <c r="AI768" s="23" t="s">
        <v>197</v>
      </c>
      <c r="AJ768" s="23" t="s">
        <v>197</v>
      </c>
      <c r="AK768" s="23" t="s">
        <v>197</v>
      </c>
      <c r="AL768" s="23" t="s">
        <v>197</v>
      </c>
      <c r="AM768" s="9" t="s">
        <v>197</v>
      </c>
      <c r="AN768" s="23" t="s">
        <v>197</v>
      </c>
      <c r="AO768" s="23" t="n">
        <v>1.2</v>
      </c>
      <c r="AP768" s="23" t="n">
        <v>1.6</v>
      </c>
    </row>
    <row r="769" customFormat="false" ht="21.75" hidden="false" customHeight="true" outlineLevel="0" collapsed="false">
      <c r="B769" s="14" t="n">
        <v>765</v>
      </c>
      <c r="C769" s="7" t="s">
        <v>52</v>
      </c>
      <c r="D769" s="7" t="s">
        <v>23</v>
      </c>
      <c r="E769" s="7" t="s">
        <v>121</v>
      </c>
      <c r="F769" s="7" t="s">
        <v>63</v>
      </c>
      <c r="G769" s="7" t="s">
        <v>1897</v>
      </c>
      <c r="H769" s="7" t="s">
        <v>1390</v>
      </c>
      <c r="I769" s="7" t="s">
        <v>490</v>
      </c>
      <c r="J769" s="7" t="s">
        <v>1392</v>
      </c>
      <c r="K769" s="7" t="s">
        <v>1894</v>
      </c>
      <c r="L769" s="7" t="s">
        <v>1874</v>
      </c>
      <c r="M769" s="7" t="s">
        <v>235</v>
      </c>
      <c r="N769" s="7" t="s">
        <v>836</v>
      </c>
      <c r="O769" s="7" t="s">
        <v>189</v>
      </c>
      <c r="P769" s="7" t="s">
        <v>1744</v>
      </c>
      <c r="Q769" s="7" t="s">
        <v>1895</v>
      </c>
      <c r="R769" s="7" t="s">
        <v>838</v>
      </c>
      <c r="S769" s="7" t="s">
        <v>1369</v>
      </c>
      <c r="T769" s="7" t="s">
        <v>239</v>
      </c>
      <c r="U769" s="18" t="n">
        <v>50</v>
      </c>
      <c r="V769" s="7"/>
      <c r="W769" s="7"/>
      <c r="X769" s="7" t="s">
        <v>199</v>
      </c>
      <c r="Y769" s="22" t="n">
        <v>0.041</v>
      </c>
      <c r="Z769" s="22" t="n">
        <v>0.079</v>
      </c>
      <c r="AA769" s="22" t="n">
        <v>12</v>
      </c>
      <c r="AB769" s="7" t="s">
        <v>1874</v>
      </c>
      <c r="AC769" s="7" t="s">
        <v>1896</v>
      </c>
      <c r="AD769" s="22" t="s">
        <v>197</v>
      </c>
      <c r="AE769" s="22" t="s">
        <v>197</v>
      </c>
      <c r="AF769" s="22" t="s">
        <v>197</v>
      </c>
      <c r="AG769" s="22" t="s">
        <v>197</v>
      </c>
      <c r="AH769" s="22" t="s">
        <v>197</v>
      </c>
      <c r="AI769" s="22" t="s">
        <v>197</v>
      </c>
      <c r="AJ769" s="22" t="s">
        <v>197</v>
      </c>
      <c r="AK769" s="22" t="s">
        <v>197</v>
      </c>
      <c r="AL769" s="22" t="s">
        <v>197</v>
      </c>
      <c r="AM769" s="7" t="s">
        <v>197</v>
      </c>
      <c r="AN769" s="22" t="s">
        <v>197</v>
      </c>
      <c r="AO769" s="22" t="n">
        <v>1.2</v>
      </c>
      <c r="AP769" s="22" t="n">
        <v>1.6</v>
      </c>
    </row>
    <row r="770" customFormat="false" ht="21.75" hidden="false" customHeight="true" outlineLevel="0" collapsed="false">
      <c r="B770" s="15" t="n">
        <v>766</v>
      </c>
      <c r="C770" s="9" t="s">
        <v>52</v>
      </c>
      <c r="D770" s="9" t="s">
        <v>23</v>
      </c>
      <c r="E770" s="9" t="s">
        <v>121</v>
      </c>
      <c r="F770" s="9" t="s">
        <v>63</v>
      </c>
      <c r="G770" s="9" t="s">
        <v>1898</v>
      </c>
      <c r="H770" s="9" t="s">
        <v>1390</v>
      </c>
      <c r="I770" s="9" t="s">
        <v>490</v>
      </c>
      <c r="J770" s="9" t="s">
        <v>1392</v>
      </c>
      <c r="K770" s="9" t="s">
        <v>1894</v>
      </c>
      <c r="L770" s="9" t="s">
        <v>1874</v>
      </c>
      <c r="M770" s="9" t="s">
        <v>235</v>
      </c>
      <c r="N770" s="9" t="s">
        <v>836</v>
      </c>
      <c r="O770" s="9" t="s">
        <v>189</v>
      </c>
      <c r="P770" s="9" t="s">
        <v>1744</v>
      </c>
      <c r="Q770" s="9" t="s">
        <v>1895</v>
      </c>
      <c r="R770" s="9" t="s">
        <v>838</v>
      </c>
      <c r="S770" s="9" t="s">
        <v>1369</v>
      </c>
      <c r="T770" s="9" t="s">
        <v>239</v>
      </c>
      <c r="U770" s="19" t="n">
        <v>70</v>
      </c>
      <c r="V770" s="9"/>
      <c r="W770" s="9"/>
      <c r="X770" s="9" t="s">
        <v>1899</v>
      </c>
      <c r="Y770" s="23" t="n">
        <v>0.05</v>
      </c>
      <c r="Z770" s="23" t="n">
        <v>0.093</v>
      </c>
      <c r="AA770" s="23" t="n">
        <v>12</v>
      </c>
      <c r="AB770" s="9" t="s">
        <v>1874</v>
      </c>
      <c r="AC770" s="9" t="s">
        <v>1896</v>
      </c>
      <c r="AD770" s="23" t="s">
        <v>197</v>
      </c>
      <c r="AE770" s="23" t="s">
        <v>197</v>
      </c>
      <c r="AF770" s="23" t="s">
        <v>197</v>
      </c>
      <c r="AG770" s="23" t="s">
        <v>197</v>
      </c>
      <c r="AH770" s="23" t="s">
        <v>197</v>
      </c>
      <c r="AI770" s="23" t="s">
        <v>197</v>
      </c>
      <c r="AJ770" s="23" t="s">
        <v>197</v>
      </c>
      <c r="AK770" s="23" t="s">
        <v>197</v>
      </c>
      <c r="AL770" s="23" t="s">
        <v>197</v>
      </c>
      <c r="AM770" s="9" t="s">
        <v>197</v>
      </c>
      <c r="AN770" s="23" t="s">
        <v>197</v>
      </c>
      <c r="AO770" s="23" t="n">
        <v>1.2</v>
      </c>
      <c r="AP770" s="23" t="n">
        <v>1.6</v>
      </c>
    </row>
    <row r="771" customFormat="false" ht="21.75" hidden="false" customHeight="true" outlineLevel="0" collapsed="false">
      <c r="B771" s="14" t="n">
        <v>767</v>
      </c>
      <c r="C771" s="7" t="s">
        <v>52</v>
      </c>
      <c r="D771" s="7" t="s">
        <v>23</v>
      </c>
      <c r="E771" s="7" t="s">
        <v>121</v>
      </c>
      <c r="F771" s="7" t="s">
        <v>63</v>
      </c>
      <c r="G771" s="7" t="s">
        <v>1900</v>
      </c>
      <c r="H771" s="7" t="s">
        <v>1390</v>
      </c>
      <c r="I771" s="7" t="s">
        <v>490</v>
      </c>
      <c r="J771" s="7" t="s">
        <v>1392</v>
      </c>
      <c r="K771" s="7" t="s">
        <v>1894</v>
      </c>
      <c r="L771" s="7" t="s">
        <v>1874</v>
      </c>
      <c r="M771" s="7" t="s">
        <v>235</v>
      </c>
      <c r="N771" s="7" t="s">
        <v>836</v>
      </c>
      <c r="O771" s="7" t="s">
        <v>189</v>
      </c>
      <c r="P771" s="7" t="s">
        <v>1744</v>
      </c>
      <c r="Q771" s="7" t="s">
        <v>1895</v>
      </c>
      <c r="R771" s="7" t="s">
        <v>838</v>
      </c>
      <c r="S771" s="7" t="s">
        <v>1369</v>
      </c>
      <c r="T771" s="7" t="s">
        <v>239</v>
      </c>
      <c r="U771" s="18" t="n">
        <v>105</v>
      </c>
      <c r="V771" s="7"/>
      <c r="W771" s="7"/>
      <c r="X771" s="7" t="s">
        <v>203</v>
      </c>
      <c r="Y771" s="22" t="n">
        <v>0.04</v>
      </c>
      <c r="Z771" s="22" t="n">
        <v>0.077</v>
      </c>
      <c r="AA771" s="22" t="n">
        <v>12</v>
      </c>
      <c r="AB771" s="7" t="s">
        <v>1874</v>
      </c>
      <c r="AC771" s="7" t="s">
        <v>1896</v>
      </c>
      <c r="AD771" s="22" t="s">
        <v>197</v>
      </c>
      <c r="AE771" s="22" t="s">
        <v>197</v>
      </c>
      <c r="AF771" s="22" t="s">
        <v>197</v>
      </c>
      <c r="AG771" s="22" t="s">
        <v>197</v>
      </c>
      <c r="AH771" s="22" t="s">
        <v>197</v>
      </c>
      <c r="AI771" s="22" t="s">
        <v>197</v>
      </c>
      <c r="AJ771" s="22" t="s">
        <v>197</v>
      </c>
      <c r="AK771" s="22" t="s">
        <v>197</v>
      </c>
      <c r="AL771" s="22" t="s">
        <v>197</v>
      </c>
      <c r="AM771" s="7" t="s">
        <v>197</v>
      </c>
      <c r="AN771" s="22" t="s">
        <v>197</v>
      </c>
      <c r="AO771" s="22" t="n">
        <v>1.2</v>
      </c>
      <c r="AP771" s="22" t="n">
        <v>1.6</v>
      </c>
    </row>
    <row r="772" customFormat="false" ht="21.75" hidden="false" customHeight="true" outlineLevel="0" collapsed="false">
      <c r="B772" s="15" t="n">
        <v>768</v>
      </c>
      <c r="C772" s="9" t="s">
        <v>52</v>
      </c>
      <c r="D772" s="9" t="s">
        <v>23</v>
      </c>
      <c r="E772" s="9" t="s">
        <v>121</v>
      </c>
      <c r="F772" s="9" t="s">
        <v>63</v>
      </c>
      <c r="G772" s="9" t="s">
        <v>1901</v>
      </c>
      <c r="H772" s="9" t="s">
        <v>1390</v>
      </c>
      <c r="I772" s="9" t="s">
        <v>490</v>
      </c>
      <c r="J772" s="9" t="s">
        <v>1392</v>
      </c>
      <c r="K772" s="9" t="s">
        <v>1894</v>
      </c>
      <c r="L772" s="9" t="s">
        <v>1874</v>
      </c>
      <c r="M772" s="9" t="s">
        <v>235</v>
      </c>
      <c r="N772" s="9" t="s">
        <v>836</v>
      </c>
      <c r="O772" s="9" t="s">
        <v>189</v>
      </c>
      <c r="P772" s="9" t="s">
        <v>1744</v>
      </c>
      <c r="Q772" s="9" t="s">
        <v>1895</v>
      </c>
      <c r="R772" s="9" t="s">
        <v>838</v>
      </c>
      <c r="S772" s="9" t="s">
        <v>1369</v>
      </c>
      <c r="T772" s="9" t="s">
        <v>239</v>
      </c>
      <c r="U772" s="19" t="n">
        <v>155</v>
      </c>
      <c r="V772" s="9"/>
      <c r="W772" s="9"/>
      <c r="X772" s="9" t="s">
        <v>205</v>
      </c>
      <c r="Y772" s="23" t="n">
        <v>0.03</v>
      </c>
      <c r="Z772" s="23" t="n">
        <v>0.06</v>
      </c>
      <c r="AA772" s="23" t="n">
        <v>12</v>
      </c>
      <c r="AB772" s="9" t="s">
        <v>1874</v>
      </c>
      <c r="AC772" s="9" t="s">
        <v>1896</v>
      </c>
      <c r="AD772" s="23" t="s">
        <v>197</v>
      </c>
      <c r="AE772" s="23" t="s">
        <v>197</v>
      </c>
      <c r="AF772" s="23" t="s">
        <v>197</v>
      </c>
      <c r="AG772" s="23" t="s">
        <v>197</v>
      </c>
      <c r="AH772" s="23" t="s">
        <v>197</v>
      </c>
      <c r="AI772" s="23" t="s">
        <v>197</v>
      </c>
      <c r="AJ772" s="23" t="s">
        <v>197</v>
      </c>
      <c r="AK772" s="23" t="s">
        <v>197</v>
      </c>
      <c r="AL772" s="23" t="s">
        <v>197</v>
      </c>
      <c r="AM772" s="9" t="s">
        <v>197</v>
      </c>
      <c r="AN772" s="23" t="s">
        <v>197</v>
      </c>
      <c r="AO772" s="23" t="n">
        <v>1.2</v>
      </c>
      <c r="AP772" s="23" t="n">
        <v>1.6</v>
      </c>
    </row>
    <row r="773" customFormat="false" ht="21.75" hidden="false" customHeight="true" outlineLevel="0" collapsed="false">
      <c r="B773" s="14" t="n">
        <v>769</v>
      </c>
      <c r="C773" s="7" t="s">
        <v>52</v>
      </c>
      <c r="D773" s="7" t="s">
        <v>23</v>
      </c>
      <c r="E773" s="7" t="s">
        <v>121</v>
      </c>
      <c r="F773" s="7" t="s">
        <v>64</v>
      </c>
      <c r="G773" s="7" t="s">
        <v>1902</v>
      </c>
      <c r="H773" s="7" t="s">
        <v>247</v>
      </c>
      <c r="I773" s="7" t="s">
        <v>1903</v>
      </c>
      <c r="J773" s="7" t="s">
        <v>1904</v>
      </c>
      <c r="K773" s="7" t="s">
        <v>250</v>
      </c>
      <c r="L773" s="7" t="s">
        <v>1874</v>
      </c>
      <c r="M773" s="7" t="s">
        <v>251</v>
      </c>
      <c r="N773" s="7" t="s">
        <v>252</v>
      </c>
      <c r="O773" s="7" t="s">
        <v>189</v>
      </c>
      <c r="P773" s="7" t="s">
        <v>1744</v>
      </c>
      <c r="Q773" s="7" t="s">
        <v>1120</v>
      </c>
      <c r="R773" s="7" t="s">
        <v>521</v>
      </c>
      <c r="S773" s="7" t="s">
        <v>1369</v>
      </c>
      <c r="T773" s="7" t="s">
        <v>507</v>
      </c>
      <c r="U773" s="18" t="n">
        <v>14</v>
      </c>
      <c r="V773" s="7"/>
      <c r="W773" s="7"/>
      <c r="X773" s="7" t="s">
        <v>195</v>
      </c>
      <c r="Y773" s="22" t="n">
        <v>0.01</v>
      </c>
      <c r="Z773" s="22" t="n">
        <v>0.015</v>
      </c>
      <c r="AA773" s="22" t="n">
        <v>12</v>
      </c>
      <c r="AB773" s="7" t="s">
        <v>1874</v>
      </c>
      <c r="AC773" s="7" t="s">
        <v>1905</v>
      </c>
      <c r="AD773" s="22" t="s">
        <v>197</v>
      </c>
      <c r="AE773" s="22" t="s">
        <v>197</v>
      </c>
      <c r="AF773" s="22" t="s">
        <v>197</v>
      </c>
      <c r="AG773" s="22" t="s">
        <v>197</v>
      </c>
      <c r="AH773" s="22" t="s">
        <v>197</v>
      </c>
      <c r="AI773" s="22" t="s">
        <v>197</v>
      </c>
      <c r="AJ773" s="22" t="n">
        <v>8</v>
      </c>
      <c r="AK773" s="22" t="s">
        <v>197</v>
      </c>
      <c r="AL773" s="22" t="n">
        <v>90</v>
      </c>
      <c r="AM773" s="7" t="s">
        <v>257</v>
      </c>
      <c r="AN773" s="22" t="s">
        <v>197</v>
      </c>
      <c r="AO773" s="22" t="n">
        <v>2</v>
      </c>
      <c r="AP773" s="22" t="n">
        <v>2.7</v>
      </c>
    </row>
    <row r="774" customFormat="false" ht="21.75" hidden="false" customHeight="true" outlineLevel="0" collapsed="false">
      <c r="B774" s="15" t="n">
        <v>770</v>
      </c>
      <c r="C774" s="9" t="s">
        <v>52</v>
      </c>
      <c r="D774" s="9" t="s">
        <v>23</v>
      </c>
      <c r="E774" s="9" t="s">
        <v>121</v>
      </c>
      <c r="F774" s="9" t="s">
        <v>64</v>
      </c>
      <c r="G774" s="9" t="s">
        <v>1906</v>
      </c>
      <c r="H774" s="9" t="s">
        <v>259</v>
      </c>
      <c r="I774" s="9" t="s">
        <v>1903</v>
      </c>
      <c r="J774" s="9" t="s">
        <v>1904</v>
      </c>
      <c r="K774" s="9" t="s">
        <v>250</v>
      </c>
      <c r="L774" s="9" t="s">
        <v>1874</v>
      </c>
      <c r="M774" s="9" t="s">
        <v>251</v>
      </c>
      <c r="N774" s="9" t="s">
        <v>252</v>
      </c>
      <c r="O774" s="9" t="s">
        <v>189</v>
      </c>
      <c r="P774" s="9" t="s">
        <v>1744</v>
      </c>
      <c r="Q774" s="9" t="s">
        <v>1120</v>
      </c>
      <c r="R774" s="9" t="s">
        <v>521</v>
      </c>
      <c r="S774" s="9" t="s">
        <v>1369</v>
      </c>
      <c r="T774" s="9" t="s">
        <v>507</v>
      </c>
      <c r="U774" s="19" t="n">
        <v>20</v>
      </c>
      <c r="V774" s="9"/>
      <c r="W774" s="9"/>
      <c r="X774" s="9" t="s">
        <v>199</v>
      </c>
      <c r="Y774" s="23" t="n">
        <v>0.012</v>
      </c>
      <c r="Z774" s="23" t="n">
        <v>0.017</v>
      </c>
      <c r="AA774" s="23" t="n">
        <v>12</v>
      </c>
      <c r="AB774" s="9" t="s">
        <v>1874</v>
      </c>
      <c r="AC774" s="9" t="s">
        <v>1905</v>
      </c>
      <c r="AD774" s="23" t="s">
        <v>197</v>
      </c>
      <c r="AE774" s="23" t="s">
        <v>197</v>
      </c>
      <c r="AF774" s="23" t="s">
        <v>197</v>
      </c>
      <c r="AG774" s="23" t="s">
        <v>197</v>
      </c>
      <c r="AH774" s="23" t="s">
        <v>197</v>
      </c>
      <c r="AI774" s="23" t="s">
        <v>197</v>
      </c>
      <c r="AJ774" s="23" t="n">
        <v>10</v>
      </c>
      <c r="AK774" s="23" t="s">
        <v>197</v>
      </c>
      <c r="AL774" s="23" t="n">
        <v>90</v>
      </c>
      <c r="AM774" s="9" t="s">
        <v>257</v>
      </c>
      <c r="AN774" s="23" t="s">
        <v>197</v>
      </c>
      <c r="AO774" s="23" t="n">
        <v>2</v>
      </c>
      <c r="AP774" s="23" t="n">
        <v>2.7</v>
      </c>
    </row>
    <row r="775" customFormat="false" ht="21.75" hidden="false" customHeight="true" outlineLevel="0" collapsed="false">
      <c r="B775" s="14" t="n">
        <v>771</v>
      </c>
      <c r="C775" s="7" t="s">
        <v>52</v>
      </c>
      <c r="D775" s="7" t="s">
        <v>23</v>
      </c>
      <c r="E775" s="7" t="s">
        <v>121</v>
      </c>
      <c r="F775" s="7" t="s">
        <v>64</v>
      </c>
      <c r="G775" s="7" t="s">
        <v>1907</v>
      </c>
      <c r="H775" s="7" t="s">
        <v>261</v>
      </c>
      <c r="I775" s="7" t="s">
        <v>1903</v>
      </c>
      <c r="J775" s="7" t="s">
        <v>1904</v>
      </c>
      <c r="K775" s="7" t="s">
        <v>250</v>
      </c>
      <c r="L775" s="7" t="s">
        <v>1874</v>
      </c>
      <c r="M775" s="7" t="s">
        <v>251</v>
      </c>
      <c r="N775" s="7" t="s">
        <v>252</v>
      </c>
      <c r="O775" s="7" t="s">
        <v>189</v>
      </c>
      <c r="P775" s="7" t="s">
        <v>1744</v>
      </c>
      <c r="Q775" s="7" t="s">
        <v>1120</v>
      </c>
      <c r="R775" s="7" t="s">
        <v>521</v>
      </c>
      <c r="S775" s="7" t="s">
        <v>1369</v>
      </c>
      <c r="T775" s="7" t="s">
        <v>507</v>
      </c>
      <c r="U775" s="18" t="n">
        <v>25</v>
      </c>
      <c r="V775" s="7"/>
      <c r="W775" s="7"/>
      <c r="X775" s="7" t="s">
        <v>1908</v>
      </c>
      <c r="Y775" s="22" t="n">
        <v>0.011</v>
      </c>
      <c r="Z775" s="22" t="n">
        <v>0.016</v>
      </c>
      <c r="AA775" s="22" t="n">
        <v>12</v>
      </c>
      <c r="AB775" s="7" t="s">
        <v>1874</v>
      </c>
      <c r="AC775" s="7" t="s">
        <v>1905</v>
      </c>
      <c r="AD775" s="22" t="s">
        <v>197</v>
      </c>
      <c r="AE775" s="22" t="s">
        <v>197</v>
      </c>
      <c r="AF775" s="22" t="s">
        <v>197</v>
      </c>
      <c r="AG775" s="22" t="s">
        <v>197</v>
      </c>
      <c r="AH775" s="22" t="s">
        <v>197</v>
      </c>
      <c r="AI775" s="22" t="s">
        <v>197</v>
      </c>
      <c r="AJ775" s="22" t="n">
        <v>12</v>
      </c>
      <c r="AK775" s="22" t="s">
        <v>197</v>
      </c>
      <c r="AL775" s="22" t="n">
        <v>90</v>
      </c>
      <c r="AM775" s="7" t="s">
        <v>257</v>
      </c>
      <c r="AN775" s="22" t="s">
        <v>197</v>
      </c>
      <c r="AO775" s="22" t="n">
        <v>2</v>
      </c>
      <c r="AP775" s="22" t="n">
        <v>2.7</v>
      </c>
    </row>
    <row r="776" customFormat="false" ht="21.75" hidden="false" customHeight="true" outlineLevel="0" collapsed="false">
      <c r="B776" s="15" t="n">
        <v>772</v>
      </c>
      <c r="C776" s="9" t="s">
        <v>52</v>
      </c>
      <c r="D776" s="9" t="s">
        <v>23</v>
      </c>
      <c r="E776" s="9" t="s">
        <v>121</v>
      </c>
      <c r="F776" s="9" t="s">
        <v>64</v>
      </c>
      <c r="G776" s="9" t="s">
        <v>1909</v>
      </c>
      <c r="H776" s="9" t="s">
        <v>264</v>
      </c>
      <c r="I776" s="9" t="s">
        <v>1903</v>
      </c>
      <c r="J776" s="9" t="s">
        <v>1904</v>
      </c>
      <c r="K776" s="9" t="s">
        <v>250</v>
      </c>
      <c r="L776" s="9" t="s">
        <v>1874</v>
      </c>
      <c r="M776" s="9" t="s">
        <v>251</v>
      </c>
      <c r="N776" s="9" t="s">
        <v>252</v>
      </c>
      <c r="O776" s="9" t="s">
        <v>189</v>
      </c>
      <c r="P776" s="9" t="s">
        <v>1744</v>
      </c>
      <c r="Q776" s="9" t="s">
        <v>1120</v>
      </c>
      <c r="R776" s="9" t="s">
        <v>521</v>
      </c>
      <c r="S776" s="9" t="s">
        <v>1369</v>
      </c>
      <c r="T776" s="9" t="s">
        <v>507</v>
      </c>
      <c r="U776" s="19" t="n">
        <v>40</v>
      </c>
      <c r="V776" s="9"/>
      <c r="W776" s="9"/>
      <c r="X776" s="9" t="s">
        <v>203</v>
      </c>
      <c r="Y776" s="23" t="n">
        <v>0.014</v>
      </c>
      <c r="Z776" s="23" t="n">
        <v>0.02</v>
      </c>
      <c r="AA776" s="23" t="n">
        <v>12</v>
      </c>
      <c r="AB776" s="9" t="s">
        <v>1874</v>
      </c>
      <c r="AC776" s="9" t="s">
        <v>1905</v>
      </c>
      <c r="AD776" s="23" t="s">
        <v>197</v>
      </c>
      <c r="AE776" s="23" t="s">
        <v>197</v>
      </c>
      <c r="AF776" s="23" t="s">
        <v>197</v>
      </c>
      <c r="AG776" s="23" t="s">
        <v>197</v>
      </c>
      <c r="AH776" s="23" t="s">
        <v>197</v>
      </c>
      <c r="AI776" s="23" t="s">
        <v>197</v>
      </c>
      <c r="AJ776" s="23" t="n">
        <v>12</v>
      </c>
      <c r="AK776" s="23" t="s">
        <v>197</v>
      </c>
      <c r="AL776" s="23" t="n">
        <v>110</v>
      </c>
      <c r="AM776" s="9" t="s">
        <v>257</v>
      </c>
      <c r="AN776" s="23" t="s">
        <v>197</v>
      </c>
      <c r="AO776" s="23" t="n">
        <v>2</v>
      </c>
      <c r="AP776" s="23" t="n">
        <v>2.7</v>
      </c>
    </row>
    <row r="777" customFormat="false" ht="21.75" hidden="false" customHeight="true" outlineLevel="0" collapsed="false">
      <c r="B777" s="14" t="n">
        <v>773</v>
      </c>
      <c r="C777" s="7" t="s">
        <v>52</v>
      </c>
      <c r="D777" s="7" t="s">
        <v>23</v>
      </c>
      <c r="E777" s="7" t="s">
        <v>121</v>
      </c>
      <c r="F777" s="7" t="s">
        <v>64</v>
      </c>
      <c r="G777" s="7" t="s">
        <v>1910</v>
      </c>
      <c r="H777" s="7" t="s">
        <v>266</v>
      </c>
      <c r="I777" s="7" t="s">
        <v>1903</v>
      </c>
      <c r="J777" s="7" t="s">
        <v>1904</v>
      </c>
      <c r="K777" s="7" t="s">
        <v>250</v>
      </c>
      <c r="L777" s="7" t="s">
        <v>1874</v>
      </c>
      <c r="M777" s="7" t="s">
        <v>251</v>
      </c>
      <c r="N777" s="7" t="s">
        <v>252</v>
      </c>
      <c r="O777" s="7" t="s">
        <v>189</v>
      </c>
      <c r="P777" s="7" t="s">
        <v>1744</v>
      </c>
      <c r="Q777" s="7" t="s">
        <v>1120</v>
      </c>
      <c r="R777" s="7" t="s">
        <v>521</v>
      </c>
      <c r="S777" s="7" t="s">
        <v>1369</v>
      </c>
      <c r="T777" s="7" t="s">
        <v>507</v>
      </c>
      <c r="U777" s="18" t="n">
        <v>60</v>
      </c>
      <c r="V777" s="7"/>
      <c r="W777" s="7"/>
      <c r="X777" s="7" t="s">
        <v>205</v>
      </c>
      <c r="Y777" s="22" t="n">
        <v>0.009</v>
      </c>
      <c r="Z777" s="22" t="n">
        <v>0.013</v>
      </c>
      <c r="AA777" s="22" t="n">
        <v>12</v>
      </c>
      <c r="AB777" s="7" t="s">
        <v>1874</v>
      </c>
      <c r="AC777" s="7" t="s">
        <v>1905</v>
      </c>
      <c r="AD777" s="22" t="s">
        <v>197</v>
      </c>
      <c r="AE777" s="22" t="s">
        <v>197</v>
      </c>
      <c r="AF777" s="22" t="s">
        <v>197</v>
      </c>
      <c r="AG777" s="22" t="s">
        <v>197</v>
      </c>
      <c r="AH777" s="22" t="s">
        <v>197</v>
      </c>
      <c r="AI777" s="22" t="s">
        <v>197</v>
      </c>
      <c r="AJ777" s="22" t="n">
        <v>15</v>
      </c>
      <c r="AK777" s="22" t="s">
        <v>197</v>
      </c>
      <c r="AL777" s="22" t="n">
        <v>110</v>
      </c>
      <c r="AM777" s="7" t="s">
        <v>257</v>
      </c>
      <c r="AN777" s="22" t="s">
        <v>197</v>
      </c>
      <c r="AO777" s="22" t="n">
        <v>2</v>
      </c>
      <c r="AP777" s="22" t="n">
        <v>2.7</v>
      </c>
    </row>
    <row r="778" customFormat="false" ht="21.75" hidden="false" customHeight="true" outlineLevel="0" collapsed="false">
      <c r="B778" s="15" t="n">
        <v>774</v>
      </c>
      <c r="C778" s="9" t="s">
        <v>52</v>
      </c>
      <c r="D778" s="9" t="s">
        <v>23</v>
      </c>
      <c r="E778" s="9" t="s">
        <v>121</v>
      </c>
      <c r="F778" s="9" t="s">
        <v>65</v>
      </c>
      <c r="G778" s="9" t="s">
        <v>1911</v>
      </c>
      <c r="H778" s="9" t="s">
        <v>247</v>
      </c>
      <c r="I778" s="9" t="s">
        <v>1912</v>
      </c>
      <c r="J778" s="9" t="s">
        <v>1913</v>
      </c>
      <c r="K778" s="9" t="s">
        <v>1653</v>
      </c>
      <c r="L778" s="9" t="s">
        <v>1874</v>
      </c>
      <c r="M778" s="9" t="s">
        <v>518</v>
      </c>
      <c r="N778" s="9" t="s">
        <v>1914</v>
      </c>
      <c r="O778" s="9" t="s">
        <v>189</v>
      </c>
      <c r="P778" s="9" t="s">
        <v>1744</v>
      </c>
      <c r="Q778" s="9" t="s">
        <v>1131</v>
      </c>
      <c r="R778" s="9" t="s">
        <v>1915</v>
      </c>
      <c r="S778" s="9" t="s">
        <v>1369</v>
      </c>
      <c r="T778" s="9" t="s">
        <v>275</v>
      </c>
      <c r="U778" s="19" t="n">
        <v>20</v>
      </c>
      <c r="V778" s="9"/>
      <c r="W778" s="9"/>
      <c r="X778" s="9" t="s">
        <v>195</v>
      </c>
      <c r="Y778" s="23" t="n">
        <v>1.184E-005</v>
      </c>
      <c r="Z778" s="23" t="n">
        <v>3.185E-005</v>
      </c>
      <c r="AA778" s="23" t="n">
        <v>3</v>
      </c>
      <c r="AB778" s="9" t="s">
        <v>1874</v>
      </c>
      <c r="AC778" s="9" t="s">
        <v>1916</v>
      </c>
      <c r="AD778" s="23" t="s">
        <v>197</v>
      </c>
      <c r="AE778" s="23" t="s">
        <v>197</v>
      </c>
      <c r="AF778" s="23" t="s">
        <v>197</v>
      </c>
      <c r="AG778" s="23" t="s">
        <v>197</v>
      </c>
      <c r="AH778" s="23" t="s">
        <v>197</v>
      </c>
      <c r="AI778" s="23" t="s">
        <v>197</v>
      </c>
      <c r="AJ778" s="23" t="n">
        <v>8</v>
      </c>
      <c r="AK778" s="23" t="s">
        <v>197</v>
      </c>
      <c r="AL778" s="23" t="n">
        <v>90</v>
      </c>
      <c r="AM778" s="9" t="s">
        <v>257</v>
      </c>
      <c r="AN778" s="23" t="s">
        <v>197</v>
      </c>
      <c r="AO778" s="23" t="n">
        <v>2</v>
      </c>
      <c r="AP778" s="23" t="n">
        <v>2.7</v>
      </c>
    </row>
    <row r="779" customFormat="false" ht="21.75" hidden="false" customHeight="true" outlineLevel="0" collapsed="false">
      <c r="B779" s="14" t="n">
        <v>775</v>
      </c>
      <c r="C779" s="7" t="s">
        <v>52</v>
      </c>
      <c r="D779" s="7" t="s">
        <v>23</v>
      </c>
      <c r="E779" s="7" t="s">
        <v>121</v>
      </c>
      <c r="F779" s="7" t="s">
        <v>65</v>
      </c>
      <c r="G779" s="7" t="s">
        <v>1917</v>
      </c>
      <c r="H779" s="7" t="s">
        <v>259</v>
      </c>
      <c r="I779" s="7" t="s">
        <v>1912</v>
      </c>
      <c r="J779" s="7" t="s">
        <v>1913</v>
      </c>
      <c r="K779" s="7" t="s">
        <v>1653</v>
      </c>
      <c r="L779" s="7" t="s">
        <v>1874</v>
      </c>
      <c r="M779" s="7" t="s">
        <v>518</v>
      </c>
      <c r="N779" s="7" t="s">
        <v>1914</v>
      </c>
      <c r="O779" s="7" t="s">
        <v>189</v>
      </c>
      <c r="P779" s="7" t="s">
        <v>1744</v>
      </c>
      <c r="Q779" s="7" t="s">
        <v>1131</v>
      </c>
      <c r="R779" s="7" t="s">
        <v>1915</v>
      </c>
      <c r="S779" s="7" t="s">
        <v>1369</v>
      </c>
      <c r="T779" s="7" t="s">
        <v>275</v>
      </c>
      <c r="U779" s="18" t="n">
        <v>30</v>
      </c>
      <c r="V779" s="7"/>
      <c r="W779" s="7"/>
      <c r="X779" s="7" t="s">
        <v>199</v>
      </c>
      <c r="Y779" s="22" t="n">
        <v>2.056E-005</v>
      </c>
      <c r="Z779" s="22" t="n">
        <v>4.743E-005</v>
      </c>
      <c r="AA779" s="22" t="n">
        <v>3</v>
      </c>
      <c r="AB779" s="7" t="s">
        <v>1874</v>
      </c>
      <c r="AC779" s="7" t="s">
        <v>1916</v>
      </c>
      <c r="AD779" s="22" t="s">
        <v>197</v>
      </c>
      <c r="AE779" s="22" t="s">
        <v>197</v>
      </c>
      <c r="AF779" s="22" t="s">
        <v>197</v>
      </c>
      <c r="AG779" s="22" t="s">
        <v>197</v>
      </c>
      <c r="AH779" s="22" t="s">
        <v>197</v>
      </c>
      <c r="AI779" s="22" t="s">
        <v>197</v>
      </c>
      <c r="AJ779" s="22" t="n">
        <v>10</v>
      </c>
      <c r="AK779" s="22" t="s">
        <v>197</v>
      </c>
      <c r="AL779" s="22" t="n">
        <v>90</v>
      </c>
      <c r="AM779" s="7" t="s">
        <v>257</v>
      </c>
      <c r="AN779" s="22" t="s">
        <v>197</v>
      </c>
      <c r="AO779" s="22" t="n">
        <v>2</v>
      </c>
      <c r="AP779" s="22" t="n">
        <v>2.7</v>
      </c>
    </row>
    <row r="780" customFormat="false" ht="21.75" hidden="false" customHeight="true" outlineLevel="0" collapsed="false">
      <c r="B780" s="15" t="n">
        <v>776</v>
      </c>
      <c r="C780" s="9" t="s">
        <v>52</v>
      </c>
      <c r="D780" s="9" t="s">
        <v>23</v>
      </c>
      <c r="E780" s="9" t="s">
        <v>121</v>
      </c>
      <c r="F780" s="9" t="s">
        <v>65</v>
      </c>
      <c r="G780" s="9" t="s">
        <v>1918</v>
      </c>
      <c r="H780" s="9" t="s">
        <v>261</v>
      </c>
      <c r="I780" s="9" t="s">
        <v>1912</v>
      </c>
      <c r="J780" s="9" t="s">
        <v>1913</v>
      </c>
      <c r="K780" s="9" t="s">
        <v>1653</v>
      </c>
      <c r="L780" s="9" t="s">
        <v>1874</v>
      </c>
      <c r="M780" s="9" t="s">
        <v>518</v>
      </c>
      <c r="N780" s="9" t="s">
        <v>1914</v>
      </c>
      <c r="O780" s="9" t="s">
        <v>189</v>
      </c>
      <c r="P780" s="9" t="s">
        <v>1744</v>
      </c>
      <c r="Q780" s="9" t="s">
        <v>1131</v>
      </c>
      <c r="R780" s="9" t="s">
        <v>1915</v>
      </c>
      <c r="S780" s="9" t="s">
        <v>1369</v>
      </c>
      <c r="T780" s="9" t="s">
        <v>275</v>
      </c>
      <c r="U780" s="19" t="n">
        <v>45</v>
      </c>
      <c r="V780" s="9"/>
      <c r="W780" s="9"/>
      <c r="X780" s="9" t="s">
        <v>1919</v>
      </c>
      <c r="Y780" s="23" t="n">
        <v>1.459E-005</v>
      </c>
      <c r="Z780" s="23" t="n">
        <v>3.676E-005</v>
      </c>
      <c r="AA780" s="23" t="n">
        <v>3</v>
      </c>
      <c r="AB780" s="9" t="s">
        <v>1874</v>
      </c>
      <c r="AC780" s="9" t="s">
        <v>1916</v>
      </c>
      <c r="AD780" s="23" t="s">
        <v>197</v>
      </c>
      <c r="AE780" s="23" t="s">
        <v>197</v>
      </c>
      <c r="AF780" s="23" t="s">
        <v>197</v>
      </c>
      <c r="AG780" s="23" t="s">
        <v>197</v>
      </c>
      <c r="AH780" s="23" t="s">
        <v>197</v>
      </c>
      <c r="AI780" s="23" t="s">
        <v>197</v>
      </c>
      <c r="AJ780" s="23" t="n">
        <v>12</v>
      </c>
      <c r="AK780" s="23" t="s">
        <v>197</v>
      </c>
      <c r="AL780" s="23" t="n">
        <v>90</v>
      </c>
      <c r="AM780" s="9" t="s">
        <v>257</v>
      </c>
      <c r="AN780" s="23" t="s">
        <v>197</v>
      </c>
      <c r="AO780" s="23" t="n">
        <v>2</v>
      </c>
      <c r="AP780" s="23" t="n">
        <v>2.7</v>
      </c>
    </row>
    <row r="781" customFormat="false" ht="21.75" hidden="false" customHeight="true" outlineLevel="0" collapsed="false">
      <c r="B781" s="14" t="n">
        <v>777</v>
      </c>
      <c r="C781" s="7" t="s">
        <v>52</v>
      </c>
      <c r="D781" s="7" t="s">
        <v>23</v>
      </c>
      <c r="E781" s="7" t="s">
        <v>121</v>
      </c>
      <c r="F781" s="7" t="s">
        <v>65</v>
      </c>
      <c r="G781" s="7" t="s">
        <v>1920</v>
      </c>
      <c r="H781" s="7" t="s">
        <v>281</v>
      </c>
      <c r="I781" s="7" t="s">
        <v>1912</v>
      </c>
      <c r="J781" s="7" t="s">
        <v>1913</v>
      </c>
      <c r="K781" s="7" t="s">
        <v>1653</v>
      </c>
      <c r="L781" s="7" t="s">
        <v>1874</v>
      </c>
      <c r="M781" s="7" t="s">
        <v>518</v>
      </c>
      <c r="N781" s="7" t="s">
        <v>1914</v>
      </c>
      <c r="O781" s="7" t="s">
        <v>189</v>
      </c>
      <c r="P781" s="7" t="s">
        <v>1744</v>
      </c>
      <c r="Q781" s="7" t="s">
        <v>1131</v>
      </c>
      <c r="R781" s="7" t="s">
        <v>1915</v>
      </c>
      <c r="S781" s="7" t="s">
        <v>1369</v>
      </c>
      <c r="T781" s="7" t="s">
        <v>275</v>
      </c>
      <c r="U781" s="18" t="n">
        <v>65</v>
      </c>
      <c r="V781" s="7"/>
      <c r="W781" s="7"/>
      <c r="X781" s="7" t="s">
        <v>203</v>
      </c>
      <c r="Y781" s="22" t="n">
        <v>2.123E-005</v>
      </c>
      <c r="Z781" s="22" t="n">
        <v>4.862E-005</v>
      </c>
      <c r="AA781" s="22" t="n">
        <v>3</v>
      </c>
      <c r="AB781" s="7" t="s">
        <v>1874</v>
      </c>
      <c r="AC781" s="7" t="s">
        <v>1916</v>
      </c>
      <c r="AD781" s="22" t="s">
        <v>197</v>
      </c>
      <c r="AE781" s="22" t="s">
        <v>197</v>
      </c>
      <c r="AF781" s="22" t="s">
        <v>197</v>
      </c>
      <c r="AG781" s="22" t="s">
        <v>197</v>
      </c>
      <c r="AH781" s="22" t="s">
        <v>197</v>
      </c>
      <c r="AI781" s="22" t="s">
        <v>197</v>
      </c>
      <c r="AJ781" s="22" t="n">
        <v>12</v>
      </c>
      <c r="AK781" s="22" t="s">
        <v>197</v>
      </c>
      <c r="AL781" s="22" t="n">
        <v>90</v>
      </c>
      <c r="AM781" s="7" t="s">
        <v>257</v>
      </c>
      <c r="AN781" s="22" t="s">
        <v>197</v>
      </c>
      <c r="AO781" s="22" t="n">
        <v>2</v>
      </c>
      <c r="AP781" s="22" t="n">
        <v>2.7</v>
      </c>
    </row>
    <row r="782" customFormat="false" ht="21.75" hidden="false" customHeight="true" outlineLevel="0" collapsed="false">
      <c r="B782" s="15" t="n">
        <v>778</v>
      </c>
      <c r="C782" s="9" t="s">
        <v>52</v>
      </c>
      <c r="D782" s="9" t="s">
        <v>23</v>
      </c>
      <c r="E782" s="9" t="s">
        <v>121</v>
      </c>
      <c r="F782" s="9" t="s">
        <v>65</v>
      </c>
      <c r="G782" s="9" t="s">
        <v>1921</v>
      </c>
      <c r="H782" s="9" t="s">
        <v>283</v>
      </c>
      <c r="I782" s="9" t="s">
        <v>1912</v>
      </c>
      <c r="J782" s="9" t="s">
        <v>1913</v>
      </c>
      <c r="K782" s="9" t="s">
        <v>1653</v>
      </c>
      <c r="L782" s="9" t="s">
        <v>1874</v>
      </c>
      <c r="M782" s="9" t="s">
        <v>518</v>
      </c>
      <c r="N782" s="9" t="s">
        <v>1914</v>
      </c>
      <c r="O782" s="9" t="s">
        <v>189</v>
      </c>
      <c r="P782" s="9" t="s">
        <v>1744</v>
      </c>
      <c r="Q782" s="9" t="s">
        <v>1131</v>
      </c>
      <c r="R782" s="9" t="s">
        <v>1915</v>
      </c>
      <c r="S782" s="9" t="s">
        <v>1369</v>
      </c>
      <c r="T782" s="9" t="s">
        <v>275</v>
      </c>
      <c r="U782" s="19" t="n">
        <v>100</v>
      </c>
      <c r="V782" s="9"/>
      <c r="W782" s="9"/>
      <c r="X782" s="9" t="s">
        <v>205</v>
      </c>
      <c r="Y782" s="23" t="n">
        <v>1.616E-005</v>
      </c>
      <c r="Z782" s="23" t="n">
        <v>3.958E-005</v>
      </c>
      <c r="AA782" s="23" t="n">
        <v>3</v>
      </c>
      <c r="AB782" s="9" t="s">
        <v>1874</v>
      </c>
      <c r="AC782" s="9" t="s">
        <v>1916</v>
      </c>
      <c r="AD782" s="23" t="s">
        <v>197</v>
      </c>
      <c r="AE782" s="23" t="s">
        <v>197</v>
      </c>
      <c r="AF782" s="23" t="s">
        <v>197</v>
      </c>
      <c r="AG782" s="23" t="s">
        <v>197</v>
      </c>
      <c r="AH782" s="23" t="s">
        <v>197</v>
      </c>
      <c r="AI782" s="23" t="s">
        <v>197</v>
      </c>
      <c r="AJ782" s="23" t="n">
        <v>15</v>
      </c>
      <c r="AK782" s="23" t="s">
        <v>197</v>
      </c>
      <c r="AL782" s="23" t="n">
        <v>90</v>
      </c>
      <c r="AM782" s="9" t="s">
        <v>257</v>
      </c>
      <c r="AN782" s="23" t="s">
        <v>197</v>
      </c>
      <c r="AO782" s="23" t="n">
        <v>2</v>
      </c>
      <c r="AP782" s="23" t="n">
        <v>2.7</v>
      </c>
    </row>
    <row r="783" customFormat="false" ht="21.75" hidden="false" customHeight="true" outlineLevel="0" collapsed="false">
      <c r="B783" s="14" t="n">
        <v>779</v>
      </c>
      <c r="C783" s="7" t="s">
        <v>52</v>
      </c>
      <c r="D783" s="7" t="s">
        <v>23</v>
      </c>
      <c r="E783" s="7" t="s">
        <v>121</v>
      </c>
      <c r="F783" s="7" t="s">
        <v>66</v>
      </c>
      <c r="G783" s="7" t="s">
        <v>1922</v>
      </c>
      <c r="H783" s="7" t="s">
        <v>285</v>
      </c>
      <c r="I783" s="7" t="s">
        <v>1669</v>
      </c>
      <c r="J783" s="7" t="s">
        <v>1923</v>
      </c>
      <c r="K783" s="7" t="s">
        <v>1653</v>
      </c>
      <c r="L783" s="7" t="s">
        <v>1874</v>
      </c>
      <c r="M783" s="7" t="s">
        <v>1474</v>
      </c>
      <c r="N783" s="7" t="s">
        <v>1475</v>
      </c>
      <c r="O783" s="7" t="s">
        <v>531</v>
      </c>
      <c r="P783" s="7" t="s">
        <v>1744</v>
      </c>
      <c r="Q783" s="7" t="s">
        <v>1141</v>
      </c>
      <c r="R783" s="7" t="s">
        <v>713</v>
      </c>
      <c r="S783" s="7" t="s">
        <v>1369</v>
      </c>
      <c r="T783" s="7" t="s">
        <v>1665</v>
      </c>
      <c r="U783" s="18" t="n">
        <v>25</v>
      </c>
      <c r="V783" s="7"/>
      <c r="W783" s="7"/>
      <c r="X783" s="7" t="s">
        <v>195</v>
      </c>
      <c r="Y783" s="22" t="n">
        <v>0.018</v>
      </c>
      <c r="Z783" s="22" t="n">
        <v>0.028</v>
      </c>
      <c r="AA783" s="22" t="n">
        <v>12</v>
      </c>
      <c r="AB783" s="7" t="s">
        <v>1874</v>
      </c>
      <c r="AC783" s="7" t="s">
        <v>1916</v>
      </c>
      <c r="AD783" s="22" t="s">
        <v>197</v>
      </c>
      <c r="AE783" s="22" t="s">
        <v>197</v>
      </c>
      <c r="AF783" s="22" t="s">
        <v>197</v>
      </c>
      <c r="AG783" s="22" t="s">
        <v>197</v>
      </c>
      <c r="AH783" s="22" t="s">
        <v>197</v>
      </c>
      <c r="AI783" s="22" t="s">
        <v>197</v>
      </c>
      <c r="AJ783" s="22" t="s">
        <v>197</v>
      </c>
      <c r="AK783" s="22" t="n">
        <v>10</v>
      </c>
      <c r="AL783" s="22" t="n">
        <v>90</v>
      </c>
      <c r="AM783" s="7" t="s">
        <v>292</v>
      </c>
      <c r="AN783" s="22" t="s">
        <v>197</v>
      </c>
      <c r="AO783" s="22" t="n">
        <v>2</v>
      </c>
      <c r="AP783" s="22" t="n">
        <v>3</v>
      </c>
    </row>
    <row r="784" customFormat="false" ht="21.75" hidden="false" customHeight="true" outlineLevel="0" collapsed="false">
      <c r="B784" s="15" t="n">
        <v>780</v>
      </c>
      <c r="C784" s="9" t="s">
        <v>52</v>
      </c>
      <c r="D784" s="9" t="s">
        <v>23</v>
      </c>
      <c r="E784" s="9" t="s">
        <v>121</v>
      </c>
      <c r="F784" s="9" t="s">
        <v>66</v>
      </c>
      <c r="G784" s="9" t="s">
        <v>1924</v>
      </c>
      <c r="H784" s="9" t="s">
        <v>294</v>
      </c>
      <c r="I784" s="9" t="s">
        <v>1669</v>
      </c>
      <c r="J784" s="9" t="s">
        <v>1923</v>
      </c>
      <c r="K784" s="9" t="s">
        <v>1653</v>
      </c>
      <c r="L784" s="9" t="s">
        <v>1874</v>
      </c>
      <c r="M784" s="9" t="s">
        <v>1474</v>
      </c>
      <c r="N784" s="9" t="s">
        <v>1475</v>
      </c>
      <c r="O784" s="9" t="s">
        <v>531</v>
      </c>
      <c r="P784" s="9" t="s">
        <v>1744</v>
      </c>
      <c r="Q784" s="9" t="s">
        <v>1141</v>
      </c>
      <c r="R784" s="9" t="s">
        <v>713</v>
      </c>
      <c r="S784" s="9" t="s">
        <v>1369</v>
      </c>
      <c r="T784" s="9" t="s">
        <v>1665</v>
      </c>
      <c r="U784" s="19" t="n">
        <v>40</v>
      </c>
      <c r="V784" s="9"/>
      <c r="W784" s="9"/>
      <c r="X784" s="9" t="s">
        <v>199</v>
      </c>
      <c r="Y784" s="23" t="n">
        <v>0.027</v>
      </c>
      <c r="Z784" s="23" t="n">
        <v>0.037</v>
      </c>
      <c r="AA784" s="23" t="n">
        <v>12</v>
      </c>
      <c r="AB784" s="9" t="s">
        <v>1874</v>
      </c>
      <c r="AC784" s="9" t="s">
        <v>1916</v>
      </c>
      <c r="AD784" s="23" t="s">
        <v>197</v>
      </c>
      <c r="AE784" s="23" t="s">
        <v>197</v>
      </c>
      <c r="AF784" s="23" t="s">
        <v>197</v>
      </c>
      <c r="AG784" s="23" t="s">
        <v>197</v>
      </c>
      <c r="AH784" s="23" t="s">
        <v>197</v>
      </c>
      <c r="AI784" s="23" t="s">
        <v>197</v>
      </c>
      <c r="AJ784" s="23" t="s">
        <v>197</v>
      </c>
      <c r="AK784" s="23" t="n">
        <v>12</v>
      </c>
      <c r="AL784" s="23" t="n">
        <v>90</v>
      </c>
      <c r="AM784" s="9" t="s">
        <v>292</v>
      </c>
      <c r="AN784" s="23" t="s">
        <v>197</v>
      </c>
      <c r="AO784" s="23" t="n">
        <v>2</v>
      </c>
      <c r="AP784" s="23" t="n">
        <v>3</v>
      </c>
    </row>
    <row r="785" customFormat="false" ht="21.75" hidden="false" customHeight="true" outlineLevel="0" collapsed="false">
      <c r="B785" s="14" t="n">
        <v>781</v>
      </c>
      <c r="C785" s="7" t="s">
        <v>52</v>
      </c>
      <c r="D785" s="7" t="s">
        <v>23</v>
      </c>
      <c r="E785" s="7" t="s">
        <v>121</v>
      </c>
      <c r="F785" s="7" t="s">
        <v>66</v>
      </c>
      <c r="G785" s="7" t="s">
        <v>1925</v>
      </c>
      <c r="H785" s="7" t="s">
        <v>296</v>
      </c>
      <c r="I785" s="7" t="s">
        <v>1669</v>
      </c>
      <c r="J785" s="7" t="s">
        <v>1923</v>
      </c>
      <c r="K785" s="7" t="s">
        <v>1653</v>
      </c>
      <c r="L785" s="7" t="s">
        <v>1874</v>
      </c>
      <c r="M785" s="7" t="s">
        <v>1474</v>
      </c>
      <c r="N785" s="7" t="s">
        <v>1475</v>
      </c>
      <c r="O785" s="7" t="s">
        <v>531</v>
      </c>
      <c r="P785" s="7" t="s">
        <v>1744</v>
      </c>
      <c r="Q785" s="7" t="s">
        <v>1141</v>
      </c>
      <c r="R785" s="7" t="s">
        <v>713</v>
      </c>
      <c r="S785" s="7" t="s">
        <v>1369</v>
      </c>
      <c r="T785" s="7" t="s">
        <v>1665</v>
      </c>
      <c r="U785" s="18" t="n">
        <v>55</v>
      </c>
      <c r="V785" s="7"/>
      <c r="W785" s="7"/>
      <c r="X785" s="7" t="s">
        <v>1926</v>
      </c>
      <c r="Y785" s="22" t="n">
        <v>0.021</v>
      </c>
      <c r="Z785" s="22" t="n">
        <v>0.031</v>
      </c>
      <c r="AA785" s="22" t="n">
        <v>12</v>
      </c>
      <c r="AB785" s="7" t="s">
        <v>1874</v>
      </c>
      <c r="AC785" s="7" t="s">
        <v>1916</v>
      </c>
      <c r="AD785" s="22" t="s">
        <v>197</v>
      </c>
      <c r="AE785" s="22" t="s">
        <v>197</v>
      </c>
      <c r="AF785" s="22" t="s">
        <v>197</v>
      </c>
      <c r="AG785" s="22" t="s">
        <v>197</v>
      </c>
      <c r="AH785" s="22" t="s">
        <v>197</v>
      </c>
      <c r="AI785" s="22" t="s">
        <v>197</v>
      </c>
      <c r="AJ785" s="22" t="s">
        <v>197</v>
      </c>
      <c r="AK785" s="22" t="n">
        <v>12</v>
      </c>
      <c r="AL785" s="22" t="n">
        <v>90</v>
      </c>
      <c r="AM785" s="7" t="s">
        <v>292</v>
      </c>
      <c r="AN785" s="22" t="s">
        <v>197</v>
      </c>
      <c r="AO785" s="22" t="n">
        <v>2</v>
      </c>
      <c r="AP785" s="22" t="n">
        <v>3</v>
      </c>
    </row>
    <row r="786" customFormat="false" ht="21.75" hidden="false" customHeight="true" outlineLevel="0" collapsed="false">
      <c r="B786" s="15" t="n">
        <v>782</v>
      </c>
      <c r="C786" s="9" t="s">
        <v>52</v>
      </c>
      <c r="D786" s="9" t="s">
        <v>23</v>
      </c>
      <c r="E786" s="9" t="s">
        <v>121</v>
      </c>
      <c r="F786" s="9" t="s">
        <v>66</v>
      </c>
      <c r="G786" s="9" t="s">
        <v>1927</v>
      </c>
      <c r="H786" s="9" t="s">
        <v>299</v>
      </c>
      <c r="I786" s="9" t="s">
        <v>1669</v>
      </c>
      <c r="J786" s="9" t="s">
        <v>1923</v>
      </c>
      <c r="K786" s="9" t="s">
        <v>1653</v>
      </c>
      <c r="L786" s="9" t="s">
        <v>1874</v>
      </c>
      <c r="M786" s="9" t="s">
        <v>1474</v>
      </c>
      <c r="N786" s="9" t="s">
        <v>1475</v>
      </c>
      <c r="O786" s="9" t="s">
        <v>531</v>
      </c>
      <c r="P786" s="9" t="s">
        <v>1744</v>
      </c>
      <c r="Q786" s="9" t="s">
        <v>1141</v>
      </c>
      <c r="R786" s="9" t="s">
        <v>713</v>
      </c>
      <c r="S786" s="9" t="s">
        <v>1369</v>
      </c>
      <c r="T786" s="9" t="s">
        <v>1665</v>
      </c>
      <c r="U786" s="19" t="n">
        <v>85</v>
      </c>
      <c r="V786" s="9"/>
      <c r="W786" s="9"/>
      <c r="X786" s="9" t="s">
        <v>203</v>
      </c>
      <c r="Y786" s="23" t="n">
        <v>0.021</v>
      </c>
      <c r="Z786" s="23" t="n">
        <v>0.031</v>
      </c>
      <c r="AA786" s="23" t="n">
        <v>12</v>
      </c>
      <c r="AB786" s="9" t="s">
        <v>1874</v>
      </c>
      <c r="AC786" s="9" t="s">
        <v>1916</v>
      </c>
      <c r="AD786" s="23" t="s">
        <v>197</v>
      </c>
      <c r="AE786" s="23" t="s">
        <v>197</v>
      </c>
      <c r="AF786" s="23" t="s">
        <v>197</v>
      </c>
      <c r="AG786" s="23" t="s">
        <v>197</v>
      </c>
      <c r="AH786" s="23" t="s">
        <v>197</v>
      </c>
      <c r="AI786" s="23" t="s">
        <v>197</v>
      </c>
      <c r="AJ786" s="23" t="s">
        <v>197</v>
      </c>
      <c r="AK786" s="23" t="n">
        <v>15</v>
      </c>
      <c r="AL786" s="23" t="n">
        <v>90</v>
      </c>
      <c r="AM786" s="9" t="s">
        <v>292</v>
      </c>
      <c r="AN786" s="23" t="s">
        <v>197</v>
      </c>
      <c r="AO786" s="23" t="n">
        <v>2</v>
      </c>
      <c r="AP786" s="23" t="n">
        <v>3</v>
      </c>
    </row>
    <row r="787" customFormat="false" ht="21.75" hidden="false" customHeight="true" outlineLevel="0" collapsed="false">
      <c r="B787" s="14" t="n">
        <v>783</v>
      </c>
      <c r="C787" s="7" t="s">
        <v>52</v>
      </c>
      <c r="D787" s="7" t="s">
        <v>23</v>
      </c>
      <c r="E787" s="7" t="s">
        <v>121</v>
      </c>
      <c r="F787" s="7" t="s">
        <v>66</v>
      </c>
      <c r="G787" s="7" t="s">
        <v>1928</v>
      </c>
      <c r="H787" s="7" t="s">
        <v>301</v>
      </c>
      <c r="I787" s="7" t="s">
        <v>1669</v>
      </c>
      <c r="J787" s="7" t="s">
        <v>1923</v>
      </c>
      <c r="K787" s="7" t="s">
        <v>1653</v>
      </c>
      <c r="L787" s="7" t="s">
        <v>1874</v>
      </c>
      <c r="M787" s="7" t="s">
        <v>1474</v>
      </c>
      <c r="N787" s="7" t="s">
        <v>1475</v>
      </c>
      <c r="O787" s="7" t="s">
        <v>531</v>
      </c>
      <c r="P787" s="7" t="s">
        <v>1744</v>
      </c>
      <c r="Q787" s="7" t="s">
        <v>1141</v>
      </c>
      <c r="R787" s="7" t="s">
        <v>713</v>
      </c>
      <c r="S787" s="7" t="s">
        <v>1369</v>
      </c>
      <c r="T787" s="7" t="s">
        <v>1665</v>
      </c>
      <c r="U787" s="18" t="n">
        <v>125</v>
      </c>
      <c r="V787" s="7"/>
      <c r="W787" s="7"/>
      <c r="X787" s="7" t="s">
        <v>205</v>
      </c>
      <c r="Y787" s="22" t="n">
        <v>0.016</v>
      </c>
      <c r="Z787" s="22" t="n">
        <v>0.026</v>
      </c>
      <c r="AA787" s="22" t="n">
        <v>12</v>
      </c>
      <c r="AB787" s="7" t="s">
        <v>1874</v>
      </c>
      <c r="AC787" s="7" t="s">
        <v>1916</v>
      </c>
      <c r="AD787" s="22" t="s">
        <v>197</v>
      </c>
      <c r="AE787" s="22" t="s">
        <v>197</v>
      </c>
      <c r="AF787" s="22" t="s">
        <v>197</v>
      </c>
      <c r="AG787" s="22" t="s">
        <v>197</v>
      </c>
      <c r="AH787" s="22" t="s">
        <v>197</v>
      </c>
      <c r="AI787" s="22" t="s">
        <v>197</v>
      </c>
      <c r="AJ787" s="22" t="s">
        <v>197</v>
      </c>
      <c r="AK787" s="22" t="n">
        <v>20</v>
      </c>
      <c r="AL787" s="22" t="n">
        <v>90</v>
      </c>
      <c r="AM787" s="7" t="s">
        <v>292</v>
      </c>
      <c r="AN787" s="22" t="s">
        <v>197</v>
      </c>
      <c r="AO787" s="22" t="n">
        <v>2</v>
      </c>
      <c r="AP787" s="22" t="n">
        <v>3</v>
      </c>
    </row>
    <row r="788" customFormat="false" ht="21.75" hidden="false" customHeight="true" outlineLevel="0" collapsed="false">
      <c r="B788" s="15" t="n">
        <v>784</v>
      </c>
      <c r="C788" s="9" t="s">
        <v>52</v>
      </c>
      <c r="D788" s="9" t="s">
        <v>23</v>
      </c>
      <c r="E788" s="9" t="s">
        <v>121</v>
      </c>
      <c r="F788" s="9" t="s">
        <v>67</v>
      </c>
      <c r="G788" s="9" t="s">
        <v>1929</v>
      </c>
      <c r="H788" s="9" t="s">
        <v>303</v>
      </c>
      <c r="I788" s="9" t="s">
        <v>1930</v>
      </c>
      <c r="J788" s="9" t="s">
        <v>1436</v>
      </c>
      <c r="K788" s="9" t="s">
        <v>1653</v>
      </c>
      <c r="L788" s="9" t="s">
        <v>1874</v>
      </c>
      <c r="M788" s="9" t="s">
        <v>542</v>
      </c>
      <c r="N788" s="9" t="s">
        <v>543</v>
      </c>
      <c r="O788" s="9" t="s">
        <v>189</v>
      </c>
      <c r="P788" s="9" t="s">
        <v>1744</v>
      </c>
      <c r="Q788" s="9" t="s">
        <v>1931</v>
      </c>
      <c r="R788" s="9" t="s">
        <v>545</v>
      </c>
      <c r="S788" s="9" t="s">
        <v>1369</v>
      </c>
      <c r="T788" s="9" t="s">
        <v>309</v>
      </c>
      <c r="U788" s="19" t="n">
        <v>17</v>
      </c>
      <c r="V788" s="9"/>
      <c r="W788" s="9"/>
      <c r="X788" s="9" t="s">
        <v>195</v>
      </c>
      <c r="Y788" s="23" t="n">
        <v>1.098E-005</v>
      </c>
      <c r="Z788" s="23" t="n">
        <v>2.434E-005</v>
      </c>
      <c r="AA788" s="23" t="n">
        <v>3</v>
      </c>
      <c r="AB788" s="9" t="s">
        <v>1874</v>
      </c>
      <c r="AC788" s="9" t="s">
        <v>1905</v>
      </c>
      <c r="AD788" s="23" t="s">
        <v>197</v>
      </c>
      <c r="AE788" s="23" t="s">
        <v>197</v>
      </c>
      <c r="AF788" s="23" t="s">
        <v>197</v>
      </c>
      <c r="AG788" s="23" t="s">
        <v>197</v>
      </c>
      <c r="AH788" s="23" t="s">
        <v>197</v>
      </c>
      <c r="AI788" s="23" t="s">
        <v>197</v>
      </c>
      <c r="AJ788" s="23" t="s">
        <v>197</v>
      </c>
      <c r="AK788" s="23" t="s">
        <v>197</v>
      </c>
      <c r="AL788" s="23" t="s">
        <v>197</v>
      </c>
      <c r="AM788" s="9" t="s">
        <v>310</v>
      </c>
      <c r="AN788" s="23" t="s">
        <v>197</v>
      </c>
      <c r="AO788" s="23" t="s">
        <v>197</v>
      </c>
      <c r="AP788" s="23" t="s">
        <v>197</v>
      </c>
    </row>
    <row r="789" customFormat="false" ht="21.75" hidden="false" customHeight="true" outlineLevel="0" collapsed="false">
      <c r="B789" s="14" t="n">
        <v>785</v>
      </c>
      <c r="C789" s="7" t="s">
        <v>52</v>
      </c>
      <c r="D789" s="7" t="s">
        <v>23</v>
      </c>
      <c r="E789" s="7" t="s">
        <v>121</v>
      </c>
      <c r="F789" s="7" t="s">
        <v>67</v>
      </c>
      <c r="G789" s="7" t="s">
        <v>1932</v>
      </c>
      <c r="H789" s="7" t="s">
        <v>312</v>
      </c>
      <c r="I789" s="7" t="s">
        <v>1930</v>
      </c>
      <c r="J789" s="7" t="s">
        <v>1436</v>
      </c>
      <c r="K789" s="7" t="s">
        <v>1653</v>
      </c>
      <c r="L789" s="7" t="s">
        <v>1874</v>
      </c>
      <c r="M789" s="7" t="s">
        <v>542</v>
      </c>
      <c r="N789" s="7" t="s">
        <v>543</v>
      </c>
      <c r="O789" s="7" t="s">
        <v>189</v>
      </c>
      <c r="P789" s="7" t="s">
        <v>1744</v>
      </c>
      <c r="Q789" s="7" t="s">
        <v>1931</v>
      </c>
      <c r="R789" s="7" t="s">
        <v>545</v>
      </c>
      <c r="S789" s="7" t="s">
        <v>1369</v>
      </c>
      <c r="T789" s="7" t="s">
        <v>309</v>
      </c>
      <c r="U789" s="18" t="n">
        <v>25</v>
      </c>
      <c r="V789" s="7"/>
      <c r="W789" s="7"/>
      <c r="X789" s="7" t="s">
        <v>199</v>
      </c>
      <c r="Y789" s="22" t="n">
        <v>8.32E-006</v>
      </c>
      <c r="Z789" s="22" t="n">
        <v>1.934E-005</v>
      </c>
      <c r="AA789" s="22" t="n">
        <v>3</v>
      </c>
      <c r="AB789" s="7" t="s">
        <v>1874</v>
      </c>
      <c r="AC789" s="7" t="s">
        <v>1905</v>
      </c>
      <c r="AD789" s="22" t="s">
        <v>197</v>
      </c>
      <c r="AE789" s="22" t="s">
        <v>197</v>
      </c>
      <c r="AF789" s="22" t="s">
        <v>197</v>
      </c>
      <c r="AG789" s="22" t="s">
        <v>197</v>
      </c>
      <c r="AH789" s="22" t="s">
        <v>197</v>
      </c>
      <c r="AI789" s="22" t="s">
        <v>197</v>
      </c>
      <c r="AJ789" s="22" t="s">
        <v>197</v>
      </c>
      <c r="AK789" s="22" t="s">
        <v>197</v>
      </c>
      <c r="AL789" s="22" t="s">
        <v>197</v>
      </c>
      <c r="AM789" s="7" t="s">
        <v>310</v>
      </c>
      <c r="AN789" s="22" t="s">
        <v>197</v>
      </c>
      <c r="AO789" s="22" t="s">
        <v>197</v>
      </c>
      <c r="AP789" s="22" t="s">
        <v>197</v>
      </c>
    </row>
    <row r="790" customFormat="false" ht="21.75" hidden="false" customHeight="true" outlineLevel="0" collapsed="false">
      <c r="B790" s="15" t="n">
        <v>786</v>
      </c>
      <c r="C790" s="9" t="s">
        <v>52</v>
      </c>
      <c r="D790" s="9" t="s">
        <v>23</v>
      </c>
      <c r="E790" s="9" t="s">
        <v>121</v>
      </c>
      <c r="F790" s="9" t="s">
        <v>67</v>
      </c>
      <c r="G790" s="9" t="s">
        <v>1933</v>
      </c>
      <c r="H790" s="9" t="s">
        <v>314</v>
      </c>
      <c r="I790" s="9" t="s">
        <v>1930</v>
      </c>
      <c r="J790" s="9" t="s">
        <v>1436</v>
      </c>
      <c r="K790" s="9" t="s">
        <v>1653</v>
      </c>
      <c r="L790" s="9" t="s">
        <v>1874</v>
      </c>
      <c r="M790" s="9" t="s">
        <v>542</v>
      </c>
      <c r="N790" s="9" t="s">
        <v>543</v>
      </c>
      <c r="O790" s="9" t="s">
        <v>189</v>
      </c>
      <c r="P790" s="9" t="s">
        <v>1744</v>
      </c>
      <c r="Q790" s="9" t="s">
        <v>1931</v>
      </c>
      <c r="R790" s="9" t="s">
        <v>545</v>
      </c>
      <c r="S790" s="9" t="s">
        <v>1369</v>
      </c>
      <c r="T790" s="9" t="s">
        <v>309</v>
      </c>
      <c r="U790" s="19" t="n">
        <v>30</v>
      </c>
      <c r="V790" s="9"/>
      <c r="W790" s="9"/>
      <c r="X790" s="9" t="s">
        <v>728</v>
      </c>
      <c r="Y790" s="23" t="n">
        <v>6.4E-006</v>
      </c>
      <c r="Z790" s="23" t="n">
        <v>1.575E-005</v>
      </c>
      <c r="AA790" s="23" t="n">
        <v>3</v>
      </c>
      <c r="AB790" s="9" t="s">
        <v>1874</v>
      </c>
      <c r="AC790" s="9" t="s">
        <v>1905</v>
      </c>
      <c r="AD790" s="23" t="s">
        <v>197</v>
      </c>
      <c r="AE790" s="23" t="s">
        <v>197</v>
      </c>
      <c r="AF790" s="23" t="s">
        <v>197</v>
      </c>
      <c r="AG790" s="23" t="s">
        <v>197</v>
      </c>
      <c r="AH790" s="23" t="s">
        <v>197</v>
      </c>
      <c r="AI790" s="23" t="s">
        <v>197</v>
      </c>
      <c r="AJ790" s="23" t="s">
        <v>197</v>
      </c>
      <c r="AK790" s="23" t="s">
        <v>197</v>
      </c>
      <c r="AL790" s="23" t="s">
        <v>197</v>
      </c>
      <c r="AM790" s="9" t="s">
        <v>310</v>
      </c>
      <c r="AN790" s="23" t="s">
        <v>197</v>
      </c>
      <c r="AO790" s="23" t="s">
        <v>197</v>
      </c>
      <c r="AP790" s="23" t="s">
        <v>197</v>
      </c>
    </row>
    <row r="791" customFormat="false" ht="21.75" hidden="false" customHeight="true" outlineLevel="0" collapsed="false">
      <c r="B791" s="14" t="n">
        <v>787</v>
      </c>
      <c r="C791" s="7" t="s">
        <v>52</v>
      </c>
      <c r="D791" s="7" t="s">
        <v>23</v>
      </c>
      <c r="E791" s="7" t="s">
        <v>121</v>
      </c>
      <c r="F791" s="7" t="s">
        <v>67</v>
      </c>
      <c r="G791" s="7" t="s">
        <v>1934</v>
      </c>
      <c r="H791" s="7" t="s">
        <v>317</v>
      </c>
      <c r="I791" s="7" t="s">
        <v>1930</v>
      </c>
      <c r="J791" s="7" t="s">
        <v>1436</v>
      </c>
      <c r="K791" s="7" t="s">
        <v>1653</v>
      </c>
      <c r="L791" s="7" t="s">
        <v>1874</v>
      </c>
      <c r="M791" s="7" t="s">
        <v>542</v>
      </c>
      <c r="N791" s="7" t="s">
        <v>543</v>
      </c>
      <c r="O791" s="7" t="s">
        <v>189</v>
      </c>
      <c r="P791" s="7" t="s">
        <v>1744</v>
      </c>
      <c r="Q791" s="7" t="s">
        <v>1931</v>
      </c>
      <c r="R791" s="7" t="s">
        <v>545</v>
      </c>
      <c r="S791" s="7" t="s">
        <v>1369</v>
      </c>
      <c r="T791" s="7" t="s">
        <v>309</v>
      </c>
      <c r="U791" s="18" t="n">
        <v>50</v>
      </c>
      <c r="V791" s="7"/>
      <c r="W791" s="7"/>
      <c r="X791" s="7" t="s">
        <v>203</v>
      </c>
      <c r="Y791" s="22" t="n">
        <v>9.88E-006</v>
      </c>
      <c r="Z791" s="22" t="n">
        <v>2.227E-005</v>
      </c>
      <c r="AA791" s="22" t="n">
        <v>3</v>
      </c>
      <c r="AB791" s="7" t="s">
        <v>1874</v>
      </c>
      <c r="AC791" s="7" t="s">
        <v>1905</v>
      </c>
      <c r="AD791" s="22" t="s">
        <v>197</v>
      </c>
      <c r="AE791" s="22" t="s">
        <v>197</v>
      </c>
      <c r="AF791" s="22" t="s">
        <v>197</v>
      </c>
      <c r="AG791" s="22" t="s">
        <v>197</v>
      </c>
      <c r="AH791" s="22" t="s">
        <v>197</v>
      </c>
      <c r="AI791" s="22" t="s">
        <v>197</v>
      </c>
      <c r="AJ791" s="22" t="s">
        <v>197</v>
      </c>
      <c r="AK791" s="22" t="s">
        <v>197</v>
      </c>
      <c r="AL791" s="22" t="s">
        <v>197</v>
      </c>
      <c r="AM791" s="7" t="s">
        <v>310</v>
      </c>
      <c r="AN791" s="22" t="s">
        <v>197</v>
      </c>
      <c r="AO791" s="22" t="s">
        <v>197</v>
      </c>
      <c r="AP791" s="22" t="s">
        <v>197</v>
      </c>
    </row>
    <row r="792" customFormat="false" ht="21.75" hidden="false" customHeight="true" outlineLevel="0" collapsed="false">
      <c r="B792" s="15" t="n">
        <v>788</v>
      </c>
      <c r="C792" s="9" t="s">
        <v>52</v>
      </c>
      <c r="D792" s="9" t="s">
        <v>23</v>
      </c>
      <c r="E792" s="9" t="s">
        <v>121</v>
      </c>
      <c r="F792" s="9" t="s">
        <v>67</v>
      </c>
      <c r="G792" s="9" t="s">
        <v>1935</v>
      </c>
      <c r="H792" s="9" t="s">
        <v>319</v>
      </c>
      <c r="I792" s="9" t="s">
        <v>1930</v>
      </c>
      <c r="J792" s="9" t="s">
        <v>1436</v>
      </c>
      <c r="K792" s="9" t="s">
        <v>1653</v>
      </c>
      <c r="L792" s="9" t="s">
        <v>1874</v>
      </c>
      <c r="M792" s="9" t="s">
        <v>542</v>
      </c>
      <c r="N792" s="9" t="s">
        <v>543</v>
      </c>
      <c r="O792" s="9" t="s">
        <v>189</v>
      </c>
      <c r="P792" s="9" t="s">
        <v>1744</v>
      </c>
      <c r="Q792" s="9" t="s">
        <v>1931</v>
      </c>
      <c r="R792" s="9" t="s">
        <v>545</v>
      </c>
      <c r="S792" s="9" t="s">
        <v>1369</v>
      </c>
      <c r="T792" s="9" t="s">
        <v>309</v>
      </c>
      <c r="U792" s="19" t="n">
        <v>70</v>
      </c>
      <c r="V792" s="9"/>
      <c r="W792" s="9"/>
      <c r="X792" s="9" t="s">
        <v>205</v>
      </c>
      <c r="Y792" s="23" t="n">
        <v>0</v>
      </c>
      <c r="Z792" s="23" t="n">
        <v>0</v>
      </c>
      <c r="AA792" s="23" t="s">
        <v>197</v>
      </c>
      <c r="AB792" s="9" t="s">
        <v>1874</v>
      </c>
      <c r="AC792" s="9" t="s">
        <v>1905</v>
      </c>
      <c r="AD792" s="23" t="s">
        <v>197</v>
      </c>
      <c r="AE792" s="23" t="s">
        <v>197</v>
      </c>
      <c r="AF792" s="23" t="s">
        <v>197</v>
      </c>
      <c r="AG792" s="23" t="s">
        <v>197</v>
      </c>
      <c r="AH792" s="23" t="s">
        <v>197</v>
      </c>
      <c r="AI792" s="23" t="s">
        <v>197</v>
      </c>
      <c r="AJ792" s="23" t="s">
        <v>197</v>
      </c>
      <c r="AK792" s="23" t="s">
        <v>197</v>
      </c>
      <c r="AL792" s="23" t="s">
        <v>197</v>
      </c>
      <c r="AM792" s="9" t="s">
        <v>310</v>
      </c>
      <c r="AN792" s="23" t="s">
        <v>197</v>
      </c>
      <c r="AO792" s="23" t="s">
        <v>197</v>
      </c>
      <c r="AP792" s="23" t="s">
        <v>197</v>
      </c>
    </row>
    <row r="793" customFormat="false" ht="21.75" hidden="false" customHeight="true" outlineLevel="0" collapsed="false">
      <c r="B793" s="14" t="n">
        <v>789</v>
      </c>
      <c r="C793" s="7" t="s">
        <v>52</v>
      </c>
      <c r="D793" s="7" t="s">
        <v>23</v>
      </c>
      <c r="E793" s="7" t="s">
        <v>121</v>
      </c>
      <c r="F793" s="7" t="s">
        <v>68</v>
      </c>
      <c r="G793" s="7" t="s">
        <v>391</v>
      </c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18"/>
      <c r="V793" s="7"/>
      <c r="W793" s="7"/>
      <c r="X793" s="7" t="s">
        <v>1936</v>
      </c>
      <c r="Y793" s="22" t="s">
        <v>197</v>
      </c>
      <c r="Z793" s="22" t="s">
        <v>197</v>
      </c>
      <c r="AA793" s="22" t="s">
        <v>197</v>
      </c>
      <c r="AB793" s="7" t="s">
        <v>197</v>
      </c>
      <c r="AC793" s="7" t="s">
        <v>197</v>
      </c>
      <c r="AD793" s="22" t="s">
        <v>197</v>
      </c>
      <c r="AE793" s="22" t="s">
        <v>197</v>
      </c>
      <c r="AF793" s="22" t="s">
        <v>197</v>
      </c>
      <c r="AG793" s="22" t="s">
        <v>197</v>
      </c>
      <c r="AH793" s="22" t="s">
        <v>197</v>
      </c>
      <c r="AI793" s="22" t="s">
        <v>197</v>
      </c>
      <c r="AJ793" s="22" t="s">
        <v>197</v>
      </c>
      <c r="AK793" s="22" t="s">
        <v>197</v>
      </c>
      <c r="AL793" s="22" t="s">
        <v>197</v>
      </c>
      <c r="AM793" s="7" t="s">
        <v>197</v>
      </c>
      <c r="AN793" s="22" t="s">
        <v>197</v>
      </c>
      <c r="AO793" s="22" t="s">
        <v>197</v>
      </c>
      <c r="AP793" s="22" t="s">
        <v>197</v>
      </c>
    </row>
    <row r="794" customFormat="false" ht="21.75" hidden="false" customHeight="true" outlineLevel="0" collapsed="false">
      <c r="B794" s="15" t="n">
        <v>790</v>
      </c>
      <c r="C794" s="9" t="s">
        <v>52</v>
      </c>
      <c r="D794" s="9" t="s">
        <v>23</v>
      </c>
      <c r="E794" s="9" t="s">
        <v>121</v>
      </c>
      <c r="F794" s="9" t="s">
        <v>69</v>
      </c>
      <c r="G794" s="9" t="s">
        <v>1937</v>
      </c>
      <c r="H794" s="9" t="s">
        <v>339</v>
      </c>
      <c r="I794" s="9" t="s">
        <v>1938</v>
      </c>
      <c r="J794" s="9" t="s">
        <v>1691</v>
      </c>
      <c r="K794" s="9" t="s">
        <v>342</v>
      </c>
      <c r="L794" s="9" t="s">
        <v>1874</v>
      </c>
      <c r="M794" s="9" t="s">
        <v>1824</v>
      </c>
      <c r="N794" s="9" t="s">
        <v>566</v>
      </c>
      <c r="O794" s="9" t="s">
        <v>345</v>
      </c>
      <c r="P794" s="9" t="s">
        <v>1744</v>
      </c>
      <c r="Q794" s="9" t="s">
        <v>1939</v>
      </c>
      <c r="R794" s="9" t="s">
        <v>1447</v>
      </c>
      <c r="S794" s="9" t="s">
        <v>1369</v>
      </c>
      <c r="T794" s="9" t="s">
        <v>348</v>
      </c>
      <c r="U794" s="19" t="n">
        <v>25</v>
      </c>
      <c r="V794" s="9"/>
      <c r="W794" s="9"/>
      <c r="X794" s="9" t="s">
        <v>195</v>
      </c>
      <c r="Y794" s="23" t="n">
        <v>0.011</v>
      </c>
      <c r="Z794" s="23" t="n">
        <v>0.487</v>
      </c>
      <c r="AA794" s="23" t="n">
        <v>12</v>
      </c>
      <c r="AB794" s="9" t="s">
        <v>1874</v>
      </c>
      <c r="AC794" s="9" t="s">
        <v>1905</v>
      </c>
      <c r="AD794" s="23" t="s">
        <v>197</v>
      </c>
      <c r="AE794" s="23" t="s">
        <v>197</v>
      </c>
      <c r="AF794" s="23" t="s">
        <v>197</v>
      </c>
      <c r="AG794" s="23" t="s">
        <v>197</v>
      </c>
      <c r="AH794" s="23" t="s">
        <v>197</v>
      </c>
      <c r="AI794" s="23" t="s">
        <v>197</v>
      </c>
      <c r="AJ794" s="23" t="s">
        <v>197</v>
      </c>
      <c r="AK794" s="23" t="s">
        <v>197</v>
      </c>
      <c r="AL794" s="23" t="s">
        <v>197</v>
      </c>
      <c r="AM794" s="9" t="s">
        <v>197</v>
      </c>
      <c r="AN794" s="23" t="n">
        <v>23.4</v>
      </c>
      <c r="AO794" s="23" t="n">
        <v>2.5</v>
      </c>
      <c r="AP794" s="23" t="n">
        <v>4.5</v>
      </c>
    </row>
    <row r="795" customFormat="false" ht="21.75" hidden="false" customHeight="true" outlineLevel="0" collapsed="false">
      <c r="B795" s="14" t="n">
        <v>791</v>
      </c>
      <c r="C795" s="7" t="s">
        <v>52</v>
      </c>
      <c r="D795" s="7" t="s">
        <v>23</v>
      </c>
      <c r="E795" s="7" t="s">
        <v>121</v>
      </c>
      <c r="F795" s="7" t="s">
        <v>69</v>
      </c>
      <c r="G795" s="7" t="s">
        <v>1940</v>
      </c>
      <c r="H795" s="7" t="s">
        <v>350</v>
      </c>
      <c r="I795" s="7" t="s">
        <v>1938</v>
      </c>
      <c r="J795" s="7" t="s">
        <v>1691</v>
      </c>
      <c r="K795" s="7" t="s">
        <v>342</v>
      </c>
      <c r="L795" s="7" t="s">
        <v>1874</v>
      </c>
      <c r="M795" s="7" t="s">
        <v>1824</v>
      </c>
      <c r="N795" s="7" t="s">
        <v>566</v>
      </c>
      <c r="O795" s="7" t="s">
        <v>345</v>
      </c>
      <c r="P795" s="7" t="s">
        <v>1744</v>
      </c>
      <c r="Q795" s="7" t="s">
        <v>1939</v>
      </c>
      <c r="R795" s="7" t="s">
        <v>1447</v>
      </c>
      <c r="S795" s="7" t="s">
        <v>1369</v>
      </c>
      <c r="T795" s="7" t="s">
        <v>348</v>
      </c>
      <c r="U795" s="18" t="n">
        <v>40</v>
      </c>
      <c r="V795" s="7"/>
      <c r="W795" s="7"/>
      <c r="X795" s="7" t="s">
        <v>199</v>
      </c>
      <c r="Y795" s="22" t="n">
        <v>0.01</v>
      </c>
      <c r="Z795" s="22" t="n">
        <v>0.473</v>
      </c>
      <c r="AA795" s="22" t="n">
        <v>12</v>
      </c>
      <c r="AB795" s="7" t="s">
        <v>1874</v>
      </c>
      <c r="AC795" s="7" t="s">
        <v>1905</v>
      </c>
      <c r="AD795" s="22" t="s">
        <v>197</v>
      </c>
      <c r="AE795" s="22" t="s">
        <v>197</v>
      </c>
      <c r="AF795" s="22" t="s">
        <v>197</v>
      </c>
      <c r="AG795" s="22" t="s">
        <v>197</v>
      </c>
      <c r="AH795" s="22" t="s">
        <v>197</v>
      </c>
      <c r="AI795" s="22" t="s">
        <v>197</v>
      </c>
      <c r="AJ795" s="22" t="s">
        <v>197</v>
      </c>
      <c r="AK795" s="22" t="s">
        <v>197</v>
      </c>
      <c r="AL795" s="22" t="s">
        <v>197</v>
      </c>
      <c r="AM795" s="7" t="s">
        <v>197</v>
      </c>
      <c r="AN795" s="22" t="n">
        <v>22.8</v>
      </c>
      <c r="AO795" s="22" t="n">
        <v>2.5</v>
      </c>
      <c r="AP795" s="22" t="n">
        <v>4.5</v>
      </c>
    </row>
    <row r="796" customFormat="false" ht="21.75" hidden="false" customHeight="true" outlineLevel="0" collapsed="false">
      <c r="B796" s="15" t="n">
        <v>792</v>
      </c>
      <c r="C796" s="9" t="s">
        <v>52</v>
      </c>
      <c r="D796" s="9" t="s">
        <v>23</v>
      </c>
      <c r="E796" s="9" t="s">
        <v>121</v>
      </c>
      <c r="F796" s="9" t="s">
        <v>69</v>
      </c>
      <c r="G796" s="9" t="s">
        <v>1941</v>
      </c>
      <c r="H796" s="9" t="s">
        <v>352</v>
      </c>
      <c r="I796" s="9" t="s">
        <v>1938</v>
      </c>
      <c r="J796" s="9" t="s">
        <v>1691</v>
      </c>
      <c r="K796" s="9" t="s">
        <v>342</v>
      </c>
      <c r="L796" s="9" t="s">
        <v>1874</v>
      </c>
      <c r="M796" s="9" t="s">
        <v>1824</v>
      </c>
      <c r="N796" s="9" t="s">
        <v>566</v>
      </c>
      <c r="O796" s="9" t="s">
        <v>345</v>
      </c>
      <c r="P796" s="9" t="s">
        <v>1744</v>
      </c>
      <c r="Q796" s="9" t="s">
        <v>1939</v>
      </c>
      <c r="R796" s="9" t="s">
        <v>1447</v>
      </c>
      <c r="S796" s="9" t="s">
        <v>1369</v>
      </c>
      <c r="T796" s="9" t="s">
        <v>348</v>
      </c>
      <c r="U796" s="19" t="n">
        <v>55</v>
      </c>
      <c r="V796" s="9"/>
      <c r="W796" s="9"/>
      <c r="X796" s="9" t="s">
        <v>1942</v>
      </c>
      <c r="Y796" s="23" t="n">
        <v>0.014</v>
      </c>
      <c r="Z796" s="23" t="n">
        <v>0.63</v>
      </c>
      <c r="AA796" s="23" t="n">
        <v>12</v>
      </c>
      <c r="AB796" s="9" t="s">
        <v>1874</v>
      </c>
      <c r="AC796" s="9" t="s">
        <v>1905</v>
      </c>
      <c r="AD796" s="23" t="s">
        <v>197</v>
      </c>
      <c r="AE796" s="23" t="s">
        <v>197</v>
      </c>
      <c r="AF796" s="23" t="s">
        <v>197</v>
      </c>
      <c r="AG796" s="23" t="s">
        <v>197</v>
      </c>
      <c r="AH796" s="23" t="s">
        <v>197</v>
      </c>
      <c r="AI796" s="23" t="s">
        <v>197</v>
      </c>
      <c r="AJ796" s="23" t="s">
        <v>197</v>
      </c>
      <c r="AK796" s="23" t="s">
        <v>197</v>
      </c>
      <c r="AL796" s="23" t="s">
        <v>197</v>
      </c>
      <c r="AM796" s="9" t="s">
        <v>197</v>
      </c>
      <c r="AN796" s="23" t="n">
        <v>29.2</v>
      </c>
      <c r="AO796" s="23" t="n">
        <v>2.5</v>
      </c>
      <c r="AP796" s="23" t="n">
        <v>4.5</v>
      </c>
    </row>
    <row r="797" customFormat="false" ht="21.75" hidden="false" customHeight="true" outlineLevel="0" collapsed="false">
      <c r="B797" s="14" t="n">
        <v>793</v>
      </c>
      <c r="C797" s="7" t="s">
        <v>52</v>
      </c>
      <c r="D797" s="7" t="s">
        <v>23</v>
      </c>
      <c r="E797" s="7" t="s">
        <v>121</v>
      </c>
      <c r="F797" s="7" t="s">
        <v>69</v>
      </c>
      <c r="G797" s="7" t="s">
        <v>1943</v>
      </c>
      <c r="H797" s="7" t="s">
        <v>355</v>
      </c>
      <c r="I797" s="7" t="s">
        <v>1938</v>
      </c>
      <c r="J797" s="7" t="s">
        <v>1691</v>
      </c>
      <c r="K797" s="7" t="s">
        <v>342</v>
      </c>
      <c r="L797" s="7" t="s">
        <v>1874</v>
      </c>
      <c r="M797" s="7" t="s">
        <v>1824</v>
      </c>
      <c r="N797" s="7" t="s">
        <v>566</v>
      </c>
      <c r="O797" s="7" t="s">
        <v>345</v>
      </c>
      <c r="P797" s="7" t="s">
        <v>1744</v>
      </c>
      <c r="Q797" s="7" t="s">
        <v>1939</v>
      </c>
      <c r="R797" s="7" t="s">
        <v>1447</v>
      </c>
      <c r="S797" s="7" t="s">
        <v>1369</v>
      </c>
      <c r="T797" s="7" t="s">
        <v>348</v>
      </c>
      <c r="U797" s="18" t="n">
        <v>80</v>
      </c>
      <c r="V797" s="7"/>
      <c r="W797" s="7"/>
      <c r="X797" s="7" t="s">
        <v>203</v>
      </c>
      <c r="Y797" s="22" t="n">
        <v>0.013</v>
      </c>
      <c r="Z797" s="22" t="n">
        <v>0.587</v>
      </c>
      <c r="AA797" s="22" t="n">
        <v>12</v>
      </c>
      <c r="AB797" s="7" t="s">
        <v>1874</v>
      </c>
      <c r="AC797" s="7" t="s">
        <v>1905</v>
      </c>
      <c r="AD797" s="22" t="s">
        <v>197</v>
      </c>
      <c r="AE797" s="22" t="s">
        <v>197</v>
      </c>
      <c r="AF797" s="22" t="s">
        <v>197</v>
      </c>
      <c r="AG797" s="22" t="s">
        <v>197</v>
      </c>
      <c r="AH797" s="22" t="s">
        <v>197</v>
      </c>
      <c r="AI797" s="22" t="s">
        <v>197</v>
      </c>
      <c r="AJ797" s="22" t="s">
        <v>197</v>
      </c>
      <c r="AK797" s="22" t="s">
        <v>197</v>
      </c>
      <c r="AL797" s="22" t="s">
        <v>197</v>
      </c>
      <c r="AM797" s="7" t="s">
        <v>197</v>
      </c>
      <c r="AN797" s="22" t="n">
        <v>27.4</v>
      </c>
      <c r="AO797" s="22" t="n">
        <v>2.5</v>
      </c>
      <c r="AP797" s="22" t="n">
        <v>4.5</v>
      </c>
    </row>
    <row r="798" customFormat="false" ht="21.75" hidden="false" customHeight="true" outlineLevel="0" collapsed="false">
      <c r="B798" s="15" t="n">
        <v>794</v>
      </c>
      <c r="C798" s="9" t="s">
        <v>52</v>
      </c>
      <c r="D798" s="9" t="s">
        <v>23</v>
      </c>
      <c r="E798" s="9" t="s">
        <v>121</v>
      </c>
      <c r="F798" s="9" t="s">
        <v>69</v>
      </c>
      <c r="G798" s="9" t="s">
        <v>1944</v>
      </c>
      <c r="H798" s="9" t="s">
        <v>357</v>
      </c>
      <c r="I798" s="9" t="s">
        <v>1938</v>
      </c>
      <c r="J798" s="9" t="s">
        <v>1691</v>
      </c>
      <c r="K798" s="9" t="s">
        <v>342</v>
      </c>
      <c r="L798" s="9" t="s">
        <v>1874</v>
      </c>
      <c r="M798" s="9" t="s">
        <v>1824</v>
      </c>
      <c r="N798" s="9" t="s">
        <v>566</v>
      </c>
      <c r="O798" s="9" t="s">
        <v>345</v>
      </c>
      <c r="P798" s="9" t="s">
        <v>1744</v>
      </c>
      <c r="Q798" s="9" t="s">
        <v>1939</v>
      </c>
      <c r="R798" s="9" t="s">
        <v>1447</v>
      </c>
      <c r="S798" s="9" t="s">
        <v>1369</v>
      </c>
      <c r="T798" s="9" t="s">
        <v>348</v>
      </c>
      <c r="U798" s="19" t="n">
        <v>120</v>
      </c>
      <c r="V798" s="9"/>
      <c r="W798" s="9"/>
      <c r="X798" s="9" t="s">
        <v>205</v>
      </c>
      <c r="Y798" s="23" t="n">
        <v>0.005</v>
      </c>
      <c r="Z798" s="23" t="n">
        <v>0.292</v>
      </c>
      <c r="AA798" s="23" t="n">
        <v>12</v>
      </c>
      <c r="AB798" s="9" t="s">
        <v>1874</v>
      </c>
      <c r="AC798" s="9" t="s">
        <v>1905</v>
      </c>
      <c r="AD798" s="23" t="s">
        <v>197</v>
      </c>
      <c r="AE798" s="23" t="s">
        <v>197</v>
      </c>
      <c r="AF798" s="23" t="s">
        <v>197</v>
      </c>
      <c r="AG798" s="23" t="s">
        <v>197</v>
      </c>
      <c r="AH798" s="23" t="s">
        <v>197</v>
      </c>
      <c r="AI798" s="23" t="s">
        <v>197</v>
      </c>
      <c r="AJ798" s="23" t="s">
        <v>197</v>
      </c>
      <c r="AK798" s="23" t="s">
        <v>197</v>
      </c>
      <c r="AL798" s="23" t="s">
        <v>197</v>
      </c>
      <c r="AM798" s="9" t="s">
        <v>197</v>
      </c>
      <c r="AN798" s="23" t="n">
        <v>15.5</v>
      </c>
      <c r="AO798" s="23" t="n">
        <v>2.5</v>
      </c>
      <c r="AP798" s="23" t="n">
        <v>4.5</v>
      </c>
    </row>
    <row r="799" customFormat="false" ht="21.75" hidden="false" customHeight="true" outlineLevel="0" collapsed="false">
      <c r="B799" s="14" t="n">
        <v>795</v>
      </c>
      <c r="C799" s="7" t="s">
        <v>52</v>
      </c>
      <c r="D799" s="7" t="s">
        <v>23</v>
      </c>
      <c r="E799" s="7" t="s">
        <v>121</v>
      </c>
      <c r="F799" s="7" t="s">
        <v>70</v>
      </c>
      <c r="G799" s="7" t="s">
        <v>391</v>
      </c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18"/>
      <c r="V799" s="7"/>
      <c r="W799" s="7"/>
      <c r="X799" s="7" t="s">
        <v>1945</v>
      </c>
      <c r="Y799" s="22" t="s">
        <v>197</v>
      </c>
      <c r="Z799" s="22" t="s">
        <v>197</v>
      </c>
      <c r="AA799" s="22" t="s">
        <v>197</v>
      </c>
      <c r="AB799" s="7" t="s">
        <v>197</v>
      </c>
      <c r="AC799" s="7" t="s">
        <v>197</v>
      </c>
      <c r="AD799" s="22" t="s">
        <v>197</v>
      </c>
      <c r="AE799" s="22" t="s">
        <v>197</v>
      </c>
      <c r="AF799" s="22" t="s">
        <v>197</v>
      </c>
      <c r="AG799" s="22" t="s">
        <v>197</v>
      </c>
      <c r="AH799" s="22" t="s">
        <v>197</v>
      </c>
      <c r="AI799" s="22" t="s">
        <v>197</v>
      </c>
      <c r="AJ799" s="22" t="s">
        <v>197</v>
      </c>
      <c r="AK799" s="22" t="s">
        <v>197</v>
      </c>
      <c r="AL799" s="22" t="s">
        <v>197</v>
      </c>
      <c r="AM799" s="7" t="s">
        <v>197</v>
      </c>
      <c r="AN799" s="22" t="s">
        <v>197</v>
      </c>
      <c r="AO799" s="22" t="s">
        <v>197</v>
      </c>
      <c r="AP799" s="22" t="s">
        <v>197</v>
      </c>
    </row>
    <row r="800" customFormat="false" ht="21.75" hidden="false" customHeight="true" outlineLevel="0" collapsed="false">
      <c r="B800" s="15" t="n">
        <v>796</v>
      </c>
      <c r="C800" s="9" t="s">
        <v>52</v>
      </c>
      <c r="D800" s="9" t="s">
        <v>23</v>
      </c>
      <c r="E800" s="9" t="s">
        <v>121</v>
      </c>
      <c r="F800" s="9" t="s">
        <v>71</v>
      </c>
      <c r="G800" s="9" t="s">
        <v>1946</v>
      </c>
      <c r="H800" s="9" t="s">
        <v>374</v>
      </c>
      <c r="I800" s="9" t="s">
        <v>1947</v>
      </c>
      <c r="J800" s="9" t="s">
        <v>1948</v>
      </c>
      <c r="K800" s="9" t="s">
        <v>1331</v>
      </c>
      <c r="L800" s="9" t="s">
        <v>1874</v>
      </c>
      <c r="M800" s="9" t="s">
        <v>235</v>
      </c>
      <c r="N800" s="9" t="s">
        <v>1188</v>
      </c>
      <c r="O800" s="9" t="s">
        <v>189</v>
      </c>
      <c r="P800" s="9" t="s">
        <v>1744</v>
      </c>
      <c r="Q800" s="9" t="s">
        <v>1949</v>
      </c>
      <c r="R800" s="9" t="s">
        <v>1950</v>
      </c>
      <c r="S800" s="9" t="s">
        <v>1369</v>
      </c>
      <c r="T800" s="9" t="s">
        <v>1594</v>
      </c>
      <c r="U800" s="19" t="n">
        <v>45</v>
      </c>
      <c r="V800" s="9"/>
      <c r="W800" s="9"/>
      <c r="X800" s="9" t="s">
        <v>195</v>
      </c>
      <c r="Y800" s="23" t="n">
        <v>0.097</v>
      </c>
      <c r="Z800" s="23" t="n">
        <v>0.343</v>
      </c>
      <c r="AA800" s="23" t="n">
        <v>12</v>
      </c>
      <c r="AB800" s="9" t="s">
        <v>1874</v>
      </c>
      <c r="AC800" s="9" t="s">
        <v>1896</v>
      </c>
      <c r="AD800" s="23" t="s">
        <v>197</v>
      </c>
      <c r="AE800" s="23" t="s">
        <v>197</v>
      </c>
      <c r="AF800" s="23" t="s">
        <v>197</v>
      </c>
      <c r="AG800" s="23" t="s">
        <v>197</v>
      </c>
      <c r="AH800" s="23" t="s">
        <v>197</v>
      </c>
      <c r="AI800" s="23" t="s">
        <v>197</v>
      </c>
      <c r="AJ800" s="23" t="s">
        <v>197</v>
      </c>
      <c r="AK800" s="23" t="s">
        <v>197</v>
      </c>
      <c r="AL800" s="23" t="s">
        <v>197</v>
      </c>
      <c r="AM800" s="9" t="s">
        <v>197</v>
      </c>
      <c r="AN800" s="23" t="s">
        <v>197</v>
      </c>
      <c r="AO800" s="23" t="s">
        <v>197</v>
      </c>
      <c r="AP800" s="23" t="s">
        <v>197</v>
      </c>
    </row>
    <row r="801" customFormat="false" ht="21.75" hidden="false" customHeight="true" outlineLevel="0" collapsed="false">
      <c r="B801" s="14" t="n">
        <v>797</v>
      </c>
      <c r="C801" s="7" t="s">
        <v>52</v>
      </c>
      <c r="D801" s="7" t="s">
        <v>23</v>
      </c>
      <c r="E801" s="7" t="s">
        <v>121</v>
      </c>
      <c r="F801" s="7" t="s">
        <v>71</v>
      </c>
      <c r="G801" s="7" t="s">
        <v>1951</v>
      </c>
      <c r="H801" s="7" t="s">
        <v>383</v>
      </c>
      <c r="I801" s="7" t="s">
        <v>1947</v>
      </c>
      <c r="J801" s="7" t="s">
        <v>1948</v>
      </c>
      <c r="K801" s="7" t="s">
        <v>1331</v>
      </c>
      <c r="L801" s="7" t="s">
        <v>1874</v>
      </c>
      <c r="M801" s="7" t="s">
        <v>235</v>
      </c>
      <c r="N801" s="7" t="s">
        <v>1188</v>
      </c>
      <c r="O801" s="7" t="s">
        <v>189</v>
      </c>
      <c r="P801" s="7" t="s">
        <v>1744</v>
      </c>
      <c r="Q801" s="7" t="s">
        <v>1949</v>
      </c>
      <c r="R801" s="7" t="s">
        <v>1950</v>
      </c>
      <c r="S801" s="7" t="s">
        <v>1369</v>
      </c>
      <c r="T801" s="7" t="s">
        <v>1594</v>
      </c>
      <c r="U801" s="18" t="n">
        <v>70</v>
      </c>
      <c r="V801" s="7"/>
      <c r="W801" s="7"/>
      <c r="X801" s="7" t="s">
        <v>199</v>
      </c>
      <c r="Y801" s="22" t="n">
        <v>0.053</v>
      </c>
      <c r="Z801" s="22" t="n">
        <v>0.232</v>
      </c>
      <c r="AA801" s="22" t="n">
        <v>12</v>
      </c>
      <c r="AB801" s="7" t="s">
        <v>1874</v>
      </c>
      <c r="AC801" s="7" t="s">
        <v>1896</v>
      </c>
      <c r="AD801" s="22" t="s">
        <v>197</v>
      </c>
      <c r="AE801" s="22" t="s">
        <v>197</v>
      </c>
      <c r="AF801" s="22" t="s">
        <v>197</v>
      </c>
      <c r="AG801" s="22" t="s">
        <v>197</v>
      </c>
      <c r="AH801" s="22" t="s">
        <v>197</v>
      </c>
      <c r="AI801" s="22" t="s">
        <v>197</v>
      </c>
      <c r="AJ801" s="22" t="s">
        <v>197</v>
      </c>
      <c r="AK801" s="22" t="s">
        <v>197</v>
      </c>
      <c r="AL801" s="22" t="s">
        <v>197</v>
      </c>
      <c r="AM801" s="7" t="s">
        <v>197</v>
      </c>
      <c r="AN801" s="22" t="s">
        <v>197</v>
      </c>
      <c r="AO801" s="22" t="s">
        <v>197</v>
      </c>
      <c r="AP801" s="22" t="s">
        <v>197</v>
      </c>
    </row>
    <row r="802" customFormat="false" ht="21.75" hidden="false" customHeight="true" outlineLevel="0" collapsed="false">
      <c r="B802" s="15" t="n">
        <v>798</v>
      </c>
      <c r="C802" s="9" t="s">
        <v>52</v>
      </c>
      <c r="D802" s="9" t="s">
        <v>23</v>
      </c>
      <c r="E802" s="9" t="s">
        <v>121</v>
      </c>
      <c r="F802" s="9" t="s">
        <v>71</v>
      </c>
      <c r="G802" s="9" t="s">
        <v>1952</v>
      </c>
      <c r="H802" s="9" t="s">
        <v>385</v>
      </c>
      <c r="I802" s="9" t="s">
        <v>1947</v>
      </c>
      <c r="J802" s="9" t="s">
        <v>1948</v>
      </c>
      <c r="K802" s="9" t="s">
        <v>1331</v>
      </c>
      <c r="L802" s="9" t="s">
        <v>1874</v>
      </c>
      <c r="M802" s="9" t="s">
        <v>235</v>
      </c>
      <c r="N802" s="9" t="s">
        <v>1188</v>
      </c>
      <c r="O802" s="9" t="s">
        <v>189</v>
      </c>
      <c r="P802" s="9" t="s">
        <v>1744</v>
      </c>
      <c r="Q802" s="9" t="s">
        <v>1949</v>
      </c>
      <c r="R802" s="9" t="s">
        <v>1950</v>
      </c>
      <c r="S802" s="9" t="s">
        <v>1369</v>
      </c>
      <c r="T802" s="9" t="s">
        <v>1594</v>
      </c>
      <c r="U802" s="19" t="n">
        <v>95</v>
      </c>
      <c r="V802" s="9"/>
      <c r="W802" s="9"/>
      <c r="X802" s="9" t="s">
        <v>1953</v>
      </c>
      <c r="Y802" s="23" t="n">
        <v>0.056</v>
      </c>
      <c r="Z802" s="23" t="n">
        <v>0.241</v>
      </c>
      <c r="AA802" s="23" t="n">
        <v>12</v>
      </c>
      <c r="AB802" s="9" t="s">
        <v>1874</v>
      </c>
      <c r="AC802" s="9" t="s">
        <v>1896</v>
      </c>
      <c r="AD802" s="23" t="s">
        <v>197</v>
      </c>
      <c r="AE802" s="23" t="s">
        <v>197</v>
      </c>
      <c r="AF802" s="23" t="s">
        <v>197</v>
      </c>
      <c r="AG802" s="23" t="s">
        <v>197</v>
      </c>
      <c r="AH802" s="23" t="s">
        <v>197</v>
      </c>
      <c r="AI802" s="23" t="s">
        <v>197</v>
      </c>
      <c r="AJ802" s="23" t="s">
        <v>197</v>
      </c>
      <c r="AK802" s="23" t="s">
        <v>197</v>
      </c>
      <c r="AL802" s="23" t="s">
        <v>197</v>
      </c>
      <c r="AM802" s="9" t="s">
        <v>197</v>
      </c>
      <c r="AN802" s="23" t="s">
        <v>197</v>
      </c>
      <c r="AO802" s="23" t="s">
        <v>197</v>
      </c>
      <c r="AP802" s="23" t="s">
        <v>197</v>
      </c>
    </row>
    <row r="803" customFormat="false" ht="21.75" hidden="false" customHeight="true" outlineLevel="0" collapsed="false">
      <c r="B803" s="14" t="n">
        <v>799</v>
      </c>
      <c r="C803" s="7" t="s">
        <v>52</v>
      </c>
      <c r="D803" s="7" t="s">
        <v>23</v>
      </c>
      <c r="E803" s="7" t="s">
        <v>121</v>
      </c>
      <c r="F803" s="7" t="s">
        <v>71</v>
      </c>
      <c r="G803" s="7" t="s">
        <v>1954</v>
      </c>
      <c r="H803" s="7" t="s">
        <v>388</v>
      </c>
      <c r="I803" s="7" t="s">
        <v>1947</v>
      </c>
      <c r="J803" s="7" t="s">
        <v>1948</v>
      </c>
      <c r="K803" s="7" t="s">
        <v>1331</v>
      </c>
      <c r="L803" s="7" t="s">
        <v>1874</v>
      </c>
      <c r="M803" s="7" t="s">
        <v>235</v>
      </c>
      <c r="N803" s="7" t="s">
        <v>1188</v>
      </c>
      <c r="O803" s="7" t="s">
        <v>189</v>
      </c>
      <c r="P803" s="7" t="s">
        <v>1744</v>
      </c>
      <c r="Q803" s="7" t="s">
        <v>1949</v>
      </c>
      <c r="R803" s="7" t="s">
        <v>1950</v>
      </c>
      <c r="S803" s="7" t="s">
        <v>1369</v>
      </c>
      <c r="T803" s="7" t="s">
        <v>1594</v>
      </c>
      <c r="U803" s="18" t="n">
        <v>145</v>
      </c>
      <c r="V803" s="7"/>
      <c r="W803" s="7"/>
      <c r="X803" s="7" t="s">
        <v>203</v>
      </c>
      <c r="Y803" s="22" t="n">
        <v>0.081</v>
      </c>
      <c r="Z803" s="22" t="n">
        <v>0.303</v>
      </c>
      <c r="AA803" s="22" t="n">
        <v>12</v>
      </c>
      <c r="AB803" s="7" t="s">
        <v>1874</v>
      </c>
      <c r="AC803" s="7" t="s">
        <v>1896</v>
      </c>
      <c r="AD803" s="22" t="s">
        <v>197</v>
      </c>
      <c r="AE803" s="22" t="s">
        <v>197</v>
      </c>
      <c r="AF803" s="22" t="s">
        <v>197</v>
      </c>
      <c r="AG803" s="22" t="s">
        <v>197</v>
      </c>
      <c r="AH803" s="22" t="s">
        <v>197</v>
      </c>
      <c r="AI803" s="22" t="s">
        <v>197</v>
      </c>
      <c r="AJ803" s="22" t="s">
        <v>197</v>
      </c>
      <c r="AK803" s="22" t="s">
        <v>197</v>
      </c>
      <c r="AL803" s="22" t="s">
        <v>197</v>
      </c>
      <c r="AM803" s="7" t="s">
        <v>197</v>
      </c>
      <c r="AN803" s="22" t="s">
        <v>197</v>
      </c>
      <c r="AO803" s="22" t="s">
        <v>197</v>
      </c>
      <c r="AP803" s="22" t="s">
        <v>197</v>
      </c>
    </row>
    <row r="804" customFormat="false" ht="21.75" hidden="false" customHeight="true" outlineLevel="0" collapsed="false">
      <c r="B804" s="15" t="n">
        <v>800</v>
      </c>
      <c r="C804" s="9" t="s">
        <v>52</v>
      </c>
      <c r="D804" s="9" t="s">
        <v>23</v>
      </c>
      <c r="E804" s="9" t="s">
        <v>121</v>
      </c>
      <c r="F804" s="9" t="s">
        <v>71</v>
      </c>
      <c r="G804" s="9" t="s">
        <v>1955</v>
      </c>
      <c r="H804" s="9" t="s">
        <v>390</v>
      </c>
      <c r="I804" s="9" t="s">
        <v>1947</v>
      </c>
      <c r="J804" s="9" t="s">
        <v>1948</v>
      </c>
      <c r="K804" s="9" t="s">
        <v>1331</v>
      </c>
      <c r="L804" s="9" t="s">
        <v>1874</v>
      </c>
      <c r="M804" s="9" t="s">
        <v>235</v>
      </c>
      <c r="N804" s="9" t="s">
        <v>1188</v>
      </c>
      <c r="O804" s="9" t="s">
        <v>189</v>
      </c>
      <c r="P804" s="9" t="s">
        <v>1744</v>
      </c>
      <c r="Q804" s="9" t="s">
        <v>1949</v>
      </c>
      <c r="R804" s="9" t="s">
        <v>1950</v>
      </c>
      <c r="S804" s="9" t="s">
        <v>1369</v>
      </c>
      <c r="T804" s="9" t="s">
        <v>1594</v>
      </c>
      <c r="U804" s="19" t="n">
        <v>215</v>
      </c>
      <c r="V804" s="9"/>
      <c r="W804" s="9"/>
      <c r="X804" s="9" t="s">
        <v>205</v>
      </c>
      <c r="Y804" s="23" t="n">
        <v>0.042</v>
      </c>
      <c r="Z804" s="23" t="n">
        <v>0.205</v>
      </c>
      <c r="AA804" s="23" t="n">
        <v>12</v>
      </c>
      <c r="AB804" s="9" t="s">
        <v>1874</v>
      </c>
      <c r="AC804" s="9" t="s">
        <v>1896</v>
      </c>
      <c r="AD804" s="23" t="s">
        <v>197</v>
      </c>
      <c r="AE804" s="23" t="s">
        <v>197</v>
      </c>
      <c r="AF804" s="23" t="s">
        <v>197</v>
      </c>
      <c r="AG804" s="23" t="s">
        <v>197</v>
      </c>
      <c r="AH804" s="23" t="s">
        <v>197</v>
      </c>
      <c r="AI804" s="23" t="s">
        <v>197</v>
      </c>
      <c r="AJ804" s="23" t="s">
        <v>197</v>
      </c>
      <c r="AK804" s="23" t="s">
        <v>197</v>
      </c>
      <c r="AL804" s="23" t="s">
        <v>197</v>
      </c>
      <c r="AM804" s="9" t="s">
        <v>197</v>
      </c>
      <c r="AN804" s="23" t="s">
        <v>197</v>
      </c>
      <c r="AO804" s="23" t="s">
        <v>197</v>
      </c>
      <c r="AP804" s="23" t="s">
        <v>197</v>
      </c>
    </row>
    <row r="805" customFormat="false" ht="21.75" hidden="false" customHeight="true" outlineLevel="0" collapsed="false">
      <c r="B805" s="14" t="n">
        <v>801</v>
      </c>
      <c r="C805" s="7" t="s">
        <v>52</v>
      </c>
      <c r="D805" s="7" t="s">
        <v>23</v>
      </c>
      <c r="E805" s="7" t="s">
        <v>121</v>
      </c>
      <c r="F805" s="7" t="s">
        <v>72</v>
      </c>
      <c r="G805" s="7" t="s">
        <v>391</v>
      </c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18"/>
      <c r="V805" s="7"/>
      <c r="W805" s="7"/>
      <c r="X805" s="7" t="s">
        <v>1956</v>
      </c>
      <c r="Y805" s="22" t="s">
        <v>197</v>
      </c>
      <c r="Z805" s="22" t="s">
        <v>197</v>
      </c>
      <c r="AA805" s="22" t="s">
        <v>197</v>
      </c>
      <c r="AB805" s="7" t="s">
        <v>197</v>
      </c>
      <c r="AC805" s="7" t="s">
        <v>197</v>
      </c>
      <c r="AD805" s="22" t="s">
        <v>197</v>
      </c>
      <c r="AE805" s="22" t="s">
        <v>197</v>
      </c>
      <c r="AF805" s="22" t="s">
        <v>197</v>
      </c>
      <c r="AG805" s="22" t="s">
        <v>197</v>
      </c>
      <c r="AH805" s="22" t="s">
        <v>197</v>
      </c>
      <c r="AI805" s="22" t="s">
        <v>197</v>
      </c>
      <c r="AJ805" s="22" t="s">
        <v>197</v>
      </c>
      <c r="AK805" s="22" t="s">
        <v>197</v>
      </c>
      <c r="AL805" s="22" t="s">
        <v>197</v>
      </c>
      <c r="AM805" s="7" t="s">
        <v>197</v>
      </c>
      <c r="AN805" s="22" t="s">
        <v>197</v>
      </c>
      <c r="AO805" s="22" t="s">
        <v>197</v>
      </c>
      <c r="AP805" s="22" t="s">
        <v>197</v>
      </c>
    </row>
    <row r="806" customFormat="false" ht="21.75" hidden="false" customHeight="true" outlineLevel="0" collapsed="false">
      <c r="B806" s="15" t="n">
        <v>802</v>
      </c>
      <c r="C806" s="9" t="s">
        <v>52</v>
      </c>
      <c r="D806" s="9" t="s">
        <v>23</v>
      </c>
      <c r="E806" s="9" t="s">
        <v>121</v>
      </c>
      <c r="F806" s="9" t="s">
        <v>73</v>
      </c>
      <c r="G806" s="9" t="s">
        <v>1957</v>
      </c>
      <c r="H806" s="9" t="s">
        <v>394</v>
      </c>
      <c r="I806" s="9" t="s">
        <v>1958</v>
      </c>
      <c r="J806" s="9" t="s">
        <v>1484</v>
      </c>
      <c r="K806" s="9" t="s">
        <v>1894</v>
      </c>
      <c r="L806" s="9" t="s">
        <v>1874</v>
      </c>
      <c r="M806" s="9" t="s">
        <v>235</v>
      </c>
      <c r="N806" s="9" t="s">
        <v>1959</v>
      </c>
      <c r="O806" s="9" t="s">
        <v>189</v>
      </c>
      <c r="P806" s="9" t="s">
        <v>1744</v>
      </c>
      <c r="Q806" s="9" t="s">
        <v>1960</v>
      </c>
      <c r="R806" s="9" t="s">
        <v>892</v>
      </c>
      <c r="S806" s="9" t="s">
        <v>1369</v>
      </c>
      <c r="T806" s="9" t="s">
        <v>1961</v>
      </c>
      <c r="U806" s="19" t="n">
        <v>25</v>
      </c>
      <c r="V806" s="9"/>
      <c r="W806" s="9"/>
      <c r="X806" s="9" t="s">
        <v>195</v>
      </c>
      <c r="Y806" s="23" t="n">
        <v>0.055</v>
      </c>
      <c r="Z806" s="23" t="n">
        <v>0.083</v>
      </c>
      <c r="AA806" s="23" t="n">
        <v>12</v>
      </c>
      <c r="AB806" s="9" t="s">
        <v>1874</v>
      </c>
      <c r="AC806" s="9" t="s">
        <v>1896</v>
      </c>
      <c r="AD806" s="23" t="s">
        <v>197</v>
      </c>
      <c r="AE806" s="23" t="s">
        <v>197</v>
      </c>
      <c r="AF806" s="23" t="s">
        <v>197</v>
      </c>
      <c r="AG806" s="23" t="n">
        <v>4</v>
      </c>
      <c r="AH806" s="23" t="s">
        <v>197</v>
      </c>
      <c r="AI806" s="23" t="s">
        <v>197</v>
      </c>
      <c r="AJ806" s="23" t="s">
        <v>197</v>
      </c>
      <c r="AK806" s="23" t="s">
        <v>197</v>
      </c>
      <c r="AL806" s="23" t="s">
        <v>197</v>
      </c>
      <c r="AM806" s="9" t="s">
        <v>197</v>
      </c>
      <c r="AN806" s="23" t="s">
        <v>197</v>
      </c>
      <c r="AO806" s="23" t="s">
        <v>197</v>
      </c>
      <c r="AP806" s="23" t="s">
        <v>197</v>
      </c>
    </row>
    <row r="807" customFormat="false" ht="21.75" hidden="false" customHeight="true" outlineLevel="0" collapsed="false">
      <c r="B807" s="14" t="n">
        <v>803</v>
      </c>
      <c r="C807" s="7" t="s">
        <v>52</v>
      </c>
      <c r="D807" s="7" t="s">
        <v>23</v>
      </c>
      <c r="E807" s="7" t="s">
        <v>121</v>
      </c>
      <c r="F807" s="7" t="s">
        <v>73</v>
      </c>
      <c r="G807" s="7" t="s">
        <v>1962</v>
      </c>
      <c r="H807" s="7" t="s">
        <v>402</v>
      </c>
      <c r="I807" s="7" t="s">
        <v>1958</v>
      </c>
      <c r="J807" s="7" t="s">
        <v>1484</v>
      </c>
      <c r="K807" s="7" t="s">
        <v>1894</v>
      </c>
      <c r="L807" s="7" t="s">
        <v>1874</v>
      </c>
      <c r="M807" s="7" t="s">
        <v>235</v>
      </c>
      <c r="N807" s="7" t="s">
        <v>1959</v>
      </c>
      <c r="O807" s="7" t="s">
        <v>189</v>
      </c>
      <c r="P807" s="7" t="s">
        <v>1744</v>
      </c>
      <c r="Q807" s="7" t="s">
        <v>1960</v>
      </c>
      <c r="R807" s="7" t="s">
        <v>892</v>
      </c>
      <c r="S807" s="7" t="s">
        <v>1369</v>
      </c>
      <c r="T807" s="7" t="s">
        <v>1961</v>
      </c>
      <c r="U807" s="18" t="n">
        <v>35</v>
      </c>
      <c r="V807" s="7"/>
      <c r="W807" s="7"/>
      <c r="X807" s="7" t="s">
        <v>199</v>
      </c>
      <c r="Y807" s="22" t="n">
        <v>0.059</v>
      </c>
      <c r="Z807" s="22" t="n">
        <v>0.089</v>
      </c>
      <c r="AA807" s="22" t="n">
        <v>12</v>
      </c>
      <c r="AB807" s="7" t="s">
        <v>1874</v>
      </c>
      <c r="AC807" s="7" t="s">
        <v>1896</v>
      </c>
      <c r="AD807" s="22" t="s">
        <v>197</v>
      </c>
      <c r="AE807" s="22" t="s">
        <v>197</v>
      </c>
      <c r="AF807" s="22" t="s">
        <v>197</v>
      </c>
      <c r="AG807" s="22" t="n">
        <v>8</v>
      </c>
      <c r="AH807" s="22" t="s">
        <v>197</v>
      </c>
      <c r="AI807" s="22" t="s">
        <v>197</v>
      </c>
      <c r="AJ807" s="22" t="s">
        <v>197</v>
      </c>
      <c r="AK807" s="22" t="s">
        <v>197</v>
      </c>
      <c r="AL807" s="22" t="s">
        <v>197</v>
      </c>
      <c r="AM807" s="7" t="s">
        <v>197</v>
      </c>
      <c r="AN807" s="22" t="s">
        <v>197</v>
      </c>
      <c r="AO807" s="22" t="s">
        <v>197</v>
      </c>
      <c r="AP807" s="22" t="s">
        <v>197</v>
      </c>
    </row>
    <row r="808" customFormat="false" ht="21.75" hidden="false" customHeight="true" outlineLevel="0" collapsed="false">
      <c r="B808" s="15" t="n">
        <v>804</v>
      </c>
      <c r="C808" s="9" t="s">
        <v>52</v>
      </c>
      <c r="D808" s="9" t="s">
        <v>23</v>
      </c>
      <c r="E808" s="9" t="s">
        <v>121</v>
      </c>
      <c r="F808" s="9" t="s">
        <v>73</v>
      </c>
      <c r="G808" s="9" t="s">
        <v>1963</v>
      </c>
      <c r="H808" s="9" t="s">
        <v>404</v>
      </c>
      <c r="I808" s="9" t="s">
        <v>1958</v>
      </c>
      <c r="J808" s="9" t="s">
        <v>1484</v>
      </c>
      <c r="K808" s="9" t="s">
        <v>1894</v>
      </c>
      <c r="L808" s="9" t="s">
        <v>1874</v>
      </c>
      <c r="M808" s="9" t="s">
        <v>235</v>
      </c>
      <c r="N808" s="9" t="s">
        <v>1959</v>
      </c>
      <c r="O808" s="9" t="s">
        <v>189</v>
      </c>
      <c r="P808" s="9" t="s">
        <v>1744</v>
      </c>
      <c r="Q808" s="9" t="s">
        <v>1960</v>
      </c>
      <c r="R808" s="9" t="s">
        <v>892</v>
      </c>
      <c r="S808" s="9" t="s">
        <v>1369</v>
      </c>
      <c r="T808" s="9" t="s">
        <v>1961</v>
      </c>
      <c r="U808" s="19" t="n">
        <v>50</v>
      </c>
      <c r="V808" s="9"/>
      <c r="W808" s="9"/>
      <c r="X808" s="9" t="s">
        <v>1608</v>
      </c>
      <c r="Y808" s="23" t="n">
        <v>0.044</v>
      </c>
      <c r="Z808" s="23" t="n">
        <v>0.068</v>
      </c>
      <c r="AA808" s="23" t="n">
        <v>12</v>
      </c>
      <c r="AB808" s="9" t="s">
        <v>1874</v>
      </c>
      <c r="AC808" s="9" t="s">
        <v>1896</v>
      </c>
      <c r="AD808" s="23" t="s">
        <v>197</v>
      </c>
      <c r="AE808" s="23" t="s">
        <v>197</v>
      </c>
      <c r="AF808" s="23" t="s">
        <v>197</v>
      </c>
      <c r="AG808" s="23" t="n">
        <v>8</v>
      </c>
      <c r="AH808" s="23" t="s">
        <v>197</v>
      </c>
      <c r="AI808" s="23" t="s">
        <v>197</v>
      </c>
      <c r="AJ808" s="23" t="s">
        <v>197</v>
      </c>
      <c r="AK808" s="23" t="s">
        <v>197</v>
      </c>
      <c r="AL808" s="23" t="s">
        <v>197</v>
      </c>
      <c r="AM808" s="9" t="s">
        <v>197</v>
      </c>
      <c r="AN808" s="23" t="s">
        <v>197</v>
      </c>
      <c r="AO808" s="23" t="s">
        <v>197</v>
      </c>
      <c r="AP808" s="23" t="s">
        <v>197</v>
      </c>
    </row>
    <row r="809" customFormat="false" ht="21.75" hidden="false" customHeight="true" outlineLevel="0" collapsed="false">
      <c r="B809" s="14" t="n">
        <v>805</v>
      </c>
      <c r="C809" s="7" t="s">
        <v>52</v>
      </c>
      <c r="D809" s="7" t="s">
        <v>23</v>
      </c>
      <c r="E809" s="7" t="s">
        <v>121</v>
      </c>
      <c r="F809" s="7" t="s">
        <v>73</v>
      </c>
      <c r="G809" s="7" t="s">
        <v>1964</v>
      </c>
      <c r="H809" s="7" t="s">
        <v>407</v>
      </c>
      <c r="I809" s="7" t="s">
        <v>1958</v>
      </c>
      <c r="J809" s="7" t="s">
        <v>1484</v>
      </c>
      <c r="K809" s="7" t="s">
        <v>1894</v>
      </c>
      <c r="L809" s="7" t="s">
        <v>1874</v>
      </c>
      <c r="M809" s="7" t="s">
        <v>235</v>
      </c>
      <c r="N809" s="7" t="s">
        <v>1959</v>
      </c>
      <c r="O809" s="7" t="s">
        <v>189</v>
      </c>
      <c r="P809" s="7" t="s">
        <v>1744</v>
      </c>
      <c r="Q809" s="7" t="s">
        <v>1960</v>
      </c>
      <c r="R809" s="7" t="s">
        <v>892</v>
      </c>
      <c r="S809" s="7" t="s">
        <v>1369</v>
      </c>
      <c r="T809" s="7" t="s">
        <v>1961</v>
      </c>
      <c r="U809" s="18" t="n">
        <v>75</v>
      </c>
      <c r="V809" s="7"/>
      <c r="W809" s="7"/>
      <c r="X809" s="7" t="s">
        <v>203</v>
      </c>
      <c r="Y809" s="22" t="n">
        <v>0.055</v>
      </c>
      <c r="Z809" s="22" t="n">
        <v>0.084</v>
      </c>
      <c r="AA809" s="22" t="n">
        <v>12</v>
      </c>
      <c r="AB809" s="7" t="s">
        <v>1874</v>
      </c>
      <c r="AC809" s="7" t="s">
        <v>1896</v>
      </c>
      <c r="AD809" s="22" t="s">
        <v>197</v>
      </c>
      <c r="AE809" s="22" t="s">
        <v>197</v>
      </c>
      <c r="AF809" s="22" t="s">
        <v>197</v>
      </c>
      <c r="AG809" s="22" t="n">
        <v>16</v>
      </c>
      <c r="AH809" s="22" t="s">
        <v>197</v>
      </c>
      <c r="AI809" s="22" t="s">
        <v>197</v>
      </c>
      <c r="AJ809" s="22" t="s">
        <v>197</v>
      </c>
      <c r="AK809" s="22" t="s">
        <v>197</v>
      </c>
      <c r="AL809" s="22" t="s">
        <v>197</v>
      </c>
      <c r="AM809" s="7" t="s">
        <v>197</v>
      </c>
      <c r="AN809" s="22" t="s">
        <v>197</v>
      </c>
      <c r="AO809" s="22" t="s">
        <v>197</v>
      </c>
      <c r="AP809" s="22" t="s">
        <v>197</v>
      </c>
    </row>
    <row r="810" customFormat="false" ht="21.75" hidden="false" customHeight="true" outlineLevel="0" collapsed="false">
      <c r="B810" s="15" t="n">
        <v>806</v>
      </c>
      <c r="C810" s="9" t="s">
        <v>52</v>
      </c>
      <c r="D810" s="9" t="s">
        <v>23</v>
      </c>
      <c r="E810" s="9" t="s">
        <v>121</v>
      </c>
      <c r="F810" s="9" t="s">
        <v>73</v>
      </c>
      <c r="G810" s="9" t="s">
        <v>1965</v>
      </c>
      <c r="H810" s="9" t="s">
        <v>409</v>
      </c>
      <c r="I810" s="9" t="s">
        <v>1958</v>
      </c>
      <c r="J810" s="9" t="s">
        <v>1484</v>
      </c>
      <c r="K810" s="9" t="s">
        <v>1894</v>
      </c>
      <c r="L810" s="9" t="s">
        <v>1874</v>
      </c>
      <c r="M810" s="9" t="s">
        <v>235</v>
      </c>
      <c r="N810" s="9" t="s">
        <v>1959</v>
      </c>
      <c r="O810" s="9" t="s">
        <v>189</v>
      </c>
      <c r="P810" s="9" t="s">
        <v>1744</v>
      </c>
      <c r="Q810" s="9" t="s">
        <v>1960</v>
      </c>
      <c r="R810" s="9" t="s">
        <v>892</v>
      </c>
      <c r="S810" s="9" t="s">
        <v>1369</v>
      </c>
      <c r="T810" s="9" t="s">
        <v>1961</v>
      </c>
      <c r="U810" s="19" t="n">
        <v>110</v>
      </c>
      <c r="V810" s="9"/>
      <c r="W810" s="9"/>
      <c r="X810" s="9" t="s">
        <v>205</v>
      </c>
      <c r="Y810" s="23" t="n">
        <v>0.033</v>
      </c>
      <c r="Z810" s="23" t="n">
        <v>0.054</v>
      </c>
      <c r="AA810" s="23" t="n">
        <v>12</v>
      </c>
      <c r="AB810" s="9" t="s">
        <v>1874</v>
      </c>
      <c r="AC810" s="9" t="s">
        <v>1896</v>
      </c>
      <c r="AD810" s="23" t="s">
        <v>197</v>
      </c>
      <c r="AE810" s="23" t="s">
        <v>197</v>
      </c>
      <c r="AF810" s="23" t="s">
        <v>197</v>
      </c>
      <c r="AG810" s="23" t="n">
        <v>16</v>
      </c>
      <c r="AH810" s="23" t="s">
        <v>197</v>
      </c>
      <c r="AI810" s="23" t="s">
        <v>197</v>
      </c>
      <c r="AJ810" s="23" t="s">
        <v>197</v>
      </c>
      <c r="AK810" s="23" t="s">
        <v>197</v>
      </c>
      <c r="AL810" s="23" t="s">
        <v>197</v>
      </c>
      <c r="AM810" s="9" t="s">
        <v>197</v>
      </c>
      <c r="AN810" s="23" t="s">
        <v>197</v>
      </c>
      <c r="AO810" s="23" t="s">
        <v>197</v>
      </c>
      <c r="AP810" s="23" t="s">
        <v>197</v>
      </c>
    </row>
    <row r="811" customFormat="false" ht="21.75" hidden="false" customHeight="true" outlineLevel="0" collapsed="false">
      <c r="B811" s="14" t="n">
        <v>807</v>
      </c>
      <c r="C811" s="7" t="s">
        <v>52</v>
      </c>
      <c r="D811" s="7" t="s">
        <v>23</v>
      </c>
      <c r="E811" s="7" t="s">
        <v>121</v>
      </c>
      <c r="F811" s="7" t="s">
        <v>74</v>
      </c>
      <c r="G811" s="7" t="s">
        <v>391</v>
      </c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18"/>
      <c r="V811" s="7"/>
      <c r="W811" s="7"/>
      <c r="X811" s="7" t="s">
        <v>1966</v>
      </c>
      <c r="Y811" s="22" t="s">
        <v>197</v>
      </c>
      <c r="Z811" s="22" t="s">
        <v>197</v>
      </c>
      <c r="AA811" s="22" t="s">
        <v>197</v>
      </c>
      <c r="AB811" s="7" t="s">
        <v>197</v>
      </c>
      <c r="AC811" s="7" t="s">
        <v>197</v>
      </c>
      <c r="AD811" s="22" t="s">
        <v>197</v>
      </c>
      <c r="AE811" s="22" t="s">
        <v>197</v>
      </c>
      <c r="AF811" s="22" t="s">
        <v>197</v>
      </c>
      <c r="AG811" s="22" t="s">
        <v>197</v>
      </c>
      <c r="AH811" s="22" t="s">
        <v>197</v>
      </c>
      <c r="AI811" s="22" t="s">
        <v>197</v>
      </c>
      <c r="AJ811" s="22" t="s">
        <v>197</v>
      </c>
      <c r="AK811" s="22" t="s">
        <v>197</v>
      </c>
      <c r="AL811" s="22" t="s">
        <v>197</v>
      </c>
      <c r="AM811" s="7" t="s">
        <v>197</v>
      </c>
      <c r="AN811" s="22" t="s">
        <v>197</v>
      </c>
      <c r="AO811" s="22" t="s">
        <v>197</v>
      </c>
      <c r="AP811" s="22" t="s">
        <v>197</v>
      </c>
    </row>
    <row r="812" customFormat="false" ht="21.75" hidden="false" customHeight="true" outlineLevel="0" collapsed="false">
      <c r="B812" s="15" t="n">
        <v>808</v>
      </c>
      <c r="C812" s="9" t="s">
        <v>52</v>
      </c>
      <c r="D812" s="9" t="s">
        <v>23</v>
      </c>
      <c r="E812" s="9" t="s">
        <v>121</v>
      </c>
      <c r="F812" s="9" t="s">
        <v>75</v>
      </c>
      <c r="G812" s="9" t="s">
        <v>1967</v>
      </c>
      <c r="H812" s="9" t="s">
        <v>430</v>
      </c>
      <c r="I812" s="9" t="s">
        <v>1968</v>
      </c>
      <c r="J812" s="9" t="s">
        <v>1969</v>
      </c>
      <c r="K812" s="9" t="s">
        <v>1970</v>
      </c>
      <c r="L812" s="9" t="s">
        <v>1874</v>
      </c>
      <c r="M812" s="9" t="s">
        <v>415</v>
      </c>
      <c r="N812" s="9" t="s">
        <v>189</v>
      </c>
      <c r="O812" s="9" t="s">
        <v>189</v>
      </c>
      <c r="P812" s="9" t="s">
        <v>1744</v>
      </c>
      <c r="Q812" s="9" t="s">
        <v>1355</v>
      </c>
      <c r="R812" s="9" t="s">
        <v>418</v>
      </c>
      <c r="S812" s="9" t="s">
        <v>1369</v>
      </c>
      <c r="T812" s="9" t="s">
        <v>436</v>
      </c>
      <c r="U812" s="19" t="n">
        <v>15</v>
      </c>
      <c r="V812" s="9"/>
      <c r="W812" s="9"/>
      <c r="X812" s="9" t="s">
        <v>195</v>
      </c>
      <c r="Y812" s="23" t="n">
        <v>2.78E-006</v>
      </c>
      <c r="Z812" s="23" t="n">
        <v>1.388E-005</v>
      </c>
      <c r="AA812" s="23" t="n">
        <v>3</v>
      </c>
      <c r="AB812" s="9" t="s">
        <v>1874</v>
      </c>
      <c r="AC812" s="9" t="s">
        <v>1905</v>
      </c>
      <c r="AD812" s="23" t="s">
        <v>197</v>
      </c>
      <c r="AE812" s="23" t="s">
        <v>197</v>
      </c>
      <c r="AF812" s="23" t="s">
        <v>197</v>
      </c>
      <c r="AG812" s="23" t="s">
        <v>197</v>
      </c>
      <c r="AH812" s="23" t="s">
        <v>197</v>
      </c>
      <c r="AI812" s="23" t="s">
        <v>197</v>
      </c>
      <c r="AJ812" s="23" t="s">
        <v>197</v>
      </c>
      <c r="AK812" s="23" t="s">
        <v>197</v>
      </c>
      <c r="AL812" s="23" t="s">
        <v>197</v>
      </c>
      <c r="AM812" s="9" t="s">
        <v>197</v>
      </c>
      <c r="AN812" s="23" t="s">
        <v>197</v>
      </c>
      <c r="AO812" s="23" t="s">
        <v>197</v>
      </c>
      <c r="AP812" s="23" t="s">
        <v>197</v>
      </c>
    </row>
    <row r="813" customFormat="false" ht="21.75" hidden="false" customHeight="true" outlineLevel="0" collapsed="false">
      <c r="B813" s="14" t="n">
        <v>809</v>
      </c>
      <c r="C813" s="7" t="s">
        <v>52</v>
      </c>
      <c r="D813" s="7" t="s">
        <v>23</v>
      </c>
      <c r="E813" s="7" t="s">
        <v>121</v>
      </c>
      <c r="F813" s="7" t="s">
        <v>75</v>
      </c>
      <c r="G813" s="7" t="s">
        <v>1971</v>
      </c>
      <c r="H813" s="7" t="s">
        <v>438</v>
      </c>
      <c r="I813" s="7" t="s">
        <v>1968</v>
      </c>
      <c r="J813" s="7" t="s">
        <v>1969</v>
      </c>
      <c r="K813" s="7" t="s">
        <v>1970</v>
      </c>
      <c r="L813" s="7" t="s">
        <v>1874</v>
      </c>
      <c r="M813" s="7" t="s">
        <v>415</v>
      </c>
      <c r="N813" s="7" t="s">
        <v>189</v>
      </c>
      <c r="O813" s="7" t="s">
        <v>189</v>
      </c>
      <c r="P813" s="7" t="s">
        <v>1744</v>
      </c>
      <c r="Q813" s="7" t="s">
        <v>1355</v>
      </c>
      <c r="R813" s="7" t="s">
        <v>418</v>
      </c>
      <c r="S813" s="7" t="s">
        <v>1369</v>
      </c>
      <c r="T813" s="7" t="s">
        <v>436</v>
      </c>
      <c r="U813" s="18" t="n">
        <v>20</v>
      </c>
      <c r="V813" s="7"/>
      <c r="W813" s="7"/>
      <c r="X813" s="7" t="s">
        <v>199</v>
      </c>
      <c r="Y813" s="22" t="n">
        <v>5.63E-006</v>
      </c>
      <c r="Z813" s="22" t="n">
        <v>2.814E-005</v>
      </c>
      <c r="AA813" s="22" t="n">
        <v>3</v>
      </c>
      <c r="AB813" s="7" t="s">
        <v>1874</v>
      </c>
      <c r="AC813" s="7" t="s">
        <v>1905</v>
      </c>
      <c r="AD813" s="22" t="s">
        <v>197</v>
      </c>
      <c r="AE813" s="22" t="s">
        <v>197</v>
      </c>
      <c r="AF813" s="22" t="s">
        <v>197</v>
      </c>
      <c r="AG813" s="22" t="s">
        <v>197</v>
      </c>
      <c r="AH813" s="22" t="s">
        <v>197</v>
      </c>
      <c r="AI813" s="22" t="s">
        <v>197</v>
      </c>
      <c r="AJ813" s="22" t="s">
        <v>197</v>
      </c>
      <c r="AK813" s="22" t="s">
        <v>197</v>
      </c>
      <c r="AL813" s="22" t="s">
        <v>197</v>
      </c>
      <c r="AM813" s="7" t="s">
        <v>197</v>
      </c>
      <c r="AN813" s="22" t="s">
        <v>197</v>
      </c>
      <c r="AO813" s="22" t="s">
        <v>197</v>
      </c>
      <c r="AP813" s="22" t="s">
        <v>197</v>
      </c>
    </row>
    <row r="814" customFormat="false" ht="21.75" hidden="false" customHeight="true" outlineLevel="0" collapsed="false">
      <c r="B814" s="15" t="n">
        <v>810</v>
      </c>
      <c r="C814" s="9" t="s">
        <v>52</v>
      </c>
      <c r="D814" s="9" t="s">
        <v>23</v>
      </c>
      <c r="E814" s="9" t="s">
        <v>121</v>
      </c>
      <c r="F814" s="9" t="s">
        <v>75</v>
      </c>
      <c r="G814" s="9" t="s">
        <v>1972</v>
      </c>
      <c r="H814" s="9" t="s">
        <v>440</v>
      </c>
      <c r="I814" s="9" t="s">
        <v>1968</v>
      </c>
      <c r="J814" s="9" t="s">
        <v>1969</v>
      </c>
      <c r="K814" s="9" t="s">
        <v>1970</v>
      </c>
      <c r="L814" s="9" t="s">
        <v>1874</v>
      </c>
      <c r="M814" s="9" t="s">
        <v>415</v>
      </c>
      <c r="N814" s="9" t="s">
        <v>189</v>
      </c>
      <c r="O814" s="9" t="s">
        <v>189</v>
      </c>
      <c r="P814" s="9" t="s">
        <v>1744</v>
      </c>
      <c r="Q814" s="9" t="s">
        <v>1355</v>
      </c>
      <c r="R814" s="9" t="s">
        <v>418</v>
      </c>
      <c r="S814" s="9" t="s">
        <v>1369</v>
      </c>
      <c r="T814" s="9" t="s">
        <v>436</v>
      </c>
      <c r="U814" s="19" t="n">
        <v>30</v>
      </c>
      <c r="V814" s="9"/>
      <c r="W814" s="9"/>
      <c r="X814" s="9" t="s">
        <v>1973</v>
      </c>
      <c r="Y814" s="23" t="n">
        <v>3.48E-006</v>
      </c>
      <c r="Z814" s="23" t="n">
        <v>1.739E-005</v>
      </c>
      <c r="AA814" s="23" t="n">
        <v>3</v>
      </c>
      <c r="AB814" s="9" t="s">
        <v>1874</v>
      </c>
      <c r="AC814" s="9" t="s">
        <v>1905</v>
      </c>
      <c r="AD814" s="23" t="s">
        <v>197</v>
      </c>
      <c r="AE814" s="23" t="s">
        <v>197</v>
      </c>
      <c r="AF814" s="23" t="s">
        <v>197</v>
      </c>
      <c r="AG814" s="23" t="s">
        <v>197</v>
      </c>
      <c r="AH814" s="23" t="s">
        <v>197</v>
      </c>
      <c r="AI814" s="23" t="s">
        <v>197</v>
      </c>
      <c r="AJ814" s="23" t="s">
        <v>197</v>
      </c>
      <c r="AK814" s="23" t="s">
        <v>197</v>
      </c>
      <c r="AL814" s="23" t="s">
        <v>197</v>
      </c>
      <c r="AM814" s="9" t="s">
        <v>197</v>
      </c>
      <c r="AN814" s="23" t="s">
        <v>197</v>
      </c>
      <c r="AO814" s="23" t="s">
        <v>197</v>
      </c>
      <c r="AP814" s="23" t="s">
        <v>197</v>
      </c>
    </row>
    <row r="815" customFormat="false" ht="21.75" hidden="false" customHeight="true" outlineLevel="0" collapsed="false">
      <c r="B815" s="14" t="n">
        <v>811</v>
      </c>
      <c r="C815" s="7" t="s">
        <v>52</v>
      </c>
      <c r="D815" s="7" t="s">
        <v>23</v>
      </c>
      <c r="E815" s="7" t="s">
        <v>121</v>
      </c>
      <c r="F815" s="7" t="s">
        <v>75</v>
      </c>
      <c r="G815" s="7" t="s">
        <v>1974</v>
      </c>
      <c r="H815" s="7" t="s">
        <v>443</v>
      </c>
      <c r="I815" s="7" t="s">
        <v>1968</v>
      </c>
      <c r="J815" s="7" t="s">
        <v>1969</v>
      </c>
      <c r="K815" s="7" t="s">
        <v>1970</v>
      </c>
      <c r="L815" s="7" t="s">
        <v>1874</v>
      </c>
      <c r="M815" s="7" t="s">
        <v>415</v>
      </c>
      <c r="N815" s="7" t="s">
        <v>189</v>
      </c>
      <c r="O815" s="7" t="s">
        <v>189</v>
      </c>
      <c r="P815" s="7" t="s">
        <v>1744</v>
      </c>
      <c r="Q815" s="7" t="s">
        <v>1355</v>
      </c>
      <c r="R815" s="7" t="s">
        <v>418</v>
      </c>
      <c r="S815" s="7" t="s">
        <v>1369</v>
      </c>
      <c r="T815" s="7" t="s">
        <v>436</v>
      </c>
      <c r="U815" s="18" t="n">
        <v>45</v>
      </c>
      <c r="V815" s="7"/>
      <c r="W815" s="7"/>
      <c r="X815" s="7" t="s">
        <v>203</v>
      </c>
      <c r="Y815" s="22" t="n">
        <v>3.95E-006</v>
      </c>
      <c r="Z815" s="22" t="n">
        <v>1.974E-005</v>
      </c>
      <c r="AA815" s="22" t="n">
        <v>3</v>
      </c>
      <c r="AB815" s="7" t="s">
        <v>1874</v>
      </c>
      <c r="AC815" s="7" t="s">
        <v>1905</v>
      </c>
      <c r="AD815" s="22" t="s">
        <v>197</v>
      </c>
      <c r="AE815" s="22" t="s">
        <v>197</v>
      </c>
      <c r="AF815" s="22" t="s">
        <v>197</v>
      </c>
      <c r="AG815" s="22" t="s">
        <v>197</v>
      </c>
      <c r="AH815" s="22" t="s">
        <v>197</v>
      </c>
      <c r="AI815" s="22" t="s">
        <v>197</v>
      </c>
      <c r="AJ815" s="22" t="s">
        <v>197</v>
      </c>
      <c r="AK815" s="22" t="s">
        <v>197</v>
      </c>
      <c r="AL815" s="22" t="s">
        <v>197</v>
      </c>
      <c r="AM815" s="7" t="s">
        <v>197</v>
      </c>
      <c r="AN815" s="22" t="s">
        <v>197</v>
      </c>
      <c r="AO815" s="22" t="s">
        <v>197</v>
      </c>
      <c r="AP815" s="22" t="s">
        <v>197</v>
      </c>
    </row>
    <row r="816" customFormat="false" ht="21.75" hidden="false" customHeight="true" outlineLevel="0" collapsed="false">
      <c r="B816" s="15" t="n">
        <v>812</v>
      </c>
      <c r="C816" s="9" t="s">
        <v>52</v>
      </c>
      <c r="D816" s="9" t="s">
        <v>23</v>
      </c>
      <c r="E816" s="9" t="s">
        <v>121</v>
      </c>
      <c r="F816" s="9" t="s">
        <v>75</v>
      </c>
      <c r="G816" s="9" t="s">
        <v>1975</v>
      </c>
      <c r="H816" s="9" t="s">
        <v>444</v>
      </c>
      <c r="I816" s="9" t="s">
        <v>1968</v>
      </c>
      <c r="J816" s="9" t="s">
        <v>1969</v>
      </c>
      <c r="K816" s="9" t="s">
        <v>1970</v>
      </c>
      <c r="L816" s="9" t="s">
        <v>1874</v>
      </c>
      <c r="M816" s="9" t="s">
        <v>415</v>
      </c>
      <c r="N816" s="9" t="s">
        <v>189</v>
      </c>
      <c r="O816" s="9" t="s">
        <v>189</v>
      </c>
      <c r="P816" s="9" t="s">
        <v>1744</v>
      </c>
      <c r="Q816" s="9" t="s">
        <v>1355</v>
      </c>
      <c r="R816" s="9" t="s">
        <v>418</v>
      </c>
      <c r="S816" s="9" t="s">
        <v>1369</v>
      </c>
      <c r="T816" s="9" t="s">
        <v>436</v>
      </c>
      <c r="U816" s="19" t="n">
        <v>65</v>
      </c>
      <c r="V816" s="9"/>
      <c r="W816" s="9"/>
      <c r="X816" s="9" t="s">
        <v>205</v>
      </c>
      <c r="Y816" s="23" t="n">
        <v>2.46E-006</v>
      </c>
      <c r="Z816" s="23" t="n">
        <v>1.23E-005</v>
      </c>
      <c r="AA816" s="23" t="n">
        <v>3</v>
      </c>
      <c r="AB816" s="9" t="s">
        <v>1874</v>
      </c>
      <c r="AC816" s="9" t="s">
        <v>1905</v>
      </c>
      <c r="AD816" s="23" t="s">
        <v>197</v>
      </c>
      <c r="AE816" s="23" t="s">
        <v>197</v>
      </c>
      <c r="AF816" s="23" t="s">
        <v>197</v>
      </c>
      <c r="AG816" s="23" t="s">
        <v>197</v>
      </c>
      <c r="AH816" s="23" t="s">
        <v>197</v>
      </c>
      <c r="AI816" s="23" t="s">
        <v>197</v>
      </c>
      <c r="AJ816" s="23" t="s">
        <v>197</v>
      </c>
      <c r="AK816" s="23" t="s">
        <v>197</v>
      </c>
      <c r="AL816" s="23" t="s">
        <v>197</v>
      </c>
      <c r="AM816" s="9" t="s">
        <v>197</v>
      </c>
      <c r="AN816" s="23" t="s">
        <v>197</v>
      </c>
      <c r="AO816" s="23" t="s">
        <v>197</v>
      </c>
      <c r="AP816" s="23" t="s">
        <v>197</v>
      </c>
    </row>
    <row r="817" customFormat="false" ht="21.75" hidden="false" customHeight="true" outlineLevel="0" collapsed="false">
      <c r="B817" s="14" t="n">
        <v>813</v>
      </c>
      <c r="C817" s="7" t="s">
        <v>53</v>
      </c>
      <c r="D817" s="7" t="s">
        <v>23</v>
      </c>
      <c r="E817" s="7" t="s">
        <v>124</v>
      </c>
      <c r="F817" s="7" t="s">
        <v>60</v>
      </c>
      <c r="G817" s="7" t="s">
        <v>391</v>
      </c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18"/>
      <c r="V817" s="7"/>
      <c r="W817" s="7"/>
      <c r="X817" s="7" t="s">
        <v>1976</v>
      </c>
      <c r="Y817" s="22" t="s">
        <v>197</v>
      </c>
      <c r="Z817" s="22" t="s">
        <v>197</v>
      </c>
      <c r="AA817" s="22" t="s">
        <v>197</v>
      </c>
      <c r="AB817" s="7" t="s">
        <v>197</v>
      </c>
      <c r="AC817" s="7" t="s">
        <v>197</v>
      </c>
      <c r="AD817" s="22" t="s">
        <v>197</v>
      </c>
      <c r="AE817" s="22" t="s">
        <v>197</v>
      </c>
      <c r="AF817" s="22" t="s">
        <v>197</v>
      </c>
      <c r="AG817" s="22" t="s">
        <v>197</v>
      </c>
      <c r="AH817" s="22" t="s">
        <v>197</v>
      </c>
      <c r="AI817" s="22" t="s">
        <v>197</v>
      </c>
      <c r="AJ817" s="22" t="s">
        <v>197</v>
      </c>
      <c r="AK817" s="22" t="s">
        <v>197</v>
      </c>
      <c r="AL817" s="22" t="s">
        <v>197</v>
      </c>
      <c r="AM817" s="7" t="s">
        <v>197</v>
      </c>
      <c r="AN817" s="22" t="s">
        <v>197</v>
      </c>
      <c r="AO817" s="22" t="s">
        <v>197</v>
      </c>
      <c r="AP817" s="22" t="s">
        <v>197</v>
      </c>
    </row>
    <row r="818" customFormat="false" ht="21.75" hidden="false" customHeight="true" outlineLevel="0" collapsed="false">
      <c r="B818" s="15" t="n">
        <v>814</v>
      </c>
      <c r="C818" s="9" t="s">
        <v>53</v>
      </c>
      <c r="D818" s="9" t="s">
        <v>23</v>
      </c>
      <c r="E818" s="9" t="s">
        <v>124</v>
      </c>
      <c r="F818" s="9" t="s">
        <v>61</v>
      </c>
      <c r="G818" s="9" t="s">
        <v>391</v>
      </c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19"/>
      <c r="V818" s="9"/>
      <c r="W818" s="9"/>
      <c r="X818" s="9" t="s">
        <v>1977</v>
      </c>
      <c r="Y818" s="23" t="s">
        <v>197</v>
      </c>
      <c r="Z818" s="23" t="s">
        <v>197</v>
      </c>
      <c r="AA818" s="23" t="s">
        <v>197</v>
      </c>
      <c r="AB818" s="9" t="s">
        <v>197</v>
      </c>
      <c r="AC818" s="9" t="s">
        <v>197</v>
      </c>
      <c r="AD818" s="23" t="s">
        <v>197</v>
      </c>
      <c r="AE818" s="23" t="s">
        <v>197</v>
      </c>
      <c r="AF818" s="23" t="s">
        <v>197</v>
      </c>
      <c r="AG818" s="23" t="s">
        <v>197</v>
      </c>
      <c r="AH818" s="23" t="s">
        <v>197</v>
      </c>
      <c r="AI818" s="23" t="s">
        <v>197</v>
      </c>
      <c r="AJ818" s="23" t="s">
        <v>197</v>
      </c>
      <c r="AK818" s="23" t="s">
        <v>197</v>
      </c>
      <c r="AL818" s="23" t="s">
        <v>197</v>
      </c>
      <c r="AM818" s="9" t="s">
        <v>197</v>
      </c>
      <c r="AN818" s="23" t="s">
        <v>197</v>
      </c>
      <c r="AO818" s="23" t="s">
        <v>197</v>
      </c>
      <c r="AP818" s="23" t="s">
        <v>197</v>
      </c>
    </row>
    <row r="819" customFormat="false" ht="21.75" hidden="false" customHeight="true" outlineLevel="0" collapsed="false">
      <c r="B819" s="14" t="n">
        <v>815</v>
      </c>
      <c r="C819" s="7" t="s">
        <v>53</v>
      </c>
      <c r="D819" s="7" t="s">
        <v>23</v>
      </c>
      <c r="E819" s="7" t="s">
        <v>124</v>
      </c>
      <c r="F819" s="7" t="s">
        <v>62</v>
      </c>
      <c r="G819" s="7" t="s">
        <v>1978</v>
      </c>
      <c r="H819" s="7" t="s">
        <v>1979</v>
      </c>
      <c r="I819" s="7" t="s">
        <v>1980</v>
      </c>
      <c r="J819" s="7" t="s">
        <v>1981</v>
      </c>
      <c r="K819" s="7" t="s">
        <v>1982</v>
      </c>
      <c r="L819" s="7" t="s">
        <v>1983</v>
      </c>
      <c r="M819" s="7" t="s">
        <v>1984</v>
      </c>
      <c r="N819" s="7" t="s">
        <v>1985</v>
      </c>
      <c r="O819" s="7" t="s">
        <v>189</v>
      </c>
      <c r="P819" s="7" t="s">
        <v>1744</v>
      </c>
      <c r="Q819" s="7" t="s">
        <v>1986</v>
      </c>
      <c r="R819" s="7" t="s">
        <v>1519</v>
      </c>
      <c r="S819" s="7" t="s">
        <v>1987</v>
      </c>
      <c r="T819" s="7" t="s">
        <v>1988</v>
      </c>
      <c r="U819" s="18" t="n">
        <v>110</v>
      </c>
      <c r="V819" s="7"/>
      <c r="W819" s="7"/>
      <c r="X819" s="7" t="s">
        <v>195</v>
      </c>
      <c r="Y819" s="22" t="n">
        <v>0.106</v>
      </c>
      <c r="Z819" s="22" t="n">
        <v>0.28</v>
      </c>
      <c r="AA819" s="22" t="n">
        <v>12</v>
      </c>
      <c r="AB819" s="7" t="s">
        <v>1983</v>
      </c>
      <c r="AC819" s="7" t="s">
        <v>1989</v>
      </c>
      <c r="AD819" s="22" t="n">
        <v>0.106</v>
      </c>
      <c r="AE819" s="22" t="n">
        <v>0.28</v>
      </c>
      <c r="AF819" s="22" t="n">
        <v>2</v>
      </c>
      <c r="AG819" s="22" t="n">
        <v>48</v>
      </c>
      <c r="AH819" s="22" t="n">
        <v>2</v>
      </c>
      <c r="AI819" s="22" t="s">
        <v>197</v>
      </c>
      <c r="AJ819" s="22" t="s">
        <v>197</v>
      </c>
      <c r="AK819" s="22" t="s">
        <v>197</v>
      </c>
      <c r="AL819" s="22" t="s">
        <v>197</v>
      </c>
      <c r="AM819" s="7" t="s">
        <v>197</v>
      </c>
      <c r="AN819" s="22" t="s">
        <v>197</v>
      </c>
      <c r="AO819" s="22" t="s">
        <v>197</v>
      </c>
      <c r="AP819" s="22" t="s">
        <v>197</v>
      </c>
    </row>
    <row r="820" customFormat="false" ht="21.75" hidden="false" customHeight="true" outlineLevel="0" collapsed="false">
      <c r="B820" s="15" t="n">
        <v>816</v>
      </c>
      <c r="C820" s="9" t="s">
        <v>53</v>
      </c>
      <c r="D820" s="9" t="s">
        <v>23</v>
      </c>
      <c r="E820" s="9" t="s">
        <v>124</v>
      </c>
      <c r="F820" s="9" t="s">
        <v>62</v>
      </c>
      <c r="G820" s="9" t="s">
        <v>1990</v>
      </c>
      <c r="H820" s="9" t="s">
        <v>1979</v>
      </c>
      <c r="I820" s="9" t="s">
        <v>1980</v>
      </c>
      <c r="J820" s="9" t="s">
        <v>1981</v>
      </c>
      <c r="K820" s="9" t="s">
        <v>1982</v>
      </c>
      <c r="L820" s="9" t="s">
        <v>1983</v>
      </c>
      <c r="M820" s="9" t="s">
        <v>1984</v>
      </c>
      <c r="N820" s="9" t="s">
        <v>1985</v>
      </c>
      <c r="O820" s="9" t="s">
        <v>189</v>
      </c>
      <c r="P820" s="9" t="s">
        <v>1744</v>
      </c>
      <c r="Q820" s="9" t="s">
        <v>1986</v>
      </c>
      <c r="R820" s="9" t="s">
        <v>1519</v>
      </c>
      <c r="S820" s="9" t="s">
        <v>1987</v>
      </c>
      <c r="T820" s="9" t="s">
        <v>1988</v>
      </c>
      <c r="U820" s="19" t="n">
        <v>165</v>
      </c>
      <c r="V820" s="9"/>
      <c r="W820" s="9"/>
      <c r="X820" s="9" t="s">
        <v>199</v>
      </c>
      <c r="Y820" s="23" t="n">
        <v>0.059</v>
      </c>
      <c r="Z820" s="23" t="n">
        <v>0.28</v>
      </c>
      <c r="AA820" s="23" t="n">
        <v>12</v>
      </c>
      <c r="AB820" s="9" t="s">
        <v>1983</v>
      </c>
      <c r="AC820" s="9" t="s">
        <v>1989</v>
      </c>
      <c r="AD820" s="23" t="n">
        <v>0.059</v>
      </c>
      <c r="AE820" s="23" t="n">
        <v>0.28</v>
      </c>
      <c r="AF820" s="23" t="n">
        <v>2</v>
      </c>
      <c r="AG820" s="23" t="n">
        <v>48</v>
      </c>
      <c r="AH820" s="23" t="n">
        <v>2</v>
      </c>
      <c r="AI820" s="23" t="s">
        <v>197</v>
      </c>
      <c r="AJ820" s="23" t="s">
        <v>197</v>
      </c>
      <c r="AK820" s="23" t="s">
        <v>197</v>
      </c>
      <c r="AL820" s="23" t="s">
        <v>197</v>
      </c>
      <c r="AM820" s="9" t="s">
        <v>197</v>
      </c>
      <c r="AN820" s="23" t="s">
        <v>197</v>
      </c>
      <c r="AO820" s="23" t="s">
        <v>197</v>
      </c>
      <c r="AP820" s="23" t="s">
        <v>197</v>
      </c>
    </row>
    <row r="821" customFormat="false" ht="21.75" hidden="false" customHeight="true" outlineLevel="0" collapsed="false">
      <c r="B821" s="14" t="n">
        <v>817</v>
      </c>
      <c r="C821" s="7" t="s">
        <v>53</v>
      </c>
      <c r="D821" s="7" t="s">
        <v>23</v>
      </c>
      <c r="E821" s="7" t="s">
        <v>124</v>
      </c>
      <c r="F821" s="7" t="s">
        <v>62</v>
      </c>
      <c r="G821" s="7" t="s">
        <v>1991</v>
      </c>
      <c r="H821" s="7" t="s">
        <v>1979</v>
      </c>
      <c r="I821" s="7" t="s">
        <v>1980</v>
      </c>
      <c r="J821" s="7" t="s">
        <v>1981</v>
      </c>
      <c r="K821" s="7" t="s">
        <v>1982</v>
      </c>
      <c r="L821" s="7" t="s">
        <v>1983</v>
      </c>
      <c r="M821" s="7" t="s">
        <v>1984</v>
      </c>
      <c r="N821" s="7" t="s">
        <v>1985</v>
      </c>
      <c r="O821" s="7" t="s">
        <v>189</v>
      </c>
      <c r="P821" s="7" t="s">
        <v>1744</v>
      </c>
      <c r="Q821" s="7" t="s">
        <v>1986</v>
      </c>
      <c r="R821" s="7" t="s">
        <v>1519</v>
      </c>
      <c r="S821" s="7" t="s">
        <v>1987</v>
      </c>
      <c r="T821" s="7" t="s">
        <v>1988</v>
      </c>
      <c r="U821" s="18" t="n">
        <v>225</v>
      </c>
      <c r="V821" s="7"/>
      <c r="W821" s="7"/>
      <c r="X821" s="7" t="s">
        <v>1992</v>
      </c>
      <c r="Y821" s="22" t="n">
        <v>0.076</v>
      </c>
      <c r="Z821" s="22" t="n">
        <v>0.28</v>
      </c>
      <c r="AA821" s="22" t="n">
        <v>12</v>
      </c>
      <c r="AB821" s="7" t="s">
        <v>1983</v>
      </c>
      <c r="AC821" s="7" t="s">
        <v>1989</v>
      </c>
      <c r="AD821" s="22" t="n">
        <v>0.076</v>
      </c>
      <c r="AE821" s="22" t="n">
        <v>0.28</v>
      </c>
      <c r="AF821" s="22" t="n">
        <v>2</v>
      </c>
      <c r="AG821" s="22" t="n">
        <v>48</v>
      </c>
      <c r="AH821" s="22" t="n">
        <v>2</v>
      </c>
      <c r="AI821" s="22" t="s">
        <v>197</v>
      </c>
      <c r="AJ821" s="22" t="s">
        <v>197</v>
      </c>
      <c r="AK821" s="22" t="s">
        <v>197</v>
      </c>
      <c r="AL821" s="22" t="s">
        <v>197</v>
      </c>
      <c r="AM821" s="7" t="s">
        <v>197</v>
      </c>
      <c r="AN821" s="22" t="s">
        <v>197</v>
      </c>
      <c r="AO821" s="22" t="s">
        <v>197</v>
      </c>
      <c r="AP821" s="22" t="s">
        <v>197</v>
      </c>
    </row>
    <row r="822" customFormat="false" ht="21.75" hidden="false" customHeight="true" outlineLevel="0" collapsed="false">
      <c r="B822" s="15" t="n">
        <v>818</v>
      </c>
      <c r="C822" s="9" t="s">
        <v>53</v>
      </c>
      <c r="D822" s="9" t="s">
        <v>23</v>
      </c>
      <c r="E822" s="9" t="s">
        <v>124</v>
      </c>
      <c r="F822" s="9" t="s">
        <v>62</v>
      </c>
      <c r="G822" s="9" t="s">
        <v>1993</v>
      </c>
      <c r="H822" s="9" t="s">
        <v>1979</v>
      </c>
      <c r="I822" s="9" t="s">
        <v>1980</v>
      </c>
      <c r="J822" s="9" t="s">
        <v>1981</v>
      </c>
      <c r="K822" s="9" t="s">
        <v>1982</v>
      </c>
      <c r="L822" s="9" t="s">
        <v>1983</v>
      </c>
      <c r="M822" s="9" t="s">
        <v>1984</v>
      </c>
      <c r="N822" s="9" t="s">
        <v>1985</v>
      </c>
      <c r="O822" s="9" t="s">
        <v>189</v>
      </c>
      <c r="P822" s="9" t="s">
        <v>1744</v>
      </c>
      <c r="Q822" s="9" t="s">
        <v>1986</v>
      </c>
      <c r="R822" s="9" t="s">
        <v>1519</v>
      </c>
      <c r="S822" s="9" t="s">
        <v>1987</v>
      </c>
      <c r="T822" s="9" t="s">
        <v>1988</v>
      </c>
      <c r="U822" s="19" t="n">
        <v>335</v>
      </c>
      <c r="V822" s="9"/>
      <c r="W822" s="9"/>
      <c r="X822" s="9" t="s">
        <v>203</v>
      </c>
      <c r="Y822" s="23" t="n">
        <v>0.078</v>
      </c>
      <c r="Z822" s="23" t="n">
        <v>0.28</v>
      </c>
      <c r="AA822" s="23" t="n">
        <v>12</v>
      </c>
      <c r="AB822" s="9" t="s">
        <v>1983</v>
      </c>
      <c r="AC822" s="9" t="s">
        <v>1989</v>
      </c>
      <c r="AD822" s="23" t="n">
        <v>0.078</v>
      </c>
      <c r="AE822" s="23" t="n">
        <v>0.28</v>
      </c>
      <c r="AF822" s="23" t="n">
        <v>2</v>
      </c>
      <c r="AG822" s="23" t="n">
        <v>48</v>
      </c>
      <c r="AH822" s="23" t="n">
        <v>2</v>
      </c>
      <c r="AI822" s="23" t="s">
        <v>197</v>
      </c>
      <c r="AJ822" s="23" t="s">
        <v>197</v>
      </c>
      <c r="AK822" s="23" t="s">
        <v>197</v>
      </c>
      <c r="AL822" s="23" t="s">
        <v>197</v>
      </c>
      <c r="AM822" s="9" t="s">
        <v>197</v>
      </c>
      <c r="AN822" s="23" t="s">
        <v>197</v>
      </c>
      <c r="AO822" s="23" t="s">
        <v>197</v>
      </c>
      <c r="AP822" s="23" t="s">
        <v>197</v>
      </c>
    </row>
    <row r="823" customFormat="false" ht="21.75" hidden="false" customHeight="true" outlineLevel="0" collapsed="false">
      <c r="B823" s="14" t="n">
        <v>819</v>
      </c>
      <c r="C823" s="7" t="s">
        <v>53</v>
      </c>
      <c r="D823" s="7" t="s">
        <v>23</v>
      </c>
      <c r="E823" s="7" t="s">
        <v>124</v>
      </c>
      <c r="F823" s="7" t="s">
        <v>62</v>
      </c>
      <c r="G823" s="7" t="s">
        <v>1994</v>
      </c>
      <c r="H823" s="7" t="s">
        <v>1979</v>
      </c>
      <c r="I823" s="7" t="s">
        <v>1980</v>
      </c>
      <c r="J823" s="7" t="s">
        <v>1981</v>
      </c>
      <c r="K823" s="7" t="s">
        <v>1982</v>
      </c>
      <c r="L823" s="7" t="s">
        <v>1983</v>
      </c>
      <c r="M823" s="7" t="s">
        <v>1984</v>
      </c>
      <c r="N823" s="7" t="s">
        <v>1985</v>
      </c>
      <c r="O823" s="7" t="s">
        <v>189</v>
      </c>
      <c r="P823" s="7" t="s">
        <v>1744</v>
      </c>
      <c r="Q823" s="7" t="s">
        <v>1986</v>
      </c>
      <c r="R823" s="7" t="s">
        <v>1519</v>
      </c>
      <c r="S823" s="7" t="s">
        <v>1987</v>
      </c>
      <c r="T823" s="7" t="s">
        <v>1988</v>
      </c>
      <c r="U823" s="18" t="n">
        <v>495</v>
      </c>
      <c r="V823" s="7"/>
      <c r="W823" s="7"/>
      <c r="X823" s="7" t="s">
        <v>205</v>
      </c>
      <c r="Y823" s="22" t="n">
        <v>0.07</v>
      </c>
      <c r="Z823" s="22" t="n">
        <v>0.28</v>
      </c>
      <c r="AA823" s="22" t="n">
        <v>12</v>
      </c>
      <c r="AB823" s="7" t="s">
        <v>1983</v>
      </c>
      <c r="AC823" s="7" t="s">
        <v>1989</v>
      </c>
      <c r="AD823" s="22" t="n">
        <v>0.07</v>
      </c>
      <c r="AE823" s="22" t="n">
        <v>0.28</v>
      </c>
      <c r="AF823" s="22" t="n">
        <v>2</v>
      </c>
      <c r="AG823" s="22" t="n">
        <v>48</v>
      </c>
      <c r="AH823" s="22" t="n">
        <v>2</v>
      </c>
      <c r="AI823" s="22" t="s">
        <v>197</v>
      </c>
      <c r="AJ823" s="22" t="s">
        <v>197</v>
      </c>
      <c r="AK823" s="22" t="s">
        <v>197</v>
      </c>
      <c r="AL823" s="22" t="s">
        <v>197</v>
      </c>
      <c r="AM823" s="7" t="s">
        <v>197</v>
      </c>
      <c r="AN823" s="22" t="s">
        <v>197</v>
      </c>
      <c r="AO823" s="22" t="s">
        <v>197</v>
      </c>
      <c r="AP823" s="22" t="s">
        <v>197</v>
      </c>
    </row>
    <row r="824" customFormat="false" ht="21.75" hidden="false" customHeight="true" outlineLevel="0" collapsed="false">
      <c r="B824" s="15" t="n">
        <v>820</v>
      </c>
      <c r="C824" s="9" t="s">
        <v>53</v>
      </c>
      <c r="D824" s="9" t="s">
        <v>23</v>
      </c>
      <c r="E824" s="9" t="s">
        <v>124</v>
      </c>
      <c r="F824" s="9" t="s">
        <v>63</v>
      </c>
      <c r="G824" s="9" t="s">
        <v>1995</v>
      </c>
      <c r="H824" s="9" t="s">
        <v>1996</v>
      </c>
      <c r="I824" s="9" t="s">
        <v>1997</v>
      </c>
      <c r="J824" s="9" t="s">
        <v>1998</v>
      </c>
      <c r="K824" s="9" t="s">
        <v>1999</v>
      </c>
      <c r="L824" s="9" t="s">
        <v>1983</v>
      </c>
      <c r="M824" s="9" t="s">
        <v>518</v>
      </c>
      <c r="N824" s="9" t="s">
        <v>189</v>
      </c>
      <c r="O824" s="9" t="s">
        <v>189</v>
      </c>
      <c r="P824" s="9" t="s">
        <v>1744</v>
      </c>
      <c r="Q824" s="9" t="s">
        <v>2000</v>
      </c>
      <c r="R824" s="9" t="s">
        <v>290</v>
      </c>
      <c r="S824" s="9" t="s">
        <v>1987</v>
      </c>
      <c r="T824" s="9" t="s">
        <v>2001</v>
      </c>
      <c r="U824" s="19" t="n">
        <v>25</v>
      </c>
      <c r="V824" s="9"/>
      <c r="W824" s="9"/>
      <c r="X824" s="9" t="s">
        <v>195</v>
      </c>
      <c r="Y824" s="23" t="n">
        <v>0.033</v>
      </c>
      <c r="Z824" s="23" t="n">
        <v>0.065</v>
      </c>
      <c r="AA824" s="23" t="n">
        <v>12</v>
      </c>
      <c r="AB824" s="9" t="s">
        <v>1983</v>
      </c>
      <c r="AC824" s="9" t="s">
        <v>2002</v>
      </c>
      <c r="AD824" s="23" t="s">
        <v>197</v>
      </c>
      <c r="AE824" s="23" t="s">
        <v>197</v>
      </c>
      <c r="AF824" s="23" t="s">
        <v>197</v>
      </c>
      <c r="AG824" s="23" t="s">
        <v>197</v>
      </c>
      <c r="AH824" s="23" t="s">
        <v>197</v>
      </c>
      <c r="AI824" s="23" t="s">
        <v>197</v>
      </c>
      <c r="AJ824" s="23" t="s">
        <v>197</v>
      </c>
      <c r="AK824" s="23" t="s">
        <v>197</v>
      </c>
      <c r="AL824" s="23" t="s">
        <v>197</v>
      </c>
      <c r="AM824" s="9" t="s">
        <v>197</v>
      </c>
      <c r="AN824" s="23" t="s">
        <v>197</v>
      </c>
      <c r="AO824" s="23" t="n">
        <v>1.2</v>
      </c>
      <c r="AP824" s="23" t="n">
        <v>1.6</v>
      </c>
    </row>
    <row r="825" customFormat="false" ht="21.75" hidden="false" customHeight="true" outlineLevel="0" collapsed="false">
      <c r="B825" s="14" t="n">
        <v>821</v>
      </c>
      <c r="C825" s="7" t="s">
        <v>53</v>
      </c>
      <c r="D825" s="7" t="s">
        <v>23</v>
      </c>
      <c r="E825" s="7" t="s">
        <v>124</v>
      </c>
      <c r="F825" s="7" t="s">
        <v>63</v>
      </c>
      <c r="G825" s="7" t="s">
        <v>2003</v>
      </c>
      <c r="H825" s="7" t="s">
        <v>1996</v>
      </c>
      <c r="I825" s="7" t="s">
        <v>1997</v>
      </c>
      <c r="J825" s="7" t="s">
        <v>1998</v>
      </c>
      <c r="K825" s="7" t="s">
        <v>1999</v>
      </c>
      <c r="L825" s="7" t="s">
        <v>1983</v>
      </c>
      <c r="M825" s="7" t="s">
        <v>518</v>
      </c>
      <c r="N825" s="7" t="s">
        <v>189</v>
      </c>
      <c r="O825" s="7" t="s">
        <v>189</v>
      </c>
      <c r="P825" s="7" t="s">
        <v>1744</v>
      </c>
      <c r="Q825" s="7" t="s">
        <v>2000</v>
      </c>
      <c r="R825" s="7" t="s">
        <v>290</v>
      </c>
      <c r="S825" s="7" t="s">
        <v>1987</v>
      </c>
      <c r="T825" s="7" t="s">
        <v>2001</v>
      </c>
      <c r="U825" s="18" t="n">
        <v>40</v>
      </c>
      <c r="V825" s="7"/>
      <c r="W825" s="7"/>
      <c r="X825" s="7" t="s">
        <v>199</v>
      </c>
      <c r="Y825" s="22" t="n">
        <v>0.047</v>
      </c>
      <c r="Z825" s="22" t="n">
        <v>0.088</v>
      </c>
      <c r="AA825" s="22" t="n">
        <v>12</v>
      </c>
      <c r="AB825" s="7" t="s">
        <v>1983</v>
      </c>
      <c r="AC825" s="7" t="s">
        <v>2002</v>
      </c>
      <c r="AD825" s="22" t="s">
        <v>197</v>
      </c>
      <c r="AE825" s="22" t="s">
        <v>197</v>
      </c>
      <c r="AF825" s="22" t="s">
        <v>197</v>
      </c>
      <c r="AG825" s="22" t="s">
        <v>197</v>
      </c>
      <c r="AH825" s="22" t="s">
        <v>197</v>
      </c>
      <c r="AI825" s="22" t="s">
        <v>197</v>
      </c>
      <c r="AJ825" s="22" t="s">
        <v>197</v>
      </c>
      <c r="AK825" s="22" t="s">
        <v>197</v>
      </c>
      <c r="AL825" s="22" t="s">
        <v>197</v>
      </c>
      <c r="AM825" s="7" t="s">
        <v>197</v>
      </c>
      <c r="AN825" s="22" t="s">
        <v>197</v>
      </c>
      <c r="AO825" s="22" t="n">
        <v>1.2</v>
      </c>
      <c r="AP825" s="22" t="n">
        <v>1.6</v>
      </c>
    </row>
    <row r="826" customFormat="false" ht="21.75" hidden="false" customHeight="true" outlineLevel="0" collapsed="false">
      <c r="B826" s="15" t="n">
        <v>822</v>
      </c>
      <c r="C826" s="9" t="s">
        <v>53</v>
      </c>
      <c r="D826" s="9" t="s">
        <v>23</v>
      </c>
      <c r="E826" s="9" t="s">
        <v>124</v>
      </c>
      <c r="F826" s="9" t="s">
        <v>63</v>
      </c>
      <c r="G826" s="9" t="s">
        <v>2004</v>
      </c>
      <c r="H826" s="9" t="s">
        <v>1996</v>
      </c>
      <c r="I826" s="9" t="s">
        <v>1997</v>
      </c>
      <c r="J826" s="9" t="s">
        <v>1998</v>
      </c>
      <c r="K826" s="9" t="s">
        <v>1999</v>
      </c>
      <c r="L826" s="9" t="s">
        <v>1983</v>
      </c>
      <c r="M826" s="9" t="s">
        <v>518</v>
      </c>
      <c r="N826" s="9" t="s">
        <v>189</v>
      </c>
      <c r="O826" s="9" t="s">
        <v>189</v>
      </c>
      <c r="P826" s="9" t="s">
        <v>1744</v>
      </c>
      <c r="Q826" s="9" t="s">
        <v>2000</v>
      </c>
      <c r="R826" s="9" t="s">
        <v>290</v>
      </c>
      <c r="S826" s="9" t="s">
        <v>1987</v>
      </c>
      <c r="T826" s="9" t="s">
        <v>2001</v>
      </c>
      <c r="U826" s="19" t="n">
        <v>55</v>
      </c>
      <c r="V826" s="9"/>
      <c r="W826" s="9"/>
      <c r="X826" s="9" t="s">
        <v>2005</v>
      </c>
      <c r="Y826" s="23" t="n">
        <v>0.048</v>
      </c>
      <c r="Z826" s="23" t="n">
        <v>0.091</v>
      </c>
      <c r="AA826" s="23" t="n">
        <v>12</v>
      </c>
      <c r="AB826" s="9" t="s">
        <v>1983</v>
      </c>
      <c r="AC826" s="9" t="s">
        <v>2002</v>
      </c>
      <c r="AD826" s="23" t="s">
        <v>197</v>
      </c>
      <c r="AE826" s="23" t="s">
        <v>197</v>
      </c>
      <c r="AF826" s="23" t="s">
        <v>197</v>
      </c>
      <c r="AG826" s="23" t="s">
        <v>197</v>
      </c>
      <c r="AH826" s="23" t="s">
        <v>197</v>
      </c>
      <c r="AI826" s="23" t="s">
        <v>197</v>
      </c>
      <c r="AJ826" s="23" t="s">
        <v>197</v>
      </c>
      <c r="AK826" s="23" t="s">
        <v>197</v>
      </c>
      <c r="AL826" s="23" t="s">
        <v>197</v>
      </c>
      <c r="AM826" s="9" t="s">
        <v>197</v>
      </c>
      <c r="AN826" s="23" t="s">
        <v>197</v>
      </c>
      <c r="AO826" s="23" t="n">
        <v>1.2</v>
      </c>
      <c r="AP826" s="23" t="n">
        <v>1.6</v>
      </c>
    </row>
    <row r="827" customFormat="false" ht="21.75" hidden="false" customHeight="true" outlineLevel="0" collapsed="false">
      <c r="B827" s="14" t="n">
        <v>823</v>
      </c>
      <c r="C827" s="7" t="s">
        <v>53</v>
      </c>
      <c r="D827" s="7" t="s">
        <v>23</v>
      </c>
      <c r="E827" s="7" t="s">
        <v>124</v>
      </c>
      <c r="F827" s="7" t="s">
        <v>63</v>
      </c>
      <c r="G827" s="7" t="s">
        <v>2006</v>
      </c>
      <c r="H827" s="7" t="s">
        <v>1996</v>
      </c>
      <c r="I827" s="7" t="s">
        <v>1997</v>
      </c>
      <c r="J827" s="7" t="s">
        <v>1998</v>
      </c>
      <c r="K827" s="7" t="s">
        <v>1999</v>
      </c>
      <c r="L827" s="7" t="s">
        <v>1983</v>
      </c>
      <c r="M827" s="7" t="s">
        <v>518</v>
      </c>
      <c r="N827" s="7" t="s">
        <v>189</v>
      </c>
      <c r="O827" s="7" t="s">
        <v>189</v>
      </c>
      <c r="P827" s="7" t="s">
        <v>1744</v>
      </c>
      <c r="Q827" s="7" t="s">
        <v>2000</v>
      </c>
      <c r="R827" s="7" t="s">
        <v>290</v>
      </c>
      <c r="S827" s="7" t="s">
        <v>1987</v>
      </c>
      <c r="T827" s="7" t="s">
        <v>2001</v>
      </c>
      <c r="U827" s="18" t="n">
        <v>85</v>
      </c>
      <c r="V827" s="7"/>
      <c r="W827" s="7"/>
      <c r="X827" s="7" t="s">
        <v>203</v>
      </c>
      <c r="Y827" s="22" t="n">
        <v>0.06</v>
      </c>
      <c r="Z827" s="22" t="n">
        <v>0.109</v>
      </c>
      <c r="AA827" s="22" t="n">
        <v>12</v>
      </c>
      <c r="AB827" s="7" t="s">
        <v>1983</v>
      </c>
      <c r="AC827" s="7" t="s">
        <v>2002</v>
      </c>
      <c r="AD827" s="22" t="s">
        <v>197</v>
      </c>
      <c r="AE827" s="22" t="s">
        <v>197</v>
      </c>
      <c r="AF827" s="22" t="s">
        <v>197</v>
      </c>
      <c r="AG827" s="22" t="s">
        <v>197</v>
      </c>
      <c r="AH827" s="22" t="s">
        <v>197</v>
      </c>
      <c r="AI827" s="22" t="s">
        <v>197</v>
      </c>
      <c r="AJ827" s="22" t="s">
        <v>197</v>
      </c>
      <c r="AK827" s="22" t="s">
        <v>197</v>
      </c>
      <c r="AL827" s="22" t="s">
        <v>197</v>
      </c>
      <c r="AM827" s="7" t="s">
        <v>197</v>
      </c>
      <c r="AN827" s="22" t="s">
        <v>197</v>
      </c>
      <c r="AO827" s="22" t="n">
        <v>1.2</v>
      </c>
      <c r="AP827" s="22" t="n">
        <v>1.6</v>
      </c>
    </row>
    <row r="828" customFormat="false" ht="21.75" hidden="false" customHeight="true" outlineLevel="0" collapsed="false">
      <c r="B828" s="15" t="n">
        <v>824</v>
      </c>
      <c r="C828" s="9" t="s">
        <v>53</v>
      </c>
      <c r="D828" s="9" t="s">
        <v>23</v>
      </c>
      <c r="E828" s="9" t="s">
        <v>124</v>
      </c>
      <c r="F828" s="9" t="s">
        <v>63</v>
      </c>
      <c r="G828" s="9" t="s">
        <v>2007</v>
      </c>
      <c r="H828" s="9" t="s">
        <v>1996</v>
      </c>
      <c r="I828" s="9" t="s">
        <v>1997</v>
      </c>
      <c r="J828" s="9" t="s">
        <v>1998</v>
      </c>
      <c r="K828" s="9" t="s">
        <v>1999</v>
      </c>
      <c r="L828" s="9" t="s">
        <v>1983</v>
      </c>
      <c r="M828" s="9" t="s">
        <v>518</v>
      </c>
      <c r="N828" s="9" t="s">
        <v>189</v>
      </c>
      <c r="O828" s="9" t="s">
        <v>189</v>
      </c>
      <c r="P828" s="9" t="s">
        <v>1744</v>
      </c>
      <c r="Q828" s="9" t="s">
        <v>2000</v>
      </c>
      <c r="R828" s="9" t="s">
        <v>290</v>
      </c>
      <c r="S828" s="9" t="s">
        <v>1987</v>
      </c>
      <c r="T828" s="9" t="s">
        <v>2001</v>
      </c>
      <c r="U828" s="19" t="n">
        <v>125</v>
      </c>
      <c r="V828" s="9"/>
      <c r="W828" s="9"/>
      <c r="X828" s="9" t="s">
        <v>205</v>
      </c>
      <c r="Y828" s="23" t="n">
        <v>0.041</v>
      </c>
      <c r="Z828" s="23" t="n">
        <v>0.078</v>
      </c>
      <c r="AA828" s="23" t="n">
        <v>12</v>
      </c>
      <c r="AB828" s="9" t="s">
        <v>1983</v>
      </c>
      <c r="AC828" s="9" t="s">
        <v>2002</v>
      </c>
      <c r="AD828" s="23" t="s">
        <v>197</v>
      </c>
      <c r="AE828" s="23" t="s">
        <v>197</v>
      </c>
      <c r="AF828" s="23" t="s">
        <v>197</v>
      </c>
      <c r="AG828" s="23" t="s">
        <v>197</v>
      </c>
      <c r="AH828" s="23" t="s">
        <v>197</v>
      </c>
      <c r="AI828" s="23" t="s">
        <v>197</v>
      </c>
      <c r="AJ828" s="23" t="s">
        <v>197</v>
      </c>
      <c r="AK828" s="23" t="s">
        <v>197</v>
      </c>
      <c r="AL828" s="23" t="s">
        <v>197</v>
      </c>
      <c r="AM828" s="9" t="s">
        <v>197</v>
      </c>
      <c r="AN828" s="23" t="s">
        <v>197</v>
      </c>
      <c r="AO828" s="23" t="n">
        <v>1.2</v>
      </c>
      <c r="AP828" s="23" t="n">
        <v>1.6</v>
      </c>
    </row>
    <row r="829" customFormat="false" ht="21.75" hidden="false" customHeight="true" outlineLevel="0" collapsed="false">
      <c r="B829" s="14" t="n">
        <v>825</v>
      </c>
      <c r="C829" s="7" t="s">
        <v>53</v>
      </c>
      <c r="D829" s="7" t="s">
        <v>23</v>
      </c>
      <c r="E829" s="7" t="s">
        <v>124</v>
      </c>
      <c r="F829" s="7" t="s">
        <v>64</v>
      </c>
      <c r="G829" s="7" t="s">
        <v>2008</v>
      </c>
      <c r="H829" s="7" t="s">
        <v>247</v>
      </c>
      <c r="I829" s="7" t="s">
        <v>2009</v>
      </c>
      <c r="J829" s="7" t="s">
        <v>2010</v>
      </c>
      <c r="K829" s="7" t="s">
        <v>1999</v>
      </c>
      <c r="L829" s="7" t="s">
        <v>1983</v>
      </c>
      <c r="M829" s="7" t="s">
        <v>518</v>
      </c>
      <c r="N829" s="7" t="s">
        <v>1914</v>
      </c>
      <c r="O829" s="7" t="s">
        <v>189</v>
      </c>
      <c r="P829" s="7" t="s">
        <v>1744</v>
      </c>
      <c r="Q829" s="7" t="s">
        <v>2011</v>
      </c>
      <c r="R829" s="7" t="s">
        <v>734</v>
      </c>
      <c r="S829" s="7" t="s">
        <v>1987</v>
      </c>
      <c r="T829" s="7" t="s">
        <v>507</v>
      </c>
      <c r="U829" s="18" t="n">
        <v>17</v>
      </c>
      <c r="V829" s="7"/>
      <c r="W829" s="7"/>
      <c r="X829" s="7" t="s">
        <v>195</v>
      </c>
      <c r="Y829" s="22" t="n">
        <v>1.765E-005</v>
      </c>
      <c r="Z829" s="22" t="n">
        <v>4.223E-005</v>
      </c>
      <c r="AA829" s="22" t="n">
        <v>3</v>
      </c>
      <c r="AB829" s="7" t="s">
        <v>1983</v>
      </c>
      <c r="AC829" s="7" t="s">
        <v>2012</v>
      </c>
      <c r="AD829" s="22" t="s">
        <v>197</v>
      </c>
      <c r="AE829" s="22" t="s">
        <v>197</v>
      </c>
      <c r="AF829" s="22" t="s">
        <v>197</v>
      </c>
      <c r="AG829" s="22" t="s">
        <v>197</v>
      </c>
      <c r="AH829" s="22" t="s">
        <v>197</v>
      </c>
      <c r="AI829" s="22" t="s">
        <v>197</v>
      </c>
      <c r="AJ829" s="22" t="n">
        <v>8</v>
      </c>
      <c r="AK829" s="22" t="s">
        <v>197</v>
      </c>
      <c r="AL829" s="22" t="n">
        <v>90</v>
      </c>
      <c r="AM829" s="7" t="s">
        <v>257</v>
      </c>
      <c r="AN829" s="22" t="s">
        <v>197</v>
      </c>
      <c r="AO829" s="22" t="n">
        <v>2</v>
      </c>
      <c r="AP829" s="22" t="n">
        <v>2.7</v>
      </c>
    </row>
    <row r="830" customFormat="false" ht="21.75" hidden="false" customHeight="true" outlineLevel="0" collapsed="false">
      <c r="B830" s="15" t="n">
        <v>826</v>
      </c>
      <c r="C830" s="9" t="s">
        <v>53</v>
      </c>
      <c r="D830" s="9" t="s">
        <v>23</v>
      </c>
      <c r="E830" s="9" t="s">
        <v>124</v>
      </c>
      <c r="F830" s="9" t="s">
        <v>64</v>
      </c>
      <c r="G830" s="9" t="s">
        <v>2013</v>
      </c>
      <c r="H830" s="9" t="s">
        <v>259</v>
      </c>
      <c r="I830" s="9" t="s">
        <v>2009</v>
      </c>
      <c r="J830" s="9" t="s">
        <v>2010</v>
      </c>
      <c r="K830" s="9" t="s">
        <v>1999</v>
      </c>
      <c r="L830" s="9" t="s">
        <v>1983</v>
      </c>
      <c r="M830" s="9" t="s">
        <v>518</v>
      </c>
      <c r="N830" s="9" t="s">
        <v>1914</v>
      </c>
      <c r="O830" s="9" t="s">
        <v>189</v>
      </c>
      <c r="P830" s="9" t="s">
        <v>1744</v>
      </c>
      <c r="Q830" s="9" t="s">
        <v>2011</v>
      </c>
      <c r="R830" s="9" t="s">
        <v>734</v>
      </c>
      <c r="S830" s="9" t="s">
        <v>1987</v>
      </c>
      <c r="T830" s="9" t="s">
        <v>507</v>
      </c>
      <c r="U830" s="19" t="n">
        <v>25</v>
      </c>
      <c r="V830" s="9"/>
      <c r="W830" s="9"/>
      <c r="X830" s="9" t="s">
        <v>199</v>
      </c>
      <c r="Y830" s="23" t="n">
        <v>1.488E-005</v>
      </c>
      <c r="Z830" s="23" t="n">
        <v>3.728E-005</v>
      </c>
      <c r="AA830" s="23" t="n">
        <v>3</v>
      </c>
      <c r="AB830" s="9" t="s">
        <v>1983</v>
      </c>
      <c r="AC830" s="9" t="s">
        <v>2012</v>
      </c>
      <c r="AD830" s="23" t="s">
        <v>197</v>
      </c>
      <c r="AE830" s="23" t="s">
        <v>197</v>
      </c>
      <c r="AF830" s="23" t="s">
        <v>197</v>
      </c>
      <c r="AG830" s="23" t="s">
        <v>197</v>
      </c>
      <c r="AH830" s="23" t="s">
        <v>197</v>
      </c>
      <c r="AI830" s="23" t="s">
        <v>197</v>
      </c>
      <c r="AJ830" s="23" t="n">
        <v>10</v>
      </c>
      <c r="AK830" s="23" t="s">
        <v>197</v>
      </c>
      <c r="AL830" s="23" t="n">
        <v>90</v>
      </c>
      <c r="AM830" s="9" t="s">
        <v>257</v>
      </c>
      <c r="AN830" s="23" t="s">
        <v>197</v>
      </c>
      <c r="AO830" s="23" t="n">
        <v>2</v>
      </c>
      <c r="AP830" s="23" t="n">
        <v>2.7</v>
      </c>
    </row>
    <row r="831" customFormat="false" ht="21.75" hidden="false" customHeight="true" outlineLevel="0" collapsed="false">
      <c r="B831" s="14" t="n">
        <v>827</v>
      </c>
      <c r="C831" s="7" t="s">
        <v>53</v>
      </c>
      <c r="D831" s="7" t="s">
        <v>23</v>
      </c>
      <c r="E831" s="7" t="s">
        <v>124</v>
      </c>
      <c r="F831" s="7" t="s">
        <v>64</v>
      </c>
      <c r="G831" s="7" t="s">
        <v>2014</v>
      </c>
      <c r="H831" s="7" t="s">
        <v>261</v>
      </c>
      <c r="I831" s="7" t="s">
        <v>2009</v>
      </c>
      <c r="J831" s="7" t="s">
        <v>2010</v>
      </c>
      <c r="K831" s="7" t="s">
        <v>1999</v>
      </c>
      <c r="L831" s="7" t="s">
        <v>1983</v>
      </c>
      <c r="M831" s="7" t="s">
        <v>518</v>
      </c>
      <c r="N831" s="7" t="s">
        <v>1914</v>
      </c>
      <c r="O831" s="7" t="s">
        <v>189</v>
      </c>
      <c r="P831" s="7" t="s">
        <v>1744</v>
      </c>
      <c r="Q831" s="7" t="s">
        <v>2011</v>
      </c>
      <c r="R831" s="7" t="s">
        <v>734</v>
      </c>
      <c r="S831" s="7" t="s">
        <v>1987</v>
      </c>
      <c r="T831" s="7" t="s">
        <v>507</v>
      </c>
      <c r="U831" s="18" t="n">
        <v>30</v>
      </c>
      <c r="V831" s="7"/>
      <c r="W831" s="7"/>
      <c r="X831" s="7" t="s">
        <v>2015</v>
      </c>
      <c r="Y831" s="22" t="n">
        <v>1.143E-005</v>
      </c>
      <c r="Z831" s="22" t="n">
        <v>3.112E-005</v>
      </c>
      <c r="AA831" s="22" t="n">
        <v>3</v>
      </c>
      <c r="AB831" s="7" t="s">
        <v>1983</v>
      </c>
      <c r="AC831" s="7" t="s">
        <v>2012</v>
      </c>
      <c r="AD831" s="22" t="s">
        <v>197</v>
      </c>
      <c r="AE831" s="22" t="s">
        <v>197</v>
      </c>
      <c r="AF831" s="22" t="s">
        <v>197</v>
      </c>
      <c r="AG831" s="22" t="s">
        <v>197</v>
      </c>
      <c r="AH831" s="22" t="s">
        <v>197</v>
      </c>
      <c r="AI831" s="22" t="s">
        <v>197</v>
      </c>
      <c r="AJ831" s="22" t="n">
        <v>12</v>
      </c>
      <c r="AK831" s="22" t="s">
        <v>197</v>
      </c>
      <c r="AL831" s="22" t="n">
        <v>90</v>
      </c>
      <c r="AM831" s="7" t="s">
        <v>257</v>
      </c>
      <c r="AN831" s="22" t="s">
        <v>197</v>
      </c>
      <c r="AO831" s="22" t="n">
        <v>2</v>
      </c>
      <c r="AP831" s="22" t="n">
        <v>2.7</v>
      </c>
    </row>
    <row r="832" customFormat="false" ht="21.75" hidden="false" customHeight="true" outlineLevel="0" collapsed="false">
      <c r="B832" s="15" t="n">
        <v>828</v>
      </c>
      <c r="C832" s="9" t="s">
        <v>53</v>
      </c>
      <c r="D832" s="9" t="s">
        <v>23</v>
      </c>
      <c r="E832" s="9" t="s">
        <v>124</v>
      </c>
      <c r="F832" s="9" t="s">
        <v>64</v>
      </c>
      <c r="G832" s="9" t="s">
        <v>2016</v>
      </c>
      <c r="H832" s="9" t="s">
        <v>264</v>
      </c>
      <c r="I832" s="9" t="s">
        <v>2009</v>
      </c>
      <c r="J832" s="9" t="s">
        <v>2010</v>
      </c>
      <c r="K832" s="9" t="s">
        <v>1999</v>
      </c>
      <c r="L832" s="9" t="s">
        <v>1983</v>
      </c>
      <c r="M832" s="9" t="s">
        <v>518</v>
      </c>
      <c r="N832" s="9" t="s">
        <v>1914</v>
      </c>
      <c r="O832" s="9" t="s">
        <v>189</v>
      </c>
      <c r="P832" s="9" t="s">
        <v>1744</v>
      </c>
      <c r="Q832" s="9" t="s">
        <v>2011</v>
      </c>
      <c r="R832" s="9" t="s">
        <v>734</v>
      </c>
      <c r="S832" s="9" t="s">
        <v>1987</v>
      </c>
      <c r="T832" s="9" t="s">
        <v>507</v>
      </c>
      <c r="U832" s="19" t="n">
        <v>50</v>
      </c>
      <c r="V832" s="9"/>
      <c r="W832" s="9"/>
      <c r="X832" s="9" t="s">
        <v>203</v>
      </c>
      <c r="Y832" s="23" t="n">
        <v>1.055E-005</v>
      </c>
      <c r="Z832" s="23" t="n">
        <v>2.955E-005</v>
      </c>
      <c r="AA832" s="23" t="n">
        <v>3</v>
      </c>
      <c r="AB832" s="9" t="s">
        <v>1983</v>
      </c>
      <c r="AC832" s="9" t="s">
        <v>2012</v>
      </c>
      <c r="AD832" s="23" t="s">
        <v>197</v>
      </c>
      <c r="AE832" s="23" t="s">
        <v>197</v>
      </c>
      <c r="AF832" s="23" t="s">
        <v>197</v>
      </c>
      <c r="AG832" s="23" t="s">
        <v>197</v>
      </c>
      <c r="AH832" s="23" t="s">
        <v>197</v>
      </c>
      <c r="AI832" s="23" t="s">
        <v>197</v>
      </c>
      <c r="AJ832" s="23" t="n">
        <v>12</v>
      </c>
      <c r="AK832" s="23" t="s">
        <v>197</v>
      </c>
      <c r="AL832" s="23" t="n">
        <v>110</v>
      </c>
      <c r="AM832" s="9" t="s">
        <v>257</v>
      </c>
      <c r="AN832" s="23" t="s">
        <v>197</v>
      </c>
      <c r="AO832" s="23" t="n">
        <v>2</v>
      </c>
      <c r="AP832" s="23" t="n">
        <v>2.7</v>
      </c>
    </row>
    <row r="833" customFormat="false" ht="21.75" hidden="false" customHeight="true" outlineLevel="0" collapsed="false">
      <c r="B833" s="14" t="n">
        <v>829</v>
      </c>
      <c r="C833" s="7" t="s">
        <v>53</v>
      </c>
      <c r="D833" s="7" t="s">
        <v>23</v>
      </c>
      <c r="E833" s="7" t="s">
        <v>124</v>
      </c>
      <c r="F833" s="7" t="s">
        <v>64</v>
      </c>
      <c r="G833" s="7" t="s">
        <v>2017</v>
      </c>
      <c r="H833" s="7" t="s">
        <v>266</v>
      </c>
      <c r="I833" s="7" t="s">
        <v>2009</v>
      </c>
      <c r="J833" s="7" t="s">
        <v>2010</v>
      </c>
      <c r="K833" s="7" t="s">
        <v>1999</v>
      </c>
      <c r="L833" s="7" t="s">
        <v>1983</v>
      </c>
      <c r="M833" s="7" t="s">
        <v>518</v>
      </c>
      <c r="N833" s="7" t="s">
        <v>1914</v>
      </c>
      <c r="O833" s="7" t="s">
        <v>189</v>
      </c>
      <c r="P833" s="7" t="s">
        <v>1744</v>
      </c>
      <c r="Q833" s="7" t="s">
        <v>2011</v>
      </c>
      <c r="R833" s="7" t="s">
        <v>734</v>
      </c>
      <c r="S833" s="7" t="s">
        <v>1987</v>
      </c>
      <c r="T833" s="7" t="s">
        <v>507</v>
      </c>
      <c r="U833" s="18" t="n">
        <v>70</v>
      </c>
      <c r="V833" s="7"/>
      <c r="W833" s="7"/>
      <c r="X833" s="7" t="s">
        <v>205</v>
      </c>
      <c r="Y833" s="22" t="n">
        <v>2.055E-005</v>
      </c>
      <c r="Z833" s="22" t="n">
        <v>4.741E-005</v>
      </c>
      <c r="AA833" s="22" t="n">
        <v>3</v>
      </c>
      <c r="AB833" s="7" t="s">
        <v>1983</v>
      </c>
      <c r="AC833" s="7" t="s">
        <v>2012</v>
      </c>
      <c r="AD833" s="22" t="s">
        <v>197</v>
      </c>
      <c r="AE833" s="22" t="s">
        <v>197</v>
      </c>
      <c r="AF833" s="22" t="s">
        <v>197</v>
      </c>
      <c r="AG833" s="22" t="s">
        <v>197</v>
      </c>
      <c r="AH833" s="22" t="s">
        <v>197</v>
      </c>
      <c r="AI833" s="22" t="s">
        <v>197</v>
      </c>
      <c r="AJ833" s="22" t="n">
        <v>15</v>
      </c>
      <c r="AK833" s="22" t="s">
        <v>197</v>
      </c>
      <c r="AL833" s="22" t="n">
        <v>110</v>
      </c>
      <c r="AM833" s="7" t="s">
        <v>257</v>
      </c>
      <c r="AN833" s="22" t="s">
        <v>197</v>
      </c>
      <c r="AO833" s="22" t="n">
        <v>2</v>
      </c>
      <c r="AP833" s="22" t="n">
        <v>2.7</v>
      </c>
    </row>
    <row r="834" customFormat="false" ht="21.75" hidden="false" customHeight="true" outlineLevel="0" collapsed="false">
      <c r="B834" s="15" t="n">
        <v>830</v>
      </c>
      <c r="C834" s="9" t="s">
        <v>53</v>
      </c>
      <c r="D834" s="9" t="s">
        <v>23</v>
      </c>
      <c r="E834" s="9" t="s">
        <v>124</v>
      </c>
      <c r="F834" s="9" t="s">
        <v>65</v>
      </c>
      <c r="G834" s="9" t="s">
        <v>2018</v>
      </c>
      <c r="H834" s="9" t="s">
        <v>247</v>
      </c>
      <c r="I834" s="9" t="s">
        <v>2019</v>
      </c>
      <c r="J834" s="9" t="s">
        <v>2020</v>
      </c>
      <c r="K834" s="9" t="s">
        <v>1999</v>
      </c>
      <c r="L834" s="9" t="s">
        <v>1983</v>
      </c>
      <c r="M834" s="9" t="s">
        <v>518</v>
      </c>
      <c r="N834" s="9" t="s">
        <v>1130</v>
      </c>
      <c r="O834" s="9" t="s">
        <v>189</v>
      </c>
      <c r="P834" s="9" t="s">
        <v>1744</v>
      </c>
      <c r="Q834" s="9" t="s">
        <v>2021</v>
      </c>
      <c r="R834" s="9" t="s">
        <v>689</v>
      </c>
      <c r="S834" s="9" t="s">
        <v>1987</v>
      </c>
      <c r="T834" s="9" t="s">
        <v>2022</v>
      </c>
      <c r="U834" s="19" t="n">
        <v>19</v>
      </c>
      <c r="V834" s="9"/>
      <c r="W834" s="9"/>
      <c r="X834" s="9" t="s">
        <v>195</v>
      </c>
      <c r="Y834" s="23" t="n">
        <v>8.88E-006</v>
      </c>
      <c r="Z834" s="23" t="n">
        <v>2.657E-005</v>
      </c>
      <c r="AA834" s="23" t="n">
        <v>3</v>
      </c>
      <c r="AB834" s="9" t="s">
        <v>1983</v>
      </c>
      <c r="AC834" s="9" t="s">
        <v>2012</v>
      </c>
      <c r="AD834" s="23" t="s">
        <v>197</v>
      </c>
      <c r="AE834" s="23" t="s">
        <v>197</v>
      </c>
      <c r="AF834" s="23" t="s">
        <v>197</v>
      </c>
      <c r="AG834" s="23" t="s">
        <v>197</v>
      </c>
      <c r="AH834" s="23" t="s">
        <v>197</v>
      </c>
      <c r="AI834" s="23" t="s">
        <v>197</v>
      </c>
      <c r="AJ834" s="23" t="n">
        <v>8</v>
      </c>
      <c r="AK834" s="23" t="s">
        <v>197</v>
      </c>
      <c r="AL834" s="23" t="n">
        <v>90</v>
      </c>
      <c r="AM834" s="9" t="s">
        <v>257</v>
      </c>
      <c r="AN834" s="23" t="s">
        <v>197</v>
      </c>
      <c r="AO834" s="23" t="n">
        <v>2</v>
      </c>
      <c r="AP834" s="23" t="n">
        <v>2.7</v>
      </c>
    </row>
    <row r="835" customFormat="false" ht="21.75" hidden="false" customHeight="true" outlineLevel="0" collapsed="false">
      <c r="B835" s="14" t="n">
        <v>831</v>
      </c>
      <c r="C835" s="7" t="s">
        <v>53</v>
      </c>
      <c r="D835" s="7" t="s">
        <v>23</v>
      </c>
      <c r="E835" s="7" t="s">
        <v>124</v>
      </c>
      <c r="F835" s="7" t="s">
        <v>65</v>
      </c>
      <c r="G835" s="7" t="s">
        <v>2023</v>
      </c>
      <c r="H835" s="7" t="s">
        <v>259</v>
      </c>
      <c r="I835" s="7" t="s">
        <v>2019</v>
      </c>
      <c r="J835" s="7" t="s">
        <v>2020</v>
      </c>
      <c r="K835" s="7" t="s">
        <v>1999</v>
      </c>
      <c r="L835" s="7" t="s">
        <v>1983</v>
      </c>
      <c r="M835" s="7" t="s">
        <v>518</v>
      </c>
      <c r="N835" s="7" t="s">
        <v>1130</v>
      </c>
      <c r="O835" s="7" t="s">
        <v>189</v>
      </c>
      <c r="P835" s="7" t="s">
        <v>1744</v>
      </c>
      <c r="Q835" s="7" t="s">
        <v>2021</v>
      </c>
      <c r="R835" s="7" t="s">
        <v>689</v>
      </c>
      <c r="S835" s="7" t="s">
        <v>1987</v>
      </c>
      <c r="T835" s="7" t="s">
        <v>2022</v>
      </c>
      <c r="U835" s="18" t="n">
        <v>25</v>
      </c>
      <c r="V835" s="7"/>
      <c r="W835" s="7"/>
      <c r="X835" s="7" t="s">
        <v>199</v>
      </c>
      <c r="Y835" s="22" t="n">
        <v>1.004E-005</v>
      </c>
      <c r="Z835" s="22" t="n">
        <v>2.864E-005</v>
      </c>
      <c r="AA835" s="22" t="n">
        <v>3</v>
      </c>
      <c r="AB835" s="7" t="s">
        <v>1983</v>
      </c>
      <c r="AC835" s="7" t="s">
        <v>2012</v>
      </c>
      <c r="AD835" s="22" t="s">
        <v>197</v>
      </c>
      <c r="AE835" s="22" t="s">
        <v>197</v>
      </c>
      <c r="AF835" s="22" t="s">
        <v>197</v>
      </c>
      <c r="AG835" s="22" t="s">
        <v>197</v>
      </c>
      <c r="AH835" s="22" t="s">
        <v>197</v>
      </c>
      <c r="AI835" s="22" t="s">
        <v>197</v>
      </c>
      <c r="AJ835" s="22" t="n">
        <v>10</v>
      </c>
      <c r="AK835" s="22" t="s">
        <v>197</v>
      </c>
      <c r="AL835" s="22" t="n">
        <v>90</v>
      </c>
      <c r="AM835" s="7" t="s">
        <v>257</v>
      </c>
      <c r="AN835" s="22" t="s">
        <v>197</v>
      </c>
      <c r="AO835" s="22" t="n">
        <v>2</v>
      </c>
      <c r="AP835" s="22" t="n">
        <v>2.7</v>
      </c>
    </row>
    <row r="836" customFormat="false" ht="21.75" hidden="false" customHeight="true" outlineLevel="0" collapsed="false">
      <c r="B836" s="15" t="n">
        <v>832</v>
      </c>
      <c r="C836" s="9" t="s">
        <v>53</v>
      </c>
      <c r="D836" s="9" t="s">
        <v>23</v>
      </c>
      <c r="E836" s="9" t="s">
        <v>124</v>
      </c>
      <c r="F836" s="9" t="s">
        <v>65</v>
      </c>
      <c r="G836" s="9" t="s">
        <v>2024</v>
      </c>
      <c r="H836" s="9" t="s">
        <v>261</v>
      </c>
      <c r="I836" s="9" t="s">
        <v>2019</v>
      </c>
      <c r="J836" s="9" t="s">
        <v>2020</v>
      </c>
      <c r="K836" s="9" t="s">
        <v>1999</v>
      </c>
      <c r="L836" s="9" t="s">
        <v>1983</v>
      </c>
      <c r="M836" s="9" t="s">
        <v>518</v>
      </c>
      <c r="N836" s="9" t="s">
        <v>1130</v>
      </c>
      <c r="O836" s="9" t="s">
        <v>189</v>
      </c>
      <c r="P836" s="9" t="s">
        <v>1744</v>
      </c>
      <c r="Q836" s="9" t="s">
        <v>2021</v>
      </c>
      <c r="R836" s="9" t="s">
        <v>689</v>
      </c>
      <c r="S836" s="9" t="s">
        <v>1987</v>
      </c>
      <c r="T836" s="9" t="s">
        <v>2022</v>
      </c>
      <c r="U836" s="19" t="n">
        <v>35</v>
      </c>
      <c r="V836" s="9"/>
      <c r="W836" s="9"/>
      <c r="X836" s="9" t="s">
        <v>2025</v>
      </c>
      <c r="Y836" s="23" t="n">
        <v>1.529E-005</v>
      </c>
      <c r="Z836" s="23" t="n">
        <v>3.802E-005</v>
      </c>
      <c r="AA836" s="23" t="n">
        <v>3</v>
      </c>
      <c r="AB836" s="9" t="s">
        <v>1983</v>
      </c>
      <c r="AC836" s="9" t="s">
        <v>2012</v>
      </c>
      <c r="AD836" s="23" t="s">
        <v>197</v>
      </c>
      <c r="AE836" s="23" t="s">
        <v>197</v>
      </c>
      <c r="AF836" s="23" t="s">
        <v>197</v>
      </c>
      <c r="AG836" s="23" t="s">
        <v>197</v>
      </c>
      <c r="AH836" s="23" t="s">
        <v>197</v>
      </c>
      <c r="AI836" s="23" t="s">
        <v>197</v>
      </c>
      <c r="AJ836" s="23" t="n">
        <v>12</v>
      </c>
      <c r="AK836" s="23" t="s">
        <v>197</v>
      </c>
      <c r="AL836" s="23" t="n">
        <v>90</v>
      </c>
      <c r="AM836" s="9" t="s">
        <v>257</v>
      </c>
      <c r="AN836" s="23" t="s">
        <v>197</v>
      </c>
      <c r="AO836" s="23" t="n">
        <v>2</v>
      </c>
      <c r="AP836" s="23" t="n">
        <v>2.7</v>
      </c>
    </row>
    <row r="837" customFormat="false" ht="21.75" hidden="false" customHeight="true" outlineLevel="0" collapsed="false">
      <c r="B837" s="14" t="n">
        <v>833</v>
      </c>
      <c r="C837" s="7" t="s">
        <v>53</v>
      </c>
      <c r="D837" s="7" t="s">
        <v>23</v>
      </c>
      <c r="E837" s="7" t="s">
        <v>124</v>
      </c>
      <c r="F837" s="7" t="s">
        <v>65</v>
      </c>
      <c r="G837" s="7" t="s">
        <v>2026</v>
      </c>
      <c r="H837" s="7" t="s">
        <v>281</v>
      </c>
      <c r="I837" s="7" t="s">
        <v>2019</v>
      </c>
      <c r="J837" s="7" t="s">
        <v>2020</v>
      </c>
      <c r="K837" s="7" t="s">
        <v>1999</v>
      </c>
      <c r="L837" s="7" t="s">
        <v>1983</v>
      </c>
      <c r="M837" s="7" t="s">
        <v>518</v>
      </c>
      <c r="N837" s="7" t="s">
        <v>1130</v>
      </c>
      <c r="O837" s="7" t="s">
        <v>189</v>
      </c>
      <c r="P837" s="7" t="s">
        <v>1744</v>
      </c>
      <c r="Q837" s="7" t="s">
        <v>2021</v>
      </c>
      <c r="R837" s="7" t="s">
        <v>689</v>
      </c>
      <c r="S837" s="7" t="s">
        <v>1987</v>
      </c>
      <c r="T837" s="7" t="s">
        <v>2022</v>
      </c>
      <c r="U837" s="18" t="n">
        <v>55</v>
      </c>
      <c r="V837" s="7"/>
      <c r="W837" s="7"/>
      <c r="X837" s="7" t="s">
        <v>203</v>
      </c>
      <c r="Y837" s="22" t="n">
        <v>8.44E-006</v>
      </c>
      <c r="Z837" s="22" t="n">
        <v>2.578E-005</v>
      </c>
      <c r="AA837" s="22" t="n">
        <v>3</v>
      </c>
      <c r="AB837" s="7" t="s">
        <v>1983</v>
      </c>
      <c r="AC837" s="7" t="s">
        <v>2012</v>
      </c>
      <c r="AD837" s="22" t="s">
        <v>197</v>
      </c>
      <c r="AE837" s="22" t="s">
        <v>197</v>
      </c>
      <c r="AF837" s="22" t="s">
        <v>197</v>
      </c>
      <c r="AG837" s="22" t="s">
        <v>197</v>
      </c>
      <c r="AH837" s="22" t="s">
        <v>197</v>
      </c>
      <c r="AI837" s="22" t="s">
        <v>197</v>
      </c>
      <c r="AJ837" s="22" t="n">
        <v>12</v>
      </c>
      <c r="AK837" s="22" t="s">
        <v>197</v>
      </c>
      <c r="AL837" s="22" t="n">
        <v>90</v>
      </c>
      <c r="AM837" s="7" t="s">
        <v>257</v>
      </c>
      <c r="AN837" s="22" t="s">
        <v>197</v>
      </c>
      <c r="AO837" s="22" t="n">
        <v>2</v>
      </c>
      <c r="AP837" s="22" t="n">
        <v>2.7</v>
      </c>
    </row>
    <row r="838" customFormat="false" ht="21.75" hidden="false" customHeight="true" outlineLevel="0" collapsed="false">
      <c r="B838" s="15" t="n">
        <v>834</v>
      </c>
      <c r="C838" s="9" t="s">
        <v>53</v>
      </c>
      <c r="D838" s="9" t="s">
        <v>23</v>
      </c>
      <c r="E838" s="9" t="s">
        <v>124</v>
      </c>
      <c r="F838" s="9" t="s">
        <v>65</v>
      </c>
      <c r="G838" s="9" t="s">
        <v>2027</v>
      </c>
      <c r="H838" s="9" t="s">
        <v>283</v>
      </c>
      <c r="I838" s="9" t="s">
        <v>2019</v>
      </c>
      <c r="J838" s="9" t="s">
        <v>2020</v>
      </c>
      <c r="K838" s="9" t="s">
        <v>1999</v>
      </c>
      <c r="L838" s="9" t="s">
        <v>1983</v>
      </c>
      <c r="M838" s="9" t="s">
        <v>518</v>
      </c>
      <c r="N838" s="9" t="s">
        <v>1130</v>
      </c>
      <c r="O838" s="9" t="s">
        <v>189</v>
      </c>
      <c r="P838" s="9" t="s">
        <v>1744</v>
      </c>
      <c r="Q838" s="9" t="s">
        <v>2021</v>
      </c>
      <c r="R838" s="9" t="s">
        <v>689</v>
      </c>
      <c r="S838" s="9" t="s">
        <v>1987</v>
      </c>
      <c r="T838" s="9" t="s">
        <v>2022</v>
      </c>
      <c r="U838" s="19" t="n">
        <v>80</v>
      </c>
      <c r="V838" s="9"/>
      <c r="W838" s="9"/>
      <c r="X838" s="9" t="s">
        <v>205</v>
      </c>
      <c r="Y838" s="23" t="n">
        <v>1.228E-005</v>
      </c>
      <c r="Z838" s="23" t="n">
        <v>3.265E-005</v>
      </c>
      <c r="AA838" s="23" t="n">
        <v>3</v>
      </c>
      <c r="AB838" s="9" t="s">
        <v>1983</v>
      </c>
      <c r="AC838" s="9" t="s">
        <v>2012</v>
      </c>
      <c r="AD838" s="23" t="s">
        <v>197</v>
      </c>
      <c r="AE838" s="23" t="s">
        <v>197</v>
      </c>
      <c r="AF838" s="23" t="s">
        <v>197</v>
      </c>
      <c r="AG838" s="23" t="s">
        <v>197</v>
      </c>
      <c r="AH838" s="23" t="s">
        <v>197</v>
      </c>
      <c r="AI838" s="23" t="s">
        <v>197</v>
      </c>
      <c r="AJ838" s="23" t="n">
        <v>15</v>
      </c>
      <c r="AK838" s="23" t="s">
        <v>197</v>
      </c>
      <c r="AL838" s="23" t="n">
        <v>90</v>
      </c>
      <c r="AM838" s="9" t="s">
        <v>257</v>
      </c>
      <c r="AN838" s="23" t="s">
        <v>197</v>
      </c>
      <c r="AO838" s="23" t="n">
        <v>2</v>
      </c>
      <c r="AP838" s="23" t="n">
        <v>2.7</v>
      </c>
    </row>
    <row r="839" customFormat="false" ht="21.75" hidden="false" customHeight="true" outlineLevel="0" collapsed="false">
      <c r="B839" s="14" t="n">
        <v>835</v>
      </c>
      <c r="C839" s="7" t="s">
        <v>53</v>
      </c>
      <c r="D839" s="7" t="s">
        <v>23</v>
      </c>
      <c r="E839" s="7" t="s">
        <v>124</v>
      </c>
      <c r="F839" s="7" t="s">
        <v>66</v>
      </c>
      <c r="G839" s="7" t="s">
        <v>2028</v>
      </c>
      <c r="H839" s="7" t="s">
        <v>285</v>
      </c>
      <c r="I839" s="7" t="s">
        <v>2029</v>
      </c>
      <c r="J839" s="7" t="s">
        <v>2030</v>
      </c>
      <c r="K839" s="7" t="s">
        <v>1999</v>
      </c>
      <c r="L839" s="7" t="s">
        <v>1983</v>
      </c>
      <c r="M839" s="7" t="s">
        <v>2031</v>
      </c>
      <c r="N839" s="7" t="s">
        <v>1671</v>
      </c>
      <c r="O839" s="7" t="s">
        <v>998</v>
      </c>
      <c r="P839" s="7" t="s">
        <v>1744</v>
      </c>
      <c r="Q839" s="7" t="s">
        <v>2032</v>
      </c>
      <c r="R839" s="7" t="s">
        <v>2033</v>
      </c>
      <c r="S839" s="7" t="s">
        <v>1987</v>
      </c>
      <c r="T839" s="7" t="s">
        <v>1001</v>
      </c>
      <c r="U839" s="18" t="n">
        <v>25</v>
      </c>
      <c r="V839" s="7"/>
      <c r="W839" s="7"/>
      <c r="X839" s="7" t="s">
        <v>195</v>
      </c>
      <c r="Y839" s="22" t="n">
        <v>0.019</v>
      </c>
      <c r="Z839" s="22" t="n">
        <v>0.029</v>
      </c>
      <c r="AA839" s="22" t="n">
        <v>12</v>
      </c>
      <c r="AB839" s="7" t="s">
        <v>1983</v>
      </c>
      <c r="AC839" s="7" t="s">
        <v>2012</v>
      </c>
      <c r="AD839" s="22" t="s">
        <v>197</v>
      </c>
      <c r="AE839" s="22" t="s">
        <v>197</v>
      </c>
      <c r="AF839" s="22" t="s">
        <v>197</v>
      </c>
      <c r="AG839" s="22" t="s">
        <v>197</v>
      </c>
      <c r="AH839" s="22" t="s">
        <v>197</v>
      </c>
      <c r="AI839" s="22" t="s">
        <v>197</v>
      </c>
      <c r="AJ839" s="22" t="s">
        <v>197</v>
      </c>
      <c r="AK839" s="22" t="n">
        <v>10</v>
      </c>
      <c r="AL839" s="22" t="n">
        <v>90</v>
      </c>
      <c r="AM839" s="7" t="s">
        <v>292</v>
      </c>
      <c r="AN839" s="22" t="s">
        <v>197</v>
      </c>
      <c r="AO839" s="22" t="n">
        <v>2</v>
      </c>
      <c r="AP839" s="22" t="n">
        <v>3</v>
      </c>
    </row>
    <row r="840" customFormat="false" ht="21.75" hidden="false" customHeight="true" outlineLevel="0" collapsed="false">
      <c r="B840" s="15" t="n">
        <v>836</v>
      </c>
      <c r="C840" s="9" t="s">
        <v>53</v>
      </c>
      <c r="D840" s="9" t="s">
        <v>23</v>
      </c>
      <c r="E840" s="9" t="s">
        <v>124</v>
      </c>
      <c r="F840" s="9" t="s">
        <v>66</v>
      </c>
      <c r="G840" s="9" t="s">
        <v>2034</v>
      </c>
      <c r="H840" s="9" t="s">
        <v>294</v>
      </c>
      <c r="I840" s="9" t="s">
        <v>2029</v>
      </c>
      <c r="J840" s="9" t="s">
        <v>2030</v>
      </c>
      <c r="K840" s="9" t="s">
        <v>1999</v>
      </c>
      <c r="L840" s="9" t="s">
        <v>1983</v>
      </c>
      <c r="M840" s="9" t="s">
        <v>2031</v>
      </c>
      <c r="N840" s="9" t="s">
        <v>1671</v>
      </c>
      <c r="O840" s="9" t="s">
        <v>998</v>
      </c>
      <c r="P840" s="9" t="s">
        <v>1744</v>
      </c>
      <c r="Q840" s="9" t="s">
        <v>2032</v>
      </c>
      <c r="R840" s="9" t="s">
        <v>2033</v>
      </c>
      <c r="S840" s="9" t="s">
        <v>1987</v>
      </c>
      <c r="T840" s="9" t="s">
        <v>1001</v>
      </c>
      <c r="U840" s="19" t="n">
        <v>35</v>
      </c>
      <c r="V840" s="9"/>
      <c r="W840" s="9"/>
      <c r="X840" s="9" t="s">
        <v>199</v>
      </c>
      <c r="Y840" s="23" t="n">
        <v>0.024</v>
      </c>
      <c r="Z840" s="23" t="n">
        <v>0.034</v>
      </c>
      <c r="AA840" s="23" t="n">
        <v>12</v>
      </c>
      <c r="AB840" s="9" t="s">
        <v>1983</v>
      </c>
      <c r="AC840" s="9" t="s">
        <v>2012</v>
      </c>
      <c r="AD840" s="23" t="s">
        <v>197</v>
      </c>
      <c r="AE840" s="23" t="s">
        <v>197</v>
      </c>
      <c r="AF840" s="23" t="s">
        <v>197</v>
      </c>
      <c r="AG840" s="23" t="s">
        <v>197</v>
      </c>
      <c r="AH840" s="23" t="s">
        <v>197</v>
      </c>
      <c r="AI840" s="23" t="s">
        <v>197</v>
      </c>
      <c r="AJ840" s="23" t="s">
        <v>197</v>
      </c>
      <c r="AK840" s="23" t="n">
        <v>12</v>
      </c>
      <c r="AL840" s="23" t="n">
        <v>90</v>
      </c>
      <c r="AM840" s="9" t="s">
        <v>292</v>
      </c>
      <c r="AN840" s="23" t="s">
        <v>197</v>
      </c>
      <c r="AO840" s="23" t="n">
        <v>2</v>
      </c>
      <c r="AP840" s="23" t="n">
        <v>3</v>
      </c>
    </row>
    <row r="841" customFormat="false" ht="21.75" hidden="false" customHeight="true" outlineLevel="0" collapsed="false">
      <c r="B841" s="14" t="n">
        <v>837</v>
      </c>
      <c r="C841" s="7" t="s">
        <v>53</v>
      </c>
      <c r="D841" s="7" t="s">
        <v>23</v>
      </c>
      <c r="E841" s="7" t="s">
        <v>124</v>
      </c>
      <c r="F841" s="7" t="s">
        <v>66</v>
      </c>
      <c r="G841" s="7" t="s">
        <v>2035</v>
      </c>
      <c r="H841" s="7" t="s">
        <v>296</v>
      </c>
      <c r="I841" s="7" t="s">
        <v>2029</v>
      </c>
      <c r="J841" s="7" t="s">
        <v>2030</v>
      </c>
      <c r="K841" s="7" t="s">
        <v>1999</v>
      </c>
      <c r="L841" s="7" t="s">
        <v>1983</v>
      </c>
      <c r="M841" s="7" t="s">
        <v>2031</v>
      </c>
      <c r="N841" s="7" t="s">
        <v>1671</v>
      </c>
      <c r="O841" s="7" t="s">
        <v>998</v>
      </c>
      <c r="P841" s="7" t="s">
        <v>1744</v>
      </c>
      <c r="Q841" s="7" t="s">
        <v>2032</v>
      </c>
      <c r="R841" s="7" t="s">
        <v>2033</v>
      </c>
      <c r="S841" s="7" t="s">
        <v>1987</v>
      </c>
      <c r="T841" s="7" t="s">
        <v>1001</v>
      </c>
      <c r="U841" s="18" t="n">
        <v>50</v>
      </c>
      <c r="V841" s="7"/>
      <c r="W841" s="7"/>
      <c r="X841" s="7" t="s">
        <v>2036</v>
      </c>
      <c r="Y841" s="22" t="n">
        <v>0.021</v>
      </c>
      <c r="Z841" s="22" t="n">
        <v>0.031</v>
      </c>
      <c r="AA841" s="22" t="n">
        <v>12</v>
      </c>
      <c r="AB841" s="7" t="s">
        <v>1983</v>
      </c>
      <c r="AC841" s="7" t="s">
        <v>2012</v>
      </c>
      <c r="AD841" s="22" t="s">
        <v>197</v>
      </c>
      <c r="AE841" s="22" t="s">
        <v>197</v>
      </c>
      <c r="AF841" s="22" t="s">
        <v>197</v>
      </c>
      <c r="AG841" s="22" t="s">
        <v>197</v>
      </c>
      <c r="AH841" s="22" t="s">
        <v>197</v>
      </c>
      <c r="AI841" s="22" t="s">
        <v>197</v>
      </c>
      <c r="AJ841" s="22" t="s">
        <v>197</v>
      </c>
      <c r="AK841" s="22" t="n">
        <v>12</v>
      </c>
      <c r="AL841" s="22" t="n">
        <v>90</v>
      </c>
      <c r="AM841" s="7" t="s">
        <v>292</v>
      </c>
      <c r="AN841" s="22" t="s">
        <v>197</v>
      </c>
      <c r="AO841" s="22" t="n">
        <v>2</v>
      </c>
      <c r="AP841" s="22" t="n">
        <v>3</v>
      </c>
    </row>
    <row r="842" customFormat="false" ht="21.75" hidden="false" customHeight="true" outlineLevel="0" collapsed="false">
      <c r="B842" s="15" t="n">
        <v>838</v>
      </c>
      <c r="C842" s="9" t="s">
        <v>53</v>
      </c>
      <c r="D842" s="9" t="s">
        <v>23</v>
      </c>
      <c r="E842" s="9" t="s">
        <v>124</v>
      </c>
      <c r="F842" s="9" t="s">
        <v>66</v>
      </c>
      <c r="G842" s="9" t="s">
        <v>2037</v>
      </c>
      <c r="H842" s="9" t="s">
        <v>299</v>
      </c>
      <c r="I842" s="9" t="s">
        <v>2029</v>
      </c>
      <c r="J842" s="9" t="s">
        <v>2030</v>
      </c>
      <c r="K842" s="9" t="s">
        <v>1999</v>
      </c>
      <c r="L842" s="9" t="s">
        <v>1983</v>
      </c>
      <c r="M842" s="9" t="s">
        <v>2031</v>
      </c>
      <c r="N842" s="9" t="s">
        <v>1671</v>
      </c>
      <c r="O842" s="9" t="s">
        <v>998</v>
      </c>
      <c r="P842" s="9" t="s">
        <v>1744</v>
      </c>
      <c r="Q842" s="9" t="s">
        <v>2032</v>
      </c>
      <c r="R842" s="9" t="s">
        <v>2033</v>
      </c>
      <c r="S842" s="9" t="s">
        <v>1987</v>
      </c>
      <c r="T842" s="9" t="s">
        <v>1001</v>
      </c>
      <c r="U842" s="19" t="n">
        <v>75</v>
      </c>
      <c r="V842" s="9"/>
      <c r="W842" s="9"/>
      <c r="X842" s="9" t="s">
        <v>203</v>
      </c>
      <c r="Y842" s="23" t="n">
        <v>0.025</v>
      </c>
      <c r="Z842" s="23" t="n">
        <v>0.035</v>
      </c>
      <c r="AA842" s="23" t="n">
        <v>12</v>
      </c>
      <c r="AB842" s="9" t="s">
        <v>1983</v>
      </c>
      <c r="AC842" s="9" t="s">
        <v>2012</v>
      </c>
      <c r="AD842" s="23" t="s">
        <v>197</v>
      </c>
      <c r="AE842" s="23" t="s">
        <v>197</v>
      </c>
      <c r="AF842" s="23" t="s">
        <v>197</v>
      </c>
      <c r="AG842" s="23" t="s">
        <v>197</v>
      </c>
      <c r="AH842" s="23" t="s">
        <v>197</v>
      </c>
      <c r="AI842" s="23" t="s">
        <v>197</v>
      </c>
      <c r="AJ842" s="23" t="s">
        <v>197</v>
      </c>
      <c r="AK842" s="23" t="n">
        <v>15</v>
      </c>
      <c r="AL842" s="23" t="n">
        <v>90</v>
      </c>
      <c r="AM842" s="9" t="s">
        <v>292</v>
      </c>
      <c r="AN842" s="23" t="s">
        <v>197</v>
      </c>
      <c r="AO842" s="23" t="n">
        <v>2</v>
      </c>
      <c r="AP842" s="23" t="n">
        <v>3</v>
      </c>
    </row>
    <row r="843" customFormat="false" ht="21.75" hidden="false" customHeight="true" outlineLevel="0" collapsed="false">
      <c r="B843" s="14" t="n">
        <v>839</v>
      </c>
      <c r="C843" s="7" t="s">
        <v>53</v>
      </c>
      <c r="D843" s="7" t="s">
        <v>23</v>
      </c>
      <c r="E843" s="7" t="s">
        <v>124</v>
      </c>
      <c r="F843" s="7" t="s">
        <v>66</v>
      </c>
      <c r="G843" s="7" t="s">
        <v>2038</v>
      </c>
      <c r="H843" s="7" t="s">
        <v>301</v>
      </c>
      <c r="I843" s="7" t="s">
        <v>2029</v>
      </c>
      <c r="J843" s="7" t="s">
        <v>2030</v>
      </c>
      <c r="K843" s="7" t="s">
        <v>1999</v>
      </c>
      <c r="L843" s="7" t="s">
        <v>1983</v>
      </c>
      <c r="M843" s="7" t="s">
        <v>2031</v>
      </c>
      <c r="N843" s="7" t="s">
        <v>1671</v>
      </c>
      <c r="O843" s="7" t="s">
        <v>998</v>
      </c>
      <c r="P843" s="7" t="s">
        <v>1744</v>
      </c>
      <c r="Q843" s="7" t="s">
        <v>2032</v>
      </c>
      <c r="R843" s="7" t="s">
        <v>2033</v>
      </c>
      <c r="S843" s="7" t="s">
        <v>1987</v>
      </c>
      <c r="T843" s="7" t="s">
        <v>1001</v>
      </c>
      <c r="U843" s="18" t="n">
        <v>110</v>
      </c>
      <c r="V843" s="7"/>
      <c r="W843" s="7"/>
      <c r="X843" s="7" t="s">
        <v>205</v>
      </c>
      <c r="Y843" s="22" t="n">
        <v>0.028</v>
      </c>
      <c r="Z843" s="22" t="n">
        <v>0.038</v>
      </c>
      <c r="AA843" s="22" t="n">
        <v>12</v>
      </c>
      <c r="AB843" s="7" t="s">
        <v>1983</v>
      </c>
      <c r="AC843" s="7" t="s">
        <v>2012</v>
      </c>
      <c r="AD843" s="22" t="s">
        <v>197</v>
      </c>
      <c r="AE843" s="22" t="s">
        <v>197</v>
      </c>
      <c r="AF843" s="22" t="s">
        <v>197</v>
      </c>
      <c r="AG843" s="22" t="s">
        <v>197</v>
      </c>
      <c r="AH843" s="22" t="s">
        <v>197</v>
      </c>
      <c r="AI843" s="22" t="s">
        <v>197</v>
      </c>
      <c r="AJ843" s="22" t="s">
        <v>197</v>
      </c>
      <c r="AK843" s="22" t="n">
        <v>20</v>
      </c>
      <c r="AL843" s="22" t="n">
        <v>90</v>
      </c>
      <c r="AM843" s="7" t="s">
        <v>292</v>
      </c>
      <c r="AN843" s="22" t="s">
        <v>197</v>
      </c>
      <c r="AO843" s="22" t="n">
        <v>2</v>
      </c>
      <c r="AP843" s="22" t="n">
        <v>3</v>
      </c>
    </row>
    <row r="844" customFormat="false" ht="21.75" hidden="false" customHeight="true" outlineLevel="0" collapsed="false">
      <c r="B844" s="15" t="n">
        <v>840</v>
      </c>
      <c r="C844" s="9" t="s">
        <v>53</v>
      </c>
      <c r="D844" s="9" t="s">
        <v>23</v>
      </c>
      <c r="E844" s="9" t="s">
        <v>124</v>
      </c>
      <c r="F844" s="9" t="s">
        <v>67</v>
      </c>
      <c r="G844" s="9" t="s">
        <v>2039</v>
      </c>
      <c r="H844" s="9" t="s">
        <v>303</v>
      </c>
      <c r="I844" s="9" t="s">
        <v>2040</v>
      </c>
      <c r="J844" s="9" t="s">
        <v>2041</v>
      </c>
      <c r="K844" s="9" t="s">
        <v>1999</v>
      </c>
      <c r="L844" s="9" t="s">
        <v>1983</v>
      </c>
      <c r="M844" s="9" t="s">
        <v>542</v>
      </c>
      <c r="N844" s="9" t="s">
        <v>543</v>
      </c>
      <c r="O844" s="9" t="s">
        <v>189</v>
      </c>
      <c r="P844" s="9" t="s">
        <v>1744</v>
      </c>
      <c r="Q844" s="9" t="s">
        <v>2042</v>
      </c>
      <c r="R844" s="9" t="s">
        <v>1816</v>
      </c>
      <c r="S844" s="9" t="s">
        <v>1987</v>
      </c>
      <c r="T844" s="9" t="s">
        <v>309</v>
      </c>
      <c r="U844" s="19" t="n">
        <v>12</v>
      </c>
      <c r="V844" s="9"/>
      <c r="W844" s="9"/>
      <c r="X844" s="9" t="s">
        <v>195</v>
      </c>
      <c r="Y844" s="23" t="n">
        <v>1.333E-005</v>
      </c>
      <c r="Z844" s="23" t="n">
        <v>2.875E-005</v>
      </c>
      <c r="AA844" s="23" t="n">
        <v>3</v>
      </c>
      <c r="AB844" s="9" t="s">
        <v>1983</v>
      </c>
      <c r="AC844" s="9" t="s">
        <v>2043</v>
      </c>
      <c r="AD844" s="23" t="s">
        <v>197</v>
      </c>
      <c r="AE844" s="23" t="s">
        <v>197</v>
      </c>
      <c r="AF844" s="23" t="s">
        <v>197</v>
      </c>
      <c r="AG844" s="23" t="s">
        <v>197</v>
      </c>
      <c r="AH844" s="23" t="s">
        <v>197</v>
      </c>
      <c r="AI844" s="23" t="s">
        <v>197</v>
      </c>
      <c r="AJ844" s="23" t="s">
        <v>197</v>
      </c>
      <c r="AK844" s="23" t="s">
        <v>197</v>
      </c>
      <c r="AL844" s="23" t="s">
        <v>197</v>
      </c>
      <c r="AM844" s="9" t="s">
        <v>310</v>
      </c>
      <c r="AN844" s="23" t="s">
        <v>197</v>
      </c>
      <c r="AO844" s="23" t="s">
        <v>197</v>
      </c>
      <c r="AP844" s="23" t="s">
        <v>197</v>
      </c>
    </row>
    <row r="845" customFormat="false" ht="21.75" hidden="false" customHeight="true" outlineLevel="0" collapsed="false">
      <c r="B845" s="14" t="n">
        <v>841</v>
      </c>
      <c r="C845" s="7" t="s">
        <v>53</v>
      </c>
      <c r="D845" s="7" t="s">
        <v>23</v>
      </c>
      <c r="E845" s="7" t="s">
        <v>124</v>
      </c>
      <c r="F845" s="7" t="s">
        <v>67</v>
      </c>
      <c r="G845" s="7" t="s">
        <v>2044</v>
      </c>
      <c r="H845" s="7" t="s">
        <v>312</v>
      </c>
      <c r="I845" s="7" t="s">
        <v>2040</v>
      </c>
      <c r="J845" s="7" t="s">
        <v>2041</v>
      </c>
      <c r="K845" s="7" t="s">
        <v>1999</v>
      </c>
      <c r="L845" s="7" t="s">
        <v>1983</v>
      </c>
      <c r="M845" s="7" t="s">
        <v>542</v>
      </c>
      <c r="N845" s="7" t="s">
        <v>543</v>
      </c>
      <c r="O845" s="7" t="s">
        <v>189</v>
      </c>
      <c r="P845" s="7" t="s">
        <v>1744</v>
      </c>
      <c r="Q845" s="7" t="s">
        <v>2042</v>
      </c>
      <c r="R845" s="7" t="s">
        <v>1816</v>
      </c>
      <c r="S845" s="7" t="s">
        <v>1987</v>
      </c>
      <c r="T845" s="7" t="s">
        <v>309</v>
      </c>
      <c r="U845" s="18" t="n">
        <v>18</v>
      </c>
      <c r="V845" s="7"/>
      <c r="W845" s="7"/>
      <c r="X845" s="7" t="s">
        <v>199</v>
      </c>
      <c r="Y845" s="22" t="n">
        <v>8.72E-006</v>
      </c>
      <c r="Z845" s="22" t="n">
        <v>2.009E-005</v>
      </c>
      <c r="AA845" s="22" t="n">
        <v>3</v>
      </c>
      <c r="AB845" s="7" t="s">
        <v>1983</v>
      </c>
      <c r="AC845" s="7" t="s">
        <v>2043</v>
      </c>
      <c r="AD845" s="22" t="s">
        <v>197</v>
      </c>
      <c r="AE845" s="22" t="s">
        <v>197</v>
      </c>
      <c r="AF845" s="22" t="s">
        <v>197</v>
      </c>
      <c r="AG845" s="22" t="s">
        <v>197</v>
      </c>
      <c r="AH845" s="22" t="s">
        <v>197</v>
      </c>
      <c r="AI845" s="22" t="s">
        <v>197</v>
      </c>
      <c r="AJ845" s="22" t="s">
        <v>197</v>
      </c>
      <c r="AK845" s="22" t="s">
        <v>197</v>
      </c>
      <c r="AL845" s="22" t="s">
        <v>197</v>
      </c>
      <c r="AM845" s="7" t="s">
        <v>310</v>
      </c>
      <c r="AN845" s="22" t="s">
        <v>197</v>
      </c>
      <c r="AO845" s="22" t="s">
        <v>197</v>
      </c>
      <c r="AP845" s="22" t="s">
        <v>197</v>
      </c>
    </row>
    <row r="846" customFormat="false" ht="21.75" hidden="false" customHeight="true" outlineLevel="0" collapsed="false">
      <c r="B846" s="15" t="n">
        <v>842</v>
      </c>
      <c r="C846" s="9" t="s">
        <v>53</v>
      </c>
      <c r="D846" s="9" t="s">
        <v>23</v>
      </c>
      <c r="E846" s="9" t="s">
        <v>124</v>
      </c>
      <c r="F846" s="9" t="s">
        <v>67</v>
      </c>
      <c r="G846" s="9" t="s">
        <v>2017</v>
      </c>
      <c r="H846" s="9" t="s">
        <v>314</v>
      </c>
      <c r="I846" s="9" t="s">
        <v>2040</v>
      </c>
      <c r="J846" s="9" t="s">
        <v>2041</v>
      </c>
      <c r="K846" s="9" t="s">
        <v>1999</v>
      </c>
      <c r="L846" s="9" t="s">
        <v>1983</v>
      </c>
      <c r="M846" s="9" t="s">
        <v>542</v>
      </c>
      <c r="N846" s="9" t="s">
        <v>543</v>
      </c>
      <c r="O846" s="9" t="s">
        <v>189</v>
      </c>
      <c r="P846" s="9" t="s">
        <v>1744</v>
      </c>
      <c r="Q846" s="9" t="s">
        <v>2042</v>
      </c>
      <c r="R846" s="9" t="s">
        <v>1816</v>
      </c>
      <c r="S846" s="9" t="s">
        <v>1987</v>
      </c>
      <c r="T846" s="9" t="s">
        <v>309</v>
      </c>
      <c r="U846" s="19" t="n">
        <v>20</v>
      </c>
      <c r="V846" s="9"/>
      <c r="W846" s="9"/>
      <c r="X846" s="9" t="s">
        <v>728</v>
      </c>
      <c r="Y846" s="23" t="n">
        <v>1.317E-005</v>
      </c>
      <c r="Z846" s="23" t="n">
        <v>2.844E-005</v>
      </c>
      <c r="AA846" s="23" t="n">
        <v>3</v>
      </c>
      <c r="AB846" s="9" t="s">
        <v>1983</v>
      </c>
      <c r="AC846" s="9" t="s">
        <v>2043</v>
      </c>
      <c r="AD846" s="23" t="s">
        <v>197</v>
      </c>
      <c r="AE846" s="23" t="s">
        <v>197</v>
      </c>
      <c r="AF846" s="23" t="s">
        <v>197</v>
      </c>
      <c r="AG846" s="23" t="s">
        <v>197</v>
      </c>
      <c r="AH846" s="23" t="s">
        <v>197</v>
      </c>
      <c r="AI846" s="23" t="s">
        <v>197</v>
      </c>
      <c r="AJ846" s="23" t="s">
        <v>197</v>
      </c>
      <c r="AK846" s="23" t="s">
        <v>197</v>
      </c>
      <c r="AL846" s="23" t="s">
        <v>197</v>
      </c>
      <c r="AM846" s="9" t="s">
        <v>310</v>
      </c>
      <c r="AN846" s="23" t="s">
        <v>197</v>
      </c>
      <c r="AO846" s="23" t="s">
        <v>197</v>
      </c>
      <c r="AP846" s="23" t="s">
        <v>197</v>
      </c>
    </row>
    <row r="847" customFormat="false" ht="21.75" hidden="false" customHeight="true" outlineLevel="0" collapsed="false">
      <c r="B847" s="14" t="n">
        <v>843</v>
      </c>
      <c r="C847" s="7" t="s">
        <v>53</v>
      </c>
      <c r="D847" s="7" t="s">
        <v>23</v>
      </c>
      <c r="E847" s="7" t="s">
        <v>124</v>
      </c>
      <c r="F847" s="7" t="s">
        <v>67</v>
      </c>
      <c r="G847" s="7" t="s">
        <v>2045</v>
      </c>
      <c r="H847" s="7" t="s">
        <v>317</v>
      </c>
      <c r="I847" s="7" t="s">
        <v>2040</v>
      </c>
      <c r="J847" s="7" t="s">
        <v>2041</v>
      </c>
      <c r="K847" s="7" t="s">
        <v>1999</v>
      </c>
      <c r="L847" s="7" t="s">
        <v>1983</v>
      </c>
      <c r="M847" s="7" t="s">
        <v>542</v>
      </c>
      <c r="N847" s="7" t="s">
        <v>543</v>
      </c>
      <c r="O847" s="7" t="s">
        <v>189</v>
      </c>
      <c r="P847" s="7" t="s">
        <v>1744</v>
      </c>
      <c r="Q847" s="7" t="s">
        <v>2042</v>
      </c>
      <c r="R847" s="7" t="s">
        <v>1816</v>
      </c>
      <c r="S847" s="7" t="s">
        <v>1987</v>
      </c>
      <c r="T847" s="7" t="s">
        <v>309</v>
      </c>
      <c r="U847" s="18" t="n">
        <v>35</v>
      </c>
      <c r="V847" s="7"/>
      <c r="W847" s="7"/>
      <c r="X847" s="7" t="s">
        <v>203</v>
      </c>
      <c r="Y847" s="22" t="n">
        <v>0</v>
      </c>
      <c r="Z847" s="22" t="n">
        <v>0</v>
      </c>
      <c r="AA847" s="22" t="s">
        <v>197</v>
      </c>
      <c r="AB847" s="7" t="s">
        <v>1983</v>
      </c>
      <c r="AC847" s="7" t="s">
        <v>2043</v>
      </c>
      <c r="AD847" s="22" t="s">
        <v>197</v>
      </c>
      <c r="AE847" s="22" t="s">
        <v>197</v>
      </c>
      <c r="AF847" s="22" t="s">
        <v>197</v>
      </c>
      <c r="AG847" s="22" t="s">
        <v>197</v>
      </c>
      <c r="AH847" s="22" t="s">
        <v>197</v>
      </c>
      <c r="AI847" s="22" t="s">
        <v>197</v>
      </c>
      <c r="AJ847" s="22" t="s">
        <v>197</v>
      </c>
      <c r="AK847" s="22" t="s">
        <v>197</v>
      </c>
      <c r="AL847" s="22" t="s">
        <v>197</v>
      </c>
      <c r="AM847" s="7" t="s">
        <v>310</v>
      </c>
      <c r="AN847" s="22" t="s">
        <v>197</v>
      </c>
      <c r="AO847" s="22" t="s">
        <v>197</v>
      </c>
      <c r="AP847" s="22" t="s">
        <v>197</v>
      </c>
    </row>
    <row r="848" customFormat="false" ht="21.75" hidden="false" customHeight="true" outlineLevel="0" collapsed="false">
      <c r="B848" s="15" t="n">
        <v>844</v>
      </c>
      <c r="C848" s="9" t="s">
        <v>53</v>
      </c>
      <c r="D848" s="9" t="s">
        <v>23</v>
      </c>
      <c r="E848" s="9" t="s">
        <v>124</v>
      </c>
      <c r="F848" s="9" t="s">
        <v>67</v>
      </c>
      <c r="G848" s="9" t="s">
        <v>2046</v>
      </c>
      <c r="H848" s="9" t="s">
        <v>319</v>
      </c>
      <c r="I848" s="9" t="s">
        <v>2040</v>
      </c>
      <c r="J848" s="9" t="s">
        <v>2041</v>
      </c>
      <c r="K848" s="9" t="s">
        <v>1999</v>
      </c>
      <c r="L848" s="9" t="s">
        <v>1983</v>
      </c>
      <c r="M848" s="9" t="s">
        <v>542</v>
      </c>
      <c r="N848" s="9" t="s">
        <v>543</v>
      </c>
      <c r="O848" s="9" t="s">
        <v>189</v>
      </c>
      <c r="P848" s="9" t="s">
        <v>1744</v>
      </c>
      <c r="Q848" s="9" t="s">
        <v>2042</v>
      </c>
      <c r="R848" s="9" t="s">
        <v>1816</v>
      </c>
      <c r="S848" s="9" t="s">
        <v>1987</v>
      </c>
      <c r="T848" s="9" t="s">
        <v>309</v>
      </c>
      <c r="U848" s="19" t="n">
        <v>50</v>
      </c>
      <c r="V848" s="9"/>
      <c r="W848" s="9"/>
      <c r="X848" s="9" t="s">
        <v>205</v>
      </c>
      <c r="Y848" s="23" t="n">
        <v>0</v>
      </c>
      <c r="Z848" s="23" t="n">
        <v>0</v>
      </c>
      <c r="AA848" s="23" t="s">
        <v>197</v>
      </c>
      <c r="AB848" s="9" t="s">
        <v>1983</v>
      </c>
      <c r="AC848" s="9" t="s">
        <v>2043</v>
      </c>
      <c r="AD848" s="23" t="s">
        <v>197</v>
      </c>
      <c r="AE848" s="23" t="s">
        <v>197</v>
      </c>
      <c r="AF848" s="23" t="s">
        <v>197</v>
      </c>
      <c r="AG848" s="23" t="s">
        <v>197</v>
      </c>
      <c r="AH848" s="23" t="s">
        <v>197</v>
      </c>
      <c r="AI848" s="23" t="s">
        <v>197</v>
      </c>
      <c r="AJ848" s="23" t="s">
        <v>197</v>
      </c>
      <c r="AK848" s="23" t="s">
        <v>197</v>
      </c>
      <c r="AL848" s="23" t="s">
        <v>197</v>
      </c>
      <c r="AM848" s="9" t="s">
        <v>310</v>
      </c>
      <c r="AN848" s="23" t="s">
        <v>197</v>
      </c>
      <c r="AO848" s="23" t="s">
        <v>197</v>
      </c>
      <c r="AP848" s="23" t="s">
        <v>197</v>
      </c>
    </row>
    <row r="849" customFormat="false" ht="21.75" hidden="false" customHeight="true" outlineLevel="0" collapsed="false">
      <c r="B849" s="14" t="n">
        <v>845</v>
      </c>
      <c r="C849" s="7" t="s">
        <v>53</v>
      </c>
      <c r="D849" s="7" t="s">
        <v>23</v>
      </c>
      <c r="E849" s="7" t="s">
        <v>124</v>
      </c>
      <c r="F849" s="7" t="s">
        <v>68</v>
      </c>
      <c r="G849" s="7" t="s">
        <v>391</v>
      </c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18"/>
      <c r="V849" s="7"/>
      <c r="W849" s="7"/>
      <c r="X849" s="7" t="s">
        <v>2047</v>
      </c>
      <c r="Y849" s="22" t="s">
        <v>197</v>
      </c>
      <c r="Z849" s="22" t="s">
        <v>197</v>
      </c>
      <c r="AA849" s="22" t="s">
        <v>197</v>
      </c>
      <c r="AB849" s="7" t="s">
        <v>197</v>
      </c>
      <c r="AC849" s="7" t="s">
        <v>197</v>
      </c>
      <c r="AD849" s="22" t="s">
        <v>197</v>
      </c>
      <c r="AE849" s="22" t="s">
        <v>197</v>
      </c>
      <c r="AF849" s="22" t="s">
        <v>197</v>
      </c>
      <c r="AG849" s="22" t="s">
        <v>197</v>
      </c>
      <c r="AH849" s="22" t="s">
        <v>197</v>
      </c>
      <c r="AI849" s="22" t="s">
        <v>197</v>
      </c>
      <c r="AJ849" s="22" t="s">
        <v>197</v>
      </c>
      <c r="AK849" s="22" t="s">
        <v>197</v>
      </c>
      <c r="AL849" s="22" t="s">
        <v>197</v>
      </c>
      <c r="AM849" s="7" t="s">
        <v>197</v>
      </c>
      <c r="AN849" s="22" t="s">
        <v>197</v>
      </c>
      <c r="AO849" s="22" t="s">
        <v>197</v>
      </c>
      <c r="AP849" s="22" t="s">
        <v>197</v>
      </c>
    </row>
    <row r="850" customFormat="false" ht="21.75" hidden="false" customHeight="true" outlineLevel="0" collapsed="false">
      <c r="B850" s="15" t="n">
        <v>846</v>
      </c>
      <c r="C850" s="9" t="s">
        <v>53</v>
      </c>
      <c r="D850" s="9" t="s">
        <v>23</v>
      </c>
      <c r="E850" s="9" t="s">
        <v>124</v>
      </c>
      <c r="F850" s="9" t="s">
        <v>69</v>
      </c>
      <c r="G850" s="9" t="s">
        <v>2048</v>
      </c>
      <c r="H850" s="9" t="s">
        <v>339</v>
      </c>
      <c r="I850" s="9" t="s">
        <v>2049</v>
      </c>
      <c r="J850" s="9" t="s">
        <v>2050</v>
      </c>
      <c r="K850" s="9" t="s">
        <v>1999</v>
      </c>
      <c r="L850" s="9" t="s">
        <v>1983</v>
      </c>
      <c r="M850" s="9" t="s">
        <v>1692</v>
      </c>
      <c r="N850" s="9" t="s">
        <v>189</v>
      </c>
      <c r="O850" s="9" t="s">
        <v>531</v>
      </c>
      <c r="P850" s="9" t="s">
        <v>1744</v>
      </c>
      <c r="Q850" s="9" t="s">
        <v>902</v>
      </c>
      <c r="R850" s="9" t="s">
        <v>2051</v>
      </c>
      <c r="S850" s="9" t="s">
        <v>1987</v>
      </c>
      <c r="T850" s="9" t="s">
        <v>348</v>
      </c>
      <c r="U850" s="19" t="n">
        <v>30</v>
      </c>
      <c r="V850" s="9"/>
      <c r="W850" s="9"/>
      <c r="X850" s="9" t="s">
        <v>195</v>
      </c>
      <c r="Y850" s="23" t="n">
        <v>1.401E-005</v>
      </c>
      <c r="Z850" s="23" t="n">
        <v>0.104</v>
      </c>
      <c r="AA850" s="23" t="n">
        <v>3</v>
      </c>
      <c r="AB850" s="9" t="s">
        <v>1983</v>
      </c>
      <c r="AC850" s="9" t="s">
        <v>2012</v>
      </c>
      <c r="AD850" s="23" t="s">
        <v>197</v>
      </c>
      <c r="AE850" s="23" t="s">
        <v>197</v>
      </c>
      <c r="AF850" s="23" t="s">
        <v>197</v>
      </c>
      <c r="AG850" s="23" t="s">
        <v>197</v>
      </c>
      <c r="AH850" s="23" t="s">
        <v>197</v>
      </c>
      <c r="AI850" s="23" t="s">
        <v>197</v>
      </c>
      <c r="AJ850" s="23" t="s">
        <v>197</v>
      </c>
      <c r="AK850" s="23" t="s">
        <v>197</v>
      </c>
      <c r="AL850" s="23" t="s">
        <v>197</v>
      </c>
      <c r="AM850" s="9" t="s">
        <v>197</v>
      </c>
      <c r="AN850" s="23" t="n">
        <v>2.8</v>
      </c>
      <c r="AO850" s="23" t="n">
        <v>2.5</v>
      </c>
      <c r="AP850" s="23" t="n">
        <v>4.5</v>
      </c>
    </row>
    <row r="851" customFormat="false" ht="21.75" hidden="false" customHeight="true" outlineLevel="0" collapsed="false">
      <c r="B851" s="14" t="n">
        <v>847</v>
      </c>
      <c r="C851" s="7" t="s">
        <v>53</v>
      </c>
      <c r="D851" s="7" t="s">
        <v>23</v>
      </c>
      <c r="E851" s="7" t="s">
        <v>124</v>
      </c>
      <c r="F851" s="7" t="s">
        <v>69</v>
      </c>
      <c r="G851" s="7" t="s">
        <v>2052</v>
      </c>
      <c r="H851" s="7" t="s">
        <v>350</v>
      </c>
      <c r="I851" s="7" t="s">
        <v>2049</v>
      </c>
      <c r="J851" s="7" t="s">
        <v>2050</v>
      </c>
      <c r="K851" s="7" t="s">
        <v>1999</v>
      </c>
      <c r="L851" s="7" t="s">
        <v>1983</v>
      </c>
      <c r="M851" s="7" t="s">
        <v>1692</v>
      </c>
      <c r="N851" s="7" t="s">
        <v>189</v>
      </c>
      <c r="O851" s="7" t="s">
        <v>531</v>
      </c>
      <c r="P851" s="7" t="s">
        <v>1744</v>
      </c>
      <c r="Q851" s="7" t="s">
        <v>902</v>
      </c>
      <c r="R851" s="7" t="s">
        <v>2051</v>
      </c>
      <c r="S851" s="7" t="s">
        <v>1987</v>
      </c>
      <c r="T851" s="7" t="s">
        <v>348</v>
      </c>
      <c r="U851" s="18" t="n">
        <v>45</v>
      </c>
      <c r="V851" s="7"/>
      <c r="W851" s="7"/>
      <c r="X851" s="7" t="s">
        <v>199</v>
      </c>
      <c r="Y851" s="22" t="n">
        <v>2.915E-005</v>
      </c>
      <c r="Z851" s="22" t="n">
        <v>0.195</v>
      </c>
      <c r="AA851" s="22" t="n">
        <v>3</v>
      </c>
      <c r="AB851" s="7" t="s">
        <v>1983</v>
      </c>
      <c r="AC851" s="7" t="s">
        <v>2012</v>
      </c>
      <c r="AD851" s="22" t="s">
        <v>197</v>
      </c>
      <c r="AE851" s="22" t="s">
        <v>197</v>
      </c>
      <c r="AF851" s="22" t="s">
        <v>197</v>
      </c>
      <c r="AG851" s="22" t="s">
        <v>197</v>
      </c>
      <c r="AH851" s="22" t="s">
        <v>197</v>
      </c>
      <c r="AI851" s="22" t="s">
        <v>197</v>
      </c>
      <c r="AJ851" s="22" t="s">
        <v>197</v>
      </c>
      <c r="AK851" s="22" t="s">
        <v>197</v>
      </c>
      <c r="AL851" s="22" t="s">
        <v>197</v>
      </c>
      <c r="AM851" s="7" t="s">
        <v>197</v>
      </c>
      <c r="AN851" s="22" t="n">
        <v>5.8</v>
      </c>
      <c r="AO851" s="22" t="n">
        <v>2.5</v>
      </c>
      <c r="AP851" s="22" t="n">
        <v>4.5</v>
      </c>
    </row>
    <row r="852" customFormat="false" ht="21.75" hidden="false" customHeight="true" outlineLevel="0" collapsed="false">
      <c r="B852" s="15" t="n">
        <v>848</v>
      </c>
      <c r="C852" s="9" t="s">
        <v>53</v>
      </c>
      <c r="D852" s="9" t="s">
        <v>23</v>
      </c>
      <c r="E852" s="9" t="s">
        <v>124</v>
      </c>
      <c r="F852" s="9" t="s">
        <v>69</v>
      </c>
      <c r="G852" s="9" t="s">
        <v>2053</v>
      </c>
      <c r="H852" s="9" t="s">
        <v>352</v>
      </c>
      <c r="I852" s="9" t="s">
        <v>2049</v>
      </c>
      <c r="J852" s="9" t="s">
        <v>2050</v>
      </c>
      <c r="K852" s="9" t="s">
        <v>1999</v>
      </c>
      <c r="L852" s="9" t="s">
        <v>1983</v>
      </c>
      <c r="M852" s="9" t="s">
        <v>1692</v>
      </c>
      <c r="N852" s="9" t="s">
        <v>189</v>
      </c>
      <c r="O852" s="9" t="s">
        <v>531</v>
      </c>
      <c r="P852" s="9" t="s">
        <v>1744</v>
      </c>
      <c r="Q852" s="9" t="s">
        <v>902</v>
      </c>
      <c r="R852" s="9" t="s">
        <v>2051</v>
      </c>
      <c r="S852" s="9" t="s">
        <v>1987</v>
      </c>
      <c r="T852" s="9" t="s">
        <v>348</v>
      </c>
      <c r="U852" s="19" t="n">
        <v>60</v>
      </c>
      <c r="V852" s="9"/>
      <c r="W852" s="9"/>
      <c r="X852" s="9" t="s">
        <v>2005</v>
      </c>
      <c r="Y852" s="23" t="n">
        <v>1.782E-005</v>
      </c>
      <c r="Z852" s="23" t="n">
        <v>0.127</v>
      </c>
      <c r="AA852" s="23" t="n">
        <v>3</v>
      </c>
      <c r="AB852" s="9" t="s">
        <v>1983</v>
      </c>
      <c r="AC852" s="9" t="s">
        <v>2012</v>
      </c>
      <c r="AD852" s="23" t="s">
        <v>197</v>
      </c>
      <c r="AE852" s="23" t="s">
        <v>197</v>
      </c>
      <c r="AF852" s="23" t="s">
        <v>197</v>
      </c>
      <c r="AG852" s="23" t="s">
        <v>197</v>
      </c>
      <c r="AH852" s="23" t="s">
        <v>197</v>
      </c>
      <c r="AI852" s="23" t="s">
        <v>197</v>
      </c>
      <c r="AJ852" s="23" t="s">
        <v>197</v>
      </c>
      <c r="AK852" s="23" t="s">
        <v>197</v>
      </c>
      <c r="AL852" s="23" t="s">
        <v>197</v>
      </c>
      <c r="AM852" s="9" t="s">
        <v>197</v>
      </c>
      <c r="AN852" s="23" t="n">
        <v>3.6</v>
      </c>
      <c r="AO852" s="23" t="n">
        <v>2.5</v>
      </c>
      <c r="AP852" s="23" t="n">
        <v>4.5</v>
      </c>
    </row>
    <row r="853" customFormat="false" ht="21.75" hidden="false" customHeight="true" outlineLevel="0" collapsed="false">
      <c r="B853" s="14" t="n">
        <v>849</v>
      </c>
      <c r="C853" s="7" t="s">
        <v>53</v>
      </c>
      <c r="D853" s="7" t="s">
        <v>23</v>
      </c>
      <c r="E853" s="7" t="s">
        <v>124</v>
      </c>
      <c r="F853" s="7" t="s">
        <v>69</v>
      </c>
      <c r="G853" s="7" t="s">
        <v>2054</v>
      </c>
      <c r="H853" s="7" t="s">
        <v>355</v>
      </c>
      <c r="I853" s="7" t="s">
        <v>2049</v>
      </c>
      <c r="J853" s="7" t="s">
        <v>2050</v>
      </c>
      <c r="K853" s="7" t="s">
        <v>1999</v>
      </c>
      <c r="L853" s="7" t="s">
        <v>1983</v>
      </c>
      <c r="M853" s="7" t="s">
        <v>1692</v>
      </c>
      <c r="N853" s="7" t="s">
        <v>189</v>
      </c>
      <c r="O853" s="7" t="s">
        <v>531</v>
      </c>
      <c r="P853" s="7" t="s">
        <v>1744</v>
      </c>
      <c r="Q853" s="7" t="s">
        <v>902</v>
      </c>
      <c r="R853" s="7" t="s">
        <v>2051</v>
      </c>
      <c r="S853" s="7" t="s">
        <v>1987</v>
      </c>
      <c r="T853" s="7" t="s">
        <v>348</v>
      </c>
      <c r="U853" s="18" t="n">
        <v>90</v>
      </c>
      <c r="V853" s="7"/>
      <c r="W853" s="7"/>
      <c r="X853" s="7" t="s">
        <v>203</v>
      </c>
      <c r="Y853" s="22" t="n">
        <v>1.071E-005</v>
      </c>
      <c r="Z853" s="22" t="n">
        <v>0.084</v>
      </c>
      <c r="AA853" s="22" t="n">
        <v>3</v>
      </c>
      <c r="AB853" s="7" t="s">
        <v>1983</v>
      </c>
      <c r="AC853" s="7" t="s">
        <v>2012</v>
      </c>
      <c r="AD853" s="22" t="s">
        <v>197</v>
      </c>
      <c r="AE853" s="22" t="s">
        <v>197</v>
      </c>
      <c r="AF853" s="22" t="s">
        <v>197</v>
      </c>
      <c r="AG853" s="22" t="s">
        <v>197</v>
      </c>
      <c r="AH853" s="22" t="s">
        <v>197</v>
      </c>
      <c r="AI853" s="22" t="s">
        <v>197</v>
      </c>
      <c r="AJ853" s="22" t="s">
        <v>197</v>
      </c>
      <c r="AK853" s="22" t="s">
        <v>197</v>
      </c>
      <c r="AL853" s="22" t="s">
        <v>197</v>
      </c>
      <c r="AM853" s="7" t="s">
        <v>197</v>
      </c>
      <c r="AN853" s="22" t="n">
        <v>2.1</v>
      </c>
      <c r="AO853" s="22" t="n">
        <v>2.5</v>
      </c>
      <c r="AP853" s="22" t="n">
        <v>4.5</v>
      </c>
    </row>
    <row r="854" customFormat="false" ht="21.75" hidden="false" customHeight="true" outlineLevel="0" collapsed="false">
      <c r="B854" s="15" t="n">
        <v>850</v>
      </c>
      <c r="C854" s="9" t="s">
        <v>53</v>
      </c>
      <c r="D854" s="9" t="s">
        <v>23</v>
      </c>
      <c r="E854" s="9" t="s">
        <v>124</v>
      </c>
      <c r="F854" s="9" t="s">
        <v>69</v>
      </c>
      <c r="G854" s="9" t="s">
        <v>2055</v>
      </c>
      <c r="H854" s="9" t="s">
        <v>357</v>
      </c>
      <c r="I854" s="9" t="s">
        <v>2049</v>
      </c>
      <c r="J854" s="9" t="s">
        <v>2050</v>
      </c>
      <c r="K854" s="9" t="s">
        <v>1999</v>
      </c>
      <c r="L854" s="9" t="s">
        <v>1983</v>
      </c>
      <c r="M854" s="9" t="s">
        <v>1692</v>
      </c>
      <c r="N854" s="9" t="s">
        <v>189</v>
      </c>
      <c r="O854" s="9" t="s">
        <v>531</v>
      </c>
      <c r="P854" s="9" t="s">
        <v>1744</v>
      </c>
      <c r="Q854" s="9" t="s">
        <v>902</v>
      </c>
      <c r="R854" s="9" t="s">
        <v>2051</v>
      </c>
      <c r="S854" s="9" t="s">
        <v>1987</v>
      </c>
      <c r="T854" s="9" t="s">
        <v>348</v>
      </c>
      <c r="U854" s="19" t="n">
        <v>135</v>
      </c>
      <c r="V854" s="9"/>
      <c r="W854" s="9"/>
      <c r="X854" s="9" t="s">
        <v>205</v>
      </c>
      <c r="Y854" s="23" t="n">
        <v>1.946E-005</v>
      </c>
      <c r="Z854" s="23" t="n">
        <v>0.137</v>
      </c>
      <c r="AA854" s="23" t="n">
        <v>3</v>
      </c>
      <c r="AB854" s="9" t="s">
        <v>1983</v>
      </c>
      <c r="AC854" s="9" t="s">
        <v>2012</v>
      </c>
      <c r="AD854" s="23" t="s">
        <v>197</v>
      </c>
      <c r="AE854" s="23" t="s">
        <v>197</v>
      </c>
      <c r="AF854" s="23" t="s">
        <v>197</v>
      </c>
      <c r="AG854" s="23" t="s">
        <v>197</v>
      </c>
      <c r="AH854" s="23" t="s">
        <v>197</v>
      </c>
      <c r="AI854" s="23" t="s">
        <v>197</v>
      </c>
      <c r="AJ854" s="23" t="s">
        <v>197</v>
      </c>
      <c r="AK854" s="23" t="s">
        <v>197</v>
      </c>
      <c r="AL854" s="23" t="s">
        <v>197</v>
      </c>
      <c r="AM854" s="9" t="s">
        <v>197</v>
      </c>
      <c r="AN854" s="23" t="n">
        <v>3.9</v>
      </c>
      <c r="AO854" s="23" t="n">
        <v>2.5</v>
      </c>
      <c r="AP854" s="23" t="n">
        <v>4.5</v>
      </c>
    </row>
    <row r="855" customFormat="false" ht="21.75" hidden="false" customHeight="true" outlineLevel="0" collapsed="false">
      <c r="B855" s="14" t="n">
        <v>851</v>
      </c>
      <c r="C855" s="7" t="s">
        <v>53</v>
      </c>
      <c r="D855" s="7" t="s">
        <v>23</v>
      </c>
      <c r="E855" s="7" t="s">
        <v>124</v>
      </c>
      <c r="F855" s="7" t="s">
        <v>70</v>
      </c>
      <c r="G855" s="7" t="s">
        <v>391</v>
      </c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18"/>
      <c r="V855" s="7"/>
      <c r="W855" s="7"/>
      <c r="X855" s="7" t="s">
        <v>2056</v>
      </c>
      <c r="Y855" s="22" t="s">
        <v>197</v>
      </c>
      <c r="Z855" s="22" t="s">
        <v>197</v>
      </c>
      <c r="AA855" s="22" t="s">
        <v>197</v>
      </c>
      <c r="AB855" s="7" t="s">
        <v>197</v>
      </c>
      <c r="AC855" s="7" t="s">
        <v>197</v>
      </c>
      <c r="AD855" s="22" t="s">
        <v>197</v>
      </c>
      <c r="AE855" s="22" t="s">
        <v>197</v>
      </c>
      <c r="AF855" s="22" t="s">
        <v>197</v>
      </c>
      <c r="AG855" s="22" t="s">
        <v>197</v>
      </c>
      <c r="AH855" s="22" t="s">
        <v>197</v>
      </c>
      <c r="AI855" s="22" t="s">
        <v>197</v>
      </c>
      <c r="AJ855" s="22" t="s">
        <v>197</v>
      </c>
      <c r="AK855" s="22" t="s">
        <v>197</v>
      </c>
      <c r="AL855" s="22" t="s">
        <v>197</v>
      </c>
      <c r="AM855" s="7" t="s">
        <v>197</v>
      </c>
      <c r="AN855" s="22" t="s">
        <v>197</v>
      </c>
      <c r="AO855" s="22" t="s">
        <v>197</v>
      </c>
      <c r="AP855" s="22" t="s">
        <v>197</v>
      </c>
    </row>
    <row r="856" customFormat="false" ht="21.75" hidden="false" customHeight="true" outlineLevel="0" collapsed="false">
      <c r="B856" s="15" t="n">
        <v>852</v>
      </c>
      <c r="C856" s="9" t="s">
        <v>53</v>
      </c>
      <c r="D856" s="9" t="s">
        <v>23</v>
      </c>
      <c r="E856" s="9" t="s">
        <v>124</v>
      </c>
      <c r="F856" s="9" t="s">
        <v>71</v>
      </c>
      <c r="G856" s="9" t="s">
        <v>391</v>
      </c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19"/>
      <c r="V856" s="9"/>
      <c r="W856" s="9"/>
      <c r="X856" s="9" t="s">
        <v>2057</v>
      </c>
      <c r="Y856" s="23" t="s">
        <v>197</v>
      </c>
      <c r="Z856" s="23" t="s">
        <v>197</v>
      </c>
      <c r="AA856" s="23" t="s">
        <v>197</v>
      </c>
      <c r="AB856" s="9" t="s">
        <v>197</v>
      </c>
      <c r="AC856" s="9" t="s">
        <v>197</v>
      </c>
      <c r="AD856" s="23" t="s">
        <v>197</v>
      </c>
      <c r="AE856" s="23" t="s">
        <v>197</v>
      </c>
      <c r="AF856" s="23" t="s">
        <v>197</v>
      </c>
      <c r="AG856" s="23" t="s">
        <v>197</v>
      </c>
      <c r="AH856" s="23" t="s">
        <v>197</v>
      </c>
      <c r="AI856" s="23" t="s">
        <v>197</v>
      </c>
      <c r="AJ856" s="23" t="s">
        <v>197</v>
      </c>
      <c r="AK856" s="23" t="s">
        <v>197</v>
      </c>
      <c r="AL856" s="23" t="s">
        <v>197</v>
      </c>
      <c r="AM856" s="9" t="s">
        <v>197</v>
      </c>
      <c r="AN856" s="23" t="s">
        <v>197</v>
      </c>
      <c r="AO856" s="23" t="s">
        <v>197</v>
      </c>
      <c r="AP856" s="23" t="s">
        <v>197</v>
      </c>
    </row>
    <row r="857" customFormat="false" ht="21.75" hidden="false" customHeight="true" outlineLevel="0" collapsed="false">
      <c r="B857" s="14" t="n">
        <v>853</v>
      </c>
      <c r="C857" s="7" t="s">
        <v>53</v>
      </c>
      <c r="D857" s="7" t="s">
        <v>23</v>
      </c>
      <c r="E857" s="7" t="s">
        <v>124</v>
      </c>
      <c r="F857" s="7" t="s">
        <v>72</v>
      </c>
      <c r="G857" s="7" t="s">
        <v>391</v>
      </c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18"/>
      <c r="V857" s="7"/>
      <c r="W857" s="7"/>
      <c r="X857" s="7" t="s">
        <v>2058</v>
      </c>
      <c r="Y857" s="22" t="s">
        <v>197</v>
      </c>
      <c r="Z857" s="22" t="s">
        <v>197</v>
      </c>
      <c r="AA857" s="22" t="s">
        <v>197</v>
      </c>
      <c r="AB857" s="7" t="s">
        <v>197</v>
      </c>
      <c r="AC857" s="7" t="s">
        <v>197</v>
      </c>
      <c r="AD857" s="22" t="s">
        <v>197</v>
      </c>
      <c r="AE857" s="22" t="s">
        <v>197</v>
      </c>
      <c r="AF857" s="22" t="s">
        <v>197</v>
      </c>
      <c r="AG857" s="22" t="s">
        <v>197</v>
      </c>
      <c r="AH857" s="22" t="s">
        <v>197</v>
      </c>
      <c r="AI857" s="22" t="s">
        <v>197</v>
      </c>
      <c r="AJ857" s="22" t="s">
        <v>197</v>
      </c>
      <c r="AK857" s="22" t="s">
        <v>197</v>
      </c>
      <c r="AL857" s="22" t="s">
        <v>197</v>
      </c>
      <c r="AM857" s="7" t="s">
        <v>197</v>
      </c>
      <c r="AN857" s="22" t="s">
        <v>197</v>
      </c>
      <c r="AO857" s="22" t="s">
        <v>197</v>
      </c>
      <c r="AP857" s="22" t="s">
        <v>197</v>
      </c>
    </row>
    <row r="858" customFormat="false" ht="21.75" hidden="false" customHeight="true" outlineLevel="0" collapsed="false">
      <c r="B858" s="15" t="n">
        <v>854</v>
      </c>
      <c r="C858" s="9" t="s">
        <v>53</v>
      </c>
      <c r="D858" s="9" t="s">
        <v>23</v>
      </c>
      <c r="E858" s="9" t="s">
        <v>124</v>
      </c>
      <c r="F858" s="9" t="s">
        <v>73</v>
      </c>
      <c r="G858" s="9" t="s">
        <v>2059</v>
      </c>
      <c r="H858" s="9" t="s">
        <v>394</v>
      </c>
      <c r="I858" s="9" t="s">
        <v>2060</v>
      </c>
      <c r="J858" s="9" t="s">
        <v>2061</v>
      </c>
      <c r="K858" s="9" t="s">
        <v>1999</v>
      </c>
      <c r="L858" s="9" t="s">
        <v>1983</v>
      </c>
      <c r="M858" s="9" t="s">
        <v>2062</v>
      </c>
      <c r="N858" s="9" t="s">
        <v>2063</v>
      </c>
      <c r="O858" s="9" t="s">
        <v>189</v>
      </c>
      <c r="P858" s="9" t="s">
        <v>1744</v>
      </c>
      <c r="Q858" s="9" t="s">
        <v>2064</v>
      </c>
      <c r="R858" s="9" t="s">
        <v>676</v>
      </c>
      <c r="S858" s="9" t="s">
        <v>1987</v>
      </c>
      <c r="T858" s="9" t="s">
        <v>2065</v>
      </c>
      <c r="U858" s="19" t="n">
        <v>20</v>
      </c>
      <c r="V858" s="9"/>
      <c r="W858" s="9"/>
      <c r="X858" s="9" t="s">
        <v>195</v>
      </c>
      <c r="Y858" s="23" t="n">
        <v>0.048</v>
      </c>
      <c r="Z858" s="23" t="n">
        <v>0.074</v>
      </c>
      <c r="AA858" s="23" t="n">
        <v>12</v>
      </c>
      <c r="AB858" s="9" t="s">
        <v>1983</v>
      </c>
      <c r="AC858" s="9" t="s">
        <v>2002</v>
      </c>
      <c r="AD858" s="23" t="s">
        <v>197</v>
      </c>
      <c r="AE858" s="23" t="s">
        <v>197</v>
      </c>
      <c r="AF858" s="23" t="s">
        <v>197</v>
      </c>
      <c r="AG858" s="23" t="n">
        <v>4</v>
      </c>
      <c r="AH858" s="23" t="s">
        <v>197</v>
      </c>
      <c r="AI858" s="23" t="s">
        <v>197</v>
      </c>
      <c r="AJ858" s="23" t="s">
        <v>197</v>
      </c>
      <c r="AK858" s="23" t="s">
        <v>197</v>
      </c>
      <c r="AL858" s="23" t="s">
        <v>197</v>
      </c>
      <c r="AM858" s="9" t="s">
        <v>197</v>
      </c>
      <c r="AN858" s="23" t="s">
        <v>197</v>
      </c>
      <c r="AO858" s="23" t="s">
        <v>197</v>
      </c>
      <c r="AP858" s="23" t="s">
        <v>197</v>
      </c>
    </row>
    <row r="859" customFormat="false" ht="21.75" hidden="false" customHeight="true" outlineLevel="0" collapsed="false">
      <c r="B859" s="14" t="n">
        <v>855</v>
      </c>
      <c r="C859" s="7" t="s">
        <v>53</v>
      </c>
      <c r="D859" s="7" t="s">
        <v>23</v>
      </c>
      <c r="E859" s="7" t="s">
        <v>124</v>
      </c>
      <c r="F859" s="7" t="s">
        <v>73</v>
      </c>
      <c r="G859" s="7" t="s">
        <v>2066</v>
      </c>
      <c r="H859" s="7" t="s">
        <v>402</v>
      </c>
      <c r="I859" s="7" t="s">
        <v>2060</v>
      </c>
      <c r="J859" s="7" t="s">
        <v>2061</v>
      </c>
      <c r="K859" s="7" t="s">
        <v>1999</v>
      </c>
      <c r="L859" s="7" t="s">
        <v>1983</v>
      </c>
      <c r="M859" s="7" t="s">
        <v>2062</v>
      </c>
      <c r="N859" s="7" t="s">
        <v>2063</v>
      </c>
      <c r="O859" s="7" t="s">
        <v>189</v>
      </c>
      <c r="P859" s="7" t="s">
        <v>1744</v>
      </c>
      <c r="Q859" s="7" t="s">
        <v>2064</v>
      </c>
      <c r="R859" s="7" t="s">
        <v>676</v>
      </c>
      <c r="S859" s="7" t="s">
        <v>1987</v>
      </c>
      <c r="T859" s="7" t="s">
        <v>2065</v>
      </c>
      <c r="U859" s="18" t="n">
        <v>35</v>
      </c>
      <c r="V859" s="7"/>
      <c r="W859" s="7"/>
      <c r="X859" s="7" t="s">
        <v>199</v>
      </c>
      <c r="Y859" s="22" t="n">
        <v>0.044</v>
      </c>
      <c r="Z859" s="22" t="n">
        <v>0.069</v>
      </c>
      <c r="AA859" s="22" t="n">
        <v>12</v>
      </c>
      <c r="AB859" s="7" t="s">
        <v>1983</v>
      </c>
      <c r="AC859" s="7" t="s">
        <v>2002</v>
      </c>
      <c r="AD859" s="22" t="s">
        <v>197</v>
      </c>
      <c r="AE859" s="22" t="s">
        <v>197</v>
      </c>
      <c r="AF859" s="22" t="s">
        <v>197</v>
      </c>
      <c r="AG859" s="22" t="n">
        <v>8</v>
      </c>
      <c r="AH859" s="22" t="s">
        <v>197</v>
      </c>
      <c r="AI859" s="22" t="s">
        <v>197</v>
      </c>
      <c r="AJ859" s="22" t="s">
        <v>197</v>
      </c>
      <c r="AK859" s="22" t="s">
        <v>197</v>
      </c>
      <c r="AL859" s="22" t="s">
        <v>197</v>
      </c>
      <c r="AM859" s="7" t="s">
        <v>197</v>
      </c>
      <c r="AN859" s="22" t="s">
        <v>197</v>
      </c>
      <c r="AO859" s="22" t="s">
        <v>197</v>
      </c>
      <c r="AP859" s="22" t="s">
        <v>197</v>
      </c>
    </row>
    <row r="860" customFormat="false" ht="21.75" hidden="false" customHeight="true" outlineLevel="0" collapsed="false">
      <c r="B860" s="15" t="n">
        <v>856</v>
      </c>
      <c r="C860" s="9" t="s">
        <v>53</v>
      </c>
      <c r="D860" s="9" t="s">
        <v>23</v>
      </c>
      <c r="E860" s="9" t="s">
        <v>124</v>
      </c>
      <c r="F860" s="9" t="s">
        <v>73</v>
      </c>
      <c r="G860" s="9" t="s">
        <v>2067</v>
      </c>
      <c r="H860" s="9" t="s">
        <v>404</v>
      </c>
      <c r="I860" s="9" t="s">
        <v>2060</v>
      </c>
      <c r="J860" s="9" t="s">
        <v>2061</v>
      </c>
      <c r="K860" s="9" t="s">
        <v>1999</v>
      </c>
      <c r="L860" s="9" t="s">
        <v>1983</v>
      </c>
      <c r="M860" s="9" t="s">
        <v>2062</v>
      </c>
      <c r="N860" s="9" t="s">
        <v>2063</v>
      </c>
      <c r="O860" s="9" t="s">
        <v>189</v>
      </c>
      <c r="P860" s="9" t="s">
        <v>1744</v>
      </c>
      <c r="Q860" s="9" t="s">
        <v>2064</v>
      </c>
      <c r="R860" s="9" t="s">
        <v>676</v>
      </c>
      <c r="S860" s="9" t="s">
        <v>1987</v>
      </c>
      <c r="T860" s="9" t="s">
        <v>2065</v>
      </c>
      <c r="U860" s="19" t="n">
        <v>45</v>
      </c>
      <c r="V860" s="9"/>
      <c r="W860" s="9"/>
      <c r="X860" s="9" t="s">
        <v>2068</v>
      </c>
      <c r="Y860" s="23" t="n">
        <v>0.044</v>
      </c>
      <c r="Z860" s="23" t="n">
        <v>0.069</v>
      </c>
      <c r="AA860" s="23" t="n">
        <v>12</v>
      </c>
      <c r="AB860" s="9" t="s">
        <v>1983</v>
      </c>
      <c r="AC860" s="9" t="s">
        <v>2002</v>
      </c>
      <c r="AD860" s="23" t="s">
        <v>197</v>
      </c>
      <c r="AE860" s="23" t="s">
        <v>197</v>
      </c>
      <c r="AF860" s="23" t="s">
        <v>197</v>
      </c>
      <c r="AG860" s="23" t="n">
        <v>8</v>
      </c>
      <c r="AH860" s="23" t="s">
        <v>197</v>
      </c>
      <c r="AI860" s="23" t="s">
        <v>197</v>
      </c>
      <c r="AJ860" s="23" t="s">
        <v>197</v>
      </c>
      <c r="AK860" s="23" t="s">
        <v>197</v>
      </c>
      <c r="AL860" s="23" t="s">
        <v>197</v>
      </c>
      <c r="AM860" s="9" t="s">
        <v>197</v>
      </c>
      <c r="AN860" s="23" t="s">
        <v>197</v>
      </c>
      <c r="AO860" s="23" t="s">
        <v>197</v>
      </c>
      <c r="AP860" s="23" t="s">
        <v>197</v>
      </c>
    </row>
    <row r="861" customFormat="false" ht="21.75" hidden="false" customHeight="true" outlineLevel="0" collapsed="false">
      <c r="B861" s="14" t="n">
        <v>857</v>
      </c>
      <c r="C861" s="7" t="s">
        <v>53</v>
      </c>
      <c r="D861" s="7" t="s">
        <v>23</v>
      </c>
      <c r="E861" s="7" t="s">
        <v>124</v>
      </c>
      <c r="F861" s="7" t="s">
        <v>73</v>
      </c>
      <c r="G861" s="7" t="s">
        <v>2069</v>
      </c>
      <c r="H861" s="7" t="s">
        <v>407</v>
      </c>
      <c r="I861" s="7" t="s">
        <v>2060</v>
      </c>
      <c r="J861" s="7" t="s">
        <v>2061</v>
      </c>
      <c r="K861" s="7" t="s">
        <v>1999</v>
      </c>
      <c r="L861" s="7" t="s">
        <v>1983</v>
      </c>
      <c r="M861" s="7" t="s">
        <v>2062</v>
      </c>
      <c r="N861" s="7" t="s">
        <v>2063</v>
      </c>
      <c r="O861" s="7" t="s">
        <v>189</v>
      </c>
      <c r="P861" s="7" t="s">
        <v>1744</v>
      </c>
      <c r="Q861" s="7" t="s">
        <v>2064</v>
      </c>
      <c r="R861" s="7" t="s">
        <v>676</v>
      </c>
      <c r="S861" s="7" t="s">
        <v>1987</v>
      </c>
      <c r="T861" s="7" t="s">
        <v>2065</v>
      </c>
      <c r="U861" s="18" t="n">
        <v>70</v>
      </c>
      <c r="V861" s="7"/>
      <c r="W861" s="7"/>
      <c r="X861" s="7" t="s">
        <v>203</v>
      </c>
      <c r="Y861" s="22" t="n">
        <v>0.054</v>
      </c>
      <c r="Z861" s="22" t="n">
        <v>0.082</v>
      </c>
      <c r="AA861" s="22" t="n">
        <v>12</v>
      </c>
      <c r="AB861" s="7" t="s">
        <v>1983</v>
      </c>
      <c r="AC861" s="7" t="s">
        <v>2002</v>
      </c>
      <c r="AD861" s="22" t="s">
        <v>197</v>
      </c>
      <c r="AE861" s="22" t="s">
        <v>197</v>
      </c>
      <c r="AF861" s="22" t="s">
        <v>197</v>
      </c>
      <c r="AG861" s="22" t="n">
        <v>16</v>
      </c>
      <c r="AH861" s="22" t="s">
        <v>197</v>
      </c>
      <c r="AI861" s="22" t="s">
        <v>197</v>
      </c>
      <c r="AJ861" s="22" t="s">
        <v>197</v>
      </c>
      <c r="AK861" s="22" t="s">
        <v>197</v>
      </c>
      <c r="AL861" s="22" t="s">
        <v>197</v>
      </c>
      <c r="AM861" s="7" t="s">
        <v>197</v>
      </c>
      <c r="AN861" s="22" t="s">
        <v>197</v>
      </c>
      <c r="AO861" s="22" t="s">
        <v>197</v>
      </c>
      <c r="AP861" s="22" t="s">
        <v>197</v>
      </c>
    </row>
    <row r="862" customFormat="false" ht="21.75" hidden="false" customHeight="true" outlineLevel="0" collapsed="false">
      <c r="B862" s="15" t="n">
        <v>858</v>
      </c>
      <c r="C862" s="9" t="s">
        <v>53</v>
      </c>
      <c r="D862" s="9" t="s">
        <v>23</v>
      </c>
      <c r="E862" s="9" t="s">
        <v>124</v>
      </c>
      <c r="F862" s="9" t="s">
        <v>73</v>
      </c>
      <c r="G862" s="9" t="s">
        <v>2070</v>
      </c>
      <c r="H862" s="9" t="s">
        <v>409</v>
      </c>
      <c r="I862" s="9" t="s">
        <v>2060</v>
      </c>
      <c r="J862" s="9" t="s">
        <v>2061</v>
      </c>
      <c r="K862" s="9" t="s">
        <v>1999</v>
      </c>
      <c r="L862" s="9" t="s">
        <v>1983</v>
      </c>
      <c r="M862" s="9" t="s">
        <v>2062</v>
      </c>
      <c r="N862" s="9" t="s">
        <v>2063</v>
      </c>
      <c r="O862" s="9" t="s">
        <v>189</v>
      </c>
      <c r="P862" s="9" t="s">
        <v>1744</v>
      </c>
      <c r="Q862" s="9" t="s">
        <v>2064</v>
      </c>
      <c r="R862" s="9" t="s">
        <v>676</v>
      </c>
      <c r="S862" s="9" t="s">
        <v>1987</v>
      </c>
      <c r="T862" s="9" t="s">
        <v>2065</v>
      </c>
      <c r="U862" s="19" t="n">
        <v>105</v>
      </c>
      <c r="V862" s="9"/>
      <c r="W862" s="9"/>
      <c r="X862" s="9" t="s">
        <v>205</v>
      </c>
      <c r="Y862" s="23" t="n">
        <v>0.035</v>
      </c>
      <c r="Z862" s="23" t="n">
        <v>0.057</v>
      </c>
      <c r="AA862" s="23" t="n">
        <v>12</v>
      </c>
      <c r="AB862" s="9" t="s">
        <v>1983</v>
      </c>
      <c r="AC862" s="9" t="s">
        <v>2002</v>
      </c>
      <c r="AD862" s="23" t="s">
        <v>197</v>
      </c>
      <c r="AE862" s="23" t="s">
        <v>197</v>
      </c>
      <c r="AF862" s="23" t="s">
        <v>197</v>
      </c>
      <c r="AG862" s="23" t="n">
        <v>16</v>
      </c>
      <c r="AH862" s="23" t="s">
        <v>197</v>
      </c>
      <c r="AI862" s="23" t="s">
        <v>197</v>
      </c>
      <c r="AJ862" s="23" t="s">
        <v>197</v>
      </c>
      <c r="AK862" s="23" t="s">
        <v>197</v>
      </c>
      <c r="AL862" s="23" t="s">
        <v>197</v>
      </c>
      <c r="AM862" s="9" t="s">
        <v>197</v>
      </c>
      <c r="AN862" s="23" t="s">
        <v>197</v>
      </c>
      <c r="AO862" s="23" t="s">
        <v>197</v>
      </c>
      <c r="AP862" s="23" t="s">
        <v>197</v>
      </c>
    </row>
    <row r="863" customFormat="false" ht="21.75" hidden="false" customHeight="true" outlineLevel="0" collapsed="false">
      <c r="B863" s="14" t="n">
        <v>859</v>
      </c>
      <c r="C863" s="7" t="s">
        <v>53</v>
      </c>
      <c r="D863" s="7" t="s">
        <v>23</v>
      </c>
      <c r="E863" s="7" t="s">
        <v>124</v>
      </c>
      <c r="F863" s="7" t="s">
        <v>74</v>
      </c>
      <c r="G863" s="7" t="s">
        <v>391</v>
      </c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18"/>
      <c r="V863" s="7"/>
      <c r="W863" s="7"/>
      <c r="X863" s="7" t="s">
        <v>2071</v>
      </c>
      <c r="Y863" s="22" t="s">
        <v>197</v>
      </c>
      <c r="Z863" s="22" t="s">
        <v>197</v>
      </c>
      <c r="AA863" s="22" t="s">
        <v>197</v>
      </c>
      <c r="AB863" s="7" t="s">
        <v>197</v>
      </c>
      <c r="AC863" s="7" t="s">
        <v>197</v>
      </c>
      <c r="AD863" s="22" t="s">
        <v>197</v>
      </c>
      <c r="AE863" s="22" t="s">
        <v>197</v>
      </c>
      <c r="AF863" s="22" t="s">
        <v>197</v>
      </c>
      <c r="AG863" s="22" t="s">
        <v>197</v>
      </c>
      <c r="AH863" s="22" t="s">
        <v>197</v>
      </c>
      <c r="AI863" s="22" t="s">
        <v>197</v>
      </c>
      <c r="AJ863" s="22" t="s">
        <v>197</v>
      </c>
      <c r="AK863" s="22" t="s">
        <v>197</v>
      </c>
      <c r="AL863" s="22" t="s">
        <v>197</v>
      </c>
      <c r="AM863" s="7" t="s">
        <v>197</v>
      </c>
      <c r="AN863" s="22" t="s">
        <v>197</v>
      </c>
      <c r="AO863" s="22" t="s">
        <v>197</v>
      </c>
      <c r="AP863" s="22" t="s">
        <v>197</v>
      </c>
    </row>
    <row r="864" customFormat="false" ht="21.75" hidden="false" customHeight="true" outlineLevel="0" collapsed="false">
      <c r="B864" s="15" t="n">
        <v>860</v>
      </c>
      <c r="C864" s="9" t="s">
        <v>53</v>
      </c>
      <c r="D864" s="9" t="s">
        <v>23</v>
      </c>
      <c r="E864" s="9" t="s">
        <v>124</v>
      </c>
      <c r="F864" s="9" t="s">
        <v>75</v>
      </c>
      <c r="G864" s="9" t="s">
        <v>391</v>
      </c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19"/>
      <c r="V864" s="9"/>
      <c r="W864" s="9"/>
      <c r="X864" s="9" t="s">
        <v>2072</v>
      </c>
      <c r="Y864" s="23" t="s">
        <v>197</v>
      </c>
      <c r="Z864" s="23" t="s">
        <v>197</v>
      </c>
      <c r="AA864" s="23" t="s">
        <v>197</v>
      </c>
      <c r="AB864" s="9" t="s">
        <v>197</v>
      </c>
      <c r="AC864" s="9" t="s">
        <v>197</v>
      </c>
      <c r="AD864" s="23" t="s">
        <v>197</v>
      </c>
      <c r="AE864" s="23" t="s">
        <v>197</v>
      </c>
      <c r="AF864" s="23" t="s">
        <v>197</v>
      </c>
      <c r="AG864" s="23" t="s">
        <v>197</v>
      </c>
      <c r="AH864" s="23" t="s">
        <v>197</v>
      </c>
      <c r="AI864" s="23" t="s">
        <v>197</v>
      </c>
      <c r="AJ864" s="23" t="s">
        <v>197</v>
      </c>
      <c r="AK864" s="23" t="s">
        <v>197</v>
      </c>
      <c r="AL864" s="23" t="s">
        <v>197</v>
      </c>
      <c r="AM864" s="9" t="s">
        <v>197</v>
      </c>
      <c r="AN864" s="23" t="s">
        <v>197</v>
      </c>
      <c r="AO864" s="23" t="s">
        <v>197</v>
      </c>
      <c r="AP864" s="23" t="s">
        <v>197</v>
      </c>
    </row>
    <row r="865" customFormat="false" ht="21.75" hidden="false" customHeight="true" outlineLevel="0" collapsed="false">
      <c r="B865" s="14" t="n">
        <v>861</v>
      </c>
      <c r="C865" s="7" t="s">
        <v>54</v>
      </c>
      <c r="D865" s="7" t="s">
        <v>23</v>
      </c>
      <c r="E865" s="7" t="s">
        <v>116</v>
      </c>
      <c r="F865" s="7" t="s">
        <v>60</v>
      </c>
      <c r="G865" s="7" t="s">
        <v>2073</v>
      </c>
      <c r="H865" s="7" t="s">
        <v>2074</v>
      </c>
      <c r="I865" s="7" t="s">
        <v>2075</v>
      </c>
      <c r="J865" s="7" t="s">
        <v>2076</v>
      </c>
      <c r="K865" s="7" t="s">
        <v>2077</v>
      </c>
      <c r="L865" s="7" t="s">
        <v>2078</v>
      </c>
      <c r="M865" s="7" t="s">
        <v>2079</v>
      </c>
      <c r="N865" s="7" t="s">
        <v>662</v>
      </c>
      <c r="O865" s="7" t="s">
        <v>189</v>
      </c>
      <c r="P865" s="7" t="s">
        <v>190</v>
      </c>
      <c r="Q865" s="7" t="s">
        <v>2080</v>
      </c>
      <c r="R865" s="7" t="s">
        <v>2081</v>
      </c>
      <c r="S865" s="7" t="s">
        <v>2082</v>
      </c>
      <c r="T865" s="7" t="s">
        <v>2083</v>
      </c>
      <c r="U865" s="18" t="n">
        <v>155</v>
      </c>
      <c r="V865" s="7"/>
      <c r="W865" s="7"/>
      <c r="X865" s="7" t="s">
        <v>195</v>
      </c>
      <c r="Y865" s="22" t="n">
        <v>0.051</v>
      </c>
      <c r="Z865" s="22" t="n">
        <v>0.35</v>
      </c>
      <c r="AA865" s="22" t="n">
        <v>12</v>
      </c>
      <c r="AB865" s="7" t="s">
        <v>2078</v>
      </c>
      <c r="AC865" s="7" t="s">
        <v>2084</v>
      </c>
      <c r="AD865" s="22" t="n">
        <v>0.051</v>
      </c>
      <c r="AE865" s="22" t="n">
        <v>0.35</v>
      </c>
      <c r="AF865" s="22" t="n">
        <v>3.5</v>
      </c>
      <c r="AG865" s="22" t="n">
        <v>128</v>
      </c>
      <c r="AH865" s="22" t="n">
        <v>8</v>
      </c>
      <c r="AI865" s="22" t="s">
        <v>197</v>
      </c>
      <c r="AJ865" s="22" t="s">
        <v>197</v>
      </c>
      <c r="AK865" s="22" t="s">
        <v>197</v>
      </c>
      <c r="AL865" s="22" t="s">
        <v>197</v>
      </c>
      <c r="AM865" s="7" t="s">
        <v>197</v>
      </c>
      <c r="AN865" s="22" t="s">
        <v>197</v>
      </c>
      <c r="AO865" s="22" t="s">
        <v>197</v>
      </c>
      <c r="AP865" s="22" t="s">
        <v>197</v>
      </c>
    </row>
    <row r="866" customFormat="false" ht="21.75" hidden="false" customHeight="true" outlineLevel="0" collapsed="false">
      <c r="B866" s="15" t="n">
        <v>862</v>
      </c>
      <c r="C866" s="9" t="s">
        <v>54</v>
      </c>
      <c r="D866" s="9" t="s">
        <v>23</v>
      </c>
      <c r="E866" s="9" t="s">
        <v>116</v>
      </c>
      <c r="F866" s="9" t="s">
        <v>60</v>
      </c>
      <c r="G866" s="9" t="s">
        <v>2085</v>
      </c>
      <c r="H866" s="9" t="s">
        <v>2074</v>
      </c>
      <c r="I866" s="9" t="s">
        <v>2075</v>
      </c>
      <c r="J866" s="9" t="s">
        <v>2076</v>
      </c>
      <c r="K866" s="9" t="s">
        <v>2077</v>
      </c>
      <c r="L866" s="9" t="s">
        <v>2078</v>
      </c>
      <c r="M866" s="9" t="s">
        <v>2079</v>
      </c>
      <c r="N866" s="9" t="s">
        <v>662</v>
      </c>
      <c r="O866" s="9" t="s">
        <v>189</v>
      </c>
      <c r="P866" s="9" t="s">
        <v>190</v>
      </c>
      <c r="Q866" s="9" t="s">
        <v>2080</v>
      </c>
      <c r="R866" s="9" t="s">
        <v>2081</v>
      </c>
      <c r="S866" s="9" t="s">
        <v>2082</v>
      </c>
      <c r="T866" s="9" t="s">
        <v>2083</v>
      </c>
      <c r="U866" s="19" t="n">
        <v>230</v>
      </c>
      <c r="V866" s="9"/>
      <c r="W866" s="9"/>
      <c r="X866" s="9" t="s">
        <v>199</v>
      </c>
      <c r="Y866" s="23" t="n">
        <v>0.074</v>
      </c>
      <c r="Z866" s="23" t="n">
        <v>0.35</v>
      </c>
      <c r="AA866" s="23" t="n">
        <v>12</v>
      </c>
      <c r="AB866" s="9" t="s">
        <v>2078</v>
      </c>
      <c r="AC866" s="9" t="s">
        <v>2084</v>
      </c>
      <c r="AD866" s="23" t="n">
        <v>0.074</v>
      </c>
      <c r="AE866" s="23" t="n">
        <v>0.35</v>
      </c>
      <c r="AF866" s="23" t="n">
        <v>3.5</v>
      </c>
      <c r="AG866" s="23" t="n">
        <v>128</v>
      </c>
      <c r="AH866" s="23" t="n">
        <v>8</v>
      </c>
      <c r="AI866" s="23" t="s">
        <v>197</v>
      </c>
      <c r="AJ866" s="23" t="s">
        <v>197</v>
      </c>
      <c r="AK866" s="23" t="s">
        <v>197</v>
      </c>
      <c r="AL866" s="23" t="s">
        <v>197</v>
      </c>
      <c r="AM866" s="9" t="s">
        <v>197</v>
      </c>
      <c r="AN866" s="23" t="s">
        <v>197</v>
      </c>
      <c r="AO866" s="23" t="s">
        <v>197</v>
      </c>
      <c r="AP866" s="23" t="s">
        <v>197</v>
      </c>
    </row>
    <row r="867" customFormat="false" ht="21.75" hidden="false" customHeight="true" outlineLevel="0" collapsed="false">
      <c r="B867" s="14" t="n">
        <v>863</v>
      </c>
      <c r="C867" s="7" t="s">
        <v>54</v>
      </c>
      <c r="D867" s="7" t="s">
        <v>23</v>
      </c>
      <c r="E867" s="7" t="s">
        <v>116</v>
      </c>
      <c r="F867" s="7" t="s">
        <v>60</v>
      </c>
      <c r="G867" s="7" t="s">
        <v>2086</v>
      </c>
      <c r="H867" s="7" t="s">
        <v>2074</v>
      </c>
      <c r="I867" s="7" t="s">
        <v>2075</v>
      </c>
      <c r="J867" s="7" t="s">
        <v>2076</v>
      </c>
      <c r="K867" s="7" t="s">
        <v>2077</v>
      </c>
      <c r="L867" s="7" t="s">
        <v>2078</v>
      </c>
      <c r="M867" s="7" t="s">
        <v>2079</v>
      </c>
      <c r="N867" s="7" t="s">
        <v>662</v>
      </c>
      <c r="O867" s="7" t="s">
        <v>189</v>
      </c>
      <c r="P867" s="7" t="s">
        <v>190</v>
      </c>
      <c r="Q867" s="7" t="s">
        <v>2080</v>
      </c>
      <c r="R867" s="7" t="s">
        <v>2081</v>
      </c>
      <c r="S867" s="7" t="s">
        <v>2082</v>
      </c>
      <c r="T867" s="7" t="s">
        <v>2083</v>
      </c>
      <c r="U867" s="18" t="n">
        <v>310</v>
      </c>
      <c r="V867" s="7"/>
      <c r="W867" s="7"/>
      <c r="X867" s="7" t="s">
        <v>2087</v>
      </c>
      <c r="Y867" s="22" t="n">
        <v>0.113</v>
      </c>
      <c r="Z867" s="22" t="n">
        <v>0.35</v>
      </c>
      <c r="AA867" s="22" t="n">
        <v>12</v>
      </c>
      <c r="AB867" s="7" t="s">
        <v>2078</v>
      </c>
      <c r="AC867" s="7" t="s">
        <v>2084</v>
      </c>
      <c r="AD867" s="22" t="n">
        <v>0.113</v>
      </c>
      <c r="AE867" s="22" t="n">
        <v>0.35</v>
      </c>
      <c r="AF867" s="22" t="n">
        <v>3.5</v>
      </c>
      <c r="AG867" s="22" t="n">
        <v>128</v>
      </c>
      <c r="AH867" s="22" t="n">
        <v>8</v>
      </c>
      <c r="AI867" s="22" t="s">
        <v>197</v>
      </c>
      <c r="AJ867" s="22" t="s">
        <v>197</v>
      </c>
      <c r="AK867" s="22" t="s">
        <v>197</v>
      </c>
      <c r="AL867" s="22" t="s">
        <v>197</v>
      </c>
      <c r="AM867" s="7" t="s">
        <v>197</v>
      </c>
      <c r="AN867" s="22" t="s">
        <v>197</v>
      </c>
      <c r="AO867" s="22" t="s">
        <v>197</v>
      </c>
      <c r="AP867" s="22" t="s">
        <v>197</v>
      </c>
    </row>
    <row r="868" customFormat="false" ht="21.75" hidden="false" customHeight="true" outlineLevel="0" collapsed="false">
      <c r="B868" s="15" t="n">
        <v>864</v>
      </c>
      <c r="C868" s="9" t="s">
        <v>54</v>
      </c>
      <c r="D868" s="9" t="s">
        <v>23</v>
      </c>
      <c r="E868" s="9" t="s">
        <v>116</v>
      </c>
      <c r="F868" s="9" t="s">
        <v>60</v>
      </c>
      <c r="G868" s="9" t="s">
        <v>2088</v>
      </c>
      <c r="H868" s="9" t="s">
        <v>2074</v>
      </c>
      <c r="I868" s="9" t="s">
        <v>2075</v>
      </c>
      <c r="J868" s="9" t="s">
        <v>2076</v>
      </c>
      <c r="K868" s="9" t="s">
        <v>2077</v>
      </c>
      <c r="L868" s="9" t="s">
        <v>2078</v>
      </c>
      <c r="M868" s="9" t="s">
        <v>2079</v>
      </c>
      <c r="N868" s="9" t="s">
        <v>662</v>
      </c>
      <c r="O868" s="9" t="s">
        <v>189</v>
      </c>
      <c r="P868" s="9" t="s">
        <v>190</v>
      </c>
      <c r="Q868" s="9" t="s">
        <v>2080</v>
      </c>
      <c r="R868" s="9" t="s">
        <v>2081</v>
      </c>
      <c r="S868" s="9" t="s">
        <v>2082</v>
      </c>
      <c r="T868" s="9" t="s">
        <v>2083</v>
      </c>
      <c r="U868" s="19" t="n">
        <v>465</v>
      </c>
      <c r="V868" s="9"/>
      <c r="W868" s="9"/>
      <c r="X868" s="9" t="s">
        <v>203</v>
      </c>
      <c r="Y868" s="23" t="n">
        <v>0.07</v>
      </c>
      <c r="Z868" s="23" t="n">
        <v>0.35</v>
      </c>
      <c r="AA868" s="23" t="n">
        <v>12</v>
      </c>
      <c r="AB868" s="9" t="s">
        <v>2078</v>
      </c>
      <c r="AC868" s="9" t="s">
        <v>2084</v>
      </c>
      <c r="AD868" s="23" t="n">
        <v>0.07</v>
      </c>
      <c r="AE868" s="23" t="n">
        <v>0.35</v>
      </c>
      <c r="AF868" s="23" t="n">
        <v>3.5</v>
      </c>
      <c r="AG868" s="23" t="n">
        <v>128</v>
      </c>
      <c r="AH868" s="23" t="n">
        <v>8</v>
      </c>
      <c r="AI868" s="23" t="s">
        <v>197</v>
      </c>
      <c r="AJ868" s="23" t="s">
        <v>197</v>
      </c>
      <c r="AK868" s="23" t="s">
        <v>197</v>
      </c>
      <c r="AL868" s="23" t="s">
        <v>197</v>
      </c>
      <c r="AM868" s="9" t="s">
        <v>197</v>
      </c>
      <c r="AN868" s="23" t="s">
        <v>197</v>
      </c>
      <c r="AO868" s="23" t="s">
        <v>197</v>
      </c>
      <c r="AP868" s="23" t="s">
        <v>197</v>
      </c>
    </row>
    <row r="869" customFormat="false" ht="21.75" hidden="false" customHeight="true" outlineLevel="0" collapsed="false">
      <c r="B869" s="14" t="n">
        <v>865</v>
      </c>
      <c r="C869" s="7" t="s">
        <v>54</v>
      </c>
      <c r="D869" s="7" t="s">
        <v>23</v>
      </c>
      <c r="E869" s="7" t="s">
        <v>116</v>
      </c>
      <c r="F869" s="7" t="s">
        <v>60</v>
      </c>
      <c r="G869" s="7" t="s">
        <v>2089</v>
      </c>
      <c r="H869" s="7" t="s">
        <v>2074</v>
      </c>
      <c r="I869" s="7" t="s">
        <v>2075</v>
      </c>
      <c r="J869" s="7" t="s">
        <v>2076</v>
      </c>
      <c r="K869" s="7" t="s">
        <v>2077</v>
      </c>
      <c r="L869" s="7" t="s">
        <v>2078</v>
      </c>
      <c r="M869" s="7" t="s">
        <v>2079</v>
      </c>
      <c r="N869" s="7" t="s">
        <v>662</v>
      </c>
      <c r="O869" s="7" t="s">
        <v>189</v>
      </c>
      <c r="P869" s="7" t="s">
        <v>190</v>
      </c>
      <c r="Q869" s="7" t="s">
        <v>2080</v>
      </c>
      <c r="R869" s="7" t="s">
        <v>2081</v>
      </c>
      <c r="S869" s="7" t="s">
        <v>2082</v>
      </c>
      <c r="T869" s="7" t="s">
        <v>2083</v>
      </c>
      <c r="U869" s="18" t="n">
        <v>680</v>
      </c>
      <c r="V869" s="7"/>
      <c r="W869" s="7"/>
      <c r="X869" s="7" t="s">
        <v>205</v>
      </c>
      <c r="Y869" s="22" t="n">
        <v>0.095</v>
      </c>
      <c r="Z869" s="22" t="n">
        <v>0.35</v>
      </c>
      <c r="AA869" s="22" t="n">
        <v>12</v>
      </c>
      <c r="AB869" s="7" t="s">
        <v>2078</v>
      </c>
      <c r="AC869" s="7" t="s">
        <v>2084</v>
      </c>
      <c r="AD869" s="22" t="n">
        <v>0.095</v>
      </c>
      <c r="AE869" s="22" t="n">
        <v>0.35</v>
      </c>
      <c r="AF869" s="22" t="n">
        <v>3.5</v>
      </c>
      <c r="AG869" s="22" t="n">
        <v>128</v>
      </c>
      <c r="AH869" s="22" t="n">
        <v>8</v>
      </c>
      <c r="AI869" s="22" t="s">
        <v>197</v>
      </c>
      <c r="AJ869" s="22" t="s">
        <v>197</v>
      </c>
      <c r="AK869" s="22" t="s">
        <v>197</v>
      </c>
      <c r="AL869" s="22" t="s">
        <v>197</v>
      </c>
      <c r="AM869" s="7" t="s">
        <v>197</v>
      </c>
      <c r="AN869" s="22" t="s">
        <v>197</v>
      </c>
      <c r="AO869" s="22" t="s">
        <v>197</v>
      </c>
      <c r="AP869" s="22" t="s">
        <v>197</v>
      </c>
    </row>
    <row r="870" customFormat="false" ht="21.75" hidden="false" customHeight="true" outlineLevel="0" collapsed="false">
      <c r="B870" s="15" t="n">
        <v>866</v>
      </c>
      <c r="C870" s="9" t="s">
        <v>54</v>
      </c>
      <c r="D870" s="9" t="s">
        <v>23</v>
      </c>
      <c r="E870" s="9" t="s">
        <v>116</v>
      </c>
      <c r="F870" s="9" t="s">
        <v>61</v>
      </c>
      <c r="G870" s="9" t="s">
        <v>391</v>
      </c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19"/>
      <c r="V870" s="9"/>
      <c r="W870" s="9"/>
      <c r="X870" s="9" t="s">
        <v>2090</v>
      </c>
      <c r="Y870" s="23" t="s">
        <v>197</v>
      </c>
      <c r="Z870" s="23" t="s">
        <v>197</v>
      </c>
      <c r="AA870" s="23" t="s">
        <v>197</v>
      </c>
      <c r="AB870" s="9" t="s">
        <v>197</v>
      </c>
      <c r="AC870" s="9" t="s">
        <v>197</v>
      </c>
      <c r="AD870" s="23" t="s">
        <v>197</v>
      </c>
      <c r="AE870" s="23" t="s">
        <v>197</v>
      </c>
      <c r="AF870" s="23" t="s">
        <v>197</v>
      </c>
      <c r="AG870" s="23" t="s">
        <v>197</v>
      </c>
      <c r="AH870" s="23" t="s">
        <v>197</v>
      </c>
      <c r="AI870" s="23" t="s">
        <v>197</v>
      </c>
      <c r="AJ870" s="23" t="s">
        <v>197</v>
      </c>
      <c r="AK870" s="23" t="s">
        <v>197</v>
      </c>
      <c r="AL870" s="23" t="s">
        <v>197</v>
      </c>
      <c r="AM870" s="9" t="s">
        <v>197</v>
      </c>
      <c r="AN870" s="23" t="s">
        <v>197</v>
      </c>
      <c r="AO870" s="23" t="s">
        <v>197</v>
      </c>
      <c r="AP870" s="23" t="s">
        <v>197</v>
      </c>
    </row>
    <row r="871" customFormat="false" ht="21.75" hidden="false" customHeight="true" outlineLevel="0" collapsed="false">
      <c r="B871" s="14" t="n">
        <v>867</v>
      </c>
      <c r="C871" s="7" t="s">
        <v>54</v>
      </c>
      <c r="D871" s="7" t="s">
        <v>23</v>
      </c>
      <c r="E871" s="7" t="s">
        <v>116</v>
      </c>
      <c r="F871" s="7" t="s">
        <v>62</v>
      </c>
      <c r="G871" s="7" t="s">
        <v>391</v>
      </c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18"/>
      <c r="V871" s="7"/>
      <c r="W871" s="7"/>
      <c r="X871" s="7" t="s">
        <v>2091</v>
      </c>
      <c r="Y871" s="22" t="s">
        <v>197</v>
      </c>
      <c r="Z871" s="22" t="s">
        <v>197</v>
      </c>
      <c r="AA871" s="22" t="s">
        <v>197</v>
      </c>
      <c r="AB871" s="7" t="s">
        <v>197</v>
      </c>
      <c r="AC871" s="7" t="s">
        <v>197</v>
      </c>
      <c r="AD871" s="22" t="s">
        <v>197</v>
      </c>
      <c r="AE871" s="22" t="s">
        <v>197</v>
      </c>
      <c r="AF871" s="22" t="s">
        <v>197</v>
      </c>
      <c r="AG871" s="22" t="s">
        <v>197</v>
      </c>
      <c r="AH871" s="22" t="s">
        <v>197</v>
      </c>
      <c r="AI871" s="22" t="s">
        <v>197</v>
      </c>
      <c r="AJ871" s="22" t="s">
        <v>197</v>
      </c>
      <c r="AK871" s="22" t="s">
        <v>197</v>
      </c>
      <c r="AL871" s="22" t="s">
        <v>197</v>
      </c>
      <c r="AM871" s="7" t="s">
        <v>197</v>
      </c>
      <c r="AN871" s="22" t="s">
        <v>197</v>
      </c>
      <c r="AO871" s="22" t="s">
        <v>197</v>
      </c>
      <c r="AP871" s="22" t="s">
        <v>197</v>
      </c>
    </row>
    <row r="872" customFormat="false" ht="21.75" hidden="false" customHeight="true" outlineLevel="0" collapsed="false">
      <c r="B872" s="15" t="n">
        <v>868</v>
      </c>
      <c r="C872" s="9" t="s">
        <v>54</v>
      </c>
      <c r="D872" s="9" t="s">
        <v>23</v>
      </c>
      <c r="E872" s="9" t="s">
        <v>116</v>
      </c>
      <c r="F872" s="9" t="s">
        <v>63</v>
      </c>
      <c r="G872" s="9" t="s">
        <v>2092</v>
      </c>
      <c r="H872" s="9" t="s">
        <v>2093</v>
      </c>
      <c r="I872" s="9" t="s">
        <v>2094</v>
      </c>
      <c r="J872" s="9" t="s">
        <v>2095</v>
      </c>
      <c r="K872" s="9" t="s">
        <v>2096</v>
      </c>
      <c r="L872" s="9" t="s">
        <v>2078</v>
      </c>
      <c r="M872" s="9" t="s">
        <v>2097</v>
      </c>
      <c r="N872" s="9" t="s">
        <v>754</v>
      </c>
      <c r="O872" s="9" t="s">
        <v>189</v>
      </c>
      <c r="P872" s="9" t="s">
        <v>190</v>
      </c>
      <c r="Q872" s="9" t="s">
        <v>2098</v>
      </c>
      <c r="R872" s="9" t="s">
        <v>2099</v>
      </c>
      <c r="S872" s="9" t="s">
        <v>2082</v>
      </c>
      <c r="T872" s="9" t="s">
        <v>2100</v>
      </c>
      <c r="U872" s="19" t="n">
        <v>65</v>
      </c>
      <c r="V872" s="9"/>
      <c r="W872" s="9"/>
      <c r="X872" s="9" t="s">
        <v>195</v>
      </c>
      <c r="Y872" s="23" t="n">
        <v>0.054</v>
      </c>
      <c r="Z872" s="23" t="n">
        <v>0.1</v>
      </c>
      <c r="AA872" s="23" t="n">
        <v>12</v>
      </c>
      <c r="AB872" s="9" t="s">
        <v>2078</v>
      </c>
      <c r="AC872" s="9" t="s">
        <v>2101</v>
      </c>
      <c r="AD872" s="23" t="s">
        <v>197</v>
      </c>
      <c r="AE872" s="23" t="s">
        <v>197</v>
      </c>
      <c r="AF872" s="23" t="s">
        <v>197</v>
      </c>
      <c r="AG872" s="23" t="s">
        <v>197</v>
      </c>
      <c r="AH872" s="23" t="s">
        <v>197</v>
      </c>
      <c r="AI872" s="23" t="s">
        <v>197</v>
      </c>
      <c r="AJ872" s="23" t="s">
        <v>197</v>
      </c>
      <c r="AK872" s="23" t="s">
        <v>197</v>
      </c>
      <c r="AL872" s="23" t="s">
        <v>197</v>
      </c>
      <c r="AM872" s="9" t="s">
        <v>197</v>
      </c>
      <c r="AN872" s="23" t="s">
        <v>197</v>
      </c>
      <c r="AO872" s="23" t="n">
        <v>1.2</v>
      </c>
      <c r="AP872" s="23" t="n">
        <v>1.6</v>
      </c>
    </row>
    <row r="873" customFormat="false" ht="21.75" hidden="false" customHeight="true" outlineLevel="0" collapsed="false">
      <c r="B873" s="14" t="n">
        <v>869</v>
      </c>
      <c r="C873" s="7" t="s">
        <v>54</v>
      </c>
      <c r="D873" s="7" t="s">
        <v>23</v>
      </c>
      <c r="E873" s="7" t="s">
        <v>116</v>
      </c>
      <c r="F873" s="7" t="s">
        <v>63</v>
      </c>
      <c r="G873" s="7" t="s">
        <v>2102</v>
      </c>
      <c r="H873" s="7" t="s">
        <v>2093</v>
      </c>
      <c r="I873" s="7" t="s">
        <v>2094</v>
      </c>
      <c r="J873" s="7" t="s">
        <v>2095</v>
      </c>
      <c r="K873" s="7" t="s">
        <v>2096</v>
      </c>
      <c r="L873" s="7" t="s">
        <v>2078</v>
      </c>
      <c r="M873" s="7" t="s">
        <v>2097</v>
      </c>
      <c r="N873" s="7" t="s">
        <v>754</v>
      </c>
      <c r="O873" s="7" t="s">
        <v>189</v>
      </c>
      <c r="P873" s="7" t="s">
        <v>190</v>
      </c>
      <c r="Q873" s="7" t="s">
        <v>2098</v>
      </c>
      <c r="R873" s="7" t="s">
        <v>2099</v>
      </c>
      <c r="S873" s="7" t="s">
        <v>2082</v>
      </c>
      <c r="T873" s="7" t="s">
        <v>2100</v>
      </c>
      <c r="U873" s="18" t="n">
        <v>100</v>
      </c>
      <c r="V873" s="7"/>
      <c r="W873" s="7"/>
      <c r="X873" s="7" t="s">
        <v>199</v>
      </c>
      <c r="Y873" s="22" t="n">
        <v>0.037</v>
      </c>
      <c r="Z873" s="22" t="n">
        <v>0.072</v>
      </c>
      <c r="AA873" s="22" t="n">
        <v>12</v>
      </c>
      <c r="AB873" s="7" t="s">
        <v>2078</v>
      </c>
      <c r="AC873" s="7" t="s">
        <v>2101</v>
      </c>
      <c r="AD873" s="22" t="s">
        <v>197</v>
      </c>
      <c r="AE873" s="22" t="s">
        <v>197</v>
      </c>
      <c r="AF873" s="22" t="s">
        <v>197</v>
      </c>
      <c r="AG873" s="22" t="s">
        <v>197</v>
      </c>
      <c r="AH873" s="22" t="s">
        <v>197</v>
      </c>
      <c r="AI873" s="22" t="s">
        <v>197</v>
      </c>
      <c r="AJ873" s="22" t="s">
        <v>197</v>
      </c>
      <c r="AK873" s="22" t="s">
        <v>197</v>
      </c>
      <c r="AL873" s="22" t="s">
        <v>197</v>
      </c>
      <c r="AM873" s="7" t="s">
        <v>197</v>
      </c>
      <c r="AN873" s="22" t="s">
        <v>197</v>
      </c>
      <c r="AO873" s="22" t="n">
        <v>1.2</v>
      </c>
      <c r="AP873" s="22" t="n">
        <v>1.6</v>
      </c>
    </row>
    <row r="874" customFormat="false" ht="21.75" hidden="false" customHeight="true" outlineLevel="0" collapsed="false">
      <c r="B874" s="15" t="n">
        <v>870</v>
      </c>
      <c r="C874" s="9" t="s">
        <v>54</v>
      </c>
      <c r="D874" s="9" t="s">
        <v>23</v>
      </c>
      <c r="E874" s="9" t="s">
        <v>116</v>
      </c>
      <c r="F874" s="9" t="s">
        <v>63</v>
      </c>
      <c r="G874" s="9" t="s">
        <v>2103</v>
      </c>
      <c r="H874" s="9" t="s">
        <v>2093</v>
      </c>
      <c r="I874" s="9" t="s">
        <v>2094</v>
      </c>
      <c r="J874" s="9" t="s">
        <v>2095</v>
      </c>
      <c r="K874" s="9" t="s">
        <v>2096</v>
      </c>
      <c r="L874" s="9" t="s">
        <v>2078</v>
      </c>
      <c r="M874" s="9" t="s">
        <v>2097</v>
      </c>
      <c r="N874" s="9" t="s">
        <v>754</v>
      </c>
      <c r="O874" s="9" t="s">
        <v>189</v>
      </c>
      <c r="P874" s="9" t="s">
        <v>190</v>
      </c>
      <c r="Q874" s="9" t="s">
        <v>2098</v>
      </c>
      <c r="R874" s="9" t="s">
        <v>2099</v>
      </c>
      <c r="S874" s="9" t="s">
        <v>2082</v>
      </c>
      <c r="T874" s="9" t="s">
        <v>2100</v>
      </c>
      <c r="U874" s="19" t="n">
        <v>135</v>
      </c>
      <c r="V874" s="9"/>
      <c r="W874" s="9"/>
      <c r="X874" s="9" t="s">
        <v>2104</v>
      </c>
      <c r="Y874" s="23" t="n">
        <v>0.036</v>
      </c>
      <c r="Z874" s="23" t="n">
        <v>0.069</v>
      </c>
      <c r="AA874" s="23" t="n">
        <v>12</v>
      </c>
      <c r="AB874" s="9" t="s">
        <v>2078</v>
      </c>
      <c r="AC874" s="9" t="s">
        <v>2101</v>
      </c>
      <c r="AD874" s="23" t="s">
        <v>197</v>
      </c>
      <c r="AE874" s="23" t="s">
        <v>197</v>
      </c>
      <c r="AF874" s="23" t="s">
        <v>197</v>
      </c>
      <c r="AG874" s="23" t="s">
        <v>197</v>
      </c>
      <c r="AH874" s="23" t="s">
        <v>197</v>
      </c>
      <c r="AI874" s="23" t="s">
        <v>197</v>
      </c>
      <c r="AJ874" s="23" t="s">
        <v>197</v>
      </c>
      <c r="AK874" s="23" t="s">
        <v>197</v>
      </c>
      <c r="AL874" s="23" t="s">
        <v>197</v>
      </c>
      <c r="AM874" s="9" t="s">
        <v>197</v>
      </c>
      <c r="AN874" s="23" t="s">
        <v>197</v>
      </c>
      <c r="AO874" s="23" t="n">
        <v>1.2</v>
      </c>
      <c r="AP874" s="23" t="n">
        <v>1.6</v>
      </c>
    </row>
    <row r="875" customFormat="false" ht="21.75" hidden="false" customHeight="true" outlineLevel="0" collapsed="false">
      <c r="B875" s="14" t="n">
        <v>871</v>
      </c>
      <c r="C875" s="7" t="s">
        <v>54</v>
      </c>
      <c r="D875" s="7" t="s">
        <v>23</v>
      </c>
      <c r="E875" s="7" t="s">
        <v>116</v>
      </c>
      <c r="F875" s="7" t="s">
        <v>63</v>
      </c>
      <c r="G875" s="7" t="s">
        <v>2105</v>
      </c>
      <c r="H875" s="7" t="s">
        <v>2093</v>
      </c>
      <c r="I875" s="7" t="s">
        <v>2094</v>
      </c>
      <c r="J875" s="7" t="s">
        <v>2095</v>
      </c>
      <c r="K875" s="7" t="s">
        <v>2096</v>
      </c>
      <c r="L875" s="7" t="s">
        <v>2078</v>
      </c>
      <c r="M875" s="7" t="s">
        <v>2097</v>
      </c>
      <c r="N875" s="7" t="s">
        <v>754</v>
      </c>
      <c r="O875" s="7" t="s">
        <v>189</v>
      </c>
      <c r="P875" s="7" t="s">
        <v>190</v>
      </c>
      <c r="Q875" s="7" t="s">
        <v>2098</v>
      </c>
      <c r="R875" s="7" t="s">
        <v>2099</v>
      </c>
      <c r="S875" s="7" t="s">
        <v>2082</v>
      </c>
      <c r="T875" s="7" t="s">
        <v>2100</v>
      </c>
      <c r="U875" s="18" t="n">
        <v>200</v>
      </c>
      <c r="V875" s="7"/>
      <c r="W875" s="7"/>
      <c r="X875" s="7" t="s">
        <v>203</v>
      </c>
      <c r="Y875" s="22" t="n">
        <v>0.049</v>
      </c>
      <c r="Z875" s="22" t="n">
        <v>0.092</v>
      </c>
      <c r="AA875" s="22" t="n">
        <v>12</v>
      </c>
      <c r="AB875" s="7" t="s">
        <v>2078</v>
      </c>
      <c r="AC875" s="7" t="s">
        <v>2101</v>
      </c>
      <c r="AD875" s="22" t="s">
        <v>197</v>
      </c>
      <c r="AE875" s="22" t="s">
        <v>197</v>
      </c>
      <c r="AF875" s="22" t="s">
        <v>197</v>
      </c>
      <c r="AG875" s="22" t="s">
        <v>197</v>
      </c>
      <c r="AH875" s="22" t="s">
        <v>197</v>
      </c>
      <c r="AI875" s="22" t="s">
        <v>197</v>
      </c>
      <c r="AJ875" s="22" t="s">
        <v>197</v>
      </c>
      <c r="AK875" s="22" t="s">
        <v>197</v>
      </c>
      <c r="AL875" s="22" t="s">
        <v>197</v>
      </c>
      <c r="AM875" s="7" t="s">
        <v>197</v>
      </c>
      <c r="AN875" s="22" t="s">
        <v>197</v>
      </c>
      <c r="AO875" s="22" t="n">
        <v>1.2</v>
      </c>
      <c r="AP875" s="22" t="n">
        <v>1.6</v>
      </c>
    </row>
    <row r="876" customFormat="false" ht="21.75" hidden="false" customHeight="true" outlineLevel="0" collapsed="false">
      <c r="B876" s="15" t="n">
        <v>872</v>
      </c>
      <c r="C876" s="9" t="s">
        <v>54</v>
      </c>
      <c r="D876" s="9" t="s">
        <v>23</v>
      </c>
      <c r="E876" s="9" t="s">
        <v>116</v>
      </c>
      <c r="F876" s="9" t="s">
        <v>63</v>
      </c>
      <c r="G876" s="9" t="s">
        <v>2106</v>
      </c>
      <c r="H876" s="9" t="s">
        <v>2093</v>
      </c>
      <c r="I876" s="9" t="s">
        <v>2094</v>
      </c>
      <c r="J876" s="9" t="s">
        <v>2095</v>
      </c>
      <c r="K876" s="9" t="s">
        <v>2096</v>
      </c>
      <c r="L876" s="9" t="s">
        <v>2078</v>
      </c>
      <c r="M876" s="9" t="s">
        <v>2097</v>
      </c>
      <c r="N876" s="9" t="s">
        <v>754</v>
      </c>
      <c r="O876" s="9" t="s">
        <v>189</v>
      </c>
      <c r="P876" s="9" t="s">
        <v>190</v>
      </c>
      <c r="Q876" s="9" t="s">
        <v>2098</v>
      </c>
      <c r="R876" s="9" t="s">
        <v>2099</v>
      </c>
      <c r="S876" s="9" t="s">
        <v>2082</v>
      </c>
      <c r="T876" s="9" t="s">
        <v>2100</v>
      </c>
      <c r="U876" s="19" t="n">
        <v>295</v>
      </c>
      <c r="V876" s="9"/>
      <c r="W876" s="9"/>
      <c r="X876" s="9" t="s">
        <v>205</v>
      </c>
      <c r="Y876" s="23" t="n">
        <v>0.052</v>
      </c>
      <c r="Z876" s="23" t="n">
        <v>0.096</v>
      </c>
      <c r="AA876" s="23" t="n">
        <v>12</v>
      </c>
      <c r="AB876" s="9" t="s">
        <v>2078</v>
      </c>
      <c r="AC876" s="9" t="s">
        <v>2101</v>
      </c>
      <c r="AD876" s="23" t="s">
        <v>197</v>
      </c>
      <c r="AE876" s="23" t="s">
        <v>197</v>
      </c>
      <c r="AF876" s="23" t="s">
        <v>197</v>
      </c>
      <c r="AG876" s="23" t="s">
        <v>197</v>
      </c>
      <c r="AH876" s="23" t="s">
        <v>197</v>
      </c>
      <c r="AI876" s="23" t="s">
        <v>197</v>
      </c>
      <c r="AJ876" s="23" t="s">
        <v>197</v>
      </c>
      <c r="AK876" s="23" t="s">
        <v>197</v>
      </c>
      <c r="AL876" s="23" t="s">
        <v>197</v>
      </c>
      <c r="AM876" s="9" t="s">
        <v>197</v>
      </c>
      <c r="AN876" s="23" t="s">
        <v>197</v>
      </c>
      <c r="AO876" s="23" t="n">
        <v>1.2</v>
      </c>
      <c r="AP876" s="23" t="n">
        <v>1.6</v>
      </c>
    </row>
    <row r="877" customFormat="false" ht="21.75" hidden="false" customHeight="true" outlineLevel="0" collapsed="false">
      <c r="B877" s="14" t="n">
        <v>873</v>
      </c>
      <c r="C877" s="7" t="s">
        <v>54</v>
      </c>
      <c r="D877" s="7" t="s">
        <v>23</v>
      </c>
      <c r="E877" s="7" t="s">
        <v>116</v>
      </c>
      <c r="F877" s="7" t="s">
        <v>64</v>
      </c>
      <c r="G877" s="7" t="s">
        <v>2107</v>
      </c>
      <c r="H877" s="7" t="s">
        <v>247</v>
      </c>
      <c r="I877" s="7" t="s">
        <v>1128</v>
      </c>
      <c r="J877" s="7" t="s">
        <v>2108</v>
      </c>
      <c r="K877" s="7" t="s">
        <v>2109</v>
      </c>
      <c r="L877" s="7" t="s">
        <v>2078</v>
      </c>
      <c r="M877" s="7" t="s">
        <v>518</v>
      </c>
      <c r="N877" s="7" t="s">
        <v>699</v>
      </c>
      <c r="O877" s="7" t="s">
        <v>189</v>
      </c>
      <c r="P877" s="7" t="s">
        <v>190</v>
      </c>
      <c r="Q877" s="7" t="s">
        <v>1131</v>
      </c>
      <c r="R877" s="7" t="s">
        <v>689</v>
      </c>
      <c r="S877" s="7" t="s">
        <v>2082</v>
      </c>
      <c r="T877" s="7" t="s">
        <v>275</v>
      </c>
      <c r="U877" s="18" t="n">
        <v>20</v>
      </c>
      <c r="V877" s="7"/>
      <c r="W877" s="7"/>
      <c r="X877" s="7" t="s">
        <v>195</v>
      </c>
      <c r="Y877" s="22" t="n">
        <v>1.93E-005</v>
      </c>
      <c r="Z877" s="22" t="n">
        <v>4.519E-005</v>
      </c>
      <c r="AA877" s="22" t="n">
        <v>3</v>
      </c>
      <c r="AB877" s="7" t="s">
        <v>2078</v>
      </c>
      <c r="AC877" s="7" t="s">
        <v>2110</v>
      </c>
      <c r="AD877" s="22" t="s">
        <v>197</v>
      </c>
      <c r="AE877" s="22" t="s">
        <v>197</v>
      </c>
      <c r="AF877" s="22" t="s">
        <v>197</v>
      </c>
      <c r="AG877" s="22" t="s">
        <v>197</v>
      </c>
      <c r="AH877" s="22" t="s">
        <v>197</v>
      </c>
      <c r="AI877" s="22" t="s">
        <v>197</v>
      </c>
      <c r="AJ877" s="22" t="n">
        <v>8</v>
      </c>
      <c r="AK877" s="22" t="s">
        <v>197</v>
      </c>
      <c r="AL877" s="22" t="n">
        <v>90</v>
      </c>
      <c r="AM877" s="7" t="s">
        <v>257</v>
      </c>
      <c r="AN877" s="22" t="s">
        <v>197</v>
      </c>
      <c r="AO877" s="22" t="n">
        <v>2</v>
      </c>
      <c r="AP877" s="22" t="n">
        <v>2.7</v>
      </c>
    </row>
    <row r="878" customFormat="false" ht="21.75" hidden="false" customHeight="true" outlineLevel="0" collapsed="false">
      <c r="B878" s="15" t="n">
        <v>874</v>
      </c>
      <c r="C878" s="9" t="s">
        <v>54</v>
      </c>
      <c r="D878" s="9" t="s">
        <v>23</v>
      </c>
      <c r="E878" s="9" t="s">
        <v>116</v>
      </c>
      <c r="F878" s="9" t="s">
        <v>64</v>
      </c>
      <c r="G878" s="9" t="s">
        <v>2111</v>
      </c>
      <c r="H878" s="9" t="s">
        <v>259</v>
      </c>
      <c r="I878" s="9" t="s">
        <v>1128</v>
      </c>
      <c r="J878" s="9" t="s">
        <v>2108</v>
      </c>
      <c r="K878" s="9" t="s">
        <v>2109</v>
      </c>
      <c r="L878" s="9" t="s">
        <v>2078</v>
      </c>
      <c r="M878" s="9" t="s">
        <v>518</v>
      </c>
      <c r="N878" s="9" t="s">
        <v>699</v>
      </c>
      <c r="O878" s="9" t="s">
        <v>189</v>
      </c>
      <c r="P878" s="9" t="s">
        <v>190</v>
      </c>
      <c r="Q878" s="9" t="s">
        <v>1131</v>
      </c>
      <c r="R878" s="9" t="s">
        <v>689</v>
      </c>
      <c r="S878" s="9" t="s">
        <v>2082</v>
      </c>
      <c r="T878" s="9" t="s">
        <v>275</v>
      </c>
      <c r="U878" s="19" t="n">
        <v>35</v>
      </c>
      <c r="V878" s="9"/>
      <c r="W878" s="9"/>
      <c r="X878" s="9" t="s">
        <v>199</v>
      </c>
      <c r="Y878" s="23" t="n">
        <v>1.657E-005</v>
      </c>
      <c r="Z878" s="23" t="n">
        <v>4.03E-005</v>
      </c>
      <c r="AA878" s="23" t="n">
        <v>3</v>
      </c>
      <c r="AB878" s="9" t="s">
        <v>2078</v>
      </c>
      <c r="AC878" s="9" t="s">
        <v>2110</v>
      </c>
      <c r="AD878" s="23" t="s">
        <v>197</v>
      </c>
      <c r="AE878" s="23" t="s">
        <v>197</v>
      </c>
      <c r="AF878" s="23" t="s">
        <v>197</v>
      </c>
      <c r="AG878" s="23" t="s">
        <v>197</v>
      </c>
      <c r="AH878" s="23" t="s">
        <v>197</v>
      </c>
      <c r="AI878" s="23" t="s">
        <v>197</v>
      </c>
      <c r="AJ878" s="23" t="n">
        <v>10</v>
      </c>
      <c r="AK878" s="23" t="s">
        <v>197</v>
      </c>
      <c r="AL878" s="23" t="n">
        <v>90</v>
      </c>
      <c r="AM878" s="9" t="s">
        <v>257</v>
      </c>
      <c r="AN878" s="23" t="s">
        <v>197</v>
      </c>
      <c r="AO878" s="23" t="n">
        <v>2</v>
      </c>
      <c r="AP878" s="23" t="n">
        <v>2.7</v>
      </c>
    </row>
    <row r="879" customFormat="false" ht="21.75" hidden="false" customHeight="true" outlineLevel="0" collapsed="false">
      <c r="B879" s="14" t="n">
        <v>875</v>
      </c>
      <c r="C879" s="7" t="s">
        <v>54</v>
      </c>
      <c r="D879" s="7" t="s">
        <v>23</v>
      </c>
      <c r="E879" s="7" t="s">
        <v>116</v>
      </c>
      <c r="F879" s="7" t="s">
        <v>64</v>
      </c>
      <c r="G879" s="7" t="s">
        <v>2112</v>
      </c>
      <c r="H879" s="7" t="s">
        <v>261</v>
      </c>
      <c r="I879" s="7" t="s">
        <v>1128</v>
      </c>
      <c r="J879" s="7" t="s">
        <v>2108</v>
      </c>
      <c r="K879" s="7" t="s">
        <v>2109</v>
      </c>
      <c r="L879" s="7" t="s">
        <v>2078</v>
      </c>
      <c r="M879" s="7" t="s">
        <v>518</v>
      </c>
      <c r="N879" s="7" t="s">
        <v>699</v>
      </c>
      <c r="O879" s="7" t="s">
        <v>189</v>
      </c>
      <c r="P879" s="7" t="s">
        <v>190</v>
      </c>
      <c r="Q879" s="7" t="s">
        <v>1131</v>
      </c>
      <c r="R879" s="7" t="s">
        <v>689</v>
      </c>
      <c r="S879" s="7" t="s">
        <v>2082</v>
      </c>
      <c r="T879" s="7" t="s">
        <v>275</v>
      </c>
      <c r="U879" s="18" t="n">
        <v>45</v>
      </c>
      <c r="V879" s="7"/>
      <c r="W879" s="7"/>
      <c r="X879" s="7" t="s">
        <v>2113</v>
      </c>
      <c r="Y879" s="22" t="n">
        <v>2.025E-005</v>
      </c>
      <c r="Z879" s="22" t="n">
        <v>4.688E-005</v>
      </c>
      <c r="AA879" s="22" t="n">
        <v>3</v>
      </c>
      <c r="AB879" s="7" t="s">
        <v>2078</v>
      </c>
      <c r="AC879" s="7" t="s">
        <v>2110</v>
      </c>
      <c r="AD879" s="22" t="s">
        <v>197</v>
      </c>
      <c r="AE879" s="22" t="s">
        <v>197</v>
      </c>
      <c r="AF879" s="22" t="s">
        <v>197</v>
      </c>
      <c r="AG879" s="22" t="s">
        <v>197</v>
      </c>
      <c r="AH879" s="22" t="s">
        <v>197</v>
      </c>
      <c r="AI879" s="22" t="s">
        <v>197</v>
      </c>
      <c r="AJ879" s="22" t="n">
        <v>12</v>
      </c>
      <c r="AK879" s="22" t="s">
        <v>197</v>
      </c>
      <c r="AL879" s="22" t="n">
        <v>90</v>
      </c>
      <c r="AM879" s="7" t="s">
        <v>257</v>
      </c>
      <c r="AN879" s="22" t="s">
        <v>197</v>
      </c>
      <c r="AO879" s="22" t="n">
        <v>2</v>
      </c>
      <c r="AP879" s="22" t="n">
        <v>2.7</v>
      </c>
    </row>
    <row r="880" customFormat="false" ht="21.75" hidden="false" customHeight="true" outlineLevel="0" collapsed="false">
      <c r="B880" s="15" t="n">
        <v>876</v>
      </c>
      <c r="C880" s="9" t="s">
        <v>54</v>
      </c>
      <c r="D880" s="9" t="s">
        <v>23</v>
      </c>
      <c r="E880" s="9" t="s">
        <v>116</v>
      </c>
      <c r="F880" s="9" t="s">
        <v>64</v>
      </c>
      <c r="G880" s="9" t="s">
        <v>2114</v>
      </c>
      <c r="H880" s="9" t="s">
        <v>264</v>
      </c>
      <c r="I880" s="9" t="s">
        <v>1128</v>
      </c>
      <c r="J880" s="9" t="s">
        <v>2108</v>
      </c>
      <c r="K880" s="9" t="s">
        <v>2109</v>
      </c>
      <c r="L880" s="9" t="s">
        <v>2078</v>
      </c>
      <c r="M880" s="9" t="s">
        <v>518</v>
      </c>
      <c r="N880" s="9" t="s">
        <v>699</v>
      </c>
      <c r="O880" s="9" t="s">
        <v>189</v>
      </c>
      <c r="P880" s="9" t="s">
        <v>190</v>
      </c>
      <c r="Q880" s="9" t="s">
        <v>1131</v>
      </c>
      <c r="R880" s="9" t="s">
        <v>689</v>
      </c>
      <c r="S880" s="9" t="s">
        <v>2082</v>
      </c>
      <c r="T880" s="9" t="s">
        <v>275</v>
      </c>
      <c r="U880" s="19" t="n">
        <v>70</v>
      </c>
      <c r="V880" s="9"/>
      <c r="W880" s="9"/>
      <c r="X880" s="9" t="s">
        <v>203</v>
      </c>
      <c r="Y880" s="23" t="n">
        <v>9.35E-006</v>
      </c>
      <c r="Z880" s="23" t="n">
        <v>2.741E-005</v>
      </c>
      <c r="AA880" s="23" t="n">
        <v>3</v>
      </c>
      <c r="AB880" s="9" t="s">
        <v>2078</v>
      </c>
      <c r="AC880" s="9" t="s">
        <v>2110</v>
      </c>
      <c r="AD880" s="23" t="s">
        <v>197</v>
      </c>
      <c r="AE880" s="23" t="s">
        <v>197</v>
      </c>
      <c r="AF880" s="23" t="s">
        <v>197</v>
      </c>
      <c r="AG880" s="23" t="s">
        <v>197</v>
      </c>
      <c r="AH880" s="23" t="s">
        <v>197</v>
      </c>
      <c r="AI880" s="23" t="s">
        <v>197</v>
      </c>
      <c r="AJ880" s="23" t="n">
        <v>12</v>
      </c>
      <c r="AK880" s="23" t="s">
        <v>197</v>
      </c>
      <c r="AL880" s="23" t="n">
        <v>110</v>
      </c>
      <c r="AM880" s="9" t="s">
        <v>257</v>
      </c>
      <c r="AN880" s="23" t="s">
        <v>197</v>
      </c>
      <c r="AO880" s="23" t="n">
        <v>2</v>
      </c>
      <c r="AP880" s="23" t="n">
        <v>2.7</v>
      </c>
    </row>
    <row r="881" customFormat="false" ht="21.75" hidden="false" customHeight="true" outlineLevel="0" collapsed="false">
      <c r="B881" s="14" t="n">
        <v>877</v>
      </c>
      <c r="C881" s="7" t="s">
        <v>54</v>
      </c>
      <c r="D881" s="7" t="s">
        <v>23</v>
      </c>
      <c r="E881" s="7" t="s">
        <v>116</v>
      </c>
      <c r="F881" s="7" t="s">
        <v>64</v>
      </c>
      <c r="G881" s="7" t="s">
        <v>2115</v>
      </c>
      <c r="H881" s="7" t="s">
        <v>266</v>
      </c>
      <c r="I881" s="7" t="s">
        <v>1128</v>
      </c>
      <c r="J881" s="7" t="s">
        <v>2108</v>
      </c>
      <c r="K881" s="7" t="s">
        <v>2109</v>
      </c>
      <c r="L881" s="7" t="s">
        <v>2078</v>
      </c>
      <c r="M881" s="7" t="s">
        <v>518</v>
      </c>
      <c r="N881" s="7" t="s">
        <v>699</v>
      </c>
      <c r="O881" s="7" t="s">
        <v>189</v>
      </c>
      <c r="P881" s="7" t="s">
        <v>190</v>
      </c>
      <c r="Q881" s="7" t="s">
        <v>1131</v>
      </c>
      <c r="R881" s="7" t="s">
        <v>689</v>
      </c>
      <c r="S881" s="7" t="s">
        <v>2082</v>
      </c>
      <c r="T881" s="7" t="s">
        <v>275</v>
      </c>
      <c r="U881" s="18" t="n">
        <v>105</v>
      </c>
      <c r="V881" s="7"/>
      <c r="W881" s="7"/>
      <c r="X881" s="7" t="s">
        <v>205</v>
      </c>
      <c r="Y881" s="22" t="n">
        <v>2.101E-005</v>
      </c>
      <c r="Z881" s="22" t="n">
        <v>4.824E-005</v>
      </c>
      <c r="AA881" s="22" t="n">
        <v>3</v>
      </c>
      <c r="AB881" s="7" t="s">
        <v>2078</v>
      </c>
      <c r="AC881" s="7" t="s">
        <v>2110</v>
      </c>
      <c r="AD881" s="22" t="s">
        <v>197</v>
      </c>
      <c r="AE881" s="22" t="s">
        <v>197</v>
      </c>
      <c r="AF881" s="22" t="s">
        <v>197</v>
      </c>
      <c r="AG881" s="22" t="s">
        <v>197</v>
      </c>
      <c r="AH881" s="22" t="s">
        <v>197</v>
      </c>
      <c r="AI881" s="22" t="s">
        <v>197</v>
      </c>
      <c r="AJ881" s="22" t="n">
        <v>15</v>
      </c>
      <c r="AK881" s="22" t="s">
        <v>197</v>
      </c>
      <c r="AL881" s="22" t="n">
        <v>110</v>
      </c>
      <c r="AM881" s="7" t="s">
        <v>257</v>
      </c>
      <c r="AN881" s="22" t="s">
        <v>197</v>
      </c>
      <c r="AO881" s="22" t="n">
        <v>2</v>
      </c>
      <c r="AP881" s="22" t="n">
        <v>2.7</v>
      </c>
    </row>
    <row r="882" customFormat="false" ht="21.75" hidden="false" customHeight="true" outlineLevel="0" collapsed="false">
      <c r="B882" s="15" t="n">
        <v>878</v>
      </c>
      <c r="C882" s="9" t="s">
        <v>54</v>
      </c>
      <c r="D882" s="9" t="s">
        <v>23</v>
      </c>
      <c r="E882" s="9" t="s">
        <v>116</v>
      </c>
      <c r="F882" s="9" t="s">
        <v>65</v>
      </c>
      <c r="G882" s="9" t="s">
        <v>391</v>
      </c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19"/>
      <c r="V882" s="9"/>
      <c r="W882" s="9"/>
      <c r="X882" s="9" t="s">
        <v>2116</v>
      </c>
      <c r="Y882" s="23" t="s">
        <v>197</v>
      </c>
      <c r="Z882" s="23" t="s">
        <v>197</v>
      </c>
      <c r="AA882" s="23" t="s">
        <v>197</v>
      </c>
      <c r="AB882" s="9" t="s">
        <v>197</v>
      </c>
      <c r="AC882" s="9" t="s">
        <v>197</v>
      </c>
      <c r="AD882" s="23" t="s">
        <v>197</v>
      </c>
      <c r="AE882" s="23" t="s">
        <v>197</v>
      </c>
      <c r="AF882" s="23" t="s">
        <v>197</v>
      </c>
      <c r="AG882" s="23" t="s">
        <v>197</v>
      </c>
      <c r="AH882" s="23" t="s">
        <v>197</v>
      </c>
      <c r="AI882" s="23" t="s">
        <v>197</v>
      </c>
      <c r="AJ882" s="23" t="s">
        <v>197</v>
      </c>
      <c r="AK882" s="23" t="s">
        <v>197</v>
      </c>
      <c r="AL882" s="23" t="s">
        <v>197</v>
      </c>
      <c r="AM882" s="9" t="s">
        <v>197</v>
      </c>
      <c r="AN882" s="23" t="s">
        <v>197</v>
      </c>
      <c r="AO882" s="23" t="s">
        <v>197</v>
      </c>
      <c r="AP882" s="23" t="s">
        <v>197</v>
      </c>
    </row>
    <row r="883" customFormat="false" ht="21.75" hidden="false" customHeight="true" outlineLevel="0" collapsed="false">
      <c r="B883" s="14" t="n">
        <v>879</v>
      </c>
      <c r="C883" s="7" t="s">
        <v>54</v>
      </c>
      <c r="D883" s="7" t="s">
        <v>23</v>
      </c>
      <c r="E883" s="7" t="s">
        <v>116</v>
      </c>
      <c r="F883" s="7" t="s">
        <v>66</v>
      </c>
      <c r="G883" s="7" t="s">
        <v>391</v>
      </c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18"/>
      <c r="V883" s="7"/>
      <c r="W883" s="7"/>
      <c r="X883" s="7" t="s">
        <v>2117</v>
      </c>
      <c r="Y883" s="22" t="s">
        <v>197</v>
      </c>
      <c r="Z883" s="22" t="s">
        <v>197</v>
      </c>
      <c r="AA883" s="22" t="s">
        <v>197</v>
      </c>
      <c r="AB883" s="7" t="s">
        <v>197</v>
      </c>
      <c r="AC883" s="7" t="s">
        <v>197</v>
      </c>
      <c r="AD883" s="22" t="s">
        <v>197</v>
      </c>
      <c r="AE883" s="22" t="s">
        <v>197</v>
      </c>
      <c r="AF883" s="22" t="s">
        <v>197</v>
      </c>
      <c r="AG883" s="22" t="s">
        <v>197</v>
      </c>
      <c r="AH883" s="22" t="s">
        <v>197</v>
      </c>
      <c r="AI883" s="22" t="s">
        <v>197</v>
      </c>
      <c r="AJ883" s="22" t="s">
        <v>197</v>
      </c>
      <c r="AK883" s="22" t="s">
        <v>197</v>
      </c>
      <c r="AL883" s="22" t="s">
        <v>197</v>
      </c>
      <c r="AM883" s="7" t="s">
        <v>197</v>
      </c>
      <c r="AN883" s="22" t="s">
        <v>197</v>
      </c>
      <c r="AO883" s="22" t="s">
        <v>197</v>
      </c>
      <c r="AP883" s="22" t="s">
        <v>197</v>
      </c>
    </row>
    <row r="884" customFormat="false" ht="21.75" hidden="false" customHeight="true" outlineLevel="0" collapsed="false">
      <c r="B884" s="15" t="n">
        <v>880</v>
      </c>
      <c r="C884" s="9" t="s">
        <v>54</v>
      </c>
      <c r="D884" s="9" t="s">
        <v>23</v>
      </c>
      <c r="E884" s="9" t="s">
        <v>116</v>
      </c>
      <c r="F884" s="9" t="s">
        <v>67</v>
      </c>
      <c r="G884" s="9" t="s">
        <v>2118</v>
      </c>
      <c r="H884" s="9" t="s">
        <v>303</v>
      </c>
      <c r="I884" s="9" t="s">
        <v>2119</v>
      </c>
      <c r="J884" s="9" t="s">
        <v>2120</v>
      </c>
      <c r="K884" s="9" t="s">
        <v>2109</v>
      </c>
      <c r="L884" s="9" t="s">
        <v>2078</v>
      </c>
      <c r="M884" s="9" t="s">
        <v>542</v>
      </c>
      <c r="N884" s="9" t="s">
        <v>543</v>
      </c>
      <c r="O884" s="9" t="s">
        <v>189</v>
      </c>
      <c r="P884" s="9" t="s">
        <v>190</v>
      </c>
      <c r="Q884" s="9" t="s">
        <v>2121</v>
      </c>
      <c r="R884" s="9" t="s">
        <v>545</v>
      </c>
      <c r="S884" s="9" t="s">
        <v>2082</v>
      </c>
      <c r="T884" s="9" t="s">
        <v>309</v>
      </c>
      <c r="U884" s="19" t="n">
        <v>19</v>
      </c>
      <c r="V884" s="9"/>
      <c r="W884" s="9"/>
      <c r="X884" s="9" t="s">
        <v>195</v>
      </c>
      <c r="Y884" s="23" t="n">
        <v>0</v>
      </c>
      <c r="Z884" s="23" t="n">
        <v>0</v>
      </c>
      <c r="AA884" s="23" t="s">
        <v>197</v>
      </c>
      <c r="AB884" s="9" t="s">
        <v>2078</v>
      </c>
      <c r="AC884" s="9" t="s">
        <v>2122</v>
      </c>
      <c r="AD884" s="23" t="s">
        <v>197</v>
      </c>
      <c r="AE884" s="23" t="s">
        <v>197</v>
      </c>
      <c r="AF884" s="23" t="s">
        <v>197</v>
      </c>
      <c r="AG884" s="23" t="s">
        <v>197</v>
      </c>
      <c r="AH884" s="23" t="s">
        <v>197</v>
      </c>
      <c r="AI884" s="23" t="s">
        <v>197</v>
      </c>
      <c r="AJ884" s="23" t="s">
        <v>197</v>
      </c>
      <c r="AK884" s="23" t="s">
        <v>197</v>
      </c>
      <c r="AL884" s="23" t="s">
        <v>197</v>
      </c>
      <c r="AM884" s="9" t="s">
        <v>310</v>
      </c>
      <c r="AN884" s="23" t="s">
        <v>197</v>
      </c>
      <c r="AO884" s="23" t="s">
        <v>197</v>
      </c>
      <c r="AP884" s="23" t="s">
        <v>197</v>
      </c>
    </row>
    <row r="885" customFormat="false" ht="21.75" hidden="false" customHeight="true" outlineLevel="0" collapsed="false">
      <c r="B885" s="14" t="n">
        <v>881</v>
      </c>
      <c r="C885" s="7" t="s">
        <v>54</v>
      </c>
      <c r="D885" s="7" t="s">
        <v>23</v>
      </c>
      <c r="E885" s="7" t="s">
        <v>116</v>
      </c>
      <c r="F885" s="7" t="s">
        <v>67</v>
      </c>
      <c r="G885" s="7" t="s">
        <v>2123</v>
      </c>
      <c r="H885" s="7" t="s">
        <v>312</v>
      </c>
      <c r="I885" s="7" t="s">
        <v>2119</v>
      </c>
      <c r="J885" s="7" t="s">
        <v>2120</v>
      </c>
      <c r="K885" s="7" t="s">
        <v>2109</v>
      </c>
      <c r="L885" s="7" t="s">
        <v>2078</v>
      </c>
      <c r="M885" s="7" t="s">
        <v>542</v>
      </c>
      <c r="N885" s="7" t="s">
        <v>543</v>
      </c>
      <c r="O885" s="7" t="s">
        <v>189</v>
      </c>
      <c r="P885" s="7" t="s">
        <v>190</v>
      </c>
      <c r="Q885" s="7" t="s">
        <v>2121</v>
      </c>
      <c r="R885" s="7" t="s">
        <v>545</v>
      </c>
      <c r="S885" s="7" t="s">
        <v>2082</v>
      </c>
      <c r="T885" s="7" t="s">
        <v>309</v>
      </c>
      <c r="U885" s="18" t="n">
        <v>25</v>
      </c>
      <c r="V885" s="7"/>
      <c r="W885" s="7"/>
      <c r="X885" s="7" t="s">
        <v>199</v>
      </c>
      <c r="Y885" s="22" t="n">
        <v>0</v>
      </c>
      <c r="Z885" s="22" t="n">
        <v>0</v>
      </c>
      <c r="AA885" s="22" t="s">
        <v>197</v>
      </c>
      <c r="AB885" s="7" t="s">
        <v>2078</v>
      </c>
      <c r="AC885" s="7" t="s">
        <v>2122</v>
      </c>
      <c r="AD885" s="22" t="s">
        <v>197</v>
      </c>
      <c r="AE885" s="22" t="s">
        <v>197</v>
      </c>
      <c r="AF885" s="22" t="s">
        <v>197</v>
      </c>
      <c r="AG885" s="22" t="s">
        <v>197</v>
      </c>
      <c r="AH885" s="22" t="s">
        <v>197</v>
      </c>
      <c r="AI885" s="22" t="s">
        <v>197</v>
      </c>
      <c r="AJ885" s="22" t="s">
        <v>197</v>
      </c>
      <c r="AK885" s="22" t="s">
        <v>197</v>
      </c>
      <c r="AL885" s="22" t="s">
        <v>197</v>
      </c>
      <c r="AM885" s="7" t="s">
        <v>310</v>
      </c>
      <c r="AN885" s="22" t="s">
        <v>197</v>
      </c>
      <c r="AO885" s="22" t="s">
        <v>197</v>
      </c>
      <c r="AP885" s="22" t="s">
        <v>197</v>
      </c>
    </row>
    <row r="886" customFormat="false" ht="21.75" hidden="false" customHeight="true" outlineLevel="0" collapsed="false">
      <c r="B886" s="15" t="n">
        <v>882</v>
      </c>
      <c r="C886" s="9" t="s">
        <v>54</v>
      </c>
      <c r="D886" s="9" t="s">
        <v>23</v>
      </c>
      <c r="E886" s="9" t="s">
        <v>116</v>
      </c>
      <c r="F886" s="9" t="s">
        <v>67</v>
      </c>
      <c r="G886" s="9" t="s">
        <v>2124</v>
      </c>
      <c r="H886" s="9" t="s">
        <v>314</v>
      </c>
      <c r="I886" s="9" t="s">
        <v>2119</v>
      </c>
      <c r="J886" s="9" t="s">
        <v>2120</v>
      </c>
      <c r="K886" s="9" t="s">
        <v>2109</v>
      </c>
      <c r="L886" s="9" t="s">
        <v>2078</v>
      </c>
      <c r="M886" s="9" t="s">
        <v>542</v>
      </c>
      <c r="N886" s="9" t="s">
        <v>543</v>
      </c>
      <c r="O886" s="9" t="s">
        <v>189</v>
      </c>
      <c r="P886" s="9" t="s">
        <v>190</v>
      </c>
      <c r="Q886" s="9" t="s">
        <v>2121</v>
      </c>
      <c r="R886" s="9" t="s">
        <v>545</v>
      </c>
      <c r="S886" s="9" t="s">
        <v>2082</v>
      </c>
      <c r="T886" s="9" t="s">
        <v>309</v>
      </c>
      <c r="U886" s="19" t="n">
        <v>35</v>
      </c>
      <c r="V886" s="9"/>
      <c r="W886" s="9"/>
      <c r="X886" s="9" t="s">
        <v>2125</v>
      </c>
      <c r="Y886" s="23" t="n">
        <v>0</v>
      </c>
      <c r="Z886" s="23" t="n">
        <v>0</v>
      </c>
      <c r="AA886" s="23" t="s">
        <v>197</v>
      </c>
      <c r="AB886" s="9" t="s">
        <v>2078</v>
      </c>
      <c r="AC886" s="9" t="s">
        <v>2122</v>
      </c>
      <c r="AD886" s="23" t="s">
        <v>197</v>
      </c>
      <c r="AE886" s="23" t="s">
        <v>197</v>
      </c>
      <c r="AF886" s="23" t="s">
        <v>197</v>
      </c>
      <c r="AG886" s="23" t="s">
        <v>197</v>
      </c>
      <c r="AH886" s="23" t="s">
        <v>197</v>
      </c>
      <c r="AI886" s="23" t="s">
        <v>197</v>
      </c>
      <c r="AJ886" s="23" t="s">
        <v>197</v>
      </c>
      <c r="AK886" s="23" t="s">
        <v>197</v>
      </c>
      <c r="AL886" s="23" t="s">
        <v>197</v>
      </c>
      <c r="AM886" s="9" t="s">
        <v>310</v>
      </c>
      <c r="AN886" s="23" t="s">
        <v>197</v>
      </c>
      <c r="AO886" s="23" t="s">
        <v>197</v>
      </c>
      <c r="AP886" s="23" t="s">
        <v>197</v>
      </c>
    </row>
    <row r="887" customFormat="false" ht="21.75" hidden="false" customHeight="true" outlineLevel="0" collapsed="false">
      <c r="B887" s="14" t="n">
        <v>883</v>
      </c>
      <c r="C887" s="7" t="s">
        <v>54</v>
      </c>
      <c r="D887" s="7" t="s">
        <v>23</v>
      </c>
      <c r="E887" s="7" t="s">
        <v>116</v>
      </c>
      <c r="F887" s="7" t="s">
        <v>67</v>
      </c>
      <c r="G887" s="7" t="s">
        <v>2126</v>
      </c>
      <c r="H887" s="7" t="s">
        <v>317</v>
      </c>
      <c r="I887" s="7" t="s">
        <v>2119</v>
      </c>
      <c r="J887" s="7" t="s">
        <v>2120</v>
      </c>
      <c r="K887" s="7" t="s">
        <v>2109</v>
      </c>
      <c r="L887" s="7" t="s">
        <v>2078</v>
      </c>
      <c r="M887" s="7" t="s">
        <v>542</v>
      </c>
      <c r="N887" s="7" t="s">
        <v>543</v>
      </c>
      <c r="O887" s="7" t="s">
        <v>189</v>
      </c>
      <c r="P887" s="7" t="s">
        <v>190</v>
      </c>
      <c r="Q887" s="7" t="s">
        <v>2121</v>
      </c>
      <c r="R887" s="7" t="s">
        <v>545</v>
      </c>
      <c r="S887" s="7" t="s">
        <v>2082</v>
      </c>
      <c r="T887" s="7" t="s">
        <v>309</v>
      </c>
      <c r="U887" s="18" t="n">
        <v>55</v>
      </c>
      <c r="V887" s="7"/>
      <c r="W887" s="7"/>
      <c r="X887" s="7" t="s">
        <v>203</v>
      </c>
      <c r="Y887" s="22" t="n">
        <v>0</v>
      </c>
      <c r="Z887" s="22" t="n">
        <v>0</v>
      </c>
      <c r="AA887" s="22" t="s">
        <v>197</v>
      </c>
      <c r="AB887" s="7" t="s">
        <v>2078</v>
      </c>
      <c r="AC887" s="7" t="s">
        <v>2122</v>
      </c>
      <c r="AD887" s="22" t="s">
        <v>197</v>
      </c>
      <c r="AE887" s="22" t="s">
        <v>197</v>
      </c>
      <c r="AF887" s="22" t="s">
        <v>197</v>
      </c>
      <c r="AG887" s="22" t="s">
        <v>197</v>
      </c>
      <c r="AH887" s="22" t="s">
        <v>197</v>
      </c>
      <c r="AI887" s="22" t="s">
        <v>197</v>
      </c>
      <c r="AJ887" s="22" t="s">
        <v>197</v>
      </c>
      <c r="AK887" s="22" t="s">
        <v>197</v>
      </c>
      <c r="AL887" s="22" t="s">
        <v>197</v>
      </c>
      <c r="AM887" s="7" t="s">
        <v>310</v>
      </c>
      <c r="AN887" s="22" t="s">
        <v>197</v>
      </c>
      <c r="AO887" s="22" t="s">
        <v>197</v>
      </c>
      <c r="AP887" s="22" t="s">
        <v>197</v>
      </c>
    </row>
    <row r="888" customFormat="false" ht="21.75" hidden="false" customHeight="true" outlineLevel="0" collapsed="false">
      <c r="B888" s="15" t="n">
        <v>884</v>
      </c>
      <c r="C888" s="9" t="s">
        <v>54</v>
      </c>
      <c r="D888" s="9" t="s">
        <v>23</v>
      </c>
      <c r="E888" s="9" t="s">
        <v>116</v>
      </c>
      <c r="F888" s="9" t="s">
        <v>67</v>
      </c>
      <c r="G888" s="9" t="s">
        <v>2127</v>
      </c>
      <c r="H888" s="9" t="s">
        <v>319</v>
      </c>
      <c r="I888" s="9" t="s">
        <v>2119</v>
      </c>
      <c r="J888" s="9" t="s">
        <v>2120</v>
      </c>
      <c r="K888" s="9" t="s">
        <v>2109</v>
      </c>
      <c r="L888" s="9" t="s">
        <v>2078</v>
      </c>
      <c r="M888" s="9" t="s">
        <v>542</v>
      </c>
      <c r="N888" s="9" t="s">
        <v>543</v>
      </c>
      <c r="O888" s="9" t="s">
        <v>189</v>
      </c>
      <c r="P888" s="9" t="s">
        <v>190</v>
      </c>
      <c r="Q888" s="9" t="s">
        <v>2121</v>
      </c>
      <c r="R888" s="9" t="s">
        <v>545</v>
      </c>
      <c r="S888" s="9" t="s">
        <v>2082</v>
      </c>
      <c r="T888" s="9" t="s">
        <v>309</v>
      </c>
      <c r="U888" s="19" t="n">
        <v>80</v>
      </c>
      <c r="V888" s="9"/>
      <c r="W888" s="9"/>
      <c r="X888" s="9" t="s">
        <v>205</v>
      </c>
      <c r="Y888" s="23" t="n">
        <v>0</v>
      </c>
      <c r="Z888" s="23" t="n">
        <v>0</v>
      </c>
      <c r="AA888" s="23" t="s">
        <v>197</v>
      </c>
      <c r="AB888" s="9" t="s">
        <v>2078</v>
      </c>
      <c r="AC888" s="9" t="s">
        <v>2122</v>
      </c>
      <c r="AD888" s="23" t="s">
        <v>197</v>
      </c>
      <c r="AE888" s="23" t="s">
        <v>197</v>
      </c>
      <c r="AF888" s="23" t="s">
        <v>197</v>
      </c>
      <c r="AG888" s="23" t="s">
        <v>197</v>
      </c>
      <c r="AH888" s="23" t="s">
        <v>197</v>
      </c>
      <c r="AI888" s="23" t="s">
        <v>197</v>
      </c>
      <c r="AJ888" s="23" t="s">
        <v>197</v>
      </c>
      <c r="AK888" s="23" t="s">
        <v>197</v>
      </c>
      <c r="AL888" s="23" t="s">
        <v>197</v>
      </c>
      <c r="AM888" s="9" t="s">
        <v>310</v>
      </c>
      <c r="AN888" s="23" t="s">
        <v>197</v>
      </c>
      <c r="AO888" s="23" t="s">
        <v>197</v>
      </c>
      <c r="AP888" s="23" t="s">
        <v>197</v>
      </c>
    </row>
    <row r="889" customFormat="false" ht="21.75" hidden="false" customHeight="true" outlineLevel="0" collapsed="false">
      <c r="B889" s="14" t="n">
        <v>885</v>
      </c>
      <c r="C889" s="7" t="s">
        <v>54</v>
      </c>
      <c r="D889" s="7" t="s">
        <v>23</v>
      </c>
      <c r="E889" s="7" t="s">
        <v>116</v>
      </c>
      <c r="F889" s="7" t="s">
        <v>68</v>
      </c>
      <c r="G889" s="7" t="s">
        <v>391</v>
      </c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18"/>
      <c r="V889" s="7"/>
      <c r="W889" s="7"/>
      <c r="X889" s="7" t="s">
        <v>2128</v>
      </c>
      <c r="Y889" s="22" t="s">
        <v>197</v>
      </c>
      <c r="Z889" s="22" t="s">
        <v>197</v>
      </c>
      <c r="AA889" s="22" t="s">
        <v>197</v>
      </c>
      <c r="AB889" s="7" t="s">
        <v>197</v>
      </c>
      <c r="AC889" s="7" t="s">
        <v>197</v>
      </c>
      <c r="AD889" s="22" t="s">
        <v>197</v>
      </c>
      <c r="AE889" s="22" t="s">
        <v>197</v>
      </c>
      <c r="AF889" s="22" t="s">
        <v>197</v>
      </c>
      <c r="AG889" s="22" t="s">
        <v>197</v>
      </c>
      <c r="AH889" s="22" t="s">
        <v>197</v>
      </c>
      <c r="AI889" s="22" t="s">
        <v>197</v>
      </c>
      <c r="AJ889" s="22" t="s">
        <v>197</v>
      </c>
      <c r="AK889" s="22" t="s">
        <v>197</v>
      </c>
      <c r="AL889" s="22" t="s">
        <v>197</v>
      </c>
      <c r="AM889" s="7" t="s">
        <v>197</v>
      </c>
      <c r="AN889" s="22" t="s">
        <v>197</v>
      </c>
      <c r="AO889" s="22" t="s">
        <v>197</v>
      </c>
      <c r="AP889" s="22" t="s">
        <v>197</v>
      </c>
    </row>
    <row r="890" customFormat="false" ht="21.75" hidden="false" customHeight="true" outlineLevel="0" collapsed="false">
      <c r="B890" s="15" t="n">
        <v>886</v>
      </c>
      <c r="C890" s="9" t="s">
        <v>54</v>
      </c>
      <c r="D890" s="9" t="s">
        <v>23</v>
      </c>
      <c r="E890" s="9" t="s">
        <v>116</v>
      </c>
      <c r="F890" s="9" t="s">
        <v>69</v>
      </c>
      <c r="G890" s="9" t="s">
        <v>2129</v>
      </c>
      <c r="H890" s="9" t="s">
        <v>339</v>
      </c>
      <c r="I890" s="9" t="s">
        <v>2130</v>
      </c>
      <c r="J890" s="9" t="s">
        <v>753</v>
      </c>
      <c r="K890" s="9" t="s">
        <v>2109</v>
      </c>
      <c r="L890" s="9" t="s">
        <v>2078</v>
      </c>
      <c r="M890" s="9" t="s">
        <v>1692</v>
      </c>
      <c r="N890" s="9" t="s">
        <v>189</v>
      </c>
      <c r="O890" s="9" t="s">
        <v>189</v>
      </c>
      <c r="P890" s="9" t="s">
        <v>190</v>
      </c>
      <c r="Q890" s="9" t="s">
        <v>2131</v>
      </c>
      <c r="R890" s="9" t="s">
        <v>2132</v>
      </c>
      <c r="S890" s="9" t="s">
        <v>2082</v>
      </c>
      <c r="T890" s="9" t="s">
        <v>2133</v>
      </c>
      <c r="U890" s="19" t="n">
        <v>25</v>
      </c>
      <c r="V890" s="9"/>
      <c r="W890" s="9"/>
      <c r="X890" s="9" t="s">
        <v>195</v>
      </c>
      <c r="Y890" s="23" t="n">
        <v>0.009</v>
      </c>
      <c r="Z890" s="23" t="n">
        <v>0.437</v>
      </c>
      <c r="AA890" s="23" t="n">
        <v>12</v>
      </c>
      <c r="AB890" s="9" t="s">
        <v>2078</v>
      </c>
      <c r="AC890" s="9" t="s">
        <v>2122</v>
      </c>
      <c r="AD890" s="23" t="s">
        <v>197</v>
      </c>
      <c r="AE890" s="23" t="s">
        <v>197</v>
      </c>
      <c r="AF890" s="23" t="s">
        <v>197</v>
      </c>
      <c r="AG890" s="23" t="s">
        <v>197</v>
      </c>
      <c r="AH890" s="23" t="s">
        <v>197</v>
      </c>
      <c r="AI890" s="23" t="s">
        <v>197</v>
      </c>
      <c r="AJ890" s="23" t="s">
        <v>197</v>
      </c>
      <c r="AK890" s="23" t="s">
        <v>197</v>
      </c>
      <c r="AL890" s="23" t="s">
        <v>197</v>
      </c>
      <c r="AM890" s="9" t="s">
        <v>197</v>
      </c>
      <c r="AN890" s="23" t="n">
        <v>21.4</v>
      </c>
      <c r="AO890" s="23" t="n">
        <v>2.5</v>
      </c>
      <c r="AP890" s="23" t="n">
        <v>4.5</v>
      </c>
    </row>
    <row r="891" customFormat="false" ht="21.75" hidden="false" customHeight="true" outlineLevel="0" collapsed="false">
      <c r="B891" s="14" t="n">
        <v>887</v>
      </c>
      <c r="C891" s="7" t="s">
        <v>54</v>
      </c>
      <c r="D891" s="7" t="s">
        <v>23</v>
      </c>
      <c r="E891" s="7" t="s">
        <v>116</v>
      </c>
      <c r="F891" s="7" t="s">
        <v>69</v>
      </c>
      <c r="G891" s="7" t="s">
        <v>2134</v>
      </c>
      <c r="H891" s="7" t="s">
        <v>350</v>
      </c>
      <c r="I891" s="7" t="s">
        <v>2130</v>
      </c>
      <c r="J891" s="7" t="s">
        <v>753</v>
      </c>
      <c r="K891" s="7" t="s">
        <v>2109</v>
      </c>
      <c r="L891" s="7" t="s">
        <v>2078</v>
      </c>
      <c r="M891" s="7" t="s">
        <v>1692</v>
      </c>
      <c r="N891" s="7" t="s">
        <v>189</v>
      </c>
      <c r="O891" s="7" t="s">
        <v>189</v>
      </c>
      <c r="P891" s="7" t="s">
        <v>190</v>
      </c>
      <c r="Q891" s="7" t="s">
        <v>2131</v>
      </c>
      <c r="R891" s="7" t="s">
        <v>2132</v>
      </c>
      <c r="S891" s="7" t="s">
        <v>2082</v>
      </c>
      <c r="T891" s="7" t="s">
        <v>2133</v>
      </c>
      <c r="U891" s="18" t="n">
        <v>40</v>
      </c>
      <c r="V891" s="7"/>
      <c r="W891" s="7"/>
      <c r="X891" s="7" t="s">
        <v>199</v>
      </c>
      <c r="Y891" s="22" t="n">
        <v>0.011</v>
      </c>
      <c r="Z891" s="22" t="n">
        <v>0.485</v>
      </c>
      <c r="AA891" s="22" t="n">
        <v>12</v>
      </c>
      <c r="AB891" s="7" t="s">
        <v>2078</v>
      </c>
      <c r="AC891" s="7" t="s">
        <v>2122</v>
      </c>
      <c r="AD891" s="22" t="s">
        <v>197</v>
      </c>
      <c r="AE891" s="22" t="s">
        <v>197</v>
      </c>
      <c r="AF891" s="22" t="s">
        <v>197</v>
      </c>
      <c r="AG891" s="22" t="s">
        <v>197</v>
      </c>
      <c r="AH891" s="22" t="s">
        <v>197</v>
      </c>
      <c r="AI891" s="22" t="s">
        <v>197</v>
      </c>
      <c r="AJ891" s="22" t="s">
        <v>197</v>
      </c>
      <c r="AK891" s="22" t="s">
        <v>197</v>
      </c>
      <c r="AL891" s="22" t="s">
        <v>197</v>
      </c>
      <c r="AM891" s="7" t="s">
        <v>197</v>
      </c>
      <c r="AN891" s="22" t="n">
        <v>23.3</v>
      </c>
      <c r="AO891" s="22" t="n">
        <v>2.5</v>
      </c>
      <c r="AP891" s="22" t="n">
        <v>4.5</v>
      </c>
    </row>
    <row r="892" customFormat="false" ht="21.75" hidden="false" customHeight="true" outlineLevel="0" collapsed="false">
      <c r="B892" s="15" t="n">
        <v>888</v>
      </c>
      <c r="C892" s="9" t="s">
        <v>54</v>
      </c>
      <c r="D892" s="9" t="s">
        <v>23</v>
      </c>
      <c r="E892" s="9" t="s">
        <v>116</v>
      </c>
      <c r="F892" s="9" t="s">
        <v>69</v>
      </c>
      <c r="G892" s="9" t="s">
        <v>2135</v>
      </c>
      <c r="H892" s="9" t="s">
        <v>352</v>
      </c>
      <c r="I892" s="9" t="s">
        <v>2130</v>
      </c>
      <c r="J892" s="9" t="s">
        <v>753</v>
      </c>
      <c r="K892" s="9" t="s">
        <v>2109</v>
      </c>
      <c r="L892" s="9" t="s">
        <v>2078</v>
      </c>
      <c r="M892" s="9" t="s">
        <v>1692</v>
      </c>
      <c r="N892" s="9" t="s">
        <v>189</v>
      </c>
      <c r="O892" s="9" t="s">
        <v>189</v>
      </c>
      <c r="P892" s="9" t="s">
        <v>190</v>
      </c>
      <c r="Q892" s="9" t="s">
        <v>2131</v>
      </c>
      <c r="R892" s="9" t="s">
        <v>2132</v>
      </c>
      <c r="S892" s="9" t="s">
        <v>2082</v>
      </c>
      <c r="T892" s="9" t="s">
        <v>2133</v>
      </c>
      <c r="U892" s="19" t="n">
        <v>55</v>
      </c>
      <c r="V892" s="9"/>
      <c r="W892" s="9"/>
      <c r="X892" s="9" t="s">
        <v>2136</v>
      </c>
      <c r="Y892" s="23" t="n">
        <v>0.015</v>
      </c>
      <c r="Z892" s="23" t="n">
        <v>0.636</v>
      </c>
      <c r="AA892" s="23" t="n">
        <v>12</v>
      </c>
      <c r="AB892" s="9" t="s">
        <v>2078</v>
      </c>
      <c r="AC892" s="9" t="s">
        <v>2122</v>
      </c>
      <c r="AD892" s="23" t="s">
        <v>197</v>
      </c>
      <c r="AE892" s="23" t="s">
        <v>197</v>
      </c>
      <c r="AF892" s="23" t="s">
        <v>197</v>
      </c>
      <c r="AG892" s="23" t="s">
        <v>197</v>
      </c>
      <c r="AH892" s="23" t="s">
        <v>197</v>
      </c>
      <c r="AI892" s="23" t="s">
        <v>197</v>
      </c>
      <c r="AJ892" s="23" t="s">
        <v>197</v>
      </c>
      <c r="AK892" s="23" t="s">
        <v>197</v>
      </c>
      <c r="AL892" s="23" t="s">
        <v>197</v>
      </c>
      <c r="AM892" s="9" t="s">
        <v>197</v>
      </c>
      <c r="AN892" s="23" t="n">
        <v>29.4</v>
      </c>
      <c r="AO892" s="23" t="n">
        <v>2.5</v>
      </c>
      <c r="AP892" s="23" t="n">
        <v>4.5</v>
      </c>
    </row>
    <row r="893" customFormat="false" ht="21.75" hidden="false" customHeight="true" outlineLevel="0" collapsed="false">
      <c r="B893" s="14" t="n">
        <v>889</v>
      </c>
      <c r="C893" s="7" t="s">
        <v>54</v>
      </c>
      <c r="D893" s="7" t="s">
        <v>23</v>
      </c>
      <c r="E893" s="7" t="s">
        <v>116</v>
      </c>
      <c r="F893" s="7" t="s">
        <v>69</v>
      </c>
      <c r="G893" s="7" t="s">
        <v>2137</v>
      </c>
      <c r="H893" s="7" t="s">
        <v>355</v>
      </c>
      <c r="I893" s="7" t="s">
        <v>2130</v>
      </c>
      <c r="J893" s="7" t="s">
        <v>753</v>
      </c>
      <c r="K893" s="7" t="s">
        <v>2109</v>
      </c>
      <c r="L893" s="7" t="s">
        <v>2078</v>
      </c>
      <c r="M893" s="7" t="s">
        <v>1692</v>
      </c>
      <c r="N893" s="7" t="s">
        <v>189</v>
      </c>
      <c r="O893" s="7" t="s">
        <v>189</v>
      </c>
      <c r="P893" s="7" t="s">
        <v>190</v>
      </c>
      <c r="Q893" s="7" t="s">
        <v>2131</v>
      </c>
      <c r="R893" s="7" t="s">
        <v>2132</v>
      </c>
      <c r="S893" s="7" t="s">
        <v>2082</v>
      </c>
      <c r="T893" s="7" t="s">
        <v>2133</v>
      </c>
      <c r="U893" s="18" t="n">
        <v>85</v>
      </c>
      <c r="V893" s="7"/>
      <c r="W893" s="7"/>
      <c r="X893" s="7" t="s">
        <v>203</v>
      </c>
      <c r="Y893" s="22" t="n">
        <v>0.007</v>
      </c>
      <c r="Z893" s="22" t="n">
        <v>0.356</v>
      </c>
      <c r="AA893" s="22" t="n">
        <v>12</v>
      </c>
      <c r="AB893" s="7" t="s">
        <v>2078</v>
      </c>
      <c r="AC893" s="7" t="s">
        <v>2122</v>
      </c>
      <c r="AD893" s="22" t="s">
        <v>197</v>
      </c>
      <c r="AE893" s="22" t="s">
        <v>197</v>
      </c>
      <c r="AF893" s="22" t="s">
        <v>197</v>
      </c>
      <c r="AG893" s="22" t="s">
        <v>197</v>
      </c>
      <c r="AH893" s="22" t="s">
        <v>197</v>
      </c>
      <c r="AI893" s="22" t="s">
        <v>197</v>
      </c>
      <c r="AJ893" s="22" t="s">
        <v>197</v>
      </c>
      <c r="AK893" s="22" t="s">
        <v>197</v>
      </c>
      <c r="AL893" s="22" t="s">
        <v>197</v>
      </c>
      <c r="AM893" s="7" t="s">
        <v>197</v>
      </c>
      <c r="AN893" s="22" t="n">
        <v>18.1</v>
      </c>
      <c r="AO893" s="22" t="n">
        <v>2.5</v>
      </c>
      <c r="AP893" s="22" t="n">
        <v>4.5</v>
      </c>
    </row>
    <row r="894" customFormat="false" ht="21.75" hidden="false" customHeight="true" outlineLevel="0" collapsed="false">
      <c r="B894" s="15" t="n">
        <v>890</v>
      </c>
      <c r="C894" s="9" t="s">
        <v>54</v>
      </c>
      <c r="D894" s="9" t="s">
        <v>23</v>
      </c>
      <c r="E894" s="9" t="s">
        <v>116</v>
      </c>
      <c r="F894" s="9" t="s">
        <v>69</v>
      </c>
      <c r="G894" s="9" t="s">
        <v>2138</v>
      </c>
      <c r="H894" s="9" t="s">
        <v>357</v>
      </c>
      <c r="I894" s="9" t="s">
        <v>2130</v>
      </c>
      <c r="J894" s="9" t="s">
        <v>753</v>
      </c>
      <c r="K894" s="9" t="s">
        <v>2109</v>
      </c>
      <c r="L894" s="9" t="s">
        <v>2078</v>
      </c>
      <c r="M894" s="9" t="s">
        <v>1692</v>
      </c>
      <c r="N894" s="9" t="s">
        <v>189</v>
      </c>
      <c r="O894" s="9" t="s">
        <v>189</v>
      </c>
      <c r="P894" s="9" t="s">
        <v>190</v>
      </c>
      <c r="Q894" s="9" t="s">
        <v>2131</v>
      </c>
      <c r="R894" s="9" t="s">
        <v>2132</v>
      </c>
      <c r="S894" s="9" t="s">
        <v>2082</v>
      </c>
      <c r="T894" s="9" t="s">
        <v>2133</v>
      </c>
      <c r="U894" s="19" t="n">
        <v>125</v>
      </c>
      <c r="V894" s="9"/>
      <c r="W894" s="9"/>
      <c r="X894" s="9" t="s">
        <v>205</v>
      </c>
      <c r="Y894" s="23" t="n">
        <v>0.009</v>
      </c>
      <c r="Z894" s="23" t="n">
        <v>0.435</v>
      </c>
      <c r="AA894" s="23" t="n">
        <v>12</v>
      </c>
      <c r="AB894" s="9" t="s">
        <v>2078</v>
      </c>
      <c r="AC894" s="9" t="s">
        <v>2122</v>
      </c>
      <c r="AD894" s="23" t="s">
        <v>197</v>
      </c>
      <c r="AE894" s="23" t="s">
        <v>197</v>
      </c>
      <c r="AF894" s="23" t="s">
        <v>197</v>
      </c>
      <c r="AG894" s="23" t="s">
        <v>197</v>
      </c>
      <c r="AH894" s="23" t="s">
        <v>197</v>
      </c>
      <c r="AI894" s="23" t="s">
        <v>197</v>
      </c>
      <c r="AJ894" s="23" t="s">
        <v>197</v>
      </c>
      <c r="AK894" s="23" t="s">
        <v>197</v>
      </c>
      <c r="AL894" s="23" t="s">
        <v>197</v>
      </c>
      <c r="AM894" s="9" t="s">
        <v>197</v>
      </c>
      <c r="AN894" s="23" t="n">
        <v>21.3</v>
      </c>
      <c r="AO894" s="23" t="n">
        <v>2.5</v>
      </c>
      <c r="AP894" s="23" t="n">
        <v>4.5</v>
      </c>
    </row>
    <row r="895" customFormat="false" ht="21.75" hidden="false" customHeight="true" outlineLevel="0" collapsed="false">
      <c r="B895" s="14" t="n">
        <v>891</v>
      </c>
      <c r="C895" s="7" t="s">
        <v>54</v>
      </c>
      <c r="D895" s="7" t="s">
        <v>23</v>
      </c>
      <c r="E895" s="7" t="s">
        <v>116</v>
      </c>
      <c r="F895" s="7" t="s">
        <v>70</v>
      </c>
      <c r="G895" s="7" t="s">
        <v>391</v>
      </c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18"/>
      <c r="V895" s="7"/>
      <c r="W895" s="7"/>
      <c r="X895" s="7" t="s">
        <v>2139</v>
      </c>
      <c r="Y895" s="22" t="s">
        <v>197</v>
      </c>
      <c r="Z895" s="22" t="s">
        <v>197</v>
      </c>
      <c r="AA895" s="22" t="s">
        <v>197</v>
      </c>
      <c r="AB895" s="7" t="s">
        <v>197</v>
      </c>
      <c r="AC895" s="7" t="s">
        <v>197</v>
      </c>
      <c r="AD895" s="22" t="s">
        <v>197</v>
      </c>
      <c r="AE895" s="22" t="s">
        <v>197</v>
      </c>
      <c r="AF895" s="22" t="s">
        <v>197</v>
      </c>
      <c r="AG895" s="22" t="s">
        <v>197</v>
      </c>
      <c r="AH895" s="22" t="s">
        <v>197</v>
      </c>
      <c r="AI895" s="22" t="s">
        <v>197</v>
      </c>
      <c r="AJ895" s="22" t="s">
        <v>197</v>
      </c>
      <c r="AK895" s="22" t="s">
        <v>197</v>
      </c>
      <c r="AL895" s="22" t="s">
        <v>197</v>
      </c>
      <c r="AM895" s="7" t="s">
        <v>197</v>
      </c>
      <c r="AN895" s="22" t="s">
        <v>197</v>
      </c>
      <c r="AO895" s="22" t="s">
        <v>197</v>
      </c>
      <c r="AP895" s="22" t="s">
        <v>197</v>
      </c>
    </row>
    <row r="896" customFormat="false" ht="21.75" hidden="false" customHeight="true" outlineLevel="0" collapsed="false">
      <c r="B896" s="15" t="n">
        <v>892</v>
      </c>
      <c r="C896" s="9" t="s">
        <v>54</v>
      </c>
      <c r="D896" s="9" t="s">
        <v>23</v>
      </c>
      <c r="E896" s="9" t="s">
        <v>116</v>
      </c>
      <c r="F896" s="9" t="s">
        <v>71</v>
      </c>
      <c r="G896" s="9" t="s">
        <v>391</v>
      </c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19"/>
      <c r="V896" s="9"/>
      <c r="W896" s="9"/>
      <c r="X896" s="9" t="s">
        <v>2140</v>
      </c>
      <c r="Y896" s="23" t="s">
        <v>197</v>
      </c>
      <c r="Z896" s="23" t="s">
        <v>197</v>
      </c>
      <c r="AA896" s="23" t="s">
        <v>197</v>
      </c>
      <c r="AB896" s="9" t="s">
        <v>197</v>
      </c>
      <c r="AC896" s="9" t="s">
        <v>197</v>
      </c>
      <c r="AD896" s="23" t="s">
        <v>197</v>
      </c>
      <c r="AE896" s="23" t="s">
        <v>197</v>
      </c>
      <c r="AF896" s="23" t="s">
        <v>197</v>
      </c>
      <c r="AG896" s="23" t="s">
        <v>197</v>
      </c>
      <c r="AH896" s="23" t="s">
        <v>197</v>
      </c>
      <c r="AI896" s="23" t="s">
        <v>197</v>
      </c>
      <c r="AJ896" s="23" t="s">
        <v>197</v>
      </c>
      <c r="AK896" s="23" t="s">
        <v>197</v>
      </c>
      <c r="AL896" s="23" t="s">
        <v>197</v>
      </c>
      <c r="AM896" s="9" t="s">
        <v>197</v>
      </c>
      <c r="AN896" s="23" t="s">
        <v>197</v>
      </c>
      <c r="AO896" s="23" t="s">
        <v>197</v>
      </c>
      <c r="AP896" s="23" t="s">
        <v>197</v>
      </c>
    </row>
    <row r="897" customFormat="false" ht="21.75" hidden="false" customHeight="true" outlineLevel="0" collapsed="false">
      <c r="B897" s="14" t="n">
        <v>893</v>
      </c>
      <c r="C897" s="7" t="s">
        <v>54</v>
      </c>
      <c r="D897" s="7" t="s">
        <v>23</v>
      </c>
      <c r="E897" s="7" t="s">
        <v>116</v>
      </c>
      <c r="F897" s="7" t="s">
        <v>72</v>
      </c>
      <c r="G897" s="7" t="s">
        <v>391</v>
      </c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18"/>
      <c r="V897" s="7"/>
      <c r="W897" s="7"/>
      <c r="X897" s="7" t="s">
        <v>2141</v>
      </c>
      <c r="Y897" s="22" t="s">
        <v>197</v>
      </c>
      <c r="Z897" s="22" t="s">
        <v>197</v>
      </c>
      <c r="AA897" s="22" t="s">
        <v>197</v>
      </c>
      <c r="AB897" s="7" t="s">
        <v>197</v>
      </c>
      <c r="AC897" s="7" t="s">
        <v>197</v>
      </c>
      <c r="AD897" s="22" t="s">
        <v>197</v>
      </c>
      <c r="AE897" s="22" t="s">
        <v>197</v>
      </c>
      <c r="AF897" s="22" t="s">
        <v>197</v>
      </c>
      <c r="AG897" s="22" t="s">
        <v>197</v>
      </c>
      <c r="AH897" s="22" t="s">
        <v>197</v>
      </c>
      <c r="AI897" s="22" t="s">
        <v>197</v>
      </c>
      <c r="AJ897" s="22" t="s">
        <v>197</v>
      </c>
      <c r="AK897" s="22" t="s">
        <v>197</v>
      </c>
      <c r="AL897" s="22" t="s">
        <v>197</v>
      </c>
      <c r="AM897" s="7" t="s">
        <v>197</v>
      </c>
      <c r="AN897" s="22" t="s">
        <v>197</v>
      </c>
      <c r="AO897" s="22" t="s">
        <v>197</v>
      </c>
      <c r="AP897" s="22" t="s">
        <v>197</v>
      </c>
    </row>
    <row r="898" customFormat="false" ht="21.75" hidden="false" customHeight="true" outlineLevel="0" collapsed="false">
      <c r="B898" s="15" t="n">
        <v>894</v>
      </c>
      <c r="C898" s="9" t="s">
        <v>54</v>
      </c>
      <c r="D898" s="9" t="s">
        <v>23</v>
      </c>
      <c r="E898" s="9" t="s">
        <v>116</v>
      </c>
      <c r="F898" s="9" t="s">
        <v>73</v>
      </c>
      <c r="G898" s="9" t="s">
        <v>391</v>
      </c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19"/>
      <c r="V898" s="9"/>
      <c r="W898" s="9"/>
      <c r="X898" s="9" t="s">
        <v>2142</v>
      </c>
      <c r="Y898" s="23" t="s">
        <v>197</v>
      </c>
      <c r="Z898" s="23" t="s">
        <v>197</v>
      </c>
      <c r="AA898" s="23" t="s">
        <v>197</v>
      </c>
      <c r="AB898" s="9" t="s">
        <v>197</v>
      </c>
      <c r="AC898" s="9" t="s">
        <v>197</v>
      </c>
      <c r="AD898" s="23" t="s">
        <v>197</v>
      </c>
      <c r="AE898" s="23" t="s">
        <v>197</v>
      </c>
      <c r="AF898" s="23" t="s">
        <v>197</v>
      </c>
      <c r="AG898" s="23" t="s">
        <v>197</v>
      </c>
      <c r="AH898" s="23" t="s">
        <v>197</v>
      </c>
      <c r="AI898" s="23" t="s">
        <v>197</v>
      </c>
      <c r="AJ898" s="23" t="s">
        <v>197</v>
      </c>
      <c r="AK898" s="23" t="s">
        <v>197</v>
      </c>
      <c r="AL898" s="23" t="s">
        <v>197</v>
      </c>
      <c r="AM898" s="9" t="s">
        <v>197</v>
      </c>
      <c r="AN898" s="23" t="s">
        <v>197</v>
      </c>
      <c r="AO898" s="23" t="s">
        <v>197</v>
      </c>
      <c r="AP898" s="23" t="s">
        <v>197</v>
      </c>
    </row>
    <row r="899" customFormat="false" ht="21.75" hidden="false" customHeight="true" outlineLevel="0" collapsed="false">
      <c r="B899" s="14" t="n">
        <v>895</v>
      </c>
      <c r="C899" s="7" t="s">
        <v>54</v>
      </c>
      <c r="D899" s="7" t="s">
        <v>23</v>
      </c>
      <c r="E899" s="7" t="s">
        <v>116</v>
      </c>
      <c r="F899" s="7" t="s">
        <v>74</v>
      </c>
      <c r="G899" s="7" t="s">
        <v>391</v>
      </c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18"/>
      <c r="V899" s="7"/>
      <c r="W899" s="7"/>
      <c r="X899" s="7" t="s">
        <v>2143</v>
      </c>
      <c r="Y899" s="22" t="s">
        <v>197</v>
      </c>
      <c r="Z899" s="22" t="s">
        <v>197</v>
      </c>
      <c r="AA899" s="22" t="s">
        <v>197</v>
      </c>
      <c r="AB899" s="7" t="s">
        <v>197</v>
      </c>
      <c r="AC899" s="7" t="s">
        <v>197</v>
      </c>
      <c r="AD899" s="22" t="s">
        <v>197</v>
      </c>
      <c r="AE899" s="22" t="s">
        <v>197</v>
      </c>
      <c r="AF899" s="22" t="s">
        <v>197</v>
      </c>
      <c r="AG899" s="22" t="s">
        <v>197</v>
      </c>
      <c r="AH899" s="22" t="s">
        <v>197</v>
      </c>
      <c r="AI899" s="22" t="s">
        <v>197</v>
      </c>
      <c r="AJ899" s="22" t="s">
        <v>197</v>
      </c>
      <c r="AK899" s="22" t="s">
        <v>197</v>
      </c>
      <c r="AL899" s="22" t="s">
        <v>197</v>
      </c>
      <c r="AM899" s="7" t="s">
        <v>197</v>
      </c>
      <c r="AN899" s="22" t="s">
        <v>197</v>
      </c>
      <c r="AO899" s="22" t="s">
        <v>197</v>
      </c>
      <c r="AP899" s="22" t="s">
        <v>197</v>
      </c>
    </row>
    <row r="900" customFormat="false" ht="21.75" hidden="false" customHeight="true" outlineLevel="0" collapsed="false">
      <c r="B900" s="15" t="n">
        <v>896</v>
      </c>
      <c r="C900" s="9" t="s">
        <v>54</v>
      </c>
      <c r="D900" s="9" t="s">
        <v>23</v>
      </c>
      <c r="E900" s="9" t="s">
        <v>116</v>
      </c>
      <c r="F900" s="9" t="s">
        <v>75</v>
      </c>
      <c r="G900" s="9" t="s">
        <v>391</v>
      </c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19"/>
      <c r="V900" s="9"/>
      <c r="W900" s="9"/>
      <c r="X900" s="9" t="s">
        <v>2144</v>
      </c>
      <c r="Y900" s="23" t="s">
        <v>197</v>
      </c>
      <c r="Z900" s="23" t="s">
        <v>197</v>
      </c>
      <c r="AA900" s="23" t="s">
        <v>197</v>
      </c>
      <c r="AB900" s="9" t="s">
        <v>197</v>
      </c>
      <c r="AC900" s="9" t="s">
        <v>197</v>
      </c>
      <c r="AD900" s="23" t="s">
        <v>197</v>
      </c>
      <c r="AE900" s="23" t="s">
        <v>197</v>
      </c>
      <c r="AF900" s="23" t="s">
        <v>197</v>
      </c>
      <c r="AG900" s="23" t="s">
        <v>197</v>
      </c>
      <c r="AH900" s="23" t="s">
        <v>197</v>
      </c>
      <c r="AI900" s="23" t="s">
        <v>197</v>
      </c>
      <c r="AJ900" s="23" t="s">
        <v>197</v>
      </c>
      <c r="AK900" s="23" t="s">
        <v>197</v>
      </c>
      <c r="AL900" s="23" t="s">
        <v>197</v>
      </c>
      <c r="AM900" s="9" t="s">
        <v>197</v>
      </c>
      <c r="AN900" s="23" t="s">
        <v>197</v>
      </c>
      <c r="AO900" s="23" t="s">
        <v>197</v>
      </c>
      <c r="AP900" s="23" t="s">
        <v>197</v>
      </c>
    </row>
    <row r="901" customFormat="false" ht="21.75" hidden="false" customHeight="true" outlineLevel="0" collapsed="false">
      <c r="B901" s="14" t="n">
        <v>897</v>
      </c>
      <c r="C901" s="7" t="s">
        <v>55</v>
      </c>
      <c r="D901" s="7" t="s">
        <v>26</v>
      </c>
      <c r="E901" s="7" t="s">
        <v>125</v>
      </c>
      <c r="F901" s="7" t="s">
        <v>60</v>
      </c>
      <c r="G901" s="7" t="s">
        <v>2145</v>
      </c>
      <c r="H901" s="7" t="s">
        <v>446</v>
      </c>
      <c r="I901" s="7" t="s">
        <v>2146</v>
      </c>
      <c r="J901" s="7" t="s">
        <v>2147</v>
      </c>
      <c r="K901" s="7" t="s">
        <v>1617</v>
      </c>
      <c r="L901" s="7" t="s">
        <v>2148</v>
      </c>
      <c r="M901" s="7" t="s">
        <v>1742</v>
      </c>
      <c r="N901" s="7" t="s">
        <v>1985</v>
      </c>
      <c r="O901" s="7" t="s">
        <v>189</v>
      </c>
      <c r="P901" s="7" t="s">
        <v>2149</v>
      </c>
      <c r="Q901" s="7" t="s">
        <v>2150</v>
      </c>
      <c r="R901" s="7" t="s">
        <v>568</v>
      </c>
      <c r="S901" s="7" t="s">
        <v>1369</v>
      </c>
      <c r="T901" s="7" t="s">
        <v>2151</v>
      </c>
      <c r="U901" s="18" t="n">
        <v>120</v>
      </c>
      <c r="V901" s="7"/>
      <c r="W901" s="7"/>
      <c r="X901" s="7" t="s">
        <v>195</v>
      </c>
      <c r="Y901" s="22" t="n">
        <v>0.115</v>
      </c>
      <c r="Z901" s="22" t="n">
        <v>0.28</v>
      </c>
      <c r="AA901" s="22" t="n">
        <v>12</v>
      </c>
      <c r="AB901" s="7" t="s">
        <v>2148</v>
      </c>
      <c r="AC901" s="7" t="s">
        <v>2152</v>
      </c>
      <c r="AD901" s="22" t="n">
        <v>0.115</v>
      </c>
      <c r="AE901" s="22" t="n">
        <v>0.28</v>
      </c>
      <c r="AF901" s="22" t="n">
        <v>2.5</v>
      </c>
      <c r="AG901" s="22" t="n">
        <v>32</v>
      </c>
      <c r="AH901" s="22" t="n">
        <v>2</v>
      </c>
      <c r="AI901" s="22" t="s">
        <v>197</v>
      </c>
      <c r="AJ901" s="22" t="s">
        <v>197</v>
      </c>
      <c r="AK901" s="22" t="s">
        <v>197</v>
      </c>
      <c r="AL901" s="22" t="s">
        <v>197</v>
      </c>
      <c r="AM901" s="7" t="s">
        <v>197</v>
      </c>
      <c r="AN901" s="22" t="s">
        <v>197</v>
      </c>
      <c r="AO901" s="22" t="s">
        <v>197</v>
      </c>
      <c r="AP901" s="22" t="s">
        <v>197</v>
      </c>
    </row>
    <row r="902" customFormat="false" ht="21.75" hidden="false" customHeight="true" outlineLevel="0" collapsed="false">
      <c r="B902" s="15" t="n">
        <v>898</v>
      </c>
      <c r="C902" s="9" t="s">
        <v>55</v>
      </c>
      <c r="D902" s="9" t="s">
        <v>26</v>
      </c>
      <c r="E902" s="9" t="s">
        <v>125</v>
      </c>
      <c r="F902" s="9" t="s">
        <v>60</v>
      </c>
      <c r="G902" s="9" t="s">
        <v>2153</v>
      </c>
      <c r="H902" s="9" t="s">
        <v>446</v>
      </c>
      <c r="I902" s="9" t="s">
        <v>2146</v>
      </c>
      <c r="J902" s="9" t="s">
        <v>2147</v>
      </c>
      <c r="K902" s="9" t="s">
        <v>1617</v>
      </c>
      <c r="L902" s="9" t="s">
        <v>2148</v>
      </c>
      <c r="M902" s="9" t="s">
        <v>1742</v>
      </c>
      <c r="N902" s="9" t="s">
        <v>1985</v>
      </c>
      <c r="O902" s="9" t="s">
        <v>189</v>
      </c>
      <c r="P902" s="9" t="s">
        <v>2149</v>
      </c>
      <c r="Q902" s="9" t="s">
        <v>2150</v>
      </c>
      <c r="R902" s="9" t="s">
        <v>568</v>
      </c>
      <c r="S902" s="9" t="s">
        <v>1369</v>
      </c>
      <c r="T902" s="9" t="s">
        <v>2151</v>
      </c>
      <c r="U902" s="19" t="n">
        <v>180</v>
      </c>
      <c r="V902" s="9"/>
      <c r="W902" s="9"/>
      <c r="X902" s="9" t="s">
        <v>199</v>
      </c>
      <c r="Y902" s="23" t="n">
        <v>0.095</v>
      </c>
      <c r="Z902" s="23" t="n">
        <v>0.28</v>
      </c>
      <c r="AA902" s="23" t="n">
        <v>12</v>
      </c>
      <c r="AB902" s="9" t="s">
        <v>2148</v>
      </c>
      <c r="AC902" s="9" t="s">
        <v>2152</v>
      </c>
      <c r="AD902" s="23" t="n">
        <v>0.095</v>
      </c>
      <c r="AE902" s="23" t="n">
        <v>0.28</v>
      </c>
      <c r="AF902" s="23" t="n">
        <v>2.5</v>
      </c>
      <c r="AG902" s="23" t="n">
        <v>32</v>
      </c>
      <c r="AH902" s="23" t="n">
        <v>2</v>
      </c>
      <c r="AI902" s="23" t="s">
        <v>197</v>
      </c>
      <c r="AJ902" s="23" t="s">
        <v>197</v>
      </c>
      <c r="AK902" s="23" t="s">
        <v>197</v>
      </c>
      <c r="AL902" s="23" t="s">
        <v>197</v>
      </c>
      <c r="AM902" s="9" t="s">
        <v>197</v>
      </c>
      <c r="AN902" s="23" t="s">
        <v>197</v>
      </c>
      <c r="AO902" s="23" t="s">
        <v>197</v>
      </c>
      <c r="AP902" s="23" t="s">
        <v>197</v>
      </c>
    </row>
    <row r="903" customFormat="false" ht="21.75" hidden="false" customHeight="true" outlineLevel="0" collapsed="false">
      <c r="B903" s="14" t="n">
        <v>899</v>
      </c>
      <c r="C903" s="7" t="s">
        <v>55</v>
      </c>
      <c r="D903" s="7" t="s">
        <v>26</v>
      </c>
      <c r="E903" s="7" t="s">
        <v>125</v>
      </c>
      <c r="F903" s="7" t="s">
        <v>60</v>
      </c>
      <c r="G903" s="7" t="s">
        <v>2154</v>
      </c>
      <c r="H903" s="7" t="s">
        <v>446</v>
      </c>
      <c r="I903" s="7" t="s">
        <v>2146</v>
      </c>
      <c r="J903" s="7" t="s">
        <v>2147</v>
      </c>
      <c r="K903" s="7" t="s">
        <v>1617</v>
      </c>
      <c r="L903" s="7" t="s">
        <v>2148</v>
      </c>
      <c r="M903" s="7" t="s">
        <v>1742</v>
      </c>
      <c r="N903" s="7" t="s">
        <v>1985</v>
      </c>
      <c r="O903" s="7" t="s">
        <v>189</v>
      </c>
      <c r="P903" s="7" t="s">
        <v>2149</v>
      </c>
      <c r="Q903" s="7" t="s">
        <v>2150</v>
      </c>
      <c r="R903" s="7" t="s">
        <v>568</v>
      </c>
      <c r="S903" s="7" t="s">
        <v>1369</v>
      </c>
      <c r="T903" s="7" t="s">
        <v>2151</v>
      </c>
      <c r="U903" s="18" t="n">
        <v>245</v>
      </c>
      <c r="V903" s="7"/>
      <c r="W903" s="7"/>
      <c r="X903" s="7" t="s">
        <v>2155</v>
      </c>
      <c r="Y903" s="22" t="n">
        <v>0.069</v>
      </c>
      <c r="Z903" s="22" t="n">
        <v>0.28</v>
      </c>
      <c r="AA903" s="22" t="n">
        <v>12</v>
      </c>
      <c r="AB903" s="7" t="s">
        <v>2148</v>
      </c>
      <c r="AC903" s="7" t="s">
        <v>2152</v>
      </c>
      <c r="AD903" s="22" t="n">
        <v>0.069</v>
      </c>
      <c r="AE903" s="22" t="n">
        <v>0.28</v>
      </c>
      <c r="AF903" s="22" t="n">
        <v>2.5</v>
      </c>
      <c r="AG903" s="22" t="n">
        <v>32</v>
      </c>
      <c r="AH903" s="22" t="n">
        <v>2</v>
      </c>
      <c r="AI903" s="22" t="s">
        <v>197</v>
      </c>
      <c r="AJ903" s="22" t="s">
        <v>197</v>
      </c>
      <c r="AK903" s="22" t="s">
        <v>197</v>
      </c>
      <c r="AL903" s="22" t="s">
        <v>197</v>
      </c>
      <c r="AM903" s="7" t="s">
        <v>197</v>
      </c>
      <c r="AN903" s="22" t="s">
        <v>197</v>
      </c>
      <c r="AO903" s="22" t="s">
        <v>197</v>
      </c>
      <c r="AP903" s="22" t="s">
        <v>197</v>
      </c>
    </row>
    <row r="904" customFormat="false" ht="21.75" hidden="false" customHeight="true" outlineLevel="0" collapsed="false">
      <c r="B904" s="15" t="n">
        <v>900</v>
      </c>
      <c r="C904" s="9" t="s">
        <v>55</v>
      </c>
      <c r="D904" s="9" t="s">
        <v>26</v>
      </c>
      <c r="E904" s="9" t="s">
        <v>125</v>
      </c>
      <c r="F904" s="9" t="s">
        <v>60</v>
      </c>
      <c r="G904" s="9" t="s">
        <v>2156</v>
      </c>
      <c r="H904" s="9" t="s">
        <v>446</v>
      </c>
      <c r="I904" s="9" t="s">
        <v>2146</v>
      </c>
      <c r="J904" s="9" t="s">
        <v>2147</v>
      </c>
      <c r="K904" s="9" t="s">
        <v>1617</v>
      </c>
      <c r="L904" s="9" t="s">
        <v>2148</v>
      </c>
      <c r="M904" s="9" t="s">
        <v>1742</v>
      </c>
      <c r="N904" s="9" t="s">
        <v>1985</v>
      </c>
      <c r="O904" s="9" t="s">
        <v>189</v>
      </c>
      <c r="P904" s="9" t="s">
        <v>2149</v>
      </c>
      <c r="Q904" s="9" t="s">
        <v>2150</v>
      </c>
      <c r="R904" s="9" t="s">
        <v>568</v>
      </c>
      <c r="S904" s="9" t="s">
        <v>1369</v>
      </c>
      <c r="T904" s="9" t="s">
        <v>2151</v>
      </c>
      <c r="U904" s="19" t="n">
        <v>365</v>
      </c>
      <c r="V904" s="9"/>
      <c r="W904" s="9"/>
      <c r="X904" s="9" t="s">
        <v>203</v>
      </c>
      <c r="Y904" s="23" t="n">
        <v>0.063</v>
      </c>
      <c r="Z904" s="23" t="n">
        <v>0.28</v>
      </c>
      <c r="AA904" s="23" t="n">
        <v>12</v>
      </c>
      <c r="AB904" s="9" t="s">
        <v>2148</v>
      </c>
      <c r="AC904" s="9" t="s">
        <v>2152</v>
      </c>
      <c r="AD904" s="23" t="n">
        <v>0.063</v>
      </c>
      <c r="AE904" s="23" t="n">
        <v>0.28</v>
      </c>
      <c r="AF904" s="23" t="n">
        <v>2.5</v>
      </c>
      <c r="AG904" s="23" t="n">
        <v>32</v>
      </c>
      <c r="AH904" s="23" t="n">
        <v>2</v>
      </c>
      <c r="AI904" s="23" t="s">
        <v>197</v>
      </c>
      <c r="AJ904" s="23" t="s">
        <v>197</v>
      </c>
      <c r="AK904" s="23" t="s">
        <v>197</v>
      </c>
      <c r="AL904" s="23" t="s">
        <v>197</v>
      </c>
      <c r="AM904" s="9" t="s">
        <v>197</v>
      </c>
      <c r="AN904" s="23" t="s">
        <v>197</v>
      </c>
      <c r="AO904" s="23" t="s">
        <v>197</v>
      </c>
      <c r="AP904" s="23" t="s">
        <v>197</v>
      </c>
    </row>
    <row r="905" customFormat="false" ht="21.75" hidden="false" customHeight="true" outlineLevel="0" collapsed="false">
      <c r="B905" s="14" t="n">
        <v>901</v>
      </c>
      <c r="C905" s="7" t="s">
        <v>55</v>
      </c>
      <c r="D905" s="7" t="s">
        <v>26</v>
      </c>
      <c r="E905" s="7" t="s">
        <v>125</v>
      </c>
      <c r="F905" s="7" t="s">
        <v>60</v>
      </c>
      <c r="G905" s="7" t="s">
        <v>2157</v>
      </c>
      <c r="H905" s="7" t="s">
        <v>446</v>
      </c>
      <c r="I905" s="7" t="s">
        <v>2146</v>
      </c>
      <c r="J905" s="7" t="s">
        <v>2147</v>
      </c>
      <c r="K905" s="7" t="s">
        <v>1617</v>
      </c>
      <c r="L905" s="7" t="s">
        <v>2148</v>
      </c>
      <c r="M905" s="7" t="s">
        <v>1742</v>
      </c>
      <c r="N905" s="7" t="s">
        <v>1985</v>
      </c>
      <c r="O905" s="7" t="s">
        <v>189</v>
      </c>
      <c r="P905" s="7" t="s">
        <v>2149</v>
      </c>
      <c r="Q905" s="7" t="s">
        <v>2150</v>
      </c>
      <c r="R905" s="7" t="s">
        <v>568</v>
      </c>
      <c r="S905" s="7" t="s">
        <v>1369</v>
      </c>
      <c r="T905" s="7" t="s">
        <v>2151</v>
      </c>
      <c r="U905" s="18" t="n">
        <v>535</v>
      </c>
      <c r="V905" s="7"/>
      <c r="W905" s="7"/>
      <c r="X905" s="7" t="s">
        <v>205</v>
      </c>
      <c r="Y905" s="22" t="n">
        <v>0.089</v>
      </c>
      <c r="Z905" s="22" t="n">
        <v>0.28</v>
      </c>
      <c r="AA905" s="22" t="n">
        <v>12</v>
      </c>
      <c r="AB905" s="7" t="s">
        <v>2148</v>
      </c>
      <c r="AC905" s="7" t="s">
        <v>2152</v>
      </c>
      <c r="AD905" s="22" t="n">
        <v>0.089</v>
      </c>
      <c r="AE905" s="22" t="n">
        <v>0.28</v>
      </c>
      <c r="AF905" s="22" t="n">
        <v>2.5</v>
      </c>
      <c r="AG905" s="22" t="n">
        <v>32</v>
      </c>
      <c r="AH905" s="22" t="n">
        <v>2</v>
      </c>
      <c r="AI905" s="22" t="s">
        <v>197</v>
      </c>
      <c r="AJ905" s="22" t="s">
        <v>197</v>
      </c>
      <c r="AK905" s="22" t="s">
        <v>197</v>
      </c>
      <c r="AL905" s="22" t="s">
        <v>197</v>
      </c>
      <c r="AM905" s="7" t="s">
        <v>197</v>
      </c>
      <c r="AN905" s="22" t="s">
        <v>197</v>
      </c>
      <c r="AO905" s="22" t="s">
        <v>197</v>
      </c>
      <c r="AP905" s="22" t="s">
        <v>197</v>
      </c>
    </row>
    <row r="906" customFormat="false" ht="21.75" hidden="false" customHeight="true" outlineLevel="0" collapsed="false">
      <c r="B906" s="15" t="n">
        <v>902</v>
      </c>
      <c r="C906" s="9" t="s">
        <v>55</v>
      </c>
      <c r="D906" s="9" t="s">
        <v>26</v>
      </c>
      <c r="E906" s="9" t="s">
        <v>125</v>
      </c>
      <c r="F906" s="9" t="s">
        <v>61</v>
      </c>
      <c r="G906" s="9" t="s">
        <v>2158</v>
      </c>
      <c r="H906" s="9" t="s">
        <v>2159</v>
      </c>
      <c r="I906" s="9" t="s">
        <v>2160</v>
      </c>
      <c r="J906" s="9" t="s">
        <v>2161</v>
      </c>
      <c r="K906" s="9" t="s">
        <v>1617</v>
      </c>
      <c r="L906" s="9" t="s">
        <v>2148</v>
      </c>
      <c r="M906" s="9" t="s">
        <v>1631</v>
      </c>
      <c r="N906" s="9" t="s">
        <v>951</v>
      </c>
      <c r="O906" s="9" t="s">
        <v>189</v>
      </c>
      <c r="P906" s="9" t="s">
        <v>2149</v>
      </c>
      <c r="Q906" s="9" t="s">
        <v>2162</v>
      </c>
      <c r="R906" s="9" t="s">
        <v>2163</v>
      </c>
      <c r="S906" s="9" t="s">
        <v>1369</v>
      </c>
      <c r="T906" s="9" t="s">
        <v>2164</v>
      </c>
      <c r="U906" s="19" t="n">
        <v>80</v>
      </c>
      <c r="V906" s="9"/>
      <c r="W906" s="9"/>
      <c r="X906" s="9" t="s">
        <v>195</v>
      </c>
      <c r="Y906" s="23" t="n">
        <v>0.096</v>
      </c>
      <c r="Z906" s="23" t="n">
        <v>0.22</v>
      </c>
      <c r="AA906" s="23" t="n">
        <v>12</v>
      </c>
      <c r="AB906" s="9" t="s">
        <v>2148</v>
      </c>
      <c r="AC906" s="9" t="s">
        <v>2152</v>
      </c>
      <c r="AD906" s="23" t="n">
        <v>0.096</v>
      </c>
      <c r="AE906" s="23" t="n">
        <v>0.22</v>
      </c>
      <c r="AF906" s="23" t="n">
        <v>2</v>
      </c>
      <c r="AG906" s="23" t="n">
        <v>16</v>
      </c>
      <c r="AH906" s="23" t="n">
        <v>2</v>
      </c>
      <c r="AI906" s="23" t="s">
        <v>197</v>
      </c>
      <c r="AJ906" s="23" t="s">
        <v>197</v>
      </c>
      <c r="AK906" s="23" t="s">
        <v>197</v>
      </c>
      <c r="AL906" s="23" t="s">
        <v>197</v>
      </c>
      <c r="AM906" s="9" t="s">
        <v>197</v>
      </c>
      <c r="AN906" s="23" t="s">
        <v>197</v>
      </c>
      <c r="AO906" s="23" t="s">
        <v>197</v>
      </c>
      <c r="AP906" s="23" t="s">
        <v>197</v>
      </c>
    </row>
    <row r="907" customFormat="false" ht="21.75" hidden="false" customHeight="true" outlineLevel="0" collapsed="false">
      <c r="B907" s="14" t="n">
        <v>903</v>
      </c>
      <c r="C907" s="7" t="s">
        <v>55</v>
      </c>
      <c r="D907" s="7" t="s">
        <v>26</v>
      </c>
      <c r="E907" s="7" t="s">
        <v>125</v>
      </c>
      <c r="F907" s="7" t="s">
        <v>61</v>
      </c>
      <c r="G907" s="7" t="s">
        <v>2153</v>
      </c>
      <c r="H907" s="7" t="s">
        <v>2159</v>
      </c>
      <c r="I907" s="7" t="s">
        <v>2160</v>
      </c>
      <c r="J907" s="7" t="s">
        <v>2161</v>
      </c>
      <c r="K907" s="7" t="s">
        <v>1617</v>
      </c>
      <c r="L907" s="7" t="s">
        <v>2148</v>
      </c>
      <c r="M907" s="7" t="s">
        <v>1631</v>
      </c>
      <c r="N907" s="7" t="s">
        <v>951</v>
      </c>
      <c r="O907" s="7" t="s">
        <v>189</v>
      </c>
      <c r="P907" s="7" t="s">
        <v>2149</v>
      </c>
      <c r="Q907" s="7" t="s">
        <v>2162</v>
      </c>
      <c r="R907" s="7" t="s">
        <v>2163</v>
      </c>
      <c r="S907" s="7" t="s">
        <v>1369</v>
      </c>
      <c r="T907" s="7" t="s">
        <v>2164</v>
      </c>
      <c r="U907" s="18" t="n">
        <v>120</v>
      </c>
      <c r="V907" s="7"/>
      <c r="W907" s="7"/>
      <c r="X907" s="7" t="s">
        <v>199</v>
      </c>
      <c r="Y907" s="22" t="n">
        <v>0.095</v>
      </c>
      <c r="Z907" s="22" t="n">
        <v>0.22</v>
      </c>
      <c r="AA907" s="22" t="n">
        <v>12</v>
      </c>
      <c r="AB907" s="7" t="s">
        <v>2148</v>
      </c>
      <c r="AC907" s="7" t="s">
        <v>2152</v>
      </c>
      <c r="AD907" s="22" t="n">
        <v>0.095</v>
      </c>
      <c r="AE907" s="22" t="n">
        <v>0.22</v>
      </c>
      <c r="AF907" s="22" t="n">
        <v>2</v>
      </c>
      <c r="AG907" s="22" t="n">
        <v>16</v>
      </c>
      <c r="AH907" s="22" t="n">
        <v>2</v>
      </c>
      <c r="AI907" s="22" t="s">
        <v>197</v>
      </c>
      <c r="AJ907" s="22" t="s">
        <v>197</v>
      </c>
      <c r="AK907" s="22" t="s">
        <v>197</v>
      </c>
      <c r="AL907" s="22" t="s">
        <v>197</v>
      </c>
      <c r="AM907" s="7" t="s">
        <v>197</v>
      </c>
      <c r="AN907" s="22" t="s">
        <v>197</v>
      </c>
      <c r="AO907" s="22" t="s">
        <v>197</v>
      </c>
      <c r="AP907" s="22" t="s">
        <v>197</v>
      </c>
    </row>
    <row r="908" customFormat="false" ht="21.75" hidden="false" customHeight="true" outlineLevel="0" collapsed="false">
      <c r="B908" s="15" t="n">
        <v>904</v>
      </c>
      <c r="C908" s="9" t="s">
        <v>55</v>
      </c>
      <c r="D908" s="9" t="s">
        <v>26</v>
      </c>
      <c r="E908" s="9" t="s">
        <v>125</v>
      </c>
      <c r="F908" s="9" t="s">
        <v>61</v>
      </c>
      <c r="G908" s="9" t="s">
        <v>2165</v>
      </c>
      <c r="H908" s="9" t="s">
        <v>2159</v>
      </c>
      <c r="I908" s="9" t="s">
        <v>2160</v>
      </c>
      <c r="J908" s="9" t="s">
        <v>2161</v>
      </c>
      <c r="K908" s="9" t="s">
        <v>1617</v>
      </c>
      <c r="L908" s="9" t="s">
        <v>2148</v>
      </c>
      <c r="M908" s="9" t="s">
        <v>1631</v>
      </c>
      <c r="N908" s="9" t="s">
        <v>951</v>
      </c>
      <c r="O908" s="9" t="s">
        <v>189</v>
      </c>
      <c r="P908" s="9" t="s">
        <v>2149</v>
      </c>
      <c r="Q908" s="9" t="s">
        <v>2162</v>
      </c>
      <c r="R908" s="9" t="s">
        <v>2163</v>
      </c>
      <c r="S908" s="9" t="s">
        <v>1369</v>
      </c>
      <c r="T908" s="9" t="s">
        <v>2164</v>
      </c>
      <c r="U908" s="19" t="n">
        <v>165</v>
      </c>
      <c r="V908" s="9"/>
      <c r="W908" s="9"/>
      <c r="X908" s="9" t="s">
        <v>2166</v>
      </c>
      <c r="Y908" s="23" t="n">
        <v>0.06</v>
      </c>
      <c r="Z908" s="23" t="n">
        <v>0.22</v>
      </c>
      <c r="AA908" s="23" t="n">
        <v>12</v>
      </c>
      <c r="AB908" s="9" t="s">
        <v>2148</v>
      </c>
      <c r="AC908" s="9" t="s">
        <v>2152</v>
      </c>
      <c r="AD908" s="23" t="n">
        <v>0.06</v>
      </c>
      <c r="AE908" s="23" t="n">
        <v>0.22</v>
      </c>
      <c r="AF908" s="23" t="n">
        <v>2</v>
      </c>
      <c r="AG908" s="23" t="n">
        <v>16</v>
      </c>
      <c r="AH908" s="23" t="n">
        <v>2</v>
      </c>
      <c r="AI908" s="23" t="s">
        <v>197</v>
      </c>
      <c r="AJ908" s="23" t="s">
        <v>197</v>
      </c>
      <c r="AK908" s="23" t="s">
        <v>197</v>
      </c>
      <c r="AL908" s="23" t="s">
        <v>197</v>
      </c>
      <c r="AM908" s="9" t="s">
        <v>197</v>
      </c>
      <c r="AN908" s="23" t="s">
        <v>197</v>
      </c>
      <c r="AO908" s="23" t="s">
        <v>197</v>
      </c>
      <c r="AP908" s="23" t="s">
        <v>197</v>
      </c>
    </row>
    <row r="909" customFormat="false" ht="21.75" hidden="false" customHeight="true" outlineLevel="0" collapsed="false">
      <c r="B909" s="14" t="n">
        <v>905</v>
      </c>
      <c r="C909" s="7" t="s">
        <v>55</v>
      </c>
      <c r="D909" s="7" t="s">
        <v>26</v>
      </c>
      <c r="E909" s="7" t="s">
        <v>125</v>
      </c>
      <c r="F909" s="7" t="s">
        <v>61</v>
      </c>
      <c r="G909" s="7" t="s">
        <v>2167</v>
      </c>
      <c r="H909" s="7" t="s">
        <v>2159</v>
      </c>
      <c r="I909" s="7" t="s">
        <v>2160</v>
      </c>
      <c r="J909" s="7" t="s">
        <v>2161</v>
      </c>
      <c r="K909" s="7" t="s">
        <v>1617</v>
      </c>
      <c r="L909" s="7" t="s">
        <v>2148</v>
      </c>
      <c r="M909" s="7" t="s">
        <v>1631</v>
      </c>
      <c r="N909" s="7" t="s">
        <v>951</v>
      </c>
      <c r="O909" s="7" t="s">
        <v>189</v>
      </c>
      <c r="P909" s="7" t="s">
        <v>2149</v>
      </c>
      <c r="Q909" s="7" t="s">
        <v>2162</v>
      </c>
      <c r="R909" s="7" t="s">
        <v>2163</v>
      </c>
      <c r="S909" s="7" t="s">
        <v>1369</v>
      </c>
      <c r="T909" s="7" t="s">
        <v>2164</v>
      </c>
      <c r="U909" s="18" t="n">
        <v>245</v>
      </c>
      <c r="V909" s="7"/>
      <c r="W909" s="7"/>
      <c r="X909" s="7" t="s">
        <v>203</v>
      </c>
      <c r="Y909" s="22" t="n">
        <v>0.064</v>
      </c>
      <c r="Z909" s="22" t="n">
        <v>0.22</v>
      </c>
      <c r="AA909" s="22" t="n">
        <v>12</v>
      </c>
      <c r="AB909" s="7" t="s">
        <v>2148</v>
      </c>
      <c r="AC909" s="7" t="s">
        <v>2152</v>
      </c>
      <c r="AD909" s="22" t="n">
        <v>0.064</v>
      </c>
      <c r="AE909" s="22" t="n">
        <v>0.22</v>
      </c>
      <c r="AF909" s="22" t="n">
        <v>2</v>
      </c>
      <c r="AG909" s="22" t="n">
        <v>16</v>
      </c>
      <c r="AH909" s="22" t="n">
        <v>2</v>
      </c>
      <c r="AI909" s="22" t="s">
        <v>197</v>
      </c>
      <c r="AJ909" s="22" t="s">
        <v>197</v>
      </c>
      <c r="AK909" s="22" t="s">
        <v>197</v>
      </c>
      <c r="AL909" s="22" t="s">
        <v>197</v>
      </c>
      <c r="AM909" s="7" t="s">
        <v>197</v>
      </c>
      <c r="AN909" s="22" t="s">
        <v>197</v>
      </c>
      <c r="AO909" s="22" t="s">
        <v>197</v>
      </c>
      <c r="AP909" s="22" t="s">
        <v>197</v>
      </c>
    </row>
    <row r="910" customFormat="false" ht="21.75" hidden="false" customHeight="true" outlineLevel="0" collapsed="false">
      <c r="B910" s="15" t="n">
        <v>906</v>
      </c>
      <c r="C910" s="9" t="s">
        <v>55</v>
      </c>
      <c r="D910" s="9" t="s">
        <v>26</v>
      </c>
      <c r="E910" s="9" t="s">
        <v>125</v>
      </c>
      <c r="F910" s="9" t="s">
        <v>61</v>
      </c>
      <c r="G910" s="9" t="s">
        <v>2168</v>
      </c>
      <c r="H910" s="9" t="s">
        <v>2159</v>
      </c>
      <c r="I910" s="9" t="s">
        <v>2160</v>
      </c>
      <c r="J910" s="9" t="s">
        <v>2161</v>
      </c>
      <c r="K910" s="9" t="s">
        <v>1617</v>
      </c>
      <c r="L910" s="9" t="s">
        <v>2148</v>
      </c>
      <c r="M910" s="9" t="s">
        <v>1631</v>
      </c>
      <c r="N910" s="9" t="s">
        <v>951</v>
      </c>
      <c r="O910" s="9" t="s">
        <v>189</v>
      </c>
      <c r="P910" s="9" t="s">
        <v>2149</v>
      </c>
      <c r="Q910" s="9" t="s">
        <v>2162</v>
      </c>
      <c r="R910" s="9" t="s">
        <v>2163</v>
      </c>
      <c r="S910" s="9" t="s">
        <v>1369</v>
      </c>
      <c r="T910" s="9" t="s">
        <v>2164</v>
      </c>
      <c r="U910" s="19" t="n">
        <v>360</v>
      </c>
      <c r="V910" s="9"/>
      <c r="W910" s="9"/>
      <c r="X910" s="9" t="s">
        <v>205</v>
      </c>
      <c r="Y910" s="23" t="n">
        <v>0.064</v>
      </c>
      <c r="Z910" s="23" t="n">
        <v>0.22</v>
      </c>
      <c r="AA910" s="23" t="n">
        <v>12</v>
      </c>
      <c r="AB910" s="9" t="s">
        <v>2148</v>
      </c>
      <c r="AC910" s="9" t="s">
        <v>2152</v>
      </c>
      <c r="AD910" s="23" t="n">
        <v>0.064</v>
      </c>
      <c r="AE910" s="23" t="n">
        <v>0.22</v>
      </c>
      <c r="AF910" s="23" t="n">
        <v>2</v>
      </c>
      <c r="AG910" s="23" t="n">
        <v>16</v>
      </c>
      <c r="AH910" s="23" t="n">
        <v>2</v>
      </c>
      <c r="AI910" s="23" t="s">
        <v>197</v>
      </c>
      <c r="AJ910" s="23" t="s">
        <v>197</v>
      </c>
      <c r="AK910" s="23" t="s">
        <v>197</v>
      </c>
      <c r="AL910" s="23" t="s">
        <v>197</v>
      </c>
      <c r="AM910" s="9" t="s">
        <v>197</v>
      </c>
      <c r="AN910" s="23" t="s">
        <v>197</v>
      </c>
      <c r="AO910" s="23" t="s">
        <v>197</v>
      </c>
      <c r="AP910" s="23" t="s">
        <v>197</v>
      </c>
    </row>
    <row r="911" customFormat="false" ht="21.75" hidden="false" customHeight="true" outlineLevel="0" collapsed="false">
      <c r="B911" s="14" t="n">
        <v>907</v>
      </c>
      <c r="C911" s="7" t="s">
        <v>55</v>
      </c>
      <c r="D911" s="7" t="s">
        <v>26</v>
      </c>
      <c r="E911" s="7" t="s">
        <v>125</v>
      </c>
      <c r="F911" s="7" t="s">
        <v>62</v>
      </c>
      <c r="G911" s="7" t="s">
        <v>391</v>
      </c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18"/>
      <c r="V911" s="7"/>
      <c r="W911" s="7"/>
      <c r="X911" s="7" t="s">
        <v>2169</v>
      </c>
      <c r="Y911" s="22" t="s">
        <v>197</v>
      </c>
      <c r="Z911" s="22" t="s">
        <v>197</v>
      </c>
      <c r="AA911" s="22" t="s">
        <v>197</v>
      </c>
      <c r="AB911" s="7" t="s">
        <v>197</v>
      </c>
      <c r="AC911" s="7" t="s">
        <v>197</v>
      </c>
      <c r="AD911" s="22" t="s">
        <v>197</v>
      </c>
      <c r="AE911" s="22" t="s">
        <v>197</v>
      </c>
      <c r="AF911" s="22" t="s">
        <v>197</v>
      </c>
      <c r="AG911" s="22" t="s">
        <v>197</v>
      </c>
      <c r="AH911" s="22" t="s">
        <v>197</v>
      </c>
      <c r="AI911" s="22" t="s">
        <v>197</v>
      </c>
      <c r="AJ911" s="22" t="s">
        <v>197</v>
      </c>
      <c r="AK911" s="22" t="s">
        <v>197</v>
      </c>
      <c r="AL911" s="22" t="s">
        <v>197</v>
      </c>
      <c r="AM911" s="7" t="s">
        <v>197</v>
      </c>
      <c r="AN911" s="22" t="s">
        <v>197</v>
      </c>
      <c r="AO911" s="22" t="s">
        <v>197</v>
      </c>
      <c r="AP911" s="22" t="s">
        <v>197</v>
      </c>
    </row>
    <row r="912" customFormat="false" ht="21.75" hidden="false" customHeight="true" outlineLevel="0" collapsed="false">
      <c r="B912" s="15" t="n">
        <v>908</v>
      </c>
      <c r="C912" s="9" t="s">
        <v>55</v>
      </c>
      <c r="D912" s="9" t="s">
        <v>26</v>
      </c>
      <c r="E912" s="9" t="s">
        <v>125</v>
      </c>
      <c r="F912" s="9" t="s">
        <v>63</v>
      </c>
      <c r="G912" s="9" t="s">
        <v>2170</v>
      </c>
      <c r="H912" s="9" t="s">
        <v>1390</v>
      </c>
      <c r="I912" s="9" t="s">
        <v>1997</v>
      </c>
      <c r="J912" s="9" t="s">
        <v>2171</v>
      </c>
      <c r="K912" s="9" t="s">
        <v>2172</v>
      </c>
      <c r="L912" s="9" t="s">
        <v>2148</v>
      </c>
      <c r="M912" s="9" t="s">
        <v>235</v>
      </c>
      <c r="N912" s="9" t="s">
        <v>2063</v>
      </c>
      <c r="O912" s="9" t="s">
        <v>189</v>
      </c>
      <c r="P912" s="9" t="s">
        <v>2149</v>
      </c>
      <c r="Q912" s="9" t="s">
        <v>2173</v>
      </c>
      <c r="R912" s="9" t="s">
        <v>604</v>
      </c>
      <c r="S912" s="9" t="s">
        <v>1369</v>
      </c>
      <c r="T912" s="9" t="s">
        <v>239</v>
      </c>
      <c r="U912" s="19" t="n">
        <v>25</v>
      </c>
      <c r="V912" s="9"/>
      <c r="W912" s="9"/>
      <c r="X912" s="9" t="s">
        <v>195</v>
      </c>
      <c r="Y912" s="23" t="n">
        <v>0.047</v>
      </c>
      <c r="Z912" s="23" t="n">
        <v>0.088</v>
      </c>
      <c r="AA912" s="23" t="n">
        <v>12</v>
      </c>
      <c r="AB912" s="9" t="s">
        <v>2148</v>
      </c>
      <c r="AC912" s="9" t="s">
        <v>2174</v>
      </c>
      <c r="AD912" s="23" t="s">
        <v>197</v>
      </c>
      <c r="AE912" s="23" t="s">
        <v>197</v>
      </c>
      <c r="AF912" s="23" t="s">
        <v>197</v>
      </c>
      <c r="AG912" s="23" t="s">
        <v>197</v>
      </c>
      <c r="AH912" s="23" t="s">
        <v>197</v>
      </c>
      <c r="AI912" s="23" t="s">
        <v>197</v>
      </c>
      <c r="AJ912" s="23" t="s">
        <v>197</v>
      </c>
      <c r="AK912" s="23" t="s">
        <v>197</v>
      </c>
      <c r="AL912" s="23" t="s">
        <v>197</v>
      </c>
      <c r="AM912" s="9" t="s">
        <v>197</v>
      </c>
      <c r="AN912" s="23" t="s">
        <v>197</v>
      </c>
      <c r="AO912" s="23" t="n">
        <v>1.2</v>
      </c>
      <c r="AP912" s="23" t="n">
        <v>1.6</v>
      </c>
    </row>
    <row r="913" customFormat="false" ht="21.75" hidden="false" customHeight="true" outlineLevel="0" collapsed="false">
      <c r="B913" s="14" t="n">
        <v>909</v>
      </c>
      <c r="C913" s="7" t="s">
        <v>55</v>
      </c>
      <c r="D913" s="7" t="s">
        <v>26</v>
      </c>
      <c r="E913" s="7" t="s">
        <v>125</v>
      </c>
      <c r="F913" s="7" t="s">
        <v>63</v>
      </c>
      <c r="G913" s="7" t="s">
        <v>2175</v>
      </c>
      <c r="H913" s="7" t="s">
        <v>1390</v>
      </c>
      <c r="I913" s="7" t="s">
        <v>1997</v>
      </c>
      <c r="J913" s="7" t="s">
        <v>2171</v>
      </c>
      <c r="K913" s="7" t="s">
        <v>2172</v>
      </c>
      <c r="L913" s="7" t="s">
        <v>2148</v>
      </c>
      <c r="M913" s="7" t="s">
        <v>235</v>
      </c>
      <c r="N913" s="7" t="s">
        <v>2063</v>
      </c>
      <c r="O913" s="7" t="s">
        <v>189</v>
      </c>
      <c r="P913" s="7" t="s">
        <v>2149</v>
      </c>
      <c r="Q913" s="7" t="s">
        <v>2173</v>
      </c>
      <c r="R913" s="7" t="s">
        <v>604</v>
      </c>
      <c r="S913" s="7" t="s">
        <v>1369</v>
      </c>
      <c r="T913" s="7" t="s">
        <v>239</v>
      </c>
      <c r="U913" s="18" t="n">
        <v>40</v>
      </c>
      <c r="V913" s="7"/>
      <c r="W913" s="7"/>
      <c r="X913" s="7" t="s">
        <v>199</v>
      </c>
      <c r="Y913" s="22" t="n">
        <v>0.057</v>
      </c>
      <c r="Z913" s="22" t="n">
        <v>0.106</v>
      </c>
      <c r="AA913" s="22" t="n">
        <v>12</v>
      </c>
      <c r="AB913" s="7" t="s">
        <v>2148</v>
      </c>
      <c r="AC913" s="7" t="s">
        <v>2174</v>
      </c>
      <c r="AD913" s="22" t="s">
        <v>197</v>
      </c>
      <c r="AE913" s="22" t="s">
        <v>197</v>
      </c>
      <c r="AF913" s="22" t="s">
        <v>197</v>
      </c>
      <c r="AG913" s="22" t="s">
        <v>197</v>
      </c>
      <c r="AH913" s="22" t="s">
        <v>197</v>
      </c>
      <c r="AI913" s="22" t="s">
        <v>197</v>
      </c>
      <c r="AJ913" s="22" t="s">
        <v>197</v>
      </c>
      <c r="AK913" s="22" t="s">
        <v>197</v>
      </c>
      <c r="AL913" s="22" t="s">
        <v>197</v>
      </c>
      <c r="AM913" s="7" t="s">
        <v>197</v>
      </c>
      <c r="AN913" s="22" t="s">
        <v>197</v>
      </c>
      <c r="AO913" s="22" t="n">
        <v>1.2</v>
      </c>
      <c r="AP913" s="22" t="n">
        <v>1.6</v>
      </c>
    </row>
    <row r="914" customFormat="false" ht="21.75" hidden="false" customHeight="true" outlineLevel="0" collapsed="false">
      <c r="B914" s="15" t="n">
        <v>910</v>
      </c>
      <c r="C914" s="9" t="s">
        <v>55</v>
      </c>
      <c r="D914" s="9" t="s">
        <v>26</v>
      </c>
      <c r="E914" s="9" t="s">
        <v>125</v>
      </c>
      <c r="F914" s="9" t="s">
        <v>63</v>
      </c>
      <c r="G914" s="9" t="s">
        <v>2176</v>
      </c>
      <c r="H914" s="9" t="s">
        <v>1390</v>
      </c>
      <c r="I914" s="9" t="s">
        <v>1997</v>
      </c>
      <c r="J914" s="9" t="s">
        <v>2171</v>
      </c>
      <c r="K914" s="9" t="s">
        <v>2172</v>
      </c>
      <c r="L914" s="9" t="s">
        <v>2148</v>
      </c>
      <c r="M914" s="9" t="s">
        <v>235</v>
      </c>
      <c r="N914" s="9" t="s">
        <v>2063</v>
      </c>
      <c r="O914" s="9" t="s">
        <v>189</v>
      </c>
      <c r="P914" s="9" t="s">
        <v>2149</v>
      </c>
      <c r="Q914" s="9" t="s">
        <v>2173</v>
      </c>
      <c r="R914" s="9" t="s">
        <v>604</v>
      </c>
      <c r="S914" s="9" t="s">
        <v>1369</v>
      </c>
      <c r="T914" s="9" t="s">
        <v>239</v>
      </c>
      <c r="U914" s="19" t="n">
        <v>55</v>
      </c>
      <c r="V914" s="9"/>
      <c r="W914" s="9"/>
      <c r="X914" s="9" t="s">
        <v>2177</v>
      </c>
      <c r="Y914" s="23" t="n">
        <v>0.039</v>
      </c>
      <c r="Z914" s="23" t="n">
        <v>0.075</v>
      </c>
      <c r="AA914" s="23" t="n">
        <v>12</v>
      </c>
      <c r="AB914" s="9" t="s">
        <v>2148</v>
      </c>
      <c r="AC914" s="9" t="s">
        <v>2174</v>
      </c>
      <c r="AD914" s="23" t="s">
        <v>197</v>
      </c>
      <c r="AE914" s="23" t="s">
        <v>197</v>
      </c>
      <c r="AF914" s="23" t="s">
        <v>197</v>
      </c>
      <c r="AG914" s="23" t="s">
        <v>197</v>
      </c>
      <c r="AH914" s="23" t="s">
        <v>197</v>
      </c>
      <c r="AI914" s="23" t="s">
        <v>197</v>
      </c>
      <c r="AJ914" s="23" t="s">
        <v>197</v>
      </c>
      <c r="AK914" s="23" t="s">
        <v>197</v>
      </c>
      <c r="AL914" s="23" t="s">
        <v>197</v>
      </c>
      <c r="AM914" s="9" t="s">
        <v>197</v>
      </c>
      <c r="AN914" s="23" t="s">
        <v>197</v>
      </c>
      <c r="AO914" s="23" t="n">
        <v>1.2</v>
      </c>
      <c r="AP914" s="23" t="n">
        <v>1.6</v>
      </c>
    </row>
    <row r="915" customFormat="false" ht="21.75" hidden="false" customHeight="true" outlineLevel="0" collapsed="false">
      <c r="B915" s="14" t="n">
        <v>911</v>
      </c>
      <c r="C915" s="7" t="s">
        <v>55</v>
      </c>
      <c r="D915" s="7" t="s">
        <v>26</v>
      </c>
      <c r="E915" s="7" t="s">
        <v>125</v>
      </c>
      <c r="F915" s="7" t="s">
        <v>63</v>
      </c>
      <c r="G915" s="7" t="s">
        <v>2178</v>
      </c>
      <c r="H915" s="7" t="s">
        <v>1390</v>
      </c>
      <c r="I915" s="7" t="s">
        <v>1997</v>
      </c>
      <c r="J915" s="7" t="s">
        <v>2171</v>
      </c>
      <c r="K915" s="7" t="s">
        <v>2172</v>
      </c>
      <c r="L915" s="7" t="s">
        <v>2148</v>
      </c>
      <c r="M915" s="7" t="s">
        <v>235</v>
      </c>
      <c r="N915" s="7" t="s">
        <v>2063</v>
      </c>
      <c r="O915" s="7" t="s">
        <v>189</v>
      </c>
      <c r="P915" s="7" t="s">
        <v>2149</v>
      </c>
      <c r="Q915" s="7" t="s">
        <v>2173</v>
      </c>
      <c r="R915" s="7" t="s">
        <v>604</v>
      </c>
      <c r="S915" s="7" t="s">
        <v>1369</v>
      </c>
      <c r="T915" s="7" t="s">
        <v>239</v>
      </c>
      <c r="U915" s="18" t="n">
        <v>85</v>
      </c>
      <c r="V915" s="7"/>
      <c r="W915" s="7"/>
      <c r="X915" s="7" t="s">
        <v>203</v>
      </c>
      <c r="Y915" s="22" t="n">
        <v>0.051</v>
      </c>
      <c r="Z915" s="22" t="n">
        <v>0.096</v>
      </c>
      <c r="AA915" s="22" t="n">
        <v>12</v>
      </c>
      <c r="AB915" s="7" t="s">
        <v>2148</v>
      </c>
      <c r="AC915" s="7" t="s">
        <v>2174</v>
      </c>
      <c r="AD915" s="22" t="s">
        <v>197</v>
      </c>
      <c r="AE915" s="22" t="s">
        <v>197</v>
      </c>
      <c r="AF915" s="22" t="s">
        <v>197</v>
      </c>
      <c r="AG915" s="22" t="s">
        <v>197</v>
      </c>
      <c r="AH915" s="22" t="s">
        <v>197</v>
      </c>
      <c r="AI915" s="22" t="s">
        <v>197</v>
      </c>
      <c r="AJ915" s="22" t="s">
        <v>197</v>
      </c>
      <c r="AK915" s="22" t="s">
        <v>197</v>
      </c>
      <c r="AL915" s="22" t="s">
        <v>197</v>
      </c>
      <c r="AM915" s="7" t="s">
        <v>197</v>
      </c>
      <c r="AN915" s="22" t="s">
        <v>197</v>
      </c>
      <c r="AO915" s="22" t="n">
        <v>1.2</v>
      </c>
      <c r="AP915" s="22" t="n">
        <v>1.6</v>
      </c>
    </row>
    <row r="916" customFormat="false" ht="21.75" hidden="false" customHeight="true" outlineLevel="0" collapsed="false">
      <c r="B916" s="15" t="n">
        <v>912</v>
      </c>
      <c r="C916" s="9" t="s">
        <v>55</v>
      </c>
      <c r="D916" s="9" t="s">
        <v>26</v>
      </c>
      <c r="E916" s="9" t="s">
        <v>125</v>
      </c>
      <c r="F916" s="9" t="s">
        <v>63</v>
      </c>
      <c r="G916" s="9" t="s">
        <v>2179</v>
      </c>
      <c r="H916" s="9" t="s">
        <v>1390</v>
      </c>
      <c r="I916" s="9" t="s">
        <v>1997</v>
      </c>
      <c r="J916" s="9" t="s">
        <v>2171</v>
      </c>
      <c r="K916" s="9" t="s">
        <v>2172</v>
      </c>
      <c r="L916" s="9" t="s">
        <v>2148</v>
      </c>
      <c r="M916" s="9" t="s">
        <v>235</v>
      </c>
      <c r="N916" s="9" t="s">
        <v>2063</v>
      </c>
      <c r="O916" s="9" t="s">
        <v>189</v>
      </c>
      <c r="P916" s="9" t="s">
        <v>2149</v>
      </c>
      <c r="Q916" s="9" t="s">
        <v>2173</v>
      </c>
      <c r="R916" s="9" t="s">
        <v>604</v>
      </c>
      <c r="S916" s="9" t="s">
        <v>1369</v>
      </c>
      <c r="T916" s="9" t="s">
        <v>239</v>
      </c>
      <c r="U916" s="19" t="n">
        <v>125</v>
      </c>
      <c r="V916" s="9"/>
      <c r="W916" s="9"/>
      <c r="X916" s="9" t="s">
        <v>205</v>
      </c>
      <c r="Y916" s="23" t="n">
        <v>0.056</v>
      </c>
      <c r="Z916" s="23" t="n">
        <v>0.103</v>
      </c>
      <c r="AA916" s="23" t="n">
        <v>12</v>
      </c>
      <c r="AB916" s="9" t="s">
        <v>2148</v>
      </c>
      <c r="AC916" s="9" t="s">
        <v>2174</v>
      </c>
      <c r="AD916" s="23" t="s">
        <v>197</v>
      </c>
      <c r="AE916" s="23" t="s">
        <v>197</v>
      </c>
      <c r="AF916" s="23" t="s">
        <v>197</v>
      </c>
      <c r="AG916" s="23" t="s">
        <v>197</v>
      </c>
      <c r="AH916" s="23" t="s">
        <v>197</v>
      </c>
      <c r="AI916" s="23" t="s">
        <v>197</v>
      </c>
      <c r="AJ916" s="23" t="s">
        <v>197</v>
      </c>
      <c r="AK916" s="23" t="s">
        <v>197</v>
      </c>
      <c r="AL916" s="23" t="s">
        <v>197</v>
      </c>
      <c r="AM916" s="9" t="s">
        <v>197</v>
      </c>
      <c r="AN916" s="23" t="s">
        <v>197</v>
      </c>
      <c r="AO916" s="23" t="n">
        <v>1.2</v>
      </c>
      <c r="AP916" s="23" t="n">
        <v>1.6</v>
      </c>
    </row>
    <row r="917" customFormat="false" ht="21.75" hidden="false" customHeight="true" outlineLevel="0" collapsed="false">
      <c r="B917" s="14" t="n">
        <v>913</v>
      </c>
      <c r="C917" s="7" t="s">
        <v>55</v>
      </c>
      <c r="D917" s="7" t="s">
        <v>26</v>
      </c>
      <c r="E917" s="7" t="s">
        <v>125</v>
      </c>
      <c r="F917" s="7" t="s">
        <v>64</v>
      </c>
      <c r="G917" s="7" t="s">
        <v>2180</v>
      </c>
      <c r="H917" s="7" t="s">
        <v>247</v>
      </c>
      <c r="I917" s="7" t="s">
        <v>2181</v>
      </c>
      <c r="J917" s="7" t="s">
        <v>2182</v>
      </c>
      <c r="K917" s="7" t="s">
        <v>2183</v>
      </c>
      <c r="L917" s="7" t="s">
        <v>2148</v>
      </c>
      <c r="M917" s="7" t="s">
        <v>518</v>
      </c>
      <c r="N917" s="7" t="s">
        <v>1130</v>
      </c>
      <c r="O917" s="7" t="s">
        <v>189</v>
      </c>
      <c r="P917" s="7" t="s">
        <v>2149</v>
      </c>
      <c r="Q917" s="7" t="s">
        <v>700</v>
      </c>
      <c r="R917" s="7" t="s">
        <v>1547</v>
      </c>
      <c r="S917" s="7" t="s">
        <v>1369</v>
      </c>
      <c r="T917" s="7" t="s">
        <v>275</v>
      </c>
      <c r="U917" s="18" t="n">
        <v>11</v>
      </c>
      <c r="V917" s="7"/>
      <c r="W917" s="7"/>
      <c r="X917" s="7" t="s">
        <v>195</v>
      </c>
      <c r="Y917" s="22" t="n">
        <v>1.86E-005</v>
      </c>
      <c r="Z917" s="22" t="n">
        <v>4.393E-005</v>
      </c>
      <c r="AA917" s="22" t="n">
        <v>3</v>
      </c>
      <c r="AB917" s="7" t="s">
        <v>2148</v>
      </c>
      <c r="AC917" s="7" t="s">
        <v>2184</v>
      </c>
      <c r="AD917" s="22" t="s">
        <v>197</v>
      </c>
      <c r="AE917" s="22" t="s">
        <v>197</v>
      </c>
      <c r="AF917" s="22" t="s">
        <v>197</v>
      </c>
      <c r="AG917" s="22" t="s">
        <v>197</v>
      </c>
      <c r="AH917" s="22" t="s">
        <v>197</v>
      </c>
      <c r="AI917" s="22" t="s">
        <v>197</v>
      </c>
      <c r="AJ917" s="22" t="n">
        <v>8</v>
      </c>
      <c r="AK917" s="22" t="s">
        <v>197</v>
      </c>
      <c r="AL917" s="22" t="n">
        <v>90</v>
      </c>
      <c r="AM917" s="7" t="s">
        <v>257</v>
      </c>
      <c r="AN917" s="22" t="s">
        <v>197</v>
      </c>
      <c r="AO917" s="22" t="n">
        <v>2</v>
      </c>
      <c r="AP917" s="22" t="n">
        <v>2.7</v>
      </c>
    </row>
    <row r="918" customFormat="false" ht="21.75" hidden="false" customHeight="true" outlineLevel="0" collapsed="false">
      <c r="B918" s="15" t="n">
        <v>914</v>
      </c>
      <c r="C918" s="9" t="s">
        <v>55</v>
      </c>
      <c r="D918" s="9" t="s">
        <v>26</v>
      </c>
      <c r="E918" s="9" t="s">
        <v>125</v>
      </c>
      <c r="F918" s="9" t="s">
        <v>64</v>
      </c>
      <c r="G918" s="9" t="s">
        <v>2185</v>
      </c>
      <c r="H918" s="9" t="s">
        <v>259</v>
      </c>
      <c r="I918" s="9" t="s">
        <v>2181</v>
      </c>
      <c r="J918" s="9" t="s">
        <v>2182</v>
      </c>
      <c r="K918" s="9" t="s">
        <v>2183</v>
      </c>
      <c r="L918" s="9" t="s">
        <v>2148</v>
      </c>
      <c r="M918" s="9" t="s">
        <v>518</v>
      </c>
      <c r="N918" s="9" t="s">
        <v>1130</v>
      </c>
      <c r="O918" s="9" t="s">
        <v>189</v>
      </c>
      <c r="P918" s="9" t="s">
        <v>2149</v>
      </c>
      <c r="Q918" s="9" t="s">
        <v>700</v>
      </c>
      <c r="R918" s="9" t="s">
        <v>1547</v>
      </c>
      <c r="S918" s="9" t="s">
        <v>1369</v>
      </c>
      <c r="T918" s="9" t="s">
        <v>275</v>
      </c>
      <c r="U918" s="19" t="n">
        <v>16</v>
      </c>
      <c r="V918" s="9"/>
      <c r="W918" s="9"/>
      <c r="X918" s="9" t="s">
        <v>199</v>
      </c>
      <c r="Y918" s="23" t="n">
        <v>1.315E-005</v>
      </c>
      <c r="Z918" s="23" t="n">
        <v>3.42E-005</v>
      </c>
      <c r="AA918" s="23" t="n">
        <v>3</v>
      </c>
      <c r="AB918" s="9" t="s">
        <v>2148</v>
      </c>
      <c r="AC918" s="9" t="s">
        <v>2184</v>
      </c>
      <c r="AD918" s="23" t="s">
        <v>197</v>
      </c>
      <c r="AE918" s="23" t="s">
        <v>197</v>
      </c>
      <c r="AF918" s="23" t="s">
        <v>197</v>
      </c>
      <c r="AG918" s="23" t="s">
        <v>197</v>
      </c>
      <c r="AH918" s="23" t="s">
        <v>197</v>
      </c>
      <c r="AI918" s="23" t="s">
        <v>197</v>
      </c>
      <c r="AJ918" s="23" t="n">
        <v>10</v>
      </c>
      <c r="AK918" s="23" t="s">
        <v>197</v>
      </c>
      <c r="AL918" s="23" t="n">
        <v>90</v>
      </c>
      <c r="AM918" s="9" t="s">
        <v>257</v>
      </c>
      <c r="AN918" s="23" t="s">
        <v>197</v>
      </c>
      <c r="AO918" s="23" t="n">
        <v>2</v>
      </c>
      <c r="AP918" s="23" t="n">
        <v>2.7</v>
      </c>
    </row>
    <row r="919" customFormat="false" ht="21.75" hidden="false" customHeight="true" outlineLevel="0" collapsed="false">
      <c r="B919" s="14" t="n">
        <v>915</v>
      </c>
      <c r="C919" s="7" t="s">
        <v>55</v>
      </c>
      <c r="D919" s="7" t="s">
        <v>26</v>
      </c>
      <c r="E919" s="7" t="s">
        <v>125</v>
      </c>
      <c r="F919" s="7" t="s">
        <v>64</v>
      </c>
      <c r="G919" s="7" t="s">
        <v>2186</v>
      </c>
      <c r="H919" s="7" t="s">
        <v>261</v>
      </c>
      <c r="I919" s="7" t="s">
        <v>2181</v>
      </c>
      <c r="J919" s="7" t="s">
        <v>2182</v>
      </c>
      <c r="K919" s="7" t="s">
        <v>2183</v>
      </c>
      <c r="L919" s="7" t="s">
        <v>2148</v>
      </c>
      <c r="M919" s="7" t="s">
        <v>518</v>
      </c>
      <c r="N919" s="7" t="s">
        <v>1130</v>
      </c>
      <c r="O919" s="7" t="s">
        <v>189</v>
      </c>
      <c r="P919" s="7" t="s">
        <v>2149</v>
      </c>
      <c r="Q919" s="7" t="s">
        <v>700</v>
      </c>
      <c r="R919" s="7" t="s">
        <v>1547</v>
      </c>
      <c r="S919" s="7" t="s">
        <v>1369</v>
      </c>
      <c r="T919" s="7" t="s">
        <v>275</v>
      </c>
      <c r="U919" s="18" t="n">
        <v>20</v>
      </c>
      <c r="V919" s="7"/>
      <c r="W919" s="7"/>
      <c r="X919" s="7" t="s">
        <v>2187</v>
      </c>
      <c r="Y919" s="22" t="n">
        <v>1.977E-005</v>
      </c>
      <c r="Z919" s="22" t="n">
        <v>4.601E-005</v>
      </c>
      <c r="AA919" s="22" t="n">
        <v>3</v>
      </c>
      <c r="AB919" s="7" t="s">
        <v>2148</v>
      </c>
      <c r="AC919" s="7" t="s">
        <v>2184</v>
      </c>
      <c r="AD919" s="22" t="s">
        <v>197</v>
      </c>
      <c r="AE919" s="22" t="s">
        <v>197</v>
      </c>
      <c r="AF919" s="22" t="s">
        <v>197</v>
      </c>
      <c r="AG919" s="22" t="s">
        <v>197</v>
      </c>
      <c r="AH919" s="22" t="s">
        <v>197</v>
      </c>
      <c r="AI919" s="22" t="s">
        <v>197</v>
      </c>
      <c r="AJ919" s="22" t="n">
        <v>12</v>
      </c>
      <c r="AK919" s="22" t="s">
        <v>197</v>
      </c>
      <c r="AL919" s="22" t="n">
        <v>90</v>
      </c>
      <c r="AM919" s="7" t="s">
        <v>257</v>
      </c>
      <c r="AN919" s="22" t="s">
        <v>197</v>
      </c>
      <c r="AO919" s="22" t="n">
        <v>2</v>
      </c>
      <c r="AP919" s="22" t="n">
        <v>2.7</v>
      </c>
    </row>
    <row r="920" customFormat="false" ht="21.75" hidden="false" customHeight="true" outlineLevel="0" collapsed="false">
      <c r="B920" s="15" t="n">
        <v>916</v>
      </c>
      <c r="C920" s="9" t="s">
        <v>55</v>
      </c>
      <c r="D920" s="9" t="s">
        <v>26</v>
      </c>
      <c r="E920" s="9" t="s">
        <v>125</v>
      </c>
      <c r="F920" s="9" t="s">
        <v>64</v>
      </c>
      <c r="G920" s="9" t="s">
        <v>2188</v>
      </c>
      <c r="H920" s="9" t="s">
        <v>264</v>
      </c>
      <c r="I920" s="9" t="s">
        <v>2181</v>
      </c>
      <c r="J920" s="9" t="s">
        <v>2182</v>
      </c>
      <c r="K920" s="9" t="s">
        <v>2183</v>
      </c>
      <c r="L920" s="9" t="s">
        <v>2148</v>
      </c>
      <c r="M920" s="9" t="s">
        <v>518</v>
      </c>
      <c r="N920" s="9" t="s">
        <v>1130</v>
      </c>
      <c r="O920" s="9" t="s">
        <v>189</v>
      </c>
      <c r="P920" s="9" t="s">
        <v>2149</v>
      </c>
      <c r="Q920" s="9" t="s">
        <v>700</v>
      </c>
      <c r="R920" s="9" t="s">
        <v>1547</v>
      </c>
      <c r="S920" s="9" t="s">
        <v>1369</v>
      </c>
      <c r="T920" s="9" t="s">
        <v>275</v>
      </c>
      <c r="U920" s="19" t="n">
        <v>30</v>
      </c>
      <c r="V920" s="9"/>
      <c r="W920" s="9"/>
      <c r="X920" s="9" t="s">
        <v>203</v>
      </c>
      <c r="Y920" s="23" t="n">
        <v>1.328E-005</v>
      </c>
      <c r="Z920" s="23" t="n">
        <v>3.443E-005</v>
      </c>
      <c r="AA920" s="23" t="n">
        <v>3</v>
      </c>
      <c r="AB920" s="9" t="s">
        <v>2148</v>
      </c>
      <c r="AC920" s="9" t="s">
        <v>2184</v>
      </c>
      <c r="AD920" s="23" t="s">
        <v>197</v>
      </c>
      <c r="AE920" s="23" t="s">
        <v>197</v>
      </c>
      <c r="AF920" s="23" t="s">
        <v>197</v>
      </c>
      <c r="AG920" s="23" t="s">
        <v>197</v>
      </c>
      <c r="AH920" s="23" t="s">
        <v>197</v>
      </c>
      <c r="AI920" s="23" t="s">
        <v>197</v>
      </c>
      <c r="AJ920" s="23" t="n">
        <v>12</v>
      </c>
      <c r="AK920" s="23" t="s">
        <v>197</v>
      </c>
      <c r="AL920" s="23" t="n">
        <v>110</v>
      </c>
      <c r="AM920" s="9" t="s">
        <v>257</v>
      </c>
      <c r="AN920" s="23" t="s">
        <v>197</v>
      </c>
      <c r="AO920" s="23" t="n">
        <v>2</v>
      </c>
      <c r="AP920" s="23" t="n">
        <v>2.7</v>
      </c>
    </row>
    <row r="921" customFormat="false" ht="21.75" hidden="false" customHeight="true" outlineLevel="0" collapsed="false">
      <c r="B921" s="14" t="n">
        <v>917</v>
      </c>
      <c r="C921" s="7" t="s">
        <v>55</v>
      </c>
      <c r="D921" s="7" t="s">
        <v>26</v>
      </c>
      <c r="E921" s="7" t="s">
        <v>125</v>
      </c>
      <c r="F921" s="7" t="s">
        <v>64</v>
      </c>
      <c r="G921" s="7" t="s">
        <v>2189</v>
      </c>
      <c r="H921" s="7" t="s">
        <v>266</v>
      </c>
      <c r="I921" s="7" t="s">
        <v>2181</v>
      </c>
      <c r="J921" s="7" t="s">
        <v>2182</v>
      </c>
      <c r="K921" s="7" t="s">
        <v>2183</v>
      </c>
      <c r="L921" s="7" t="s">
        <v>2148</v>
      </c>
      <c r="M921" s="7" t="s">
        <v>518</v>
      </c>
      <c r="N921" s="7" t="s">
        <v>1130</v>
      </c>
      <c r="O921" s="7" t="s">
        <v>189</v>
      </c>
      <c r="P921" s="7" t="s">
        <v>2149</v>
      </c>
      <c r="Q921" s="7" t="s">
        <v>700</v>
      </c>
      <c r="R921" s="7" t="s">
        <v>1547</v>
      </c>
      <c r="S921" s="7" t="s">
        <v>1369</v>
      </c>
      <c r="T921" s="7" t="s">
        <v>275</v>
      </c>
      <c r="U921" s="18" t="n">
        <v>45</v>
      </c>
      <c r="V921" s="7"/>
      <c r="W921" s="7"/>
      <c r="X921" s="7" t="s">
        <v>205</v>
      </c>
      <c r="Y921" s="22" t="n">
        <v>1.847E-005</v>
      </c>
      <c r="Z921" s="22" t="n">
        <v>4.369E-005</v>
      </c>
      <c r="AA921" s="22" t="n">
        <v>3</v>
      </c>
      <c r="AB921" s="7" t="s">
        <v>2148</v>
      </c>
      <c r="AC921" s="7" t="s">
        <v>2184</v>
      </c>
      <c r="AD921" s="22" t="s">
        <v>197</v>
      </c>
      <c r="AE921" s="22" t="s">
        <v>197</v>
      </c>
      <c r="AF921" s="22" t="s">
        <v>197</v>
      </c>
      <c r="AG921" s="22" t="s">
        <v>197</v>
      </c>
      <c r="AH921" s="22" t="s">
        <v>197</v>
      </c>
      <c r="AI921" s="22" t="s">
        <v>197</v>
      </c>
      <c r="AJ921" s="22" t="n">
        <v>15</v>
      </c>
      <c r="AK921" s="22" t="s">
        <v>197</v>
      </c>
      <c r="AL921" s="22" t="n">
        <v>110</v>
      </c>
      <c r="AM921" s="7" t="s">
        <v>257</v>
      </c>
      <c r="AN921" s="22" t="s">
        <v>197</v>
      </c>
      <c r="AO921" s="22" t="n">
        <v>2</v>
      </c>
      <c r="AP921" s="22" t="n">
        <v>2.7</v>
      </c>
    </row>
    <row r="922" customFormat="false" ht="21.75" hidden="false" customHeight="true" outlineLevel="0" collapsed="false">
      <c r="B922" s="15" t="n">
        <v>918</v>
      </c>
      <c r="C922" s="9" t="s">
        <v>55</v>
      </c>
      <c r="D922" s="9" t="s">
        <v>26</v>
      </c>
      <c r="E922" s="9" t="s">
        <v>125</v>
      </c>
      <c r="F922" s="9" t="s">
        <v>65</v>
      </c>
      <c r="G922" s="9" t="s">
        <v>2180</v>
      </c>
      <c r="H922" s="9" t="s">
        <v>247</v>
      </c>
      <c r="I922" s="9" t="s">
        <v>2190</v>
      </c>
      <c r="J922" s="9" t="s">
        <v>2191</v>
      </c>
      <c r="K922" s="9" t="s">
        <v>2183</v>
      </c>
      <c r="L922" s="9" t="s">
        <v>2148</v>
      </c>
      <c r="M922" s="9" t="s">
        <v>518</v>
      </c>
      <c r="N922" s="9" t="s">
        <v>1914</v>
      </c>
      <c r="O922" s="9" t="s">
        <v>189</v>
      </c>
      <c r="P922" s="9" t="s">
        <v>2149</v>
      </c>
      <c r="Q922" s="9" t="s">
        <v>2192</v>
      </c>
      <c r="R922" s="9" t="s">
        <v>521</v>
      </c>
      <c r="S922" s="9" t="s">
        <v>1369</v>
      </c>
      <c r="T922" s="9" t="s">
        <v>275</v>
      </c>
      <c r="U922" s="19" t="n">
        <v>14</v>
      </c>
      <c r="V922" s="9"/>
      <c r="W922" s="9"/>
      <c r="X922" s="9" t="s">
        <v>195</v>
      </c>
      <c r="Y922" s="23" t="n">
        <v>1.86E-005</v>
      </c>
      <c r="Z922" s="23" t="n">
        <v>4.393E-005</v>
      </c>
      <c r="AA922" s="23" t="n">
        <v>3</v>
      </c>
      <c r="AB922" s="9" t="s">
        <v>2148</v>
      </c>
      <c r="AC922" s="9" t="s">
        <v>2184</v>
      </c>
      <c r="AD922" s="23" t="s">
        <v>197</v>
      </c>
      <c r="AE922" s="23" t="s">
        <v>197</v>
      </c>
      <c r="AF922" s="23" t="s">
        <v>197</v>
      </c>
      <c r="AG922" s="23" t="s">
        <v>197</v>
      </c>
      <c r="AH922" s="23" t="s">
        <v>197</v>
      </c>
      <c r="AI922" s="23" t="s">
        <v>197</v>
      </c>
      <c r="AJ922" s="23" t="n">
        <v>8</v>
      </c>
      <c r="AK922" s="23" t="s">
        <v>197</v>
      </c>
      <c r="AL922" s="23" t="n">
        <v>90</v>
      </c>
      <c r="AM922" s="9" t="s">
        <v>257</v>
      </c>
      <c r="AN922" s="23" t="s">
        <v>197</v>
      </c>
      <c r="AO922" s="23" t="n">
        <v>2</v>
      </c>
      <c r="AP922" s="23" t="n">
        <v>2.7</v>
      </c>
    </row>
    <row r="923" customFormat="false" ht="21.75" hidden="false" customHeight="true" outlineLevel="0" collapsed="false">
      <c r="B923" s="14" t="n">
        <v>919</v>
      </c>
      <c r="C923" s="7" t="s">
        <v>55</v>
      </c>
      <c r="D923" s="7" t="s">
        <v>26</v>
      </c>
      <c r="E923" s="7" t="s">
        <v>125</v>
      </c>
      <c r="F923" s="7" t="s">
        <v>65</v>
      </c>
      <c r="G923" s="7" t="s">
        <v>2185</v>
      </c>
      <c r="H923" s="7" t="s">
        <v>259</v>
      </c>
      <c r="I923" s="7" t="s">
        <v>2190</v>
      </c>
      <c r="J923" s="7" t="s">
        <v>2191</v>
      </c>
      <c r="K923" s="7" t="s">
        <v>2183</v>
      </c>
      <c r="L923" s="7" t="s">
        <v>2148</v>
      </c>
      <c r="M923" s="7" t="s">
        <v>518</v>
      </c>
      <c r="N923" s="7" t="s">
        <v>1914</v>
      </c>
      <c r="O923" s="7" t="s">
        <v>189</v>
      </c>
      <c r="P923" s="7" t="s">
        <v>2149</v>
      </c>
      <c r="Q923" s="7" t="s">
        <v>2192</v>
      </c>
      <c r="R923" s="7" t="s">
        <v>521</v>
      </c>
      <c r="S923" s="7" t="s">
        <v>1369</v>
      </c>
      <c r="T923" s="7" t="s">
        <v>275</v>
      </c>
      <c r="U923" s="18" t="n">
        <v>20</v>
      </c>
      <c r="V923" s="7"/>
      <c r="W923" s="7"/>
      <c r="X923" s="7" t="s">
        <v>199</v>
      </c>
      <c r="Y923" s="22" t="n">
        <v>1.315E-005</v>
      </c>
      <c r="Z923" s="22" t="n">
        <v>3.42E-005</v>
      </c>
      <c r="AA923" s="22" t="n">
        <v>3</v>
      </c>
      <c r="AB923" s="7" t="s">
        <v>2148</v>
      </c>
      <c r="AC923" s="7" t="s">
        <v>2184</v>
      </c>
      <c r="AD923" s="22" t="s">
        <v>197</v>
      </c>
      <c r="AE923" s="22" t="s">
        <v>197</v>
      </c>
      <c r="AF923" s="22" t="s">
        <v>197</v>
      </c>
      <c r="AG923" s="22" t="s">
        <v>197</v>
      </c>
      <c r="AH923" s="22" t="s">
        <v>197</v>
      </c>
      <c r="AI923" s="22" t="s">
        <v>197</v>
      </c>
      <c r="AJ923" s="22" t="n">
        <v>10</v>
      </c>
      <c r="AK923" s="22" t="s">
        <v>197</v>
      </c>
      <c r="AL923" s="22" t="n">
        <v>90</v>
      </c>
      <c r="AM923" s="7" t="s">
        <v>257</v>
      </c>
      <c r="AN923" s="22" t="s">
        <v>197</v>
      </c>
      <c r="AO923" s="22" t="n">
        <v>2</v>
      </c>
      <c r="AP923" s="22" t="n">
        <v>2.7</v>
      </c>
    </row>
    <row r="924" customFormat="false" ht="21.75" hidden="false" customHeight="true" outlineLevel="0" collapsed="false">
      <c r="B924" s="15" t="n">
        <v>920</v>
      </c>
      <c r="C924" s="9" t="s">
        <v>55</v>
      </c>
      <c r="D924" s="9" t="s">
        <v>26</v>
      </c>
      <c r="E924" s="9" t="s">
        <v>125</v>
      </c>
      <c r="F924" s="9" t="s">
        <v>65</v>
      </c>
      <c r="G924" s="9" t="s">
        <v>2186</v>
      </c>
      <c r="H924" s="9" t="s">
        <v>261</v>
      </c>
      <c r="I924" s="9" t="s">
        <v>2190</v>
      </c>
      <c r="J924" s="9" t="s">
        <v>2191</v>
      </c>
      <c r="K924" s="9" t="s">
        <v>2183</v>
      </c>
      <c r="L924" s="9" t="s">
        <v>2148</v>
      </c>
      <c r="M924" s="9" t="s">
        <v>518</v>
      </c>
      <c r="N924" s="9" t="s">
        <v>1914</v>
      </c>
      <c r="O924" s="9" t="s">
        <v>189</v>
      </c>
      <c r="P924" s="9" t="s">
        <v>2149</v>
      </c>
      <c r="Q924" s="9" t="s">
        <v>2192</v>
      </c>
      <c r="R924" s="9" t="s">
        <v>521</v>
      </c>
      <c r="S924" s="9" t="s">
        <v>1369</v>
      </c>
      <c r="T924" s="9" t="s">
        <v>275</v>
      </c>
      <c r="U924" s="19" t="n">
        <v>25</v>
      </c>
      <c r="V924" s="9"/>
      <c r="W924" s="9"/>
      <c r="X924" s="9" t="s">
        <v>2193</v>
      </c>
      <c r="Y924" s="23" t="n">
        <v>1.977E-005</v>
      </c>
      <c r="Z924" s="23" t="n">
        <v>4.601E-005</v>
      </c>
      <c r="AA924" s="23" t="n">
        <v>3</v>
      </c>
      <c r="AB924" s="9" t="s">
        <v>2148</v>
      </c>
      <c r="AC924" s="9" t="s">
        <v>2184</v>
      </c>
      <c r="AD924" s="23" t="s">
        <v>197</v>
      </c>
      <c r="AE924" s="23" t="s">
        <v>197</v>
      </c>
      <c r="AF924" s="23" t="s">
        <v>197</v>
      </c>
      <c r="AG924" s="23" t="s">
        <v>197</v>
      </c>
      <c r="AH924" s="23" t="s">
        <v>197</v>
      </c>
      <c r="AI924" s="23" t="s">
        <v>197</v>
      </c>
      <c r="AJ924" s="23" t="n">
        <v>12</v>
      </c>
      <c r="AK924" s="23" t="s">
        <v>197</v>
      </c>
      <c r="AL924" s="23" t="n">
        <v>90</v>
      </c>
      <c r="AM924" s="9" t="s">
        <v>257</v>
      </c>
      <c r="AN924" s="23" t="s">
        <v>197</v>
      </c>
      <c r="AO924" s="23" t="n">
        <v>2</v>
      </c>
      <c r="AP924" s="23" t="n">
        <v>2.7</v>
      </c>
    </row>
    <row r="925" customFormat="false" ht="21.75" hidden="false" customHeight="true" outlineLevel="0" collapsed="false">
      <c r="B925" s="14" t="n">
        <v>921</v>
      </c>
      <c r="C925" s="7" t="s">
        <v>55</v>
      </c>
      <c r="D925" s="7" t="s">
        <v>26</v>
      </c>
      <c r="E925" s="7" t="s">
        <v>125</v>
      </c>
      <c r="F925" s="7" t="s">
        <v>65</v>
      </c>
      <c r="G925" s="7" t="s">
        <v>2194</v>
      </c>
      <c r="H925" s="7" t="s">
        <v>281</v>
      </c>
      <c r="I925" s="7" t="s">
        <v>2190</v>
      </c>
      <c r="J925" s="7" t="s">
        <v>2191</v>
      </c>
      <c r="K925" s="7" t="s">
        <v>2183</v>
      </c>
      <c r="L925" s="7" t="s">
        <v>2148</v>
      </c>
      <c r="M925" s="7" t="s">
        <v>518</v>
      </c>
      <c r="N925" s="7" t="s">
        <v>1914</v>
      </c>
      <c r="O925" s="7" t="s">
        <v>189</v>
      </c>
      <c r="P925" s="7" t="s">
        <v>2149</v>
      </c>
      <c r="Q925" s="7" t="s">
        <v>2192</v>
      </c>
      <c r="R925" s="7" t="s">
        <v>521</v>
      </c>
      <c r="S925" s="7" t="s">
        <v>1369</v>
      </c>
      <c r="T925" s="7" t="s">
        <v>275</v>
      </c>
      <c r="U925" s="18" t="n">
        <v>40</v>
      </c>
      <c r="V925" s="7"/>
      <c r="W925" s="7"/>
      <c r="X925" s="7" t="s">
        <v>203</v>
      </c>
      <c r="Y925" s="22" t="n">
        <v>1.368E-005</v>
      </c>
      <c r="Z925" s="22" t="n">
        <v>3.514E-005</v>
      </c>
      <c r="AA925" s="22" t="n">
        <v>3</v>
      </c>
      <c r="AB925" s="7" t="s">
        <v>2148</v>
      </c>
      <c r="AC925" s="7" t="s">
        <v>2184</v>
      </c>
      <c r="AD925" s="22" t="s">
        <v>197</v>
      </c>
      <c r="AE925" s="22" t="s">
        <v>197</v>
      </c>
      <c r="AF925" s="22" t="s">
        <v>197</v>
      </c>
      <c r="AG925" s="22" t="s">
        <v>197</v>
      </c>
      <c r="AH925" s="22" t="s">
        <v>197</v>
      </c>
      <c r="AI925" s="22" t="s">
        <v>197</v>
      </c>
      <c r="AJ925" s="22" t="n">
        <v>12</v>
      </c>
      <c r="AK925" s="22" t="s">
        <v>197</v>
      </c>
      <c r="AL925" s="22" t="n">
        <v>90</v>
      </c>
      <c r="AM925" s="7" t="s">
        <v>257</v>
      </c>
      <c r="AN925" s="22" t="s">
        <v>197</v>
      </c>
      <c r="AO925" s="22" t="n">
        <v>2</v>
      </c>
      <c r="AP925" s="22" t="n">
        <v>2.7</v>
      </c>
    </row>
    <row r="926" customFormat="false" ht="21.75" hidden="false" customHeight="true" outlineLevel="0" collapsed="false">
      <c r="B926" s="15" t="n">
        <v>922</v>
      </c>
      <c r="C926" s="9" t="s">
        <v>55</v>
      </c>
      <c r="D926" s="9" t="s">
        <v>26</v>
      </c>
      <c r="E926" s="9" t="s">
        <v>125</v>
      </c>
      <c r="F926" s="9" t="s">
        <v>65</v>
      </c>
      <c r="G926" s="9" t="s">
        <v>2195</v>
      </c>
      <c r="H926" s="9" t="s">
        <v>283</v>
      </c>
      <c r="I926" s="9" t="s">
        <v>2190</v>
      </c>
      <c r="J926" s="9" t="s">
        <v>2191</v>
      </c>
      <c r="K926" s="9" t="s">
        <v>2183</v>
      </c>
      <c r="L926" s="9" t="s">
        <v>2148</v>
      </c>
      <c r="M926" s="9" t="s">
        <v>518</v>
      </c>
      <c r="N926" s="9" t="s">
        <v>1914</v>
      </c>
      <c r="O926" s="9" t="s">
        <v>189</v>
      </c>
      <c r="P926" s="9" t="s">
        <v>2149</v>
      </c>
      <c r="Q926" s="9" t="s">
        <v>2192</v>
      </c>
      <c r="R926" s="9" t="s">
        <v>521</v>
      </c>
      <c r="S926" s="9" t="s">
        <v>1369</v>
      </c>
      <c r="T926" s="9" t="s">
        <v>275</v>
      </c>
      <c r="U926" s="19" t="n">
        <v>60</v>
      </c>
      <c r="V926" s="9"/>
      <c r="W926" s="9"/>
      <c r="X926" s="9" t="s">
        <v>205</v>
      </c>
      <c r="Y926" s="23" t="n">
        <v>1.022E-005</v>
      </c>
      <c r="Z926" s="23" t="n">
        <v>2.896E-005</v>
      </c>
      <c r="AA926" s="23" t="n">
        <v>3</v>
      </c>
      <c r="AB926" s="9" t="s">
        <v>2148</v>
      </c>
      <c r="AC926" s="9" t="s">
        <v>2184</v>
      </c>
      <c r="AD926" s="23" t="s">
        <v>197</v>
      </c>
      <c r="AE926" s="23" t="s">
        <v>197</v>
      </c>
      <c r="AF926" s="23" t="s">
        <v>197</v>
      </c>
      <c r="AG926" s="23" t="s">
        <v>197</v>
      </c>
      <c r="AH926" s="23" t="s">
        <v>197</v>
      </c>
      <c r="AI926" s="23" t="s">
        <v>197</v>
      </c>
      <c r="AJ926" s="23" t="n">
        <v>15</v>
      </c>
      <c r="AK926" s="23" t="s">
        <v>197</v>
      </c>
      <c r="AL926" s="23" t="n">
        <v>90</v>
      </c>
      <c r="AM926" s="9" t="s">
        <v>257</v>
      </c>
      <c r="AN926" s="23" t="s">
        <v>197</v>
      </c>
      <c r="AO926" s="23" t="n">
        <v>2</v>
      </c>
      <c r="AP926" s="23" t="n">
        <v>2.7</v>
      </c>
    </row>
    <row r="927" customFormat="false" ht="21.75" hidden="false" customHeight="true" outlineLevel="0" collapsed="false">
      <c r="B927" s="14" t="n">
        <v>923</v>
      </c>
      <c r="C927" s="7" t="s">
        <v>55</v>
      </c>
      <c r="D927" s="7" t="s">
        <v>26</v>
      </c>
      <c r="E927" s="7" t="s">
        <v>125</v>
      </c>
      <c r="F927" s="7" t="s">
        <v>66</v>
      </c>
      <c r="G927" s="7" t="s">
        <v>391</v>
      </c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18"/>
      <c r="V927" s="7"/>
      <c r="W927" s="7"/>
      <c r="X927" s="7" t="s">
        <v>2196</v>
      </c>
      <c r="Y927" s="22" t="s">
        <v>197</v>
      </c>
      <c r="Z927" s="22" t="s">
        <v>197</v>
      </c>
      <c r="AA927" s="22" t="s">
        <v>197</v>
      </c>
      <c r="AB927" s="7" t="s">
        <v>197</v>
      </c>
      <c r="AC927" s="7" t="s">
        <v>197</v>
      </c>
      <c r="AD927" s="22" t="s">
        <v>197</v>
      </c>
      <c r="AE927" s="22" t="s">
        <v>197</v>
      </c>
      <c r="AF927" s="22" t="s">
        <v>197</v>
      </c>
      <c r="AG927" s="22" t="s">
        <v>197</v>
      </c>
      <c r="AH927" s="22" t="s">
        <v>197</v>
      </c>
      <c r="AI927" s="22" t="s">
        <v>197</v>
      </c>
      <c r="AJ927" s="22" t="s">
        <v>197</v>
      </c>
      <c r="AK927" s="22" t="s">
        <v>197</v>
      </c>
      <c r="AL927" s="22" t="s">
        <v>197</v>
      </c>
      <c r="AM927" s="7" t="s">
        <v>197</v>
      </c>
      <c r="AN927" s="22" t="s">
        <v>197</v>
      </c>
      <c r="AO927" s="22" t="s">
        <v>197</v>
      </c>
      <c r="AP927" s="22" t="s">
        <v>197</v>
      </c>
    </row>
    <row r="928" customFormat="false" ht="21.75" hidden="false" customHeight="true" outlineLevel="0" collapsed="false">
      <c r="B928" s="15" t="n">
        <v>924</v>
      </c>
      <c r="C928" s="9" t="s">
        <v>55</v>
      </c>
      <c r="D928" s="9" t="s">
        <v>26</v>
      </c>
      <c r="E928" s="9" t="s">
        <v>125</v>
      </c>
      <c r="F928" s="9" t="s">
        <v>67</v>
      </c>
      <c r="G928" s="9" t="s">
        <v>2197</v>
      </c>
      <c r="H928" s="9" t="s">
        <v>303</v>
      </c>
      <c r="I928" s="9" t="s">
        <v>2198</v>
      </c>
      <c r="J928" s="9" t="s">
        <v>1436</v>
      </c>
      <c r="K928" s="9" t="s">
        <v>2183</v>
      </c>
      <c r="L928" s="9" t="s">
        <v>2148</v>
      </c>
      <c r="M928" s="9" t="s">
        <v>542</v>
      </c>
      <c r="N928" s="9" t="s">
        <v>1437</v>
      </c>
      <c r="O928" s="9" t="s">
        <v>189</v>
      </c>
      <c r="P928" s="9" t="s">
        <v>2149</v>
      </c>
      <c r="Q928" s="9" t="s">
        <v>2199</v>
      </c>
      <c r="R928" s="9" t="s">
        <v>2200</v>
      </c>
      <c r="S928" s="9" t="s">
        <v>1369</v>
      </c>
      <c r="T928" s="9" t="s">
        <v>309</v>
      </c>
      <c r="U928" s="19" t="n">
        <v>8</v>
      </c>
      <c r="V928" s="9"/>
      <c r="W928" s="9"/>
      <c r="X928" s="9" t="s">
        <v>195</v>
      </c>
      <c r="Y928" s="23" t="n">
        <v>0</v>
      </c>
      <c r="Z928" s="23" t="n">
        <v>0</v>
      </c>
      <c r="AA928" s="23" t="s">
        <v>197</v>
      </c>
      <c r="AB928" s="9" t="s">
        <v>2148</v>
      </c>
      <c r="AC928" s="9" t="s">
        <v>2201</v>
      </c>
      <c r="AD928" s="23" t="s">
        <v>197</v>
      </c>
      <c r="AE928" s="23" t="s">
        <v>197</v>
      </c>
      <c r="AF928" s="23" t="s">
        <v>197</v>
      </c>
      <c r="AG928" s="23" t="s">
        <v>197</v>
      </c>
      <c r="AH928" s="23" t="s">
        <v>197</v>
      </c>
      <c r="AI928" s="23" t="s">
        <v>197</v>
      </c>
      <c r="AJ928" s="23" t="s">
        <v>197</v>
      </c>
      <c r="AK928" s="23" t="s">
        <v>197</v>
      </c>
      <c r="AL928" s="23" t="s">
        <v>197</v>
      </c>
      <c r="AM928" s="9" t="s">
        <v>310</v>
      </c>
      <c r="AN928" s="23" t="s">
        <v>197</v>
      </c>
      <c r="AO928" s="23" t="s">
        <v>197</v>
      </c>
      <c r="AP928" s="23" t="s">
        <v>197</v>
      </c>
    </row>
    <row r="929" customFormat="false" ht="21.75" hidden="false" customHeight="true" outlineLevel="0" collapsed="false">
      <c r="B929" s="14" t="n">
        <v>925</v>
      </c>
      <c r="C929" s="7" t="s">
        <v>55</v>
      </c>
      <c r="D929" s="7" t="s">
        <v>26</v>
      </c>
      <c r="E929" s="7" t="s">
        <v>125</v>
      </c>
      <c r="F929" s="7" t="s">
        <v>67</v>
      </c>
      <c r="G929" s="7" t="s">
        <v>2202</v>
      </c>
      <c r="H929" s="7" t="s">
        <v>312</v>
      </c>
      <c r="I929" s="7" t="s">
        <v>2198</v>
      </c>
      <c r="J929" s="7" t="s">
        <v>1436</v>
      </c>
      <c r="K929" s="7" t="s">
        <v>2183</v>
      </c>
      <c r="L929" s="7" t="s">
        <v>2148</v>
      </c>
      <c r="M929" s="7" t="s">
        <v>542</v>
      </c>
      <c r="N929" s="7" t="s">
        <v>1437</v>
      </c>
      <c r="O929" s="7" t="s">
        <v>189</v>
      </c>
      <c r="P929" s="7" t="s">
        <v>2149</v>
      </c>
      <c r="Q929" s="7" t="s">
        <v>2199</v>
      </c>
      <c r="R929" s="7" t="s">
        <v>2200</v>
      </c>
      <c r="S929" s="7" t="s">
        <v>1369</v>
      </c>
      <c r="T929" s="7" t="s">
        <v>309</v>
      </c>
      <c r="U929" s="18" t="n">
        <v>10</v>
      </c>
      <c r="V929" s="7"/>
      <c r="W929" s="7"/>
      <c r="X929" s="7" t="s">
        <v>199</v>
      </c>
      <c r="Y929" s="22" t="n">
        <v>0</v>
      </c>
      <c r="Z929" s="22" t="n">
        <v>0</v>
      </c>
      <c r="AA929" s="22" t="s">
        <v>197</v>
      </c>
      <c r="AB929" s="7" t="s">
        <v>2148</v>
      </c>
      <c r="AC929" s="7" t="s">
        <v>2201</v>
      </c>
      <c r="AD929" s="22" t="s">
        <v>197</v>
      </c>
      <c r="AE929" s="22" t="s">
        <v>197</v>
      </c>
      <c r="AF929" s="22" t="s">
        <v>197</v>
      </c>
      <c r="AG929" s="22" t="s">
        <v>197</v>
      </c>
      <c r="AH929" s="22" t="s">
        <v>197</v>
      </c>
      <c r="AI929" s="22" t="s">
        <v>197</v>
      </c>
      <c r="AJ929" s="22" t="s">
        <v>197</v>
      </c>
      <c r="AK929" s="22" t="s">
        <v>197</v>
      </c>
      <c r="AL929" s="22" t="s">
        <v>197</v>
      </c>
      <c r="AM929" s="7" t="s">
        <v>310</v>
      </c>
      <c r="AN929" s="22" t="s">
        <v>197</v>
      </c>
      <c r="AO929" s="22" t="s">
        <v>197</v>
      </c>
      <c r="AP929" s="22" t="s">
        <v>197</v>
      </c>
    </row>
    <row r="930" customFormat="false" ht="21.75" hidden="false" customHeight="true" outlineLevel="0" collapsed="false">
      <c r="B930" s="15" t="n">
        <v>926</v>
      </c>
      <c r="C930" s="9" t="s">
        <v>55</v>
      </c>
      <c r="D930" s="9" t="s">
        <v>26</v>
      </c>
      <c r="E930" s="9" t="s">
        <v>125</v>
      </c>
      <c r="F930" s="9" t="s">
        <v>67</v>
      </c>
      <c r="G930" s="9" t="s">
        <v>2203</v>
      </c>
      <c r="H930" s="9" t="s">
        <v>314</v>
      </c>
      <c r="I930" s="9" t="s">
        <v>2198</v>
      </c>
      <c r="J930" s="9" t="s">
        <v>1436</v>
      </c>
      <c r="K930" s="9" t="s">
        <v>2183</v>
      </c>
      <c r="L930" s="9" t="s">
        <v>2148</v>
      </c>
      <c r="M930" s="9" t="s">
        <v>542</v>
      </c>
      <c r="N930" s="9" t="s">
        <v>1437</v>
      </c>
      <c r="O930" s="9" t="s">
        <v>189</v>
      </c>
      <c r="P930" s="9" t="s">
        <v>2149</v>
      </c>
      <c r="Q930" s="9" t="s">
        <v>2199</v>
      </c>
      <c r="R930" s="9" t="s">
        <v>2200</v>
      </c>
      <c r="S930" s="9" t="s">
        <v>1369</v>
      </c>
      <c r="T930" s="9" t="s">
        <v>309</v>
      </c>
      <c r="U930" s="19" t="n">
        <v>14</v>
      </c>
      <c r="V930" s="9"/>
      <c r="W930" s="9"/>
      <c r="X930" s="9" t="s">
        <v>728</v>
      </c>
      <c r="Y930" s="23" t="n">
        <v>0</v>
      </c>
      <c r="Z930" s="23" t="n">
        <v>0</v>
      </c>
      <c r="AA930" s="23" t="s">
        <v>197</v>
      </c>
      <c r="AB930" s="9" t="s">
        <v>2148</v>
      </c>
      <c r="AC930" s="9" t="s">
        <v>2201</v>
      </c>
      <c r="AD930" s="23" t="s">
        <v>197</v>
      </c>
      <c r="AE930" s="23" t="s">
        <v>197</v>
      </c>
      <c r="AF930" s="23" t="s">
        <v>197</v>
      </c>
      <c r="AG930" s="23" t="s">
        <v>197</v>
      </c>
      <c r="AH930" s="23" t="s">
        <v>197</v>
      </c>
      <c r="AI930" s="23" t="s">
        <v>197</v>
      </c>
      <c r="AJ930" s="23" t="s">
        <v>197</v>
      </c>
      <c r="AK930" s="23" t="s">
        <v>197</v>
      </c>
      <c r="AL930" s="23" t="s">
        <v>197</v>
      </c>
      <c r="AM930" s="9" t="s">
        <v>310</v>
      </c>
      <c r="AN930" s="23" t="s">
        <v>197</v>
      </c>
      <c r="AO930" s="23" t="s">
        <v>197</v>
      </c>
      <c r="AP930" s="23" t="s">
        <v>197</v>
      </c>
    </row>
    <row r="931" customFormat="false" ht="21.75" hidden="false" customHeight="true" outlineLevel="0" collapsed="false">
      <c r="B931" s="14" t="n">
        <v>927</v>
      </c>
      <c r="C931" s="7" t="s">
        <v>55</v>
      </c>
      <c r="D931" s="7" t="s">
        <v>26</v>
      </c>
      <c r="E931" s="7" t="s">
        <v>125</v>
      </c>
      <c r="F931" s="7" t="s">
        <v>67</v>
      </c>
      <c r="G931" s="7" t="s">
        <v>2204</v>
      </c>
      <c r="H931" s="7" t="s">
        <v>317</v>
      </c>
      <c r="I931" s="7" t="s">
        <v>2198</v>
      </c>
      <c r="J931" s="7" t="s">
        <v>1436</v>
      </c>
      <c r="K931" s="7" t="s">
        <v>2183</v>
      </c>
      <c r="L931" s="7" t="s">
        <v>2148</v>
      </c>
      <c r="M931" s="7" t="s">
        <v>542</v>
      </c>
      <c r="N931" s="7" t="s">
        <v>1437</v>
      </c>
      <c r="O931" s="7" t="s">
        <v>189</v>
      </c>
      <c r="P931" s="7" t="s">
        <v>2149</v>
      </c>
      <c r="Q931" s="7" t="s">
        <v>2199</v>
      </c>
      <c r="R931" s="7" t="s">
        <v>2200</v>
      </c>
      <c r="S931" s="7" t="s">
        <v>1369</v>
      </c>
      <c r="T931" s="7" t="s">
        <v>309</v>
      </c>
      <c r="U931" s="18" t="n">
        <v>20</v>
      </c>
      <c r="V931" s="7"/>
      <c r="W931" s="7"/>
      <c r="X931" s="7" t="s">
        <v>203</v>
      </c>
      <c r="Y931" s="22" t="n">
        <v>0</v>
      </c>
      <c r="Z931" s="22" t="n">
        <v>0</v>
      </c>
      <c r="AA931" s="22" t="s">
        <v>197</v>
      </c>
      <c r="AB931" s="7" t="s">
        <v>2148</v>
      </c>
      <c r="AC931" s="7" t="s">
        <v>2201</v>
      </c>
      <c r="AD931" s="22" t="s">
        <v>197</v>
      </c>
      <c r="AE931" s="22" t="s">
        <v>197</v>
      </c>
      <c r="AF931" s="22" t="s">
        <v>197</v>
      </c>
      <c r="AG931" s="22" t="s">
        <v>197</v>
      </c>
      <c r="AH931" s="22" t="s">
        <v>197</v>
      </c>
      <c r="AI931" s="22" t="s">
        <v>197</v>
      </c>
      <c r="AJ931" s="22" t="s">
        <v>197</v>
      </c>
      <c r="AK931" s="22" t="s">
        <v>197</v>
      </c>
      <c r="AL931" s="22" t="s">
        <v>197</v>
      </c>
      <c r="AM931" s="7" t="s">
        <v>310</v>
      </c>
      <c r="AN931" s="22" t="s">
        <v>197</v>
      </c>
      <c r="AO931" s="22" t="s">
        <v>197</v>
      </c>
      <c r="AP931" s="22" t="s">
        <v>197</v>
      </c>
    </row>
    <row r="932" customFormat="false" ht="21.75" hidden="false" customHeight="true" outlineLevel="0" collapsed="false">
      <c r="B932" s="15" t="n">
        <v>928</v>
      </c>
      <c r="C932" s="9" t="s">
        <v>55</v>
      </c>
      <c r="D932" s="9" t="s">
        <v>26</v>
      </c>
      <c r="E932" s="9" t="s">
        <v>125</v>
      </c>
      <c r="F932" s="9" t="s">
        <v>67</v>
      </c>
      <c r="G932" s="9" t="s">
        <v>2205</v>
      </c>
      <c r="H932" s="9" t="s">
        <v>319</v>
      </c>
      <c r="I932" s="9" t="s">
        <v>2198</v>
      </c>
      <c r="J932" s="9" t="s">
        <v>1436</v>
      </c>
      <c r="K932" s="9" t="s">
        <v>2183</v>
      </c>
      <c r="L932" s="9" t="s">
        <v>2148</v>
      </c>
      <c r="M932" s="9" t="s">
        <v>542</v>
      </c>
      <c r="N932" s="9" t="s">
        <v>1437</v>
      </c>
      <c r="O932" s="9" t="s">
        <v>189</v>
      </c>
      <c r="P932" s="9" t="s">
        <v>2149</v>
      </c>
      <c r="Q932" s="9" t="s">
        <v>2199</v>
      </c>
      <c r="R932" s="9" t="s">
        <v>2200</v>
      </c>
      <c r="S932" s="9" t="s">
        <v>1369</v>
      </c>
      <c r="T932" s="9" t="s">
        <v>309</v>
      </c>
      <c r="U932" s="19" t="n">
        <v>30</v>
      </c>
      <c r="V932" s="9"/>
      <c r="W932" s="9"/>
      <c r="X932" s="9" t="s">
        <v>205</v>
      </c>
      <c r="Y932" s="23" t="n">
        <v>0</v>
      </c>
      <c r="Z932" s="23" t="n">
        <v>0</v>
      </c>
      <c r="AA932" s="23" t="s">
        <v>197</v>
      </c>
      <c r="AB932" s="9" t="s">
        <v>2148</v>
      </c>
      <c r="AC932" s="9" t="s">
        <v>2201</v>
      </c>
      <c r="AD932" s="23" t="s">
        <v>197</v>
      </c>
      <c r="AE932" s="23" t="s">
        <v>197</v>
      </c>
      <c r="AF932" s="23" t="s">
        <v>197</v>
      </c>
      <c r="AG932" s="23" t="s">
        <v>197</v>
      </c>
      <c r="AH932" s="23" t="s">
        <v>197</v>
      </c>
      <c r="AI932" s="23" t="s">
        <v>197</v>
      </c>
      <c r="AJ932" s="23" t="s">
        <v>197</v>
      </c>
      <c r="AK932" s="23" t="s">
        <v>197</v>
      </c>
      <c r="AL932" s="23" t="s">
        <v>197</v>
      </c>
      <c r="AM932" s="9" t="s">
        <v>310</v>
      </c>
      <c r="AN932" s="23" t="s">
        <v>197</v>
      </c>
      <c r="AO932" s="23" t="s">
        <v>197</v>
      </c>
      <c r="AP932" s="23" t="s">
        <v>197</v>
      </c>
    </row>
    <row r="933" customFormat="false" ht="21.75" hidden="false" customHeight="true" outlineLevel="0" collapsed="false">
      <c r="B933" s="14" t="n">
        <v>929</v>
      </c>
      <c r="C933" s="7" t="s">
        <v>55</v>
      </c>
      <c r="D933" s="7" t="s">
        <v>26</v>
      </c>
      <c r="E933" s="7" t="s">
        <v>125</v>
      </c>
      <c r="F933" s="7" t="s">
        <v>68</v>
      </c>
      <c r="G933" s="7" t="s">
        <v>391</v>
      </c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18"/>
      <c r="V933" s="7"/>
      <c r="W933" s="7"/>
      <c r="X933" s="7" t="s">
        <v>2206</v>
      </c>
      <c r="Y933" s="22" t="s">
        <v>197</v>
      </c>
      <c r="Z933" s="22" t="s">
        <v>197</v>
      </c>
      <c r="AA933" s="22" t="s">
        <v>197</v>
      </c>
      <c r="AB933" s="7" t="s">
        <v>197</v>
      </c>
      <c r="AC933" s="7" t="s">
        <v>197</v>
      </c>
      <c r="AD933" s="22" t="s">
        <v>197</v>
      </c>
      <c r="AE933" s="22" t="s">
        <v>197</v>
      </c>
      <c r="AF933" s="22" t="s">
        <v>197</v>
      </c>
      <c r="AG933" s="22" t="s">
        <v>197</v>
      </c>
      <c r="AH933" s="22" t="s">
        <v>197</v>
      </c>
      <c r="AI933" s="22" t="s">
        <v>197</v>
      </c>
      <c r="AJ933" s="22" t="s">
        <v>197</v>
      </c>
      <c r="AK933" s="22" t="s">
        <v>197</v>
      </c>
      <c r="AL933" s="22" t="s">
        <v>197</v>
      </c>
      <c r="AM933" s="7" t="s">
        <v>197</v>
      </c>
      <c r="AN933" s="22" t="s">
        <v>197</v>
      </c>
      <c r="AO933" s="22" t="s">
        <v>197</v>
      </c>
      <c r="AP933" s="22" t="s">
        <v>197</v>
      </c>
    </row>
    <row r="934" customFormat="false" ht="21.75" hidden="false" customHeight="true" outlineLevel="0" collapsed="false">
      <c r="B934" s="15" t="n">
        <v>930</v>
      </c>
      <c r="C934" s="9" t="s">
        <v>55</v>
      </c>
      <c r="D934" s="9" t="s">
        <v>26</v>
      </c>
      <c r="E934" s="9" t="s">
        <v>125</v>
      </c>
      <c r="F934" s="9" t="s">
        <v>69</v>
      </c>
      <c r="G934" s="9" t="s">
        <v>2207</v>
      </c>
      <c r="H934" s="9" t="s">
        <v>339</v>
      </c>
      <c r="I934" s="9" t="s">
        <v>2208</v>
      </c>
      <c r="J934" s="9" t="s">
        <v>1446</v>
      </c>
      <c r="K934" s="9" t="s">
        <v>2183</v>
      </c>
      <c r="L934" s="9" t="s">
        <v>2148</v>
      </c>
      <c r="M934" s="9" t="s">
        <v>1692</v>
      </c>
      <c r="N934" s="9" t="s">
        <v>189</v>
      </c>
      <c r="O934" s="9" t="s">
        <v>2209</v>
      </c>
      <c r="P934" s="9" t="s">
        <v>2149</v>
      </c>
      <c r="Q934" s="9" t="s">
        <v>2210</v>
      </c>
      <c r="R934" s="9" t="s">
        <v>481</v>
      </c>
      <c r="S934" s="9" t="s">
        <v>1369</v>
      </c>
      <c r="T934" s="9" t="s">
        <v>348</v>
      </c>
      <c r="U934" s="19" t="n">
        <v>19</v>
      </c>
      <c r="V934" s="9"/>
      <c r="W934" s="9"/>
      <c r="X934" s="9" t="s">
        <v>195</v>
      </c>
      <c r="Y934" s="23" t="n">
        <v>1.265E-005</v>
      </c>
      <c r="Z934" s="23" t="n">
        <v>0.096</v>
      </c>
      <c r="AA934" s="23" t="n">
        <v>3</v>
      </c>
      <c r="AB934" s="9" t="s">
        <v>2148</v>
      </c>
      <c r="AC934" s="9" t="s">
        <v>2184</v>
      </c>
      <c r="AD934" s="23" t="s">
        <v>197</v>
      </c>
      <c r="AE934" s="23" t="s">
        <v>197</v>
      </c>
      <c r="AF934" s="23" t="s">
        <v>197</v>
      </c>
      <c r="AG934" s="23" t="s">
        <v>197</v>
      </c>
      <c r="AH934" s="23" t="s">
        <v>197</v>
      </c>
      <c r="AI934" s="23" t="s">
        <v>197</v>
      </c>
      <c r="AJ934" s="23" t="s">
        <v>197</v>
      </c>
      <c r="AK934" s="23" t="s">
        <v>197</v>
      </c>
      <c r="AL934" s="23" t="s">
        <v>197</v>
      </c>
      <c r="AM934" s="9" t="s">
        <v>197</v>
      </c>
      <c r="AN934" s="23" t="n">
        <v>2.5</v>
      </c>
      <c r="AO934" s="23" t="n">
        <v>2.5</v>
      </c>
      <c r="AP934" s="23" t="n">
        <v>4.5</v>
      </c>
    </row>
    <row r="935" customFormat="false" ht="21.75" hidden="false" customHeight="true" outlineLevel="0" collapsed="false">
      <c r="B935" s="14" t="n">
        <v>931</v>
      </c>
      <c r="C935" s="7" t="s">
        <v>55</v>
      </c>
      <c r="D935" s="7" t="s">
        <v>26</v>
      </c>
      <c r="E935" s="7" t="s">
        <v>125</v>
      </c>
      <c r="F935" s="7" t="s">
        <v>69</v>
      </c>
      <c r="G935" s="7" t="s">
        <v>2211</v>
      </c>
      <c r="H935" s="7" t="s">
        <v>350</v>
      </c>
      <c r="I935" s="7" t="s">
        <v>2208</v>
      </c>
      <c r="J935" s="7" t="s">
        <v>1446</v>
      </c>
      <c r="K935" s="7" t="s">
        <v>2183</v>
      </c>
      <c r="L935" s="7" t="s">
        <v>2148</v>
      </c>
      <c r="M935" s="7" t="s">
        <v>1692</v>
      </c>
      <c r="N935" s="7" t="s">
        <v>189</v>
      </c>
      <c r="O935" s="7" t="s">
        <v>2209</v>
      </c>
      <c r="P935" s="7" t="s">
        <v>2149</v>
      </c>
      <c r="Q935" s="7" t="s">
        <v>2210</v>
      </c>
      <c r="R935" s="7" t="s">
        <v>481</v>
      </c>
      <c r="S935" s="7" t="s">
        <v>1369</v>
      </c>
      <c r="T935" s="7" t="s">
        <v>348</v>
      </c>
      <c r="U935" s="18" t="n">
        <v>25</v>
      </c>
      <c r="V935" s="7"/>
      <c r="W935" s="7"/>
      <c r="X935" s="7" t="s">
        <v>199</v>
      </c>
      <c r="Y935" s="22" t="n">
        <v>2.494E-005</v>
      </c>
      <c r="Z935" s="22" t="n">
        <v>0.17</v>
      </c>
      <c r="AA935" s="22" t="n">
        <v>3</v>
      </c>
      <c r="AB935" s="7" t="s">
        <v>2148</v>
      </c>
      <c r="AC935" s="7" t="s">
        <v>2184</v>
      </c>
      <c r="AD935" s="22" t="s">
        <v>197</v>
      </c>
      <c r="AE935" s="22" t="s">
        <v>197</v>
      </c>
      <c r="AF935" s="22" t="s">
        <v>197</v>
      </c>
      <c r="AG935" s="22" t="s">
        <v>197</v>
      </c>
      <c r="AH935" s="22" t="s">
        <v>197</v>
      </c>
      <c r="AI935" s="22" t="s">
        <v>197</v>
      </c>
      <c r="AJ935" s="22" t="s">
        <v>197</v>
      </c>
      <c r="AK935" s="22" t="s">
        <v>197</v>
      </c>
      <c r="AL935" s="22" t="s">
        <v>197</v>
      </c>
      <c r="AM935" s="7" t="s">
        <v>197</v>
      </c>
      <c r="AN935" s="22" t="n">
        <v>5</v>
      </c>
      <c r="AO935" s="22" t="n">
        <v>2.5</v>
      </c>
      <c r="AP935" s="22" t="n">
        <v>4.5</v>
      </c>
    </row>
    <row r="936" customFormat="false" ht="21.75" hidden="false" customHeight="true" outlineLevel="0" collapsed="false">
      <c r="B936" s="15" t="n">
        <v>932</v>
      </c>
      <c r="C936" s="9" t="s">
        <v>55</v>
      </c>
      <c r="D936" s="9" t="s">
        <v>26</v>
      </c>
      <c r="E936" s="9" t="s">
        <v>125</v>
      </c>
      <c r="F936" s="9" t="s">
        <v>69</v>
      </c>
      <c r="G936" s="9" t="s">
        <v>2212</v>
      </c>
      <c r="H936" s="9" t="s">
        <v>352</v>
      </c>
      <c r="I936" s="9" t="s">
        <v>2208</v>
      </c>
      <c r="J936" s="9" t="s">
        <v>1446</v>
      </c>
      <c r="K936" s="9" t="s">
        <v>2183</v>
      </c>
      <c r="L936" s="9" t="s">
        <v>2148</v>
      </c>
      <c r="M936" s="9" t="s">
        <v>1692</v>
      </c>
      <c r="N936" s="9" t="s">
        <v>189</v>
      </c>
      <c r="O936" s="9" t="s">
        <v>2209</v>
      </c>
      <c r="P936" s="9" t="s">
        <v>2149</v>
      </c>
      <c r="Q936" s="9" t="s">
        <v>2210</v>
      </c>
      <c r="R936" s="9" t="s">
        <v>481</v>
      </c>
      <c r="S936" s="9" t="s">
        <v>1369</v>
      </c>
      <c r="T936" s="9" t="s">
        <v>348</v>
      </c>
      <c r="U936" s="19" t="n">
        <v>35</v>
      </c>
      <c r="V936" s="9"/>
      <c r="W936" s="9"/>
      <c r="X936" s="9" t="s">
        <v>2213</v>
      </c>
      <c r="Y936" s="23" t="n">
        <v>2.662E-005</v>
      </c>
      <c r="Z936" s="23" t="n">
        <v>0.18</v>
      </c>
      <c r="AA936" s="23" t="n">
        <v>3</v>
      </c>
      <c r="AB936" s="9" t="s">
        <v>2148</v>
      </c>
      <c r="AC936" s="9" t="s">
        <v>2184</v>
      </c>
      <c r="AD936" s="23" t="s">
        <v>197</v>
      </c>
      <c r="AE936" s="23" t="s">
        <v>197</v>
      </c>
      <c r="AF936" s="23" t="s">
        <v>197</v>
      </c>
      <c r="AG936" s="23" t="s">
        <v>197</v>
      </c>
      <c r="AH936" s="23" t="s">
        <v>197</v>
      </c>
      <c r="AI936" s="23" t="s">
        <v>197</v>
      </c>
      <c r="AJ936" s="23" t="s">
        <v>197</v>
      </c>
      <c r="AK936" s="23" t="s">
        <v>197</v>
      </c>
      <c r="AL936" s="23" t="s">
        <v>197</v>
      </c>
      <c r="AM936" s="9" t="s">
        <v>197</v>
      </c>
      <c r="AN936" s="23" t="n">
        <v>5.3</v>
      </c>
      <c r="AO936" s="23" t="n">
        <v>2.5</v>
      </c>
      <c r="AP936" s="23" t="n">
        <v>4.5</v>
      </c>
    </row>
    <row r="937" customFormat="false" ht="21.75" hidden="false" customHeight="true" outlineLevel="0" collapsed="false">
      <c r="B937" s="14" t="n">
        <v>933</v>
      </c>
      <c r="C937" s="7" t="s">
        <v>55</v>
      </c>
      <c r="D937" s="7" t="s">
        <v>26</v>
      </c>
      <c r="E937" s="7" t="s">
        <v>125</v>
      </c>
      <c r="F937" s="7" t="s">
        <v>69</v>
      </c>
      <c r="G937" s="7" t="s">
        <v>2214</v>
      </c>
      <c r="H937" s="7" t="s">
        <v>355</v>
      </c>
      <c r="I937" s="7" t="s">
        <v>2208</v>
      </c>
      <c r="J937" s="7" t="s">
        <v>1446</v>
      </c>
      <c r="K937" s="7" t="s">
        <v>2183</v>
      </c>
      <c r="L937" s="7" t="s">
        <v>2148</v>
      </c>
      <c r="M937" s="7" t="s">
        <v>1692</v>
      </c>
      <c r="N937" s="7" t="s">
        <v>189</v>
      </c>
      <c r="O937" s="7" t="s">
        <v>2209</v>
      </c>
      <c r="P937" s="7" t="s">
        <v>2149</v>
      </c>
      <c r="Q937" s="7" t="s">
        <v>2210</v>
      </c>
      <c r="R937" s="7" t="s">
        <v>481</v>
      </c>
      <c r="S937" s="7" t="s">
        <v>1369</v>
      </c>
      <c r="T937" s="7" t="s">
        <v>348</v>
      </c>
      <c r="U937" s="18" t="n">
        <v>55</v>
      </c>
      <c r="V937" s="7"/>
      <c r="W937" s="7"/>
      <c r="X937" s="7" t="s">
        <v>203</v>
      </c>
      <c r="Y937" s="22" t="n">
        <v>2.491E-005</v>
      </c>
      <c r="Z937" s="22" t="n">
        <v>0.169</v>
      </c>
      <c r="AA937" s="22" t="n">
        <v>3</v>
      </c>
      <c r="AB937" s="7" t="s">
        <v>2148</v>
      </c>
      <c r="AC937" s="7" t="s">
        <v>2184</v>
      </c>
      <c r="AD937" s="22" t="s">
        <v>197</v>
      </c>
      <c r="AE937" s="22" t="s">
        <v>197</v>
      </c>
      <c r="AF937" s="22" t="s">
        <v>197</v>
      </c>
      <c r="AG937" s="22" t="s">
        <v>197</v>
      </c>
      <c r="AH937" s="22" t="s">
        <v>197</v>
      </c>
      <c r="AI937" s="22" t="s">
        <v>197</v>
      </c>
      <c r="AJ937" s="22" t="s">
        <v>197</v>
      </c>
      <c r="AK937" s="22" t="s">
        <v>197</v>
      </c>
      <c r="AL937" s="22" t="s">
        <v>197</v>
      </c>
      <c r="AM937" s="7" t="s">
        <v>197</v>
      </c>
      <c r="AN937" s="22" t="n">
        <v>5</v>
      </c>
      <c r="AO937" s="22" t="n">
        <v>2.5</v>
      </c>
      <c r="AP937" s="22" t="n">
        <v>4.5</v>
      </c>
    </row>
    <row r="938" customFormat="false" ht="21.75" hidden="false" customHeight="true" outlineLevel="0" collapsed="false">
      <c r="B938" s="15" t="n">
        <v>934</v>
      </c>
      <c r="C938" s="9" t="s">
        <v>55</v>
      </c>
      <c r="D938" s="9" t="s">
        <v>26</v>
      </c>
      <c r="E938" s="9" t="s">
        <v>125</v>
      </c>
      <c r="F938" s="9" t="s">
        <v>69</v>
      </c>
      <c r="G938" s="9" t="s">
        <v>2215</v>
      </c>
      <c r="H938" s="9" t="s">
        <v>357</v>
      </c>
      <c r="I938" s="9" t="s">
        <v>2208</v>
      </c>
      <c r="J938" s="9" t="s">
        <v>1446</v>
      </c>
      <c r="K938" s="9" t="s">
        <v>2183</v>
      </c>
      <c r="L938" s="9" t="s">
        <v>2148</v>
      </c>
      <c r="M938" s="9" t="s">
        <v>1692</v>
      </c>
      <c r="N938" s="9" t="s">
        <v>189</v>
      </c>
      <c r="O938" s="9" t="s">
        <v>2209</v>
      </c>
      <c r="P938" s="9" t="s">
        <v>2149</v>
      </c>
      <c r="Q938" s="9" t="s">
        <v>2210</v>
      </c>
      <c r="R938" s="9" t="s">
        <v>481</v>
      </c>
      <c r="S938" s="9" t="s">
        <v>1369</v>
      </c>
      <c r="T938" s="9" t="s">
        <v>348</v>
      </c>
      <c r="U938" s="19" t="n">
        <v>80</v>
      </c>
      <c r="V938" s="9"/>
      <c r="W938" s="9"/>
      <c r="X938" s="9" t="s">
        <v>205</v>
      </c>
      <c r="Y938" s="23" t="n">
        <v>2.458E-005</v>
      </c>
      <c r="Z938" s="23" t="n">
        <v>0.167</v>
      </c>
      <c r="AA938" s="23" t="n">
        <v>3</v>
      </c>
      <c r="AB938" s="9" t="s">
        <v>2148</v>
      </c>
      <c r="AC938" s="9" t="s">
        <v>2184</v>
      </c>
      <c r="AD938" s="23" t="s">
        <v>197</v>
      </c>
      <c r="AE938" s="23" t="s">
        <v>197</v>
      </c>
      <c r="AF938" s="23" t="s">
        <v>197</v>
      </c>
      <c r="AG938" s="23" t="s">
        <v>197</v>
      </c>
      <c r="AH938" s="23" t="s">
        <v>197</v>
      </c>
      <c r="AI938" s="23" t="s">
        <v>197</v>
      </c>
      <c r="AJ938" s="23" t="s">
        <v>197</v>
      </c>
      <c r="AK938" s="23" t="s">
        <v>197</v>
      </c>
      <c r="AL938" s="23" t="s">
        <v>197</v>
      </c>
      <c r="AM938" s="9" t="s">
        <v>197</v>
      </c>
      <c r="AN938" s="23" t="n">
        <v>4.9</v>
      </c>
      <c r="AO938" s="23" t="n">
        <v>2.5</v>
      </c>
      <c r="AP938" s="23" t="n">
        <v>4.5</v>
      </c>
    </row>
    <row r="939" customFormat="false" ht="21.75" hidden="false" customHeight="true" outlineLevel="0" collapsed="false">
      <c r="B939" s="14" t="n">
        <v>935</v>
      </c>
      <c r="C939" s="7" t="s">
        <v>55</v>
      </c>
      <c r="D939" s="7" t="s">
        <v>26</v>
      </c>
      <c r="E939" s="7" t="s">
        <v>125</v>
      </c>
      <c r="F939" s="7" t="s">
        <v>70</v>
      </c>
      <c r="G939" s="7" t="s">
        <v>391</v>
      </c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18"/>
      <c r="V939" s="7"/>
      <c r="W939" s="7"/>
      <c r="X939" s="7" t="s">
        <v>2216</v>
      </c>
      <c r="Y939" s="22" t="s">
        <v>197</v>
      </c>
      <c r="Z939" s="22" t="s">
        <v>197</v>
      </c>
      <c r="AA939" s="22" t="s">
        <v>197</v>
      </c>
      <c r="AB939" s="7" t="s">
        <v>197</v>
      </c>
      <c r="AC939" s="7" t="s">
        <v>197</v>
      </c>
      <c r="AD939" s="22" t="s">
        <v>197</v>
      </c>
      <c r="AE939" s="22" t="s">
        <v>197</v>
      </c>
      <c r="AF939" s="22" t="s">
        <v>197</v>
      </c>
      <c r="AG939" s="22" t="s">
        <v>197</v>
      </c>
      <c r="AH939" s="22" t="s">
        <v>197</v>
      </c>
      <c r="AI939" s="22" t="s">
        <v>197</v>
      </c>
      <c r="AJ939" s="22" t="s">
        <v>197</v>
      </c>
      <c r="AK939" s="22" t="s">
        <v>197</v>
      </c>
      <c r="AL939" s="22" t="s">
        <v>197</v>
      </c>
      <c r="AM939" s="7" t="s">
        <v>197</v>
      </c>
      <c r="AN939" s="22" t="s">
        <v>197</v>
      </c>
      <c r="AO939" s="22" t="s">
        <v>197</v>
      </c>
      <c r="AP939" s="22" t="s">
        <v>197</v>
      </c>
    </row>
    <row r="940" customFormat="false" ht="21.75" hidden="false" customHeight="true" outlineLevel="0" collapsed="false">
      <c r="B940" s="15" t="n">
        <v>936</v>
      </c>
      <c r="C940" s="9" t="s">
        <v>55</v>
      </c>
      <c r="D940" s="9" t="s">
        <v>26</v>
      </c>
      <c r="E940" s="9" t="s">
        <v>125</v>
      </c>
      <c r="F940" s="9" t="s">
        <v>71</v>
      </c>
      <c r="G940" s="9" t="s">
        <v>391</v>
      </c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19"/>
      <c r="V940" s="9"/>
      <c r="W940" s="9"/>
      <c r="X940" s="9" t="s">
        <v>2217</v>
      </c>
      <c r="Y940" s="23" t="s">
        <v>197</v>
      </c>
      <c r="Z940" s="23" t="s">
        <v>197</v>
      </c>
      <c r="AA940" s="23" t="s">
        <v>197</v>
      </c>
      <c r="AB940" s="9" t="s">
        <v>197</v>
      </c>
      <c r="AC940" s="9" t="s">
        <v>197</v>
      </c>
      <c r="AD940" s="23" t="s">
        <v>197</v>
      </c>
      <c r="AE940" s="23" t="s">
        <v>197</v>
      </c>
      <c r="AF940" s="23" t="s">
        <v>197</v>
      </c>
      <c r="AG940" s="23" t="s">
        <v>197</v>
      </c>
      <c r="AH940" s="23" t="s">
        <v>197</v>
      </c>
      <c r="AI940" s="23" t="s">
        <v>197</v>
      </c>
      <c r="AJ940" s="23" t="s">
        <v>197</v>
      </c>
      <c r="AK940" s="23" t="s">
        <v>197</v>
      </c>
      <c r="AL940" s="23" t="s">
        <v>197</v>
      </c>
      <c r="AM940" s="9" t="s">
        <v>197</v>
      </c>
      <c r="AN940" s="23" t="s">
        <v>197</v>
      </c>
      <c r="AO940" s="23" t="s">
        <v>197</v>
      </c>
      <c r="AP940" s="23" t="s">
        <v>197</v>
      </c>
    </row>
    <row r="941" customFormat="false" ht="21.75" hidden="false" customHeight="true" outlineLevel="0" collapsed="false">
      <c r="B941" s="14" t="n">
        <v>937</v>
      </c>
      <c r="C941" s="7" t="s">
        <v>55</v>
      </c>
      <c r="D941" s="7" t="s">
        <v>26</v>
      </c>
      <c r="E941" s="7" t="s">
        <v>125</v>
      </c>
      <c r="F941" s="7" t="s">
        <v>72</v>
      </c>
      <c r="G941" s="7" t="s">
        <v>391</v>
      </c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18"/>
      <c r="V941" s="7"/>
      <c r="W941" s="7"/>
      <c r="X941" s="7" t="s">
        <v>2218</v>
      </c>
      <c r="Y941" s="22" t="s">
        <v>197</v>
      </c>
      <c r="Z941" s="22" t="s">
        <v>197</v>
      </c>
      <c r="AA941" s="22" t="s">
        <v>197</v>
      </c>
      <c r="AB941" s="7" t="s">
        <v>197</v>
      </c>
      <c r="AC941" s="7" t="s">
        <v>197</v>
      </c>
      <c r="AD941" s="22" t="s">
        <v>197</v>
      </c>
      <c r="AE941" s="22" t="s">
        <v>197</v>
      </c>
      <c r="AF941" s="22" t="s">
        <v>197</v>
      </c>
      <c r="AG941" s="22" t="s">
        <v>197</v>
      </c>
      <c r="AH941" s="22" t="s">
        <v>197</v>
      </c>
      <c r="AI941" s="22" t="s">
        <v>197</v>
      </c>
      <c r="AJ941" s="22" t="s">
        <v>197</v>
      </c>
      <c r="AK941" s="22" t="s">
        <v>197</v>
      </c>
      <c r="AL941" s="22" t="s">
        <v>197</v>
      </c>
      <c r="AM941" s="7" t="s">
        <v>197</v>
      </c>
      <c r="AN941" s="22" t="s">
        <v>197</v>
      </c>
      <c r="AO941" s="22" t="s">
        <v>197</v>
      </c>
      <c r="AP941" s="22" t="s">
        <v>197</v>
      </c>
    </row>
    <row r="942" customFormat="false" ht="21.75" hidden="false" customHeight="true" outlineLevel="0" collapsed="false">
      <c r="B942" s="15" t="n">
        <v>938</v>
      </c>
      <c r="C942" s="9" t="s">
        <v>55</v>
      </c>
      <c r="D942" s="9" t="s">
        <v>26</v>
      </c>
      <c r="E942" s="9" t="s">
        <v>125</v>
      </c>
      <c r="F942" s="9" t="s">
        <v>73</v>
      </c>
      <c r="G942" s="9" t="s">
        <v>391</v>
      </c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19"/>
      <c r="V942" s="9"/>
      <c r="W942" s="9"/>
      <c r="X942" s="9" t="s">
        <v>2219</v>
      </c>
      <c r="Y942" s="23" t="s">
        <v>197</v>
      </c>
      <c r="Z942" s="23" t="s">
        <v>197</v>
      </c>
      <c r="AA942" s="23" t="s">
        <v>197</v>
      </c>
      <c r="AB942" s="9" t="s">
        <v>197</v>
      </c>
      <c r="AC942" s="9" t="s">
        <v>197</v>
      </c>
      <c r="AD942" s="23" t="s">
        <v>197</v>
      </c>
      <c r="AE942" s="23" t="s">
        <v>197</v>
      </c>
      <c r="AF942" s="23" t="s">
        <v>197</v>
      </c>
      <c r="AG942" s="23" t="s">
        <v>197</v>
      </c>
      <c r="AH942" s="23" t="s">
        <v>197</v>
      </c>
      <c r="AI942" s="23" t="s">
        <v>197</v>
      </c>
      <c r="AJ942" s="23" t="s">
        <v>197</v>
      </c>
      <c r="AK942" s="23" t="s">
        <v>197</v>
      </c>
      <c r="AL942" s="23" t="s">
        <v>197</v>
      </c>
      <c r="AM942" s="9" t="s">
        <v>197</v>
      </c>
      <c r="AN942" s="23" t="s">
        <v>197</v>
      </c>
      <c r="AO942" s="23" t="s">
        <v>197</v>
      </c>
      <c r="AP942" s="23" t="s">
        <v>197</v>
      </c>
    </row>
    <row r="943" customFormat="false" ht="21.75" hidden="false" customHeight="true" outlineLevel="0" collapsed="false">
      <c r="B943" s="14" t="n">
        <v>939</v>
      </c>
      <c r="C943" s="7" t="s">
        <v>55</v>
      </c>
      <c r="D943" s="7" t="s">
        <v>26</v>
      </c>
      <c r="E943" s="7" t="s">
        <v>125</v>
      </c>
      <c r="F943" s="7" t="s">
        <v>74</v>
      </c>
      <c r="G943" s="7" t="s">
        <v>391</v>
      </c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18"/>
      <c r="V943" s="7"/>
      <c r="W943" s="7"/>
      <c r="X943" s="7" t="s">
        <v>2220</v>
      </c>
      <c r="Y943" s="22" t="s">
        <v>197</v>
      </c>
      <c r="Z943" s="22" t="s">
        <v>197</v>
      </c>
      <c r="AA943" s="22" t="s">
        <v>197</v>
      </c>
      <c r="AB943" s="7" t="s">
        <v>197</v>
      </c>
      <c r="AC943" s="7" t="s">
        <v>197</v>
      </c>
      <c r="AD943" s="22" t="s">
        <v>197</v>
      </c>
      <c r="AE943" s="22" t="s">
        <v>197</v>
      </c>
      <c r="AF943" s="22" t="s">
        <v>197</v>
      </c>
      <c r="AG943" s="22" t="s">
        <v>197</v>
      </c>
      <c r="AH943" s="22" t="s">
        <v>197</v>
      </c>
      <c r="AI943" s="22" t="s">
        <v>197</v>
      </c>
      <c r="AJ943" s="22" t="s">
        <v>197</v>
      </c>
      <c r="AK943" s="22" t="s">
        <v>197</v>
      </c>
      <c r="AL943" s="22" t="s">
        <v>197</v>
      </c>
      <c r="AM943" s="7" t="s">
        <v>197</v>
      </c>
      <c r="AN943" s="22" t="s">
        <v>197</v>
      </c>
      <c r="AO943" s="22" t="s">
        <v>197</v>
      </c>
      <c r="AP943" s="22" t="s">
        <v>197</v>
      </c>
    </row>
    <row r="944" customFormat="false" ht="21.75" hidden="false" customHeight="true" outlineLevel="0" collapsed="false">
      <c r="B944" s="15" t="n">
        <v>940</v>
      </c>
      <c r="C944" s="9" t="s">
        <v>55</v>
      </c>
      <c r="D944" s="9" t="s">
        <v>26</v>
      </c>
      <c r="E944" s="9" t="s">
        <v>125</v>
      </c>
      <c r="F944" s="9" t="s">
        <v>75</v>
      </c>
      <c r="G944" s="9" t="s">
        <v>391</v>
      </c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19"/>
      <c r="V944" s="9"/>
      <c r="W944" s="9"/>
      <c r="X944" s="9" t="s">
        <v>2221</v>
      </c>
      <c r="Y944" s="23" t="s">
        <v>197</v>
      </c>
      <c r="Z944" s="23" t="s">
        <v>197</v>
      </c>
      <c r="AA944" s="23" t="s">
        <v>197</v>
      </c>
      <c r="AB944" s="9" t="s">
        <v>197</v>
      </c>
      <c r="AC944" s="9" t="s">
        <v>197</v>
      </c>
      <c r="AD944" s="23" t="s">
        <v>197</v>
      </c>
      <c r="AE944" s="23" t="s">
        <v>197</v>
      </c>
      <c r="AF944" s="23" t="s">
        <v>197</v>
      </c>
      <c r="AG944" s="23" t="s">
        <v>197</v>
      </c>
      <c r="AH944" s="23" t="s">
        <v>197</v>
      </c>
      <c r="AI944" s="23" t="s">
        <v>197</v>
      </c>
      <c r="AJ944" s="23" t="s">
        <v>197</v>
      </c>
      <c r="AK944" s="23" t="s">
        <v>197</v>
      </c>
      <c r="AL944" s="23" t="s">
        <v>197</v>
      </c>
      <c r="AM944" s="9" t="s">
        <v>197</v>
      </c>
      <c r="AN944" s="23" t="s">
        <v>197</v>
      </c>
      <c r="AO944" s="23" t="s">
        <v>197</v>
      </c>
      <c r="AP944" s="23" t="s">
        <v>197</v>
      </c>
    </row>
    <row r="945" customFormat="false" ht="21.75" hidden="false" customHeight="true" outlineLevel="0" collapsed="false">
      <c r="B945" s="14" t="n">
        <v>941</v>
      </c>
      <c r="C945" s="7" t="s">
        <v>56</v>
      </c>
      <c r="D945" s="7" t="s">
        <v>26</v>
      </c>
      <c r="E945" s="7" t="s">
        <v>124</v>
      </c>
      <c r="F945" s="7" t="s">
        <v>60</v>
      </c>
      <c r="G945" s="7" t="s">
        <v>391</v>
      </c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18"/>
      <c r="V945" s="7"/>
      <c r="W945" s="7"/>
      <c r="X945" s="7" t="s">
        <v>2222</v>
      </c>
      <c r="Y945" s="22" t="s">
        <v>197</v>
      </c>
      <c r="Z945" s="22" t="s">
        <v>197</v>
      </c>
      <c r="AA945" s="22" t="s">
        <v>197</v>
      </c>
      <c r="AB945" s="7" t="s">
        <v>197</v>
      </c>
      <c r="AC945" s="7" t="s">
        <v>197</v>
      </c>
      <c r="AD945" s="22" t="s">
        <v>197</v>
      </c>
      <c r="AE945" s="22" t="s">
        <v>197</v>
      </c>
      <c r="AF945" s="22" t="s">
        <v>197</v>
      </c>
      <c r="AG945" s="22" t="s">
        <v>197</v>
      </c>
      <c r="AH945" s="22" t="s">
        <v>197</v>
      </c>
      <c r="AI945" s="22" t="s">
        <v>197</v>
      </c>
      <c r="AJ945" s="22" t="s">
        <v>197</v>
      </c>
      <c r="AK945" s="22" t="s">
        <v>197</v>
      </c>
      <c r="AL945" s="22" t="s">
        <v>197</v>
      </c>
      <c r="AM945" s="7" t="s">
        <v>197</v>
      </c>
      <c r="AN945" s="22" t="s">
        <v>197</v>
      </c>
      <c r="AO945" s="22" t="s">
        <v>197</v>
      </c>
      <c r="AP945" s="22" t="s">
        <v>197</v>
      </c>
    </row>
    <row r="946" customFormat="false" ht="21.75" hidden="false" customHeight="true" outlineLevel="0" collapsed="false">
      <c r="B946" s="15" t="n">
        <v>942</v>
      </c>
      <c r="C946" s="9" t="s">
        <v>56</v>
      </c>
      <c r="D946" s="9" t="s">
        <v>26</v>
      </c>
      <c r="E946" s="9" t="s">
        <v>124</v>
      </c>
      <c r="F946" s="9" t="s">
        <v>61</v>
      </c>
      <c r="G946" s="9" t="s">
        <v>391</v>
      </c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19"/>
      <c r="V946" s="9"/>
      <c r="W946" s="9"/>
      <c r="X946" s="9" t="s">
        <v>2223</v>
      </c>
      <c r="Y946" s="23" t="s">
        <v>197</v>
      </c>
      <c r="Z946" s="23" t="s">
        <v>197</v>
      </c>
      <c r="AA946" s="23" t="s">
        <v>197</v>
      </c>
      <c r="AB946" s="9" t="s">
        <v>197</v>
      </c>
      <c r="AC946" s="9" t="s">
        <v>197</v>
      </c>
      <c r="AD946" s="23" t="s">
        <v>197</v>
      </c>
      <c r="AE946" s="23" t="s">
        <v>197</v>
      </c>
      <c r="AF946" s="23" t="s">
        <v>197</v>
      </c>
      <c r="AG946" s="23" t="s">
        <v>197</v>
      </c>
      <c r="AH946" s="23" t="s">
        <v>197</v>
      </c>
      <c r="AI946" s="23" t="s">
        <v>197</v>
      </c>
      <c r="AJ946" s="23" t="s">
        <v>197</v>
      </c>
      <c r="AK946" s="23" t="s">
        <v>197</v>
      </c>
      <c r="AL946" s="23" t="s">
        <v>197</v>
      </c>
      <c r="AM946" s="9" t="s">
        <v>197</v>
      </c>
      <c r="AN946" s="23" t="s">
        <v>197</v>
      </c>
      <c r="AO946" s="23" t="s">
        <v>197</v>
      </c>
      <c r="AP946" s="23" t="s">
        <v>197</v>
      </c>
    </row>
    <row r="947" customFormat="false" ht="21.75" hidden="false" customHeight="true" outlineLevel="0" collapsed="false">
      <c r="B947" s="14" t="n">
        <v>943</v>
      </c>
      <c r="C947" s="7" t="s">
        <v>56</v>
      </c>
      <c r="D947" s="7" t="s">
        <v>26</v>
      </c>
      <c r="E947" s="7" t="s">
        <v>124</v>
      </c>
      <c r="F947" s="7" t="s">
        <v>62</v>
      </c>
      <c r="G947" s="7" t="s">
        <v>2224</v>
      </c>
      <c r="H947" s="7" t="s">
        <v>2225</v>
      </c>
      <c r="I947" s="7" t="s">
        <v>2226</v>
      </c>
      <c r="J947" s="7" t="s">
        <v>2227</v>
      </c>
      <c r="K947" s="7" t="s">
        <v>2228</v>
      </c>
      <c r="L947" s="7" t="s">
        <v>2229</v>
      </c>
      <c r="M947" s="7" t="s">
        <v>2230</v>
      </c>
      <c r="N947" s="7" t="s">
        <v>2231</v>
      </c>
      <c r="O947" s="7" t="s">
        <v>189</v>
      </c>
      <c r="P947" s="7" t="s">
        <v>2232</v>
      </c>
      <c r="Q947" s="7" t="s">
        <v>2233</v>
      </c>
      <c r="R947" s="7" t="s">
        <v>2132</v>
      </c>
      <c r="S947" s="7" t="s">
        <v>2234</v>
      </c>
      <c r="T947" s="7" t="s">
        <v>2235</v>
      </c>
      <c r="U947" s="18" t="n">
        <v>55</v>
      </c>
      <c r="V947" s="7"/>
      <c r="W947" s="7"/>
      <c r="X947" s="7" t="s">
        <v>195</v>
      </c>
      <c r="Y947" s="22" t="n">
        <v>0.093</v>
      </c>
      <c r="Z947" s="22" t="n">
        <v>0.15</v>
      </c>
      <c r="AA947" s="22" t="n">
        <v>12</v>
      </c>
      <c r="AB947" s="7" t="s">
        <v>2229</v>
      </c>
      <c r="AC947" s="7" t="s">
        <v>2236</v>
      </c>
      <c r="AD947" s="22" t="n">
        <v>0.093</v>
      </c>
      <c r="AE947" s="22" t="n">
        <v>0.15</v>
      </c>
      <c r="AF947" s="22" t="n">
        <v>2</v>
      </c>
      <c r="AG947" s="22" t="n">
        <v>100</v>
      </c>
      <c r="AH947" s="22" t="n">
        <v>4</v>
      </c>
      <c r="AI947" s="22" t="s">
        <v>197</v>
      </c>
      <c r="AJ947" s="22" t="s">
        <v>197</v>
      </c>
      <c r="AK947" s="22" t="s">
        <v>197</v>
      </c>
      <c r="AL947" s="22" t="s">
        <v>197</v>
      </c>
      <c r="AM947" s="7" t="s">
        <v>197</v>
      </c>
      <c r="AN947" s="22" t="s">
        <v>197</v>
      </c>
      <c r="AO947" s="22" t="s">
        <v>197</v>
      </c>
      <c r="AP947" s="22" t="s">
        <v>197</v>
      </c>
    </row>
    <row r="948" customFormat="false" ht="21.75" hidden="false" customHeight="true" outlineLevel="0" collapsed="false">
      <c r="B948" s="15" t="n">
        <v>944</v>
      </c>
      <c r="C948" s="9" t="s">
        <v>56</v>
      </c>
      <c r="D948" s="9" t="s">
        <v>26</v>
      </c>
      <c r="E948" s="9" t="s">
        <v>124</v>
      </c>
      <c r="F948" s="9" t="s">
        <v>62</v>
      </c>
      <c r="G948" s="9" t="s">
        <v>2237</v>
      </c>
      <c r="H948" s="9" t="s">
        <v>2225</v>
      </c>
      <c r="I948" s="9" t="s">
        <v>2226</v>
      </c>
      <c r="J948" s="9" t="s">
        <v>2227</v>
      </c>
      <c r="K948" s="9" t="s">
        <v>2228</v>
      </c>
      <c r="L948" s="9" t="s">
        <v>2229</v>
      </c>
      <c r="M948" s="9" t="s">
        <v>2230</v>
      </c>
      <c r="N948" s="9" t="s">
        <v>2231</v>
      </c>
      <c r="O948" s="9" t="s">
        <v>189</v>
      </c>
      <c r="P948" s="9" t="s">
        <v>2232</v>
      </c>
      <c r="Q948" s="9" t="s">
        <v>2233</v>
      </c>
      <c r="R948" s="9" t="s">
        <v>2132</v>
      </c>
      <c r="S948" s="9" t="s">
        <v>2234</v>
      </c>
      <c r="T948" s="9" t="s">
        <v>2235</v>
      </c>
      <c r="U948" s="19" t="n">
        <v>80</v>
      </c>
      <c r="V948" s="9"/>
      <c r="W948" s="9"/>
      <c r="X948" s="9" t="s">
        <v>199</v>
      </c>
      <c r="Y948" s="23" t="n">
        <v>0.053</v>
      </c>
      <c r="Z948" s="23" t="n">
        <v>0.15</v>
      </c>
      <c r="AA948" s="23" t="n">
        <v>12</v>
      </c>
      <c r="AB948" s="9" t="s">
        <v>2229</v>
      </c>
      <c r="AC948" s="9" t="s">
        <v>2236</v>
      </c>
      <c r="AD948" s="23" t="n">
        <v>0.053</v>
      </c>
      <c r="AE948" s="23" t="n">
        <v>0.15</v>
      </c>
      <c r="AF948" s="23" t="n">
        <v>2</v>
      </c>
      <c r="AG948" s="23" t="n">
        <v>100</v>
      </c>
      <c r="AH948" s="23" t="n">
        <v>4</v>
      </c>
      <c r="AI948" s="23" t="s">
        <v>197</v>
      </c>
      <c r="AJ948" s="23" t="s">
        <v>197</v>
      </c>
      <c r="AK948" s="23" t="s">
        <v>197</v>
      </c>
      <c r="AL948" s="23" t="s">
        <v>197</v>
      </c>
      <c r="AM948" s="9" t="s">
        <v>197</v>
      </c>
      <c r="AN948" s="23" t="s">
        <v>197</v>
      </c>
      <c r="AO948" s="23" t="s">
        <v>197</v>
      </c>
      <c r="AP948" s="23" t="s">
        <v>197</v>
      </c>
    </row>
    <row r="949" customFormat="false" ht="21.75" hidden="false" customHeight="true" outlineLevel="0" collapsed="false">
      <c r="B949" s="14" t="n">
        <v>945</v>
      </c>
      <c r="C949" s="7" t="s">
        <v>56</v>
      </c>
      <c r="D949" s="7" t="s">
        <v>26</v>
      </c>
      <c r="E949" s="7" t="s">
        <v>124</v>
      </c>
      <c r="F949" s="7" t="s">
        <v>62</v>
      </c>
      <c r="G949" s="7" t="s">
        <v>2238</v>
      </c>
      <c r="H949" s="7" t="s">
        <v>2225</v>
      </c>
      <c r="I949" s="7" t="s">
        <v>2226</v>
      </c>
      <c r="J949" s="7" t="s">
        <v>2227</v>
      </c>
      <c r="K949" s="7" t="s">
        <v>2228</v>
      </c>
      <c r="L949" s="7" t="s">
        <v>2229</v>
      </c>
      <c r="M949" s="7" t="s">
        <v>2230</v>
      </c>
      <c r="N949" s="7" t="s">
        <v>2231</v>
      </c>
      <c r="O949" s="7" t="s">
        <v>189</v>
      </c>
      <c r="P949" s="7" t="s">
        <v>2232</v>
      </c>
      <c r="Q949" s="7" t="s">
        <v>2233</v>
      </c>
      <c r="R949" s="7" t="s">
        <v>2132</v>
      </c>
      <c r="S949" s="7" t="s">
        <v>2234</v>
      </c>
      <c r="T949" s="7" t="s">
        <v>2235</v>
      </c>
      <c r="U949" s="18" t="n">
        <v>110</v>
      </c>
      <c r="V949" s="7"/>
      <c r="W949" s="7"/>
      <c r="X949" s="7" t="s">
        <v>2239</v>
      </c>
      <c r="Y949" s="22" t="n">
        <v>0.089</v>
      </c>
      <c r="Z949" s="22" t="n">
        <v>0.15</v>
      </c>
      <c r="AA949" s="22" t="n">
        <v>12</v>
      </c>
      <c r="AB949" s="7" t="s">
        <v>2229</v>
      </c>
      <c r="AC949" s="7" t="s">
        <v>2236</v>
      </c>
      <c r="AD949" s="22" t="n">
        <v>0.089</v>
      </c>
      <c r="AE949" s="22" t="n">
        <v>0.15</v>
      </c>
      <c r="AF949" s="22" t="n">
        <v>2</v>
      </c>
      <c r="AG949" s="22" t="n">
        <v>100</v>
      </c>
      <c r="AH949" s="22" t="n">
        <v>4</v>
      </c>
      <c r="AI949" s="22" t="s">
        <v>197</v>
      </c>
      <c r="AJ949" s="22" t="s">
        <v>197</v>
      </c>
      <c r="AK949" s="22" t="s">
        <v>197</v>
      </c>
      <c r="AL949" s="22" t="s">
        <v>197</v>
      </c>
      <c r="AM949" s="7" t="s">
        <v>197</v>
      </c>
      <c r="AN949" s="22" t="s">
        <v>197</v>
      </c>
      <c r="AO949" s="22" t="s">
        <v>197</v>
      </c>
      <c r="AP949" s="22" t="s">
        <v>197</v>
      </c>
    </row>
    <row r="950" customFormat="false" ht="21.75" hidden="false" customHeight="true" outlineLevel="0" collapsed="false">
      <c r="B950" s="15" t="n">
        <v>946</v>
      </c>
      <c r="C950" s="9" t="s">
        <v>56</v>
      </c>
      <c r="D950" s="9" t="s">
        <v>26</v>
      </c>
      <c r="E950" s="9" t="s">
        <v>124</v>
      </c>
      <c r="F950" s="9" t="s">
        <v>62</v>
      </c>
      <c r="G950" s="9" t="s">
        <v>2240</v>
      </c>
      <c r="H950" s="9" t="s">
        <v>2225</v>
      </c>
      <c r="I950" s="9" t="s">
        <v>2226</v>
      </c>
      <c r="J950" s="9" t="s">
        <v>2227</v>
      </c>
      <c r="K950" s="9" t="s">
        <v>2228</v>
      </c>
      <c r="L950" s="9" t="s">
        <v>2229</v>
      </c>
      <c r="M950" s="9" t="s">
        <v>2230</v>
      </c>
      <c r="N950" s="9" t="s">
        <v>2231</v>
      </c>
      <c r="O950" s="9" t="s">
        <v>189</v>
      </c>
      <c r="P950" s="9" t="s">
        <v>2232</v>
      </c>
      <c r="Q950" s="9" t="s">
        <v>2233</v>
      </c>
      <c r="R950" s="9" t="s">
        <v>2132</v>
      </c>
      <c r="S950" s="9" t="s">
        <v>2234</v>
      </c>
      <c r="T950" s="9" t="s">
        <v>2235</v>
      </c>
      <c r="U950" s="19" t="n">
        <v>165</v>
      </c>
      <c r="V950" s="9"/>
      <c r="W950" s="9"/>
      <c r="X950" s="9" t="s">
        <v>203</v>
      </c>
      <c r="Y950" s="23" t="n">
        <v>0.106</v>
      </c>
      <c r="Z950" s="23" t="n">
        <v>0.15</v>
      </c>
      <c r="AA950" s="23" t="n">
        <v>12</v>
      </c>
      <c r="AB950" s="9" t="s">
        <v>2229</v>
      </c>
      <c r="AC950" s="9" t="s">
        <v>2236</v>
      </c>
      <c r="AD950" s="23" t="n">
        <v>0.106</v>
      </c>
      <c r="AE950" s="23" t="n">
        <v>0.15</v>
      </c>
      <c r="AF950" s="23" t="n">
        <v>2</v>
      </c>
      <c r="AG950" s="23" t="n">
        <v>100</v>
      </c>
      <c r="AH950" s="23" t="n">
        <v>4</v>
      </c>
      <c r="AI950" s="23" t="s">
        <v>197</v>
      </c>
      <c r="AJ950" s="23" t="s">
        <v>197</v>
      </c>
      <c r="AK950" s="23" t="s">
        <v>197</v>
      </c>
      <c r="AL950" s="23" t="s">
        <v>197</v>
      </c>
      <c r="AM950" s="9" t="s">
        <v>197</v>
      </c>
      <c r="AN950" s="23" t="s">
        <v>197</v>
      </c>
      <c r="AO950" s="23" t="s">
        <v>197</v>
      </c>
      <c r="AP950" s="23" t="s">
        <v>197</v>
      </c>
    </row>
    <row r="951" customFormat="false" ht="21.75" hidden="false" customHeight="true" outlineLevel="0" collapsed="false">
      <c r="B951" s="14" t="n">
        <v>947</v>
      </c>
      <c r="C951" s="7" t="s">
        <v>56</v>
      </c>
      <c r="D951" s="7" t="s">
        <v>26</v>
      </c>
      <c r="E951" s="7" t="s">
        <v>124</v>
      </c>
      <c r="F951" s="7" t="s">
        <v>62</v>
      </c>
      <c r="G951" s="7" t="s">
        <v>2241</v>
      </c>
      <c r="H951" s="7" t="s">
        <v>2225</v>
      </c>
      <c r="I951" s="7" t="s">
        <v>2226</v>
      </c>
      <c r="J951" s="7" t="s">
        <v>2227</v>
      </c>
      <c r="K951" s="7" t="s">
        <v>2228</v>
      </c>
      <c r="L951" s="7" t="s">
        <v>2229</v>
      </c>
      <c r="M951" s="7" t="s">
        <v>2230</v>
      </c>
      <c r="N951" s="7" t="s">
        <v>2231</v>
      </c>
      <c r="O951" s="7" t="s">
        <v>189</v>
      </c>
      <c r="P951" s="7" t="s">
        <v>2232</v>
      </c>
      <c r="Q951" s="7" t="s">
        <v>2233</v>
      </c>
      <c r="R951" s="7" t="s">
        <v>2132</v>
      </c>
      <c r="S951" s="7" t="s">
        <v>2234</v>
      </c>
      <c r="T951" s="7" t="s">
        <v>2235</v>
      </c>
      <c r="U951" s="18" t="n">
        <v>240</v>
      </c>
      <c r="V951" s="7"/>
      <c r="W951" s="7"/>
      <c r="X951" s="7" t="s">
        <v>205</v>
      </c>
      <c r="Y951" s="22" t="n">
        <v>0.06</v>
      </c>
      <c r="Z951" s="22" t="n">
        <v>0.15</v>
      </c>
      <c r="AA951" s="22" t="n">
        <v>12</v>
      </c>
      <c r="AB951" s="7" t="s">
        <v>2229</v>
      </c>
      <c r="AC951" s="7" t="s">
        <v>2236</v>
      </c>
      <c r="AD951" s="22" t="n">
        <v>0.06</v>
      </c>
      <c r="AE951" s="22" t="n">
        <v>0.15</v>
      </c>
      <c r="AF951" s="22" t="n">
        <v>2</v>
      </c>
      <c r="AG951" s="22" t="n">
        <v>100</v>
      </c>
      <c r="AH951" s="22" t="n">
        <v>4</v>
      </c>
      <c r="AI951" s="22" t="s">
        <v>197</v>
      </c>
      <c r="AJ951" s="22" t="s">
        <v>197</v>
      </c>
      <c r="AK951" s="22" t="s">
        <v>197</v>
      </c>
      <c r="AL951" s="22" t="s">
        <v>197</v>
      </c>
      <c r="AM951" s="7" t="s">
        <v>197</v>
      </c>
      <c r="AN951" s="22" t="s">
        <v>197</v>
      </c>
      <c r="AO951" s="22" t="s">
        <v>197</v>
      </c>
      <c r="AP951" s="22" t="s">
        <v>197</v>
      </c>
    </row>
    <row r="952" customFormat="false" ht="21.75" hidden="false" customHeight="true" outlineLevel="0" collapsed="false">
      <c r="B952" s="15" t="n">
        <v>948</v>
      </c>
      <c r="C952" s="9" t="s">
        <v>56</v>
      </c>
      <c r="D952" s="9" t="s">
        <v>26</v>
      </c>
      <c r="E952" s="9" t="s">
        <v>124</v>
      </c>
      <c r="F952" s="9" t="s">
        <v>63</v>
      </c>
      <c r="G952" s="9" t="s">
        <v>2242</v>
      </c>
      <c r="H952" s="9" t="s">
        <v>2243</v>
      </c>
      <c r="I952" s="9" t="s">
        <v>2244</v>
      </c>
      <c r="J952" s="9" t="s">
        <v>2245</v>
      </c>
      <c r="K952" s="9" t="s">
        <v>2246</v>
      </c>
      <c r="L952" s="9" t="s">
        <v>2229</v>
      </c>
      <c r="M952" s="9" t="s">
        <v>2247</v>
      </c>
      <c r="N952" s="9" t="s">
        <v>931</v>
      </c>
      <c r="O952" s="9" t="s">
        <v>189</v>
      </c>
      <c r="P952" s="9" t="s">
        <v>2232</v>
      </c>
      <c r="Q952" s="9" t="s">
        <v>2248</v>
      </c>
      <c r="R952" s="9" t="s">
        <v>849</v>
      </c>
      <c r="S952" s="9" t="s">
        <v>2234</v>
      </c>
      <c r="T952" s="9" t="s">
        <v>2249</v>
      </c>
      <c r="U952" s="19" t="n">
        <v>16</v>
      </c>
      <c r="V952" s="9"/>
      <c r="W952" s="9"/>
      <c r="X952" s="9" t="s">
        <v>195</v>
      </c>
      <c r="Y952" s="23" t="n">
        <v>0.047</v>
      </c>
      <c r="Z952" s="23" t="n">
        <v>0.088</v>
      </c>
      <c r="AA952" s="23" t="n">
        <v>12</v>
      </c>
      <c r="AB952" s="9" t="s">
        <v>2229</v>
      </c>
      <c r="AC952" s="9" t="s">
        <v>2250</v>
      </c>
      <c r="AD952" s="23" t="s">
        <v>197</v>
      </c>
      <c r="AE952" s="23" t="s">
        <v>197</v>
      </c>
      <c r="AF952" s="23" t="s">
        <v>197</v>
      </c>
      <c r="AG952" s="23" t="s">
        <v>197</v>
      </c>
      <c r="AH952" s="23" t="s">
        <v>197</v>
      </c>
      <c r="AI952" s="23" t="s">
        <v>197</v>
      </c>
      <c r="AJ952" s="23" t="s">
        <v>197</v>
      </c>
      <c r="AK952" s="23" t="s">
        <v>197</v>
      </c>
      <c r="AL952" s="23" t="s">
        <v>197</v>
      </c>
      <c r="AM952" s="9" t="s">
        <v>197</v>
      </c>
      <c r="AN952" s="23" t="s">
        <v>197</v>
      </c>
      <c r="AO952" s="23" t="n">
        <v>1.2</v>
      </c>
      <c r="AP952" s="23" t="n">
        <v>1.6</v>
      </c>
    </row>
    <row r="953" customFormat="false" ht="21.75" hidden="false" customHeight="true" outlineLevel="0" collapsed="false">
      <c r="B953" s="14" t="n">
        <v>949</v>
      </c>
      <c r="C953" s="7" t="s">
        <v>56</v>
      </c>
      <c r="D953" s="7" t="s">
        <v>26</v>
      </c>
      <c r="E953" s="7" t="s">
        <v>124</v>
      </c>
      <c r="F953" s="7" t="s">
        <v>63</v>
      </c>
      <c r="G953" s="7" t="s">
        <v>2251</v>
      </c>
      <c r="H953" s="7" t="s">
        <v>2243</v>
      </c>
      <c r="I953" s="7" t="s">
        <v>2244</v>
      </c>
      <c r="J953" s="7" t="s">
        <v>2245</v>
      </c>
      <c r="K953" s="7" t="s">
        <v>2246</v>
      </c>
      <c r="L953" s="7" t="s">
        <v>2229</v>
      </c>
      <c r="M953" s="7" t="s">
        <v>2247</v>
      </c>
      <c r="N953" s="7" t="s">
        <v>931</v>
      </c>
      <c r="O953" s="7" t="s">
        <v>189</v>
      </c>
      <c r="P953" s="7" t="s">
        <v>2232</v>
      </c>
      <c r="Q953" s="7" t="s">
        <v>2248</v>
      </c>
      <c r="R953" s="7" t="s">
        <v>849</v>
      </c>
      <c r="S953" s="7" t="s">
        <v>2234</v>
      </c>
      <c r="T953" s="7" t="s">
        <v>2249</v>
      </c>
      <c r="U953" s="18" t="n">
        <v>20</v>
      </c>
      <c r="V953" s="7"/>
      <c r="W953" s="7"/>
      <c r="X953" s="7" t="s">
        <v>199</v>
      </c>
      <c r="Y953" s="22" t="n">
        <v>0.041</v>
      </c>
      <c r="Z953" s="22" t="n">
        <v>0.079</v>
      </c>
      <c r="AA953" s="22" t="n">
        <v>12</v>
      </c>
      <c r="AB953" s="7" t="s">
        <v>2229</v>
      </c>
      <c r="AC953" s="7" t="s">
        <v>2250</v>
      </c>
      <c r="AD953" s="22" t="s">
        <v>197</v>
      </c>
      <c r="AE953" s="22" t="s">
        <v>197</v>
      </c>
      <c r="AF953" s="22" t="s">
        <v>197</v>
      </c>
      <c r="AG953" s="22" t="s">
        <v>197</v>
      </c>
      <c r="AH953" s="22" t="s">
        <v>197</v>
      </c>
      <c r="AI953" s="22" t="s">
        <v>197</v>
      </c>
      <c r="AJ953" s="22" t="s">
        <v>197</v>
      </c>
      <c r="AK953" s="22" t="s">
        <v>197</v>
      </c>
      <c r="AL953" s="22" t="s">
        <v>197</v>
      </c>
      <c r="AM953" s="7" t="s">
        <v>197</v>
      </c>
      <c r="AN953" s="22" t="s">
        <v>197</v>
      </c>
      <c r="AO953" s="22" t="n">
        <v>1.2</v>
      </c>
      <c r="AP953" s="22" t="n">
        <v>1.6</v>
      </c>
    </row>
    <row r="954" customFormat="false" ht="21.75" hidden="false" customHeight="true" outlineLevel="0" collapsed="false">
      <c r="B954" s="15" t="n">
        <v>950</v>
      </c>
      <c r="C954" s="9" t="s">
        <v>56</v>
      </c>
      <c r="D954" s="9" t="s">
        <v>26</v>
      </c>
      <c r="E954" s="9" t="s">
        <v>124</v>
      </c>
      <c r="F954" s="9" t="s">
        <v>63</v>
      </c>
      <c r="G954" s="9" t="s">
        <v>2252</v>
      </c>
      <c r="H954" s="9" t="s">
        <v>2243</v>
      </c>
      <c r="I954" s="9" t="s">
        <v>2244</v>
      </c>
      <c r="J954" s="9" t="s">
        <v>2245</v>
      </c>
      <c r="K954" s="9" t="s">
        <v>2246</v>
      </c>
      <c r="L954" s="9" t="s">
        <v>2229</v>
      </c>
      <c r="M954" s="9" t="s">
        <v>2247</v>
      </c>
      <c r="N954" s="9" t="s">
        <v>931</v>
      </c>
      <c r="O954" s="9" t="s">
        <v>189</v>
      </c>
      <c r="P954" s="9" t="s">
        <v>2232</v>
      </c>
      <c r="Q954" s="9" t="s">
        <v>2248</v>
      </c>
      <c r="R954" s="9" t="s">
        <v>849</v>
      </c>
      <c r="S954" s="9" t="s">
        <v>2234</v>
      </c>
      <c r="T954" s="9" t="s">
        <v>2249</v>
      </c>
      <c r="U954" s="19" t="n">
        <v>30</v>
      </c>
      <c r="V954" s="9"/>
      <c r="W954" s="9"/>
      <c r="X954" s="9" t="s">
        <v>2253</v>
      </c>
      <c r="Y954" s="23" t="n">
        <v>0.033</v>
      </c>
      <c r="Z954" s="23" t="n">
        <v>0.065</v>
      </c>
      <c r="AA954" s="23" t="n">
        <v>12</v>
      </c>
      <c r="AB954" s="9" t="s">
        <v>2229</v>
      </c>
      <c r="AC954" s="9" t="s">
        <v>2250</v>
      </c>
      <c r="AD954" s="23" t="s">
        <v>197</v>
      </c>
      <c r="AE954" s="23" t="s">
        <v>197</v>
      </c>
      <c r="AF954" s="23" t="s">
        <v>197</v>
      </c>
      <c r="AG954" s="23" t="s">
        <v>197</v>
      </c>
      <c r="AH954" s="23" t="s">
        <v>197</v>
      </c>
      <c r="AI954" s="23" t="s">
        <v>197</v>
      </c>
      <c r="AJ954" s="23" t="s">
        <v>197</v>
      </c>
      <c r="AK954" s="23" t="s">
        <v>197</v>
      </c>
      <c r="AL954" s="23" t="s">
        <v>197</v>
      </c>
      <c r="AM954" s="9" t="s">
        <v>197</v>
      </c>
      <c r="AN954" s="23" t="s">
        <v>197</v>
      </c>
      <c r="AO954" s="23" t="n">
        <v>1.2</v>
      </c>
      <c r="AP954" s="23" t="n">
        <v>1.6</v>
      </c>
    </row>
    <row r="955" customFormat="false" ht="21.75" hidden="false" customHeight="true" outlineLevel="0" collapsed="false">
      <c r="B955" s="14" t="n">
        <v>951</v>
      </c>
      <c r="C955" s="7" t="s">
        <v>56</v>
      </c>
      <c r="D955" s="7" t="s">
        <v>26</v>
      </c>
      <c r="E955" s="7" t="s">
        <v>124</v>
      </c>
      <c r="F955" s="7" t="s">
        <v>63</v>
      </c>
      <c r="G955" s="7" t="s">
        <v>2254</v>
      </c>
      <c r="H955" s="7" t="s">
        <v>2243</v>
      </c>
      <c r="I955" s="7" t="s">
        <v>2244</v>
      </c>
      <c r="J955" s="7" t="s">
        <v>2245</v>
      </c>
      <c r="K955" s="7" t="s">
        <v>2246</v>
      </c>
      <c r="L955" s="7" t="s">
        <v>2229</v>
      </c>
      <c r="M955" s="7" t="s">
        <v>2247</v>
      </c>
      <c r="N955" s="7" t="s">
        <v>931</v>
      </c>
      <c r="O955" s="7" t="s">
        <v>189</v>
      </c>
      <c r="P955" s="7" t="s">
        <v>2232</v>
      </c>
      <c r="Q955" s="7" t="s">
        <v>2248</v>
      </c>
      <c r="R955" s="7" t="s">
        <v>849</v>
      </c>
      <c r="S955" s="7" t="s">
        <v>2234</v>
      </c>
      <c r="T955" s="7" t="s">
        <v>2249</v>
      </c>
      <c r="U955" s="18" t="n">
        <v>45</v>
      </c>
      <c r="V955" s="7"/>
      <c r="W955" s="7"/>
      <c r="X955" s="7" t="s">
        <v>203</v>
      </c>
      <c r="Y955" s="22" t="n">
        <v>0.055</v>
      </c>
      <c r="Z955" s="22" t="n">
        <v>0.102</v>
      </c>
      <c r="AA955" s="22" t="n">
        <v>12</v>
      </c>
      <c r="AB955" s="7" t="s">
        <v>2229</v>
      </c>
      <c r="AC955" s="7" t="s">
        <v>2250</v>
      </c>
      <c r="AD955" s="22" t="s">
        <v>197</v>
      </c>
      <c r="AE955" s="22" t="s">
        <v>197</v>
      </c>
      <c r="AF955" s="22" t="s">
        <v>197</v>
      </c>
      <c r="AG955" s="22" t="s">
        <v>197</v>
      </c>
      <c r="AH955" s="22" t="s">
        <v>197</v>
      </c>
      <c r="AI955" s="22" t="s">
        <v>197</v>
      </c>
      <c r="AJ955" s="22" t="s">
        <v>197</v>
      </c>
      <c r="AK955" s="22" t="s">
        <v>197</v>
      </c>
      <c r="AL955" s="22" t="s">
        <v>197</v>
      </c>
      <c r="AM955" s="7" t="s">
        <v>197</v>
      </c>
      <c r="AN955" s="22" t="s">
        <v>197</v>
      </c>
      <c r="AO955" s="22" t="n">
        <v>1.2</v>
      </c>
      <c r="AP955" s="22" t="n">
        <v>1.6</v>
      </c>
    </row>
    <row r="956" customFormat="false" ht="21.75" hidden="false" customHeight="true" outlineLevel="0" collapsed="false">
      <c r="B956" s="15" t="n">
        <v>952</v>
      </c>
      <c r="C956" s="9" t="s">
        <v>56</v>
      </c>
      <c r="D956" s="9" t="s">
        <v>26</v>
      </c>
      <c r="E956" s="9" t="s">
        <v>124</v>
      </c>
      <c r="F956" s="9" t="s">
        <v>63</v>
      </c>
      <c r="G956" s="9" t="s">
        <v>2255</v>
      </c>
      <c r="H956" s="9" t="s">
        <v>2243</v>
      </c>
      <c r="I956" s="9" t="s">
        <v>2244</v>
      </c>
      <c r="J956" s="9" t="s">
        <v>2245</v>
      </c>
      <c r="K956" s="9" t="s">
        <v>2246</v>
      </c>
      <c r="L956" s="9" t="s">
        <v>2229</v>
      </c>
      <c r="M956" s="9" t="s">
        <v>2247</v>
      </c>
      <c r="N956" s="9" t="s">
        <v>931</v>
      </c>
      <c r="O956" s="9" t="s">
        <v>189</v>
      </c>
      <c r="P956" s="9" t="s">
        <v>2232</v>
      </c>
      <c r="Q956" s="9" t="s">
        <v>2248</v>
      </c>
      <c r="R956" s="9" t="s">
        <v>849</v>
      </c>
      <c r="S956" s="9" t="s">
        <v>2234</v>
      </c>
      <c r="T956" s="9" t="s">
        <v>2249</v>
      </c>
      <c r="U956" s="19" t="n">
        <v>70</v>
      </c>
      <c r="V956" s="9"/>
      <c r="W956" s="9"/>
      <c r="X956" s="9" t="s">
        <v>205</v>
      </c>
      <c r="Y956" s="23" t="n">
        <v>0.035</v>
      </c>
      <c r="Z956" s="23" t="n">
        <v>0.068</v>
      </c>
      <c r="AA956" s="23" t="n">
        <v>12</v>
      </c>
      <c r="AB956" s="9" t="s">
        <v>2229</v>
      </c>
      <c r="AC956" s="9" t="s">
        <v>2250</v>
      </c>
      <c r="AD956" s="23" t="s">
        <v>197</v>
      </c>
      <c r="AE956" s="23" t="s">
        <v>197</v>
      </c>
      <c r="AF956" s="23" t="s">
        <v>197</v>
      </c>
      <c r="AG956" s="23" t="s">
        <v>197</v>
      </c>
      <c r="AH956" s="23" t="s">
        <v>197</v>
      </c>
      <c r="AI956" s="23" t="s">
        <v>197</v>
      </c>
      <c r="AJ956" s="23" t="s">
        <v>197</v>
      </c>
      <c r="AK956" s="23" t="s">
        <v>197</v>
      </c>
      <c r="AL956" s="23" t="s">
        <v>197</v>
      </c>
      <c r="AM956" s="9" t="s">
        <v>197</v>
      </c>
      <c r="AN956" s="23" t="s">
        <v>197</v>
      </c>
      <c r="AO956" s="23" t="n">
        <v>1.2</v>
      </c>
      <c r="AP956" s="23" t="n">
        <v>1.6</v>
      </c>
    </row>
    <row r="957" customFormat="false" ht="21.75" hidden="false" customHeight="true" outlineLevel="0" collapsed="false">
      <c r="B957" s="14" t="n">
        <v>953</v>
      </c>
      <c r="C957" s="7" t="s">
        <v>56</v>
      </c>
      <c r="D957" s="7" t="s">
        <v>26</v>
      </c>
      <c r="E957" s="7" t="s">
        <v>124</v>
      </c>
      <c r="F957" s="7" t="s">
        <v>64</v>
      </c>
      <c r="G957" s="7" t="s">
        <v>2256</v>
      </c>
      <c r="H957" s="7" t="s">
        <v>247</v>
      </c>
      <c r="I957" s="7" t="s">
        <v>515</v>
      </c>
      <c r="J957" s="7" t="s">
        <v>2257</v>
      </c>
      <c r="K957" s="7" t="s">
        <v>517</v>
      </c>
      <c r="L957" s="7" t="s">
        <v>2229</v>
      </c>
      <c r="M957" s="7" t="s">
        <v>2258</v>
      </c>
      <c r="N957" s="7" t="s">
        <v>1682</v>
      </c>
      <c r="O957" s="7" t="s">
        <v>189</v>
      </c>
      <c r="P957" s="7" t="s">
        <v>2232</v>
      </c>
      <c r="Q957" s="7" t="s">
        <v>2259</v>
      </c>
      <c r="R957" s="7" t="s">
        <v>701</v>
      </c>
      <c r="S957" s="7" t="s">
        <v>2234</v>
      </c>
      <c r="T957" s="7" t="s">
        <v>2260</v>
      </c>
      <c r="U957" s="18" t="n">
        <v>8</v>
      </c>
      <c r="V957" s="7"/>
      <c r="W957" s="7"/>
      <c r="X957" s="7" t="s">
        <v>195</v>
      </c>
      <c r="Y957" s="22" t="n">
        <v>1.289E-005</v>
      </c>
      <c r="Z957" s="22" t="n">
        <v>3.374E-005</v>
      </c>
      <c r="AA957" s="22" t="n">
        <v>3</v>
      </c>
      <c r="AB957" s="7" t="s">
        <v>2229</v>
      </c>
      <c r="AC957" s="7" t="s">
        <v>2261</v>
      </c>
      <c r="AD957" s="22" t="s">
        <v>197</v>
      </c>
      <c r="AE957" s="22" t="s">
        <v>197</v>
      </c>
      <c r="AF957" s="22" t="s">
        <v>197</v>
      </c>
      <c r="AG957" s="22" t="s">
        <v>197</v>
      </c>
      <c r="AH957" s="22" t="s">
        <v>197</v>
      </c>
      <c r="AI957" s="22" t="s">
        <v>197</v>
      </c>
      <c r="AJ957" s="22" t="n">
        <v>8</v>
      </c>
      <c r="AK957" s="22" t="s">
        <v>197</v>
      </c>
      <c r="AL957" s="22" t="n">
        <v>90</v>
      </c>
      <c r="AM957" s="7" t="s">
        <v>257</v>
      </c>
      <c r="AN957" s="22" t="s">
        <v>197</v>
      </c>
      <c r="AO957" s="22" t="n">
        <v>2</v>
      </c>
      <c r="AP957" s="22" t="n">
        <v>2.7</v>
      </c>
    </row>
    <row r="958" customFormat="false" ht="21.75" hidden="false" customHeight="true" outlineLevel="0" collapsed="false">
      <c r="B958" s="15" t="n">
        <v>954</v>
      </c>
      <c r="C958" s="9" t="s">
        <v>56</v>
      </c>
      <c r="D958" s="9" t="s">
        <v>26</v>
      </c>
      <c r="E958" s="9" t="s">
        <v>124</v>
      </c>
      <c r="F958" s="9" t="s">
        <v>64</v>
      </c>
      <c r="G958" s="9" t="s">
        <v>2262</v>
      </c>
      <c r="H958" s="9" t="s">
        <v>259</v>
      </c>
      <c r="I958" s="9" t="s">
        <v>515</v>
      </c>
      <c r="J958" s="9" t="s">
        <v>2257</v>
      </c>
      <c r="K958" s="9" t="s">
        <v>517</v>
      </c>
      <c r="L958" s="9" t="s">
        <v>2229</v>
      </c>
      <c r="M958" s="9" t="s">
        <v>2258</v>
      </c>
      <c r="N958" s="9" t="s">
        <v>1682</v>
      </c>
      <c r="O958" s="9" t="s">
        <v>189</v>
      </c>
      <c r="P958" s="9" t="s">
        <v>2232</v>
      </c>
      <c r="Q958" s="9" t="s">
        <v>2259</v>
      </c>
      <c r="R958" s="9" t="s">
        <v>701</v>
      </c>
      <c r="S958" s="9" t="s">
        <v>2234</v>
      </c>
      <c r="T958" s="9" t="s">
        <v>2260</v>
      </c>
      <c r="U958" s="19" t="n">
        <v>10</v>
      </c>
      <c r="V958" s="9"/>
      <c r="W958" s="9"/>
      <c r="X958" s="9" t="s">
        <v>199</v>
      </c>
      <c r="Y958" s="23" t="n">
        <v>1.025E-005</v>
      </c>
      <c r="Z958" s="23" t="n">
        <v>2.901E-005</v>
      </c>
      <c r="AA958" s="23" t="n">
        <v>3</v>
      </c>
      <c r="AB958" s="9" t="s">
        <v>2229</v>
      </c>
      <c r="AC958" s="9" t="s">
        <v>2261</v>
      </c>
      <c r="AD958" s="23" t="s">
        <v>197</v>
      </c>
      <c r="AE958" s="23" t="s">
        <v>197</v>
      </c>
      <c r="AF958" s="23" t="s">
        <v>197</v>
      </c>
      <c r="AG958" s="23" t="s">
        <v>197</v>
      </c>
      <c r="AH958" s="23" t="s">
        <v>197</v>
      </c>
      <c r="AI958" s="23" t="s">
        <v>197</v>
      </c>
      <c r="AJ958" s="23" t="n">
        <v>10</v>
      </c>
      <c r="AK958" s="23" t="s">
        <v>197</v>
      </c>
      <c r="AL958" s="23" t="n">
        <v>90</v>
      </c>
      <c r="AM958" s="9" t="s">
        <v>257</v>
      </c>
      <c r="AN958" s="23" t="s">
        <v>197</v>
      </c>
      <c r="AO958" s="23" t="n">
        <v>2</v>
      </c>
      <c r="AP958" s="23" t="n">
        <v>2.7</v>
      </c>
    </row>
    <row r="959" customFormat="false" ht="21.75" hidden="false" customHeight="true" outlineLevel="0" collapsed="false">
      <c r="B959" s="14" t="n">
        <v>955</v>
      </c>
      <c r="C959" s="7" t="s">
        <v>56</v>
      </c>
      <c r="D959" s="7" t="s">
        <v>26</v>
      </c>
      <c r="E959" s="7" t="s">
        <v>124</v>
      </c>
      <c r="F959" s="7" t="s">
        <v>64</v>
      </c>
      <c r="G959" s="7" t="s">
        <v>2263</v>
      </c>
      <c r="H959" s="7" t="s">
        <v>261</v>
      </c>
      <c r="I959" s="7" t="s">
        <v>515</v>
      </c>
      <c r="J959" s="7" t="s">
        <v>2257</v>
      </c>
      <c r="K959" s="7" t="s">
        <v>517</v>
      </c>
      <c r="L959" s="7" t="s">
        <v>2229</v>
      </c>
      <c r="M959" s="7" t="s">
        <v>2258</v>
      </c>
      <c r="N959" s="7" t="s">
        <v>1682</v>
      </c>
      <c r="O959" s="7" t="s">
        <v>189</v>
      </c>
      <c r="P959" s="7" t="s">
        <v>2232</v>
      </c>
      <c r="Q959" s="7" t="s">
        <v>2259</v>
      </c>
      <c r="R959" s="7" t="s">
        <v>701</v>
      </c>
      <c r="S959" s="7" t="s">
        <v>2234</v>
      </c>
      <c r="T959" s="7" t="s">
        <v>2260</v>
      </c>
      <c r="U959" s="18" t="n">
        <v>14</v>
      </c>
      <c r="V959" s="7"/>
      <c r="W959" s="7"/>
      <c r="X959" s="7" t="s">
        <v>2264</v>
      </c>
      <c r="Y959" s="22" t="n">
        <v>1.694E-005</v>
      </c>
      <c r="Z959" s="22" t="n">
        <v>4.096E-005</v>
      </c>
      <c r="AA959" s="22" t="n">
        <v>3</v>
      </c>
      <c r="AB959" s="7" t="s">
        <v>2229</v>
      </c>
      <c r="AC959" s="7" t="s">
        <v>2261</v>
      </c>
      <c r="AD959" s="22" t="s">
        <v>197</v>
      </c>
      <c r="AE959" s="22" t="s">
        <v>197</v>
      </c>
      <c r="AF959" s="22" t="s">
        <v>197</v>
      </c>
      <c r="AG959" s="22" t="s">
        <v>197</v>
      </c>
      <c r="AH959" s="22" t="s">
        <v>197</v>
      </c>
      <c r="AI959" s="22" t="s">
        <v>197</v>
      </c>
      <c r="AJ959" s="22" t="n">
        <v>12</v>
      </c>
      <c r="AK959" s="22" t="s">
        <v>197</v>
      </c>
      <c r="AL959" s="22" t="n">
        <v>90</v>
      </c>
      <c r="AM959" s="7" t="s">
        <v>257</v>
      </c>
      <c r="AN959" s="22" t="s">
        <v>197</v>
      </c>
      <c r="AO959" s="22" t="n">
        <v>2</v>
      </c>
      <c r="AP959" s="22" t="n">
        <v>2.7</v>
      </c>
    </row>
    <row r="960" customFormat="false" ht="21.75" hidden="false" customHeight="true" outlineLevel="0" collapsed="false">
      <c r="B960" s="15" t="n">
        <v>956</v>
      </c>
      <c r="C960" s="9" t="s">
        <v>56</v>
      </c>
      <c r="D960" s="9" t="s">
        <v>26</v>
      </c>
      <c r="E960" s="9" t="s">
        <v>124</v>
      </c>
      <c r="F960" s="9" t="s">
        <v>64</v>
      </c>
      <c r="G960" s="9" t="s">
        <v>2265</v>
      </c>
      <c r="H960" s="9" t="s">
        <v>264</v>
      </c>
      <c r="I960" s="9" t="s">
        <v>515</v>
      </c>
      <c r="J960" s="9" t="s">
        <v>2257</v>
      </c>
      <c r="K960" s="9" t="s">
        <v>517</v>
      </c>
      <c r="L960" s="9" t="s">
        <v>2229</v>
      </c>
      <c r="M960" s="9" t="s">
        <v>2258</v>
      </c>
      <c r="N960" s="9" t="s">
        <v>1682</v>
      </c>
      <c r="O960" s="9" t="s">
        <v>189</v>
      </c>
      <c r="P960" s="9" t="s">
        <v>2232</v>
      </c>
      <c r="Q960" s="9" t="s">
        <v>2259</v>
      </c>
      <c r="R960" s="9" t="s">
        <v>701</v>
      </c>
      <c r="S960" s="9" t="s">
        <v>2234</v>
      </c>
      <c r="T960" s="9" t="s">
        <v>2260</v>
      </c>
      <c r="U960" s="19" t="n">
        <v>20</v>
      </c>
      <c r="V960" s="9"/>
      <c r="W960" s="9"/>
      <c r="X960" s="9" t="s">
        <v>203</v>
      </c>
      <c r="Y960" s="23" t="n">
        <v>1.259E-005</v>
      </c>
      <c r="Z960" s="23" t="n">
        <v>3.321E-005</v>
      </c>
      <c r="AA960" s="23" t="n">
        <v>3</v>
      </c>
      <c r="AB960" s="9" t="s">
        <v>2229</v>
      </c>
      <c r="AC960" s="9" t="s">
        <v>2261</v>
      </c>
      <c r="AD960" s="23" t="s">
        <v>197</v>
      </c>
      <c r="AE960" s="23" t="s">
        <v>197</v>
      </c>
      <c r="AF960" s="23" t="s">
        <v>197</v>
      </c>
      <c r="AG960" s="23" t="s">
        <v>197</v>
      </c>
      <c r="AH960" s="23" t="s">
        <v>197</v>
      </c>
      <c r="AI960" s="23" t="s">
        <v>197</v>
      </c>
      <c r="AJ960" s="23" t="n">
        <v>12</v>
      </c>
      <c r="AK960" s="23" t="s">
        <v>197</v>
      </c>
      <c r="AL960" s="23" t="n">
        <v>110</v>
      </c>
      <c r="AM960" s="9" t="s">
        <v>257</v>
      </c>
      <c r="AN960" s="23" t="s">
        <v>197</v>
      </c>
      <c r="AO960" s="23" t="n">
        <v>2</v>
      </c>
      <c r="AP960" s="23" t="n">
        <v>2.7</v>
      </c>
    </row>
    <row r="961" customFormat="false" ht="21.75" hidden="false" customHeight="true" outlineLevel="0" collapsed="false">
      <c r="B961" s="14" t="n">
        <v>957</v>
      </c>
      <c r="C961" s="7" t="s">
        <v>56</v>
      </c>
      <c r="D961" s="7" t="s">
        <v>26</v>
      </c>
      <c r="E961" s="7" t="s">
        <v>124</v>
      </c>
      <c r="F961" s="7" t="s">
        <v>64</v>
      </c>
      <c r="G961" s="7" t="s">
        <v>2266</v>
      </c>
      <c r="H961" s="7" t="s">
        <v>266</v>
      </c>
      <c r="I961" s="7" t="s">
        <v>515</v>
      </c>
      <c r="J961" s="7" t="s">
        <v>2257</v>
      </c>
      <c r="K961" s="7" t="s">
        <v>517</v>
      </c>
      <c r="L961" s="7" t="s">
        <v>2229</v>
      </c>
      <c r="M961" s="7" t="s">
        <v>2258</v>
      </c>
      <c r="N961" s="7" t="s">
        <v>1682</v>
      </c>
      <c r="O961" s="7" t="s">
        <v>189</v>
      </c>
      <c r="P961" s="7" t="s">
        <v>2232</v>
      </c>
      <c r="Q961" s="7" t="s">
        <v>2259</v>
      </c>
      <c r="R961" s="7" t="s">
        <v>701</v>
      </c>
      <c r="S961" s="7" t="s">
        <v>2234</v>
      </c>
      <c r="T961" s="7" t="s">
        <v>2260</v>
      </c>
      <c r="U961" s="18" t="n">
        <v>30</v>
      </c>
      <c r="V961" s="7"/>
      <c r="W961" s="7"/>
      <c r="X961" s="7" t="s">
        <v>205</v>
      </c>
      <c r="Y961" s="22" t="n">
        <v>1.396E-005</v>
      </c>
      <c r="Z961" s="22" t="n">
        <v>3.565E-005</v>
      </c>
      <c r="AA961" s="22" t="n">
        <v>3</v>
      </c>
      <c r="AB961" s="7" t="s">
        <v>2229</v>
      </c>
      <c r="AC961" s="7" t="s">
        <v>2261</v>
      </c>
      <c r="AD961" s="22" t="s">
        <v>197</v>
      </c>
      <c r="AE961" s="22" t="s">
        <v>197</v>
      </c>
      <c r="AF961" s="22" t="s">
        <v>197</v>
      </c>
      <c r="AG961" s="22" t="s">
        <v>197</v>
      </c>
      <c r="AH961" s="22" t="s">
        <v>197</v>
      </c>
      <c r="AI961" s="22" t="s">
        <v>197</v>
      </c>
      <c r="AJ961" s="22" t="n">
        <v>15</v>
      </c>
      <c r="AK961" s="22" t="s">
        <v>197</v>
      </c>
      <c r="AL961" s="22" t="n">
        <v>110</v>
      </c>
      <c r="AM961" s="7" t="s">
        <v>257</v>
      </c>
      <c r="AN961" s="22" t="s">
        <v>197</v>
      </c>
      <c r="AO961" s="22" t="n">
        <v>2</v>
      </c>
      <c r="AP961" s="22" t="n">
        <v>2.7</v>
      </c>
    </row>
    <row r="962" customFormat="false" ht="21.75" hidden="false" customHeight="true" outlineLevel="0" collapsed="false">
      <c r="B962" s="15" t="n">
        <v>958</v>
      </c>
      <c r="C962" s="9" t="s">
        <v>56</v>
      </c>
      <c r="D962" s="9" t="s">
        <v>26</v>
      </c>
      <c r="E962" s="9" t="s">
        <v>124</v>
      </c>
      <c r="F962" s="9" t="s">
        <v>65</v>
      </c>
      <c r="G962" s="9" t="s">
        <v>2267</v>
      </c>
      <c r="H962" s="9" t="s">
        <v>247</v>
      </c>
      <c r="I962" s="9" t="s">
        <v>2268</v>
      </c>
      <c r="J962" s="9" t="s">
        <v>2269</v>
      </c>
      <c r="K962" s="9" t="s">
        <v>517</v>
      </c>
      <c r="L962" s="9" t="s">
        <v>2229</v>
      </c>
      <c r="M962" s="9" t="s">
        <v>2258</v>
      </c>
      <c r="N962" s="9" t="s">
        <v>2270</v>
      </c>
      <c r="O962" s="9" t="s">
        <v>189</v>
      </c>
      <c r="P962" s="9" t="s">
        <v>2232</v>
      </c>
      <c r="Q962" s="9" t="s">
        <v>2259</v>
      </c>
      <c r="R962" s="9" t="s">
        <v>701</v>
      </c>
      <c r="S962" s="9" t="s">
        <v>2234</v>
      </c>
      <c r="T962" s="9" t="s">
        <v>2260</v>
      </c>
      <c r="U962" s="19" t="n">
        <v>9</v>
      </c>
      <c r="V962" s="9"/>
      <c r="W962" s="9"/>
      <c r="X962" s="9" t="s">
        <v>195</v>
      </c>
      <c r="Y962" s="23" t="n">
        <v>1.296E-005</v>
      </c>
      <c r="Z962" s="23" t="n">
        <v>3.386E-005</v>
      </c>
      <c r="AA962" s="23" t="n">
        <v>3</v>
      </c>
      <c r="AB962" s="9" t="s">
        <v>2229</v>
      </c>
      <c r="AC962" s="9" t="s">
        <v>2261</v>
      </c>
      <c r="AD962" s="23" t="s">
        <v>197</v>
      </c>
      <c r="AE962" s="23" t="s">
        <v>197</v>
      </c>
      <c r="AF962" s="23" t="s">
        <v>197</v>
      </c>
      <c r="AG962" s="23" t="s">
        <v>197</v>
      </c>
      <c r="AH962" s="23" t="s">
        <v>197</v>
      </c>
      <c r="AI962" s="23" t="s">
        <v>197</v>
      </c>
      <c r="AJ962" s="23" t="n">
        <v>8</v>
      </c>
      <c r="AK962" s="23" t="s">
        <v>197</v>
      </c>
      <c r="AL962" s="23" t="n">
        <v>90</v>
      </c>
      <c r="AM962" s="9" t="s">
        <v>257</v>
      </c>
      <c r="AN962" s="23" t="s">
        <v>197</v>
      </c>
      <c r="AO962" s="23" t="n">
        <v>2</v>
      </c>
      <c r="AP962" s="23" t="n">
        <v>2.7</v>
      </c>
    </row>
    <row r="963" customFormat="false" ht="21.75" hidden="false" customHeight="true" outlineLevel="0" collapsed="false">
      <c r="B963" s="14" t="n">
        <v>959</v>
      </c>
      <c r="C963" s="7" t="s">
        <v>56</v>
      </c>
      <c r="D963" s="7" t="s">
        <v>26</v>
      </c>
      <c r="E963" s="7" t="s">
        <v>124</v>
      </c>
      <c r="F963" s="7" t="s">
        <v>65</v>
      </c>
      <c r="G963" s="7" t="s">
        <v>2271</v>
      </c>
      <c r="H963" s="7" t="s">
        <v>259</v>
      </c>
      <c r="I963" s="7" t="s">
        <v>2268</v>
      </c>
      <c r="J963" s="7" t="s">
        <v>2269</v>
      </c>
      <c r="K963" s="7" t="s">
        <v>517</v>
      </c>
      <c r="L963" s="7" t="s">
        <v>2229</v>
      </c>
      <c r="M963" s="7" t="s">
        <v>2258</v>
      </c>
      <c r="N963" s="7" t="s">
        <v>2270</v>
      </c>
      <c r="O963" s="7" t="s">
        <v>189</v>
      </c>
      <c r="P963" s="7" t="s">
        <v>2232</v>
      </c>
      <c r="Q963" s="7" t="s">
        <v>2259</v>
      </c>
      <c r="R963" s="7" t="s">
        <v>701</v>
      </c>
      <c r="S963" s="7" t="s">
        <v>2234</v>
      </c>
      <c r="T963" s="7" t="s">
        <v>2260</v>
      </c>
      <c r="U963" s="18" t="n">
        <v>14</v>
      </c>
      <c r="V963" s="7"/>
      <c r="W963" s="7"/>
      <c r="X963" s="7" t="s">
        <v>199</v>
      </c>
      <c r="Y963" s="22" t="n">
        <v>1.519E-005</v>
      </c>
      <c r="Z963" s="22" t="n">
        <v>3.785E-005</v>
      </c>
      <c r="AA963" s="22" t="n">
        <v>3</v>
      </c>
      <c r="AB963" s="7" t="s">
        <v>2229</v>
      </c>
      <c r="AC963" s="7" t="s">
        <v>2261</v>
      </c>
      <c r="AD963" s="22" t="s">
        <v>197</v>
      </c>
      <c r="AE963" s="22" t="s">
        <v>197</v>
      </c>
      <c r="AF963" s="22" t="s">
        <v>197</v>
      </c>
      <c r="AG963" s="22" t="s">
        <v>197</v>
      </c>
      <c r="AH963" s="22" t="s">
        <v>197</v>
      </c>
      <c r="AI963" s="22" t="s">
        <v>197</v>
      </c>
      <c r="AJ963" s="22" t="n">
        <v>10</v>
      </c>
      <c r="AK963" s="22" t="s">
        <v>197</v>
      </c>
      <c r="AL963" s="22" t="n">
        <v>90</v>
      </c>
      <c r="AM963" s="7" t="s">
        <v>257</v>
      </c>
      <c r="AN963" s="22" t="s">
        <v>197</v>
      </c>
      <c r="AO963" s="22" t="n">
        <v>2</v>
      </c>
      <c r="AP963" s="22" t="n">
        <v>2.7</v>
      </c>
    </row>
    <row r="964" customFormat="false" ht="21.75" hidden="false" customHeight="true" outlineLevel="0" collapsed="false">
      <c r="B964" s="15" t="n">
        <v>960</v>
      </c>
      <c r="C964" s="9" t="s">
        <v>56</v>
      </c>
      <c r="D964" s="9" t="s">
        <v>26</v>
      </c>
      <c r="E964" s="9" t="s">
        <v>124</v>
      </c>
      <c r="F964" s="9" t="s">
        <v>65</v>
      </c>
      <c r="G964" s="9" t="s">
        <v>2272</v>
      </c>
      <c r="H964" s="9" t="s">
        <v>261</v>
      </c>
      <c r="I964" s="9" t="s">
        <v>2268</v>
      </c>
      <c r="J964" s="9" t="s">
        <v>2269</v>
      </c>
      <c r="K964" s="9" t="s">
        <v>517</v>
      </c>
      <c r="L964" s="9" t="s">
        <v>2229</v>
      </c>
      <c r="M964" s="9" t="s">
        <v>2258</v>
      </c>
      <c r="N964" s="9" t="s">
        <v>2270</v>
      </c>
      <c r="O964" s="9" t="s">
        <v>189</v>
      </c>
      <c r="P964" s="9" t="s">
        <v>2232</v>
      </c>
      <c r="Q964" s="9" t="s">
        <v>2259</v>
      </c>
      <c r="R964" s="9" t="s">
        <v>701</v>
      </c>
      <c r="S964" s="9" t="s">
        <v>2234</v>
      </c>
      <c r="T964" s="9" t="s">
        <v>2260</v>
      </c>
      <c r="U964" s="19" t="n">
        <v>18</v>
      </c>
      <c r="V964" s="9"/>
      <c r="W964" s="9"/>
      <c r="X964" s="9" t="s">
        <v>2273</v>
      </c>
      <c r="Y964" s="23" t="n">
        <v>1.783E-005</v>
      </c>
      <c r="Z964" s="23" t="n">
        <v>4.255E-005</v>
      </c>
      <c r="AA964" s="23" t="n">
        <v>3</v>
      </c>
      <c r="AB964" s="9" t="s">
        <v>2229</v>
      </c>
      <c r="AC964" s="9" t="s">
        <v>2261</v>
      </c>
      <c r="AD964" s="23" t="s">
        <v>197</v>
      </c>
      <c r="AE964" s="23" t="s">
        <v>197</v>
      </c>
      <c r="AF964" s="23" t="s">
        <v>197</v>
      </c>
      <c r="AG964" s="23" t="s">
        <v>197</v>
      </c>
      <c r="AH964" s="23" t="s">
        <v>197</v>
      </c>
      <c r="AI964" s="23" t="s">
        <v>197</v>
      </c>
      <c r="AJ964" s="23" t="n">
        <v>12</v>
      </c>
      <c r="AK964" s="23" t="s">
        <v>197</v>
      </c>
      <c r="AL964" s="23" t="n">
        <v>90</v>
      </c>
      <c r="AM964" s="9" t="s">
        <v>257</v>
      </c>
      <c r="AN964" s="23" t="s">
        <v>197</v>
      </c>
      <c r="AO964" s="23" t="n">
        <v>2</v>
      </c>
      <c r="AP964" s="23" t="n">
        <v>2.7</v>
      </c>
    </row>
    <row r="965" customFormat="false" ht="21.75" hidden="false" customHeight="true" outlineLevel="0" collapsed="false">
      <c r="B965" s="14" t="n">
        <v>961</v>
      </c>
      <c r="C965" s="7" t="s">
        <v>56</v>
      </c>
      <c r="D965" s="7" t="s">
        <v>26</v>
      </c>
      <c r="E965" s="7" t="s">
        <v>124</v>
      </c>
      <c r="F965" s="7" t="s">
        <v>65</v>
      </c>
      <c r="G965" s="7" t="s">
        <v>2274</v>
      </c>
      <c r="H965" s="7" t="s">
        <v>281</v>
      </c>
      <c r="I965" s="7" t="s">
        <v>2268</v>
      </c>
      <c r="J965" s="7" t="s">
        <v>2269</v>
      </c>
      <c r="K965" s="7" t="s">
        <v>517</v>
      </c>
      <c r="L965" s="7" t="s">
        <v>2229</v>
      </c>
      <c r="M965" s="7" t="s">
        <v>2258</v>
      </c>
      <c r="N965" s="7" t="s">
        <v>2270</v>
      </c>
      <c r="O965" s="7" t="s">
        <v>189</v>
      </c>
      <c r="P965" s="7" t="s">
        <v>2232</v>
      </c>
      <c r="Q965" s="7" t="s">
        <v>2259</v>
      </c>
      <c r="R965" s="7" t="s">
        <v>701</v>
      </c>
      <c r="S965" s="7" t="s">
        <v>2234</v>
      </c>
      <c r="T965" s="7" t="s">
        <v>2260</v>
      </c>
      <c r="U965" s="18" t="n">
        <v>25</v>
      </c>
      <c r="V965" s="7"/>
      <c r="W965" s="7"/>
      <c r="X965" s="7" t="s">
        <v>203</v>
      </c>
      <c r="Y965" s="22" t="n">
        <v>9.23E-006</v>
      </c>
      <c r="Z965" s="22" t="n">
        <v>2.719E-005</v>
      </c>
      <c r="AA965" s="22" t="n">
        <v>3</v>
      </c>
      <c r="AB965" s="7" t="s">
        <v>2229</v>
      </c>
      <c r="AC965" s="7" t="s">
        <v>2261</v>
      </c>
      <c r="AD965" s="22" t="s">
        <v>197</v>
      </c>
      <c r="AE965" s="22" t="s">
        <v>197</v>
      </c>
      <c r="AF965" s="22" t="s">
        <v>197</v>
      </c>
      <c r="AG965" s="22" t="s">
        <v>197</v>
      </c>
      <c r="AH965" s="22" t="s">
        <v>197</v>
      </c>
      <c r="AI965" s="22" t="s">
        <v>197</v>
      </c>
      <c r="AJ965" s="22" t="n">
        <v>12</v>
      </c>
      <c r="AK965" s="22" t="s">
        <v>197</v>
      </c>
      <c r="AL965" s="22" t="n">
        <v>90</v>
      </c>
      <c r="AM965" s="7" t="s">
        <v>257</v>
      </c>
      <c r="AN965" s="22" t="s">
        <v>197</v>
      </c>
      <c r="AO965" s="22" t="n">
        <v>2</v>
      </c>
      <c r="AP965" s="22" t="n">
        <v>2.7</v>
      </c>
    </row>
    <row r="966" customFormat="false" ht="21.75" hidden="false" customHeight="true" outlineLevel="0" collapsed="false">
      <c r="B966" s="15" t="n">
        <v>962</v>
      </c>
      <c r="C966" s="9" t="s">
        <v>56</v>
      </c>
      <c r="D966" s="9" t="s">
        <v>26</v>
      </c>
      <c r="E966" s="9" t="s">
        <v>124</v>
      </c>
      <c r="F966" s="9" t="s">
        <v>65</v>
      </c>
      <c r="G966" s="9" t="s">
        <v>2275</v>
      </c>
      <c r="H966" s="9" t="s">
        <v>283</v>
      </c>
      <c r="I966" s="9" t="s">
        <v>2268</v>
      </c>
      <c r="J966" s="9" t="s">
        <v>2269</v>
      </c>
      <c r="K966" s="9" t="s">
        <v>517</v>
      </c>
      <c r="L966" s="9" t="s">
        <v>2229</v>
      </c>
      <c r="M966" s="9" t="s">
        <v>2258</v>
      </c>
      <c r="N966" s="9" t="s">
        <v>2270</v>
      </c>
      <c r="O966" s="9" t="s">
        <v>189</v>
      </c>
      <c r="P966" s="9" t="s">
        <v>2232</v>
      </c>
      <c r="Q966" s="9" t="s">
        <v>2259</v>
      </c>
      <c r="R966" s="9" t="s">
        <v>701</v>
      </c>
      <c r="S966" s="9" t="s">
        <v>2234</v>
      </c>
      <c r="T966" s="9" t="s">
        <v>2260</v>
      </c>
      <c r="U966" s="19" t="n">
        <v>35</v>
      </c>
      <c r="V966" s="9"/>
      <c r="W966" s="9"/>
      <c r="X966" s="9" t="s">
        <v>205</v>
      </c>
      <c r="Y966" s="23" t="n">
        <v>2.099E-005</v>
      </c>
      <c r="Z966" s="23" t="n">
        <v>4.82E-005</v>
      </c>
      <c r="AA966" s="23" t="n">
        <v>3</v>
      </c>
      <c r="AB966" s="9" t="s">
        <v>2229</v>
      </c>
      <c r="AC966" s="9" t="s">
        <v>2261</v>
      </c>
      <c r="AD966" s="23" t="s">
        <v>197</v>
      </c>
      <c r="AE966" s="23" t="s">
        <v>197</v>
      </c>
      <c r="AF966" s="23" t="s">
        <v>197</v>
      </c>
      <c r="AG966" s="23" t="s">
        <v>197</v>
      </c>
      <c r="AH966" s="23" t="s">
        <v>197</v>
      </c>
      <c r="AI966" s="23" t="s">
        <v>197</v>
      </c>
      <c r="AJ966" s="23" t="n">
        <v>15</v>
      </c>
      <c r="AK966" s="23" t="s">
        <v>197</v>
      </c>
      <c r="AL966" s="23" t="n">
        <v>90</v>
      </c>
      <c r="AM966" s="9" t="s">
        <v>257</v>
      </c>
      <c r="AN966" s="23" t="s">
        <v>197</v>
      </c>
      <c r="AO966" s="23" t="n">
        <v>2</v>
      </c>
      <c r="AP966" s="23" t="n">
        <v>2.7</v>
      </c>
    </row>
    <row r="967" customFormat="false" ht="21.75" hidden="false" customHeight="true" outlineLevel="0" collapsed="false">
      <c r="B967" s="14" t="n">
        <v>963</v>
      </c>
      <c r="C967" s="7" t="s">
        <v>56</v>
      </c>
      <c r="D967" s="7" t="s">
        <v>26</v>
      </c>
      <c r="E967" s="7" t="s">
        <v>124</v>
      </c>
      <c r="F967" s="7" t="s">
        <v>66</v>
      </c>
      <c r="G967" s="7" t="s">
        <v>391</v>
      </c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18"/>
      <c r="V967" s="7"/>
      <c r="W967" s="7"/>
      <c r="X967" s="7" t="s">
        <v>2276</v>
      </c>
      <c r="Y967" s="22" t="s">
        <v>197</v>
      </c>
      <c r="Z967" s="22" t="s">
        <v>197</v>
      </c>
      <c r="AA967" s="22" t="s">
        <v>197</v>
      </c>
      <c r="AB967" s="7" t="s">
        <v>197</v>
      </c>
      <c r="AC967" s="7" t="s">
        <v>197</v>
      </c>
      <c r="AD967" s="22" t="s">
        <v>197</v>
      </c>
      <c r="AE967" s="22" t="s">
        <v>197</v>
      </c>
      <c r="AF967" s="22" t="s">
        <v>197</v>
      </c>
      <c r="AG967" s="22" t="s">
        <v>197</v>
      </c>
      <c r="AH967" s="22" t="s">
        <v>197</v>
      </c>
      <c r="AI967" s="22" t="s">
        <v>197</v>
      </c>
      <c r="AJ967" s="22" t="s">
        <v>197</v>
      </c>
      <c r="AK967" s="22" t="s">
        <v>197</v>
      </c>
      <c r="AL967" s="22" t="s">
        <v>197</v>
      </c>
      <c r="AM967" s="7" t="s">
        <v>197</v>
      </c>
      <c r="AN967" s="22" t="s">
        <v>197</v>
      </c>
      <c r="AO967" s="22" t="s">
        <v>197</v>
      </c>
      <c r="AP967" s="22" t="s">
        <v>197</v>
      </c>
    </row>
    <row r="968" customFormat="false" ht="21.75" hidden="false" customHeight="true" outlineLevel="0" collapsed="false">
      <c r="B968" s="15" t="n">
        <v>964</v>
      </c>
      <c r="C968" s="9" t="s">
        <v>56</v>
      </c>
      <c r="D968" s="9" t="s">
        <v>26</v>
      </c>
      <c r="E968" s="9" t="s">
        <v>124</v>
      </c>
      <c r="F968" s="9" t="s">
        <v>67</v>
      </c>
      <c r="G968" s="9" t="s">
        <v>2277</v>
      </c>
      <c r="H968" s="9" t="s">
        <v>303</v>
      </c>
      <c r="I968" s="9" t="s">
        <v>721</v>
      </c>
      <c r="J968" s="9" t="s">
        <v>2278</v>
      </c>
      <c r="K968" s="9" t="s">
        <v>517</v>
      </c>
      <c r="L968" s="9" t="s">
        <v>2229</v>
      </c>
      <c r="M968" s="9" t="s">
        <v>2279</v>
      </c>
      <c r="N968" s="9" t="s">
        <v>723</v>
      </c>
      <c r="O968" s="9" t="s">
        <v>189</v>
      </c>
      <c r="P968" s="9" t="s">
        <v>2232</v>
      </c>
      <c r="Q968" s="9" t="s">
        <v>2280</v>
      </c>
      <c r="R968" s="9" t="s">
        <v>1228</v>
      </c>
      <c r="S968" s="9" t="s">
        <v>2234</v>
      </c>
      <c r="T968" s="9" t="s">
        <v>2281</v>
      </c>
      <c r="U968" s="19" t="n">
        <v>8</v>
      </c>
      <c r="V968" s="9"/>
      <c r="W968" s="9"/>
      <c r="X968" s="9" t="s">
        <v>195</v>
      </c>
      <c r="Y968" s="23" t="n">
        <v>1.306E-005</v>
      </c>
      <c r="Z968" s="23" t="n">
        <v>2.824E-005</v>
      </c>
      <c r="AA968" s="23" t="n">
        <v>3</v>
      </c>
      <c r="AB968" s="9" t="s">
        <v>2229</v>
      </c>
      <c r="AC968" s="9" t="s">
        <v>2261</v>
      </c>
      <c r="AD968" s="23" t="s">
        <v>197</v>
      </c>
      <c r="AE968" s="23" t="s">
        <v>197</v>
      </c>
      <c r="AF968" s="23" t="s">
        <v>197</v>
      </c>
      <c r="AG968" s="23" t="s">
        <v>197</v>
      </c>
      <c r="AH968" s="23" t="s">
        <v>197</v>
      </c>
      <c r="AI968" s="23" t="s">
        <v>197</v>
      </c>
      <c r="AJ968" s="23" t="s">
        <v>197</v>
      </c>
      <c r="AK968" s="23" t="s">
        <v>197</v>
      </c>
      <c r="AL968" s="23" t="s">
        <v>197</v>
      </c>
      <c r="AM968" s="9" t="s">
        <v>310</v>
      </c>
      <c r="AN968" s="23" t="s">
        <v>197</v>
      </c>
      <c r="AO968" s="23" t="s">
        <v>197</v>
      </c>
      <c r="AP968" s="23" t="s">
        <v>197</v>
      </c>
    </row>
    <row r="969" customFormat="false" ht="21.75" hidden="false" customHeight="true" outlineLevel="0" collapsed="false">
      <c r="B969" s="14" t="n">
        <v>965</v>
      </c>
      <c r="C969" s="7" t="s">
        <v>56</v>
      </c>
      <c r="D969" s="7" t="s">
        <v>26</v>
      </c>
      <c r="E969" s="7" t="s">
        <v>124</v>
      </c>
      <c r="F969" s="7" t="s">
        <v>67</v>
      </c>
      <c r="G969" s="7" t="s">
        <v>2282</v>
      </c>
      <c r="H969" s="7" t="s">
        <v>312</v>
      </c>
      <c r="I969" s="7" t="s">
        <v>721</v>
      </c>
      <c r="J969" s="7" t="s">
        <v>2278</v>
      </c>
      <c r="K969" s="7" t="s">
        <v>517</v>
      </c>
      <c r="L969" s="7" t="s">
        <v>2229</v>
      </c>
      <c r="M969" s="7" t="s">
        <v>2279</v>
      </c>
      <c r="N969" s="7" t="s">
        <v>723</v>
      </c>
      <c r="O969" s="7" t="s">
        <v>189</v>
      </c>
      <c r="P969" s="7" t="s">
        <v>2232</v>
      </c>
      <c r="Q969" s="7" t="s">
        <v>2280</v>
      </c>
      <c r="R969" s="7" t="s">
        <v>1228</v>
      </c>
      <c r="S969" s="7" t="s">
        <v>2234</v>
      </c>
      <c r="T969" s="7" t="s">
        <v>2281</v>
      </c>
      <c r="U969" s="18" t="n">
        <v>8</v>
      </c>
      <c r="V969" s="7"/>
      <c r="W969" s="7"/>
      <c r="X969" s="7" t="s">
        <v>199</v>
      </c>
      <c r="Y969" s="22" t="n">
        <v>1.165E-005</v>
      </c>
      <c r="Z969" s="22" t="n">
        <v>2.559E-005</v>
      </c>
      <c r="AA969" s="22" t="n">
        <v>3</v>
      </c>
      <c r="AB969" s="7" t="s">
        <v>2229</v>
      </c>
      <c r="AC969" s="7" t="s">
        <v>2261</v>
      </c>
      <c r="AD969" s="22" t="s">
        <v>197</v>
      </c>
      <c r="AE969" s="22" t="s">
        <v>197</v>
      </c>
      <c r="AF969" s="22" t="s">
        <v>197</v>
      </c>
      <c r="AG969" s="22" t="s">
        <v>197</v>
      </c>
      <c r="AH969" s="22" t="s">
        <v>197</v>
      </c>
      <c r="AI969" s="22" t="s">
        <v>197</v>
      </c>
      <c r="AJ969" s="22" t="s">
        <v>197</v>
      </c>
      <c r="AK969" s="22" t="s">
        <v>197</v>
      </c>
      <c r="AL969" s="22" t="s">
        <v>197</v>
      </c>
      <c r="AM969" s="7" t="s">
        <v>310</v>
      </c>
      <c r="AN969" s="22" t="s">
        <v>197</v>
      </c>
      <c r="AO969" s="22" t="s">
        <v>197</v>
      </c>
      <c r="AP969" s="22" t="s">
        <v>197</v>
      </c>
    </row>
    <row r="970" customFormat="false" ht="21.75" hidden="false" customHeight="true" outlineLevel="0" collapsed="false">
      <c r="B970" s="15" t="n">
        <v>966</v>
      </c>
      <c r="C970" s="9" t="s">
        <v>56</v>
      </c>
      <c r="D970" s="9" t="s">
        <v>26</v>
      </c>
      <c r="E970" s="9" t="s">
        <v>124</v>
      </c>
      <c r="F970" s="9" t="s">
        <v>67</v>
      </c>
      <c r="G970" s="9" t="s">
        <v>2283</v>
      </c>
      <c r="H970" s="9" t="s">
        <v>314</v>
      </c>
      <c r="I970" s="9" t="s">
        <v>721</v>
      </c>
      <c r="J970" s="9" t="s">
        <v>2278</v>
      </c>
      <c r="K970" s="9" t="s">
        <v>517</v>
      </c>
      <c r="L970" s="9" t="s">
        <v>2229</v>
      </c>
      <c r="M970" s="9" t="s">
        <v>2279</v>
      </c>
      <c r="N970" s="9" t="s">
        <v>723</v>
      </c>
      <c r="O970" s="9" t="s">
        <v>189</v>
      </c>
      <c r="P970" s="9" t="s">
        <v>2232</v>
      </c>
      <c r="Q970" s="9" t="s">
        <v>2280</v>
      </c>
      <c r="R970" s="9" t="s">
        <v>1228</v>
      </c>
      <c r="S970" s="9" t="s">
        <v>2234</v>
      </c>
      <c r="T970" s="9" t="s">
        <v>2281</v>
      </c>
      <c r="U970" s="19" t="n">
        <v>8</v>
      </c>
      <c r="V970" s="9"/>
      <c r="W970" s="9"/>
      <c r="X970" s="9" t="s">
        <v>2284</v>
      </c>
      <c r="Y970" s="23" t="n">
        <v>7.36E-006</v>
      </c>
      <c r="Z970" s="23" t="n">
        <v>1.755E-005</v>
      </c>
      <c r="AA970" s="23" t="n">
        <v>3</v>
      </c>
      <c r="AB970" s="9" t="s">
        <v>2229</v>
      </c>
      <c r="AC970" s="9" t="s">
        <v>2261</v>
      </c>
      <c r="AD970" s="23" t="s">
        <v>197</v>
      </c>
      <c r="AE970" s="23" t="s">
        <v>197</v>
      </c>
      <c r="AF970" s="23" t="s">
        <v>197</v>
      </c>
      <c r="AG970" s="23" t="s">
        <v>197</v>
      </c>
      <c r="AH970" s="23" t="s">
        <v>197</v>
      </c>
      <c r="AI970" s="23" t="s">
        <v>197</v>
      </c>
      <c r="AJ970" s="23" t="s">
        <v>197</v>
      </c>
      <c r="AK970" s="23" t="s">
        <v>197</v>
      </c>
      <c r="AL970" s="23" t="s">
        <v>197</v>
      </c>
      <c r="AM970" s="9" t="s">
        <v>310</v>
      </c>
      <c r="AN970" s="23" t="s">
        <v>197</v>
      </c>
      <c r="AO970" s="23" t="s">
        <v>197</v>
      </c>
      <c r="AP970" s="23" t="s">
        <v>197</v>
      </c>
    </row>
    <row r="971" customFormat="false" ht="21.75" hidden="false" customHeight="true" outlineLevel="0" collapsed="false">
      <c r="B971" s="14" t="n">
        <v>967</v>
      </c>
      <c r="C971" s="7" t="s">
        <v>56</v>
      </c>
      <c r="D971" s="7" t="s">
        <v>26</v>
      </c>
      <c r="E971" s="7" t="s">
        <v>124</v>
      </c>
      <c r="F971" s="7" t="s">
        <v>67</v>
      </c>
      <c r="G971" s="7" t="s">
        <v>2285</v>
      </c>
      <c r="H971" s="7" t="s">
        <v>317</v>
      </c>
      <c r="I971" s="7" t="s">
        <v>721</v>
      </c>
      <c r="J971" s="7" t="s">
        <v>2278</v>
      </c>
      <c r="K971" s="7" t="s">
        <v>517</v>
      </c>
      <c r="L971" s="7" t="s">
        <v>2229</v>
      </c>
      <c r="M971" s="7" t="s">
        <v>2279</v>
      </c>
      <c r="N971" s="7" t="s">
        <v>723</v>
      </c>
      <c r="O971" s="7" t="s">
        <v>189</v>
      </c>
      <c r="P971" s="7" t="s">
        <v>2232</v>
      </c>
      <c r="Q971" s="7" t="s">
        <v>2280</v>
      </c>
      <c r="R971" s="7" t="s">
        <v>1228</v>
      </c>
      <c r="S971" s="7" t="s">
        <v>2234</v>
      </c>
      <c r="T971" s="7" t="s">
        <v>2281</v>
      </c>
      <c r="U971" s="18" t="n">
        <v>12</v>
      </c>
      <c r="V971" s="7"/>
      <c r="W971" s="7"/>
      <c r="X971" s="7" t="s">
        <v>203</v>
      </c>
      <c r="Y971" s="22" t="n">
        <v>1.128E-005</v>
      </c>
      <c r="Z971" s="22" t="n">
        <v>2.491E-005</v>
      </c>
      <c r="AA971" s="22" t="n">
        <v>3</v>
      </c>
      <c r="AB971" s="7" t="s">
        <v>2229</v>
      </c>
      <c r="AC971" s="7" t="s">
        <v>2261</v>
      </c>
      <c r="AD971" s="22" t="s">
        <v>197</v>
      </c>
      <c r="AE971" s="22" t="s">
        <v>197</v>
      </c>
      <c r="AF971" s="22" t="s">
        <v>197</v>
      </c>
      <c r="AG971" s="22" t="s">
        <v>197</v>
      </c>
      <c r="AH971" s="22" t="s">
        <v>197</v>
      </c>
      <c r="AI971" s="22" t="s">
        <v>197</v>
      </c>
      <c r="AJ971" s="22" t="s">
        <v>197</v>
      </c>
      <c r="AK971" s="22" t="s">
        <v>197</v>
      </c>
      <c r="AL971" s="22" t="s">
        <v>197</v>
      </c>
      <c r="AM971" s="7" t="s">
        <v>310</v>
      </c>
      <c r="AN971" s="22" t="s">
        <v>197</v>
      </c>
      <c r="AO971" s="22" t="s">
        <v>197</v>
      </c>
      <c r="AP971" s="22" t="s">
        <v>197</v>
      </c>
    </row>
    <row r="972" customFormat="false" ht="21.75" hidden="false" customHeight="true" outlineLevel="0" collapsed="false">
      <c r="B972" s="15" t="n">
        <v>968</v>
      </c>
      <c r="C972" s="9" t="s">
        <v>56</v>
      </c>
      <c r="D972" s="9" t="s">
        <v>26</v>
      </c>
      <c r="E972" s="9" t="s">
        <v>124</v>
      </c>
      <c r="F972" s="9" t="s">
        <v>67</v>
      </c>
      <c r="G972" s="9" t="s">
        <v>2286</v>
      </c>
      <c r="H972" s="9" t="s">
        <v>319</v>
      </c>
      <c r="I972" s="9" t="s">
        <v>721</v>
      </c>
      <c r="J972" s="9" t="s">
        <v>2278</v>
      </c>
      <c r="K972" s="9" t="s">
        <v>517</v>
      </c>
      <c r="L972" s="9" t="s">
        <v>2229</v>
      </c>
      <c r="M972" s="9" t="s">
        <v>2279</v>
      </c>
      <c r="N972" s="9" t="s">
        <v>723</v>
      </c>
      <c r="O972" s="9" t="s">
        <v>189</v>
      </c>
      <c r="P972" s="9" t="s">
        <v>2232</v>
      </c>
      <c r="Q972" s="9" t="s">
        <v>2280</v>
      </c>
      <c r="R972" s="9" t="s">
        <v>1228</v>
      </c>
      <c r="S972" s="9" t="s">
        <v>2234</v>
      </c>
      <c r="T972" s="9" t="s">
        <v>2281</v>
      </c>
      <c r="U972" s="19" t="n">
        <v>18</v>
      </c>
      <c r="V972" s="9"/>
      <c r="W972" s="9"/>
      <c r="X972" s="9" t="s">
        <v>205</v>
      </c>
      <c r="Y972" s="23" t="n">
        <v>7.59E-006</v>
      </c>
      <c r="Z972" s="23" t="n">
        <v>1.798E-005</v>
      </c>
      <c r="AA972" s="23" t="n">
        <v>3</v>
      </c>
      <c r="AB972" s="9" t="s">
        <v>2229</v>
      </c>
      <c r="AC972" s="9" t="s">
        <v>2261</v>
      </c>
      <c r="AD972" s="23" t="s">
        <v>197</v>
      </c>
      <c r="AE972" s="23" t="s">
        <v>197</v>
      </c>
      <c r="AF972" s="23" t="s">
        <v>197</v>
      </c>
      <c r="AG972" s="23" t="s">
        <v>197</v>
      </c>
      <c r="AH972" s="23" t="s">
        <v>197</v>
      </c>
      <c r="AI972" s="23" t="s">
        <v>197</v>
      </c>
      <c r="AJ972" s="23" t="s">
        <v>197</v>
      </c>
      <c r="AK972" s="23" t="s">
        <v>197</v>
      </c>
      <c r="AL972" s="23" t="s">
        <v>197</v>
      </c>
      <c r="AM972" s="9" t="s">
        <v>310</v>
      </c>
      <c r="AN972" s="23" t="s">
        <v>197</v>
      </c>
      <c r="AO972" s="23" t="s">
        <v>197</v>
      </c>
      <c r="AP972" s="23" t="s">
        <v>197</v>
      </c>
    </row>
    <row r="973" customFormat="false" ht="21.75" hidden="false" customHeight="true" outlineLevel="0" collapsed="false">
      <c r="B973" s="14" t="n">
        <v>969</v>
      </c>
      <c r="C973" s="7" t="s">
        <v>56</v>
      </c>
      <c r="D973" s="7" t="s">
        <v>26</v>
      </c>
      <c r="E973" s="7" t="s">
        <v>124</v>
      </c>
      <c r="F973" s="7" t="s">
        <v>68</v>
      </c>
      <c r="G973" s="7" t="s">
        <v>2287</v>
      </c>
      <c r="H973" s="7" t="s">
        <v>321</v>
      </c>
      <c r="I973" s="7" t="s">
        <v>1016</v>
      </c>
      <c r="J973" s="7" t="s">
        <v>2288</v>
      </c>
      <c r="K973" s="7" t="s">
        <v>517</v>
      </c>
      <c r="L973" s="7" t="s">
        <v>2229</v>
      </c>
      <c r="M973" s="7" t="s">
        <v>2279</v>
      </c>
      <c r="N973" s="7" t="s">
        <v>1437</v>
      </c>
      <c r="O973" s="7" t="s">
        <v>189</v>
      </c>
      <c r="P973" s="7" t="s">
        <v>2232</v>
      </c>
      <c r="Q973" s="7" t="s">
        <v>2289</v>
      </c>
      <c r="R973" s="7" t="s">
        <v>254</v>
      </c>
      <c r="S973" s="7" t="s">
        <v>2234</v>
      </c>
      <c r="T973" s="7" t="s">
        <v>2290</v>
      </c>
      <c r="U973" s="18" t="n">
        <v>8</v>
      </c>
      <c r="V973" s="7"/>
      <c r="W973" s="7"/>
      <c r="X973" s="7" t="s">
        <v>195</v>
      </c>
      <c r="Y973" s="22" t="n">
        <v>0.018</v>
      </c>
      <c r="Z973" s="22" t="n">
        <v>0.028</v>
      </c>
      <c r="AA973" s="22" t="n">
        <v>12</v>
      </c>
      <c r="AB973" s="7" t="s">
        <v>2229</v>
      </c>
      <c r="AC973" s="7" t="s">
        <v>2261</v>
      </c>
      <c r="AD973" s="22" t="s">
        <v>197</v>
      </c>
      <c r="AE973" s="22" t="s">
        <v>197</v>
      </c>
      <c r="AF973" s="22" t="s">
        <v>197</v>
      </c>
      <c r="AG973" s="22" t="s">
        <v>197</v>
      </c>
      <c r="AH973" s="22" t="s">
        <v>197</v>
      </c>
      <c r="AI973" s="22" t="s">
        <v>197</v>
      </c>
      <c r="AJ973" s="22" t="n">
        <v>6</v>
      </c>
      <c r="AK973" s="22" t="s">
        <v>197</v>
      </c>
      <c r="AL973" s="22" t="s">
        <v>197</v>
      </c>
      <c r="AM973" s="7" t="s">
        <v>328</v>
      </c>
      <c r="AN973" s="22" t="s">
        <v>197</v>
      </c>
      <c r="AO973" s="22" t="n">
        <v>2</v>
      </c>
      <c r="AP973" s="22" t="n">
        <v>4.6</v>
      </c>
    </row>
    <row r="974" customFormat="false" ht="21.75" hidden="false" customHeight="true" outlineLevel="0" collapsed="false">
      <c r="B974" s="15" t="n">
        <v>970</v>
      </c>
      <c r="C974" s="9" t="s">
        <v>56</v>
      </c>
      <c r="D974" s="9" t="s">
        <v>26</v>
      </c>
      <c r="E974" s="9" t="s">
        <v>124</v>
      </c>
      <c r="F974" s="9" t="s">
        <v>68</v>
      </c>
      <c r="G974" s="9" t="s">
        <v>2291</v>
      </c>
      <c r="H974" s="9" t="s">
        <v>330</v>
      </c>
      <c r="I974" s="9" t="s">
        <v>1016</v>
      </c>
      <c r="J974" s="9" t="s">
        <v>2288</v>
      </c>
      <c r="K974" s="9" t="s">
        <v>517</v>
      </c>
      <c r="L974" s="9" t="s">
        <v>2229</v>
      </c>
      <c r="M974" s="9" t="s">
        <v>2279</v>
      </c>
      <c r="N974" s="9" t="s">
        <v>1437</v>
      </c>
      <c r="O974" s="9" t="s">
        <v>189</v>
      </c>
      <c r="P974" s="9" t="s">
        <v>2232</v>
      </c>
      <c r="Q974" s="9" t="s">
        <v>2289</v>
      </c>
      <c r="R974" s="9" t="s">
        <v>254</v>
      </c>
      <c r="S974" s="9" t="s">
        <v>2234</v>
      </c>
      <c r="T974" s="9" t="s">
        <v>2290</v>
      </c>
      <c r="U974" s="19" t="n">
        <v>9</v>
      </c>
      <c r="V974" s="9"/>
      <c r="W974" s="9"/>
      <c r="X974" s="9" t="s">
        <v>199</v>
      </c>
      <c r="Y974" s="23" t="n">
        <v>0.017</v>
      </c>
      <c r="Z974" s="23" t="n">
        <v>0.026</v>
      </c>
      <c r="AA974" s="23" t="n">
        <v>12</v>
      </c>
      <c r="AB974" s="9" t="s">
        <v>2229</v>
      </c>
      <c r="AC974" s="9" t="s">
        <v>2261</v>
      </c>
      <c r="AD974" s="23" t="s">
        <v>197</v>
      </c>
      <c r="AE974" s="23" t="s">
        <v>197</v>
      </c>
      <c r="AF974" s="23" t="s">
        <v>197</v>
      </c>
      <c r="AG974" s="23" t="s">
        <v>197</v>
      </c>
      <c r="AH974" s="23" t="s">
        <v>197</v>
      </c>
      <c r="AI974" s="23" t="s">
        <v>197</v>
      </c>
      <c r="AJ974" s="23" t="n">
        <v>7.6</v>
      </c>
      <c r="AK974" s="23" t="s">
        <v>197</v>
      </c>
      <c r="AL974" s="23" t="s">
        <v>197</v>
      </c>
      <c r="AM974" s="9" t="s">
        <v>328</v>
      </c>
      <c r="AN974" s="23" t="s">
        <v>197</v>
      </c>
      <c r="AO974" s="23" t="n">
        <v>2</v>
      </c>
      <c r="AP974" s="23" t="n">
        <v>4.6</v>
      </c>
    </row>
    <row r="975" customFormat="false" ht="21.75" hidden="false" customHeight="true" outlineLevel="0" collapsed="false">
      <c r="B975" s="14" t="n">
        <v>971</v>
      </c>
      <c r="C975" s="7" t="s">
        <v>56</v>
      </c>
      <c r="D975" s="7" t="s">
        <v>26</v>
      </c>
      <c r="E975" s="7" t="s">
        <v>124</v>
      </c>
      <c r="F975" s="7" t="s">
        <v>68</v>
      </c>
      <c r="G975" s="7" t="s">
        <v>2292</v>
      </c>
      <c r="H975" s="7" t="s">
        <v>332</v>
      </c>
      <c r="I975" s="7" t="s">
        <v>1016</v>
      </c>
      <c r="J975" s="7" t="s">
        <v>2288</v>
      </c>
      <c r="K975" s="7" t="s">
        <v>517</v>
      </c>
      <c r="L975" s="7" t="s">
        <v>2229</v>
      </c>
      <c r="M975" s="7" t="s">
        <v>2279</v>
      </c>
      <c r="N975" s="7" t="s">
        <v>1437</v>
      </c>
      <c r="O975" s="7" t="s">
        <v>189</v>
      </c>
      <c r="P975" s="7" t="s">
        <v>2232</v>
      </c>
      <c r="Q975" s="7" t="s">
        <v>2289</v>
      </c>
      <c r="R975" s="7" t="s">
        <v>254</v>
      </c>
      <c r="S975" s="7" t="s">
        <v>2234</v>
      </c>
      <c r="T975" s="7" t="s">
        <v>2290</v>
      </c>
      <c r="U975" s="18" t="n">
        <v>12</v>
      </c>
      <c r="V975" s="7"/>
      <c r="W975" s="7"/>
      <c r="X975" s="7" t="s">
        <v>2293</v>
      </c>
      <c r="Y975" s="22" t="n">
        <v>0.02</v>
      </c>
      <c r="Z975" s="22" t="n">
        <v>0.029</v>
      </c>
      <c r="AA975" s="22" t="n">
        <v>12</v>
      </c>
      <c r="AB975" s="7" t="s">
        <v>2229</v>
      </c>
      <c r="AC975" s="7" t="s">
        <v>2261</v>
      </c>
      <c r="AD975" s="22" t="s">
        <v>197</v>
      </c>
      <c r="AE975" s="22" t="s">
        <v>197</v>
      </c>
      <c r="AF975" s="22" t="s">
        <v>197</v>
      </c>
      <c r="AG975" s="22" t="s">
        <v>197</v>
      </c>
      <c r="AH975" s="22" t="s">
        <v>197</v>
      </c>
      <c r="AI975" s="22" t="s">
        <v>197</v>
      </c>
      <c r="AJ975" s="22" t="n">
        <v>7.6</v>
      </c>
      <c r="AK975" s="22" t="s">
        <v>197</v>
      </c>
      <c r="AL975" s="22" t="s">
        <v>197</v>
      </c>
      <c r="AM975" s="7" t="s">
        <v>328</v>
      </c>
      <c r="AN975" s="22" t="s">
        <v>197</v>
      </c>
      <c r="AO975" s="22" t="n">
        <v>2</v>
      </c>
      <c r="AP975" s="22" t="n">
        <v>4.6</v>
      </c>
    </row>
    <row r="976" customFormat="false" ht="21.75" hidden="false" customHeight="true" outlineLevel="0" collapsed="false">
      <c r="B976" s="15" t="n">
        <v>972</v>
      </c>
      <c r="C976" s="9" t="s">
        <v>56</v>
      </c>
      <c r="D976" s="9" t="s">
        <v>26</v>
      </c>
      <c r="E976" s="9" t="s">
        <v>124</v>
      </c>
      <c r="F976" s="9" t="s">
        <v>68</v>
      </c>
      <c r="G976" s="9" t="s">
        <v>2294</v>
      </c>
      <c r="H976" s="9" t="s">
        <v>335</v>
      </c>
      <c r="I976" s="9" t="s">
        <v>1016</v>
      </c>
      <c r="J976" s="9" t="s">
        <v>2288</v>
      </c>
      <c r="K976" s="9" t="s">
        <v>517</v>
      </c>
      <c r="L976" s="9" t="s">
        <v>2229</v>
      </c>
      <c r="M976" s="9" t="s">
        <v>2279</v>
      </c>
      <c r="N976" s="9" t="s">
        <v>1437</v>
      </c>
      <c r="O976" s="9" t="s">
        <v>189</v>
      </c>
      <c r="P976" s="9" t="s">
        <v>2232</v>
      </c>
      <c r="Q976" s="9" t="s">
        <v>2289</v>
      </c>
      <c r="R976" s="9" t="s">
        <v>254</v>
      </c>
      <c r="S976" s="9" t="s">
        <v>2234</v>
      </c>
      <c r="T976" s="9" t="s">
        <v>2290</v>
      </c>
      <c r="U976" s="19" t="n">
        <v>18</v>
      </c>
      <c r="V976" s="9"/>
      <c r="W976" s="9"/>
      <c r="X976" s="9" t="s">
        <v>203</v>
      </c>
      <c r="Y976" s="23" t="n">
        <v>0.018</v>
      </c>
      <c r="Z976" s="23" t="n">
        <v>0.028</v>
      </c>
      <c r="AA976" s="23" t="n">
        <v>12</v>
      </c>
      <c r="AB976" s="9" t="s">
        <v>2229</v>
      </c>
      <c r="AC976" s="9" t="s">
        <v>2261</v>
      </c>
      <c r="AD976" s="23" t="s">
        <v>197</v>
      </c>
      <c r="AE976" s="23" t="s">
        <v>197</v>
      </c>
      <c r="AF976" s="23" t="s">
        <v>197</v>
      </c>
      <c r="AG976" s="23" t="s">
        <v>197</v>
      </c>
      <c r="AH976" s="23" t="s">
        <v>197</v>
      </c>
      <c r="AI976" s="23" t="s">
        <v>197</v>
      </c>
      <c r="AJ976" s="23" t="n">
        <v>9</v>
      </c>
      <c r="AK976" s="23" t="s">
        <v>197</v>
      </c>
      <c r="AL976" s="23" t="s">
        <v>197</v>
      </c>
      <c r="AM976" s="9" t="s">
        <v>328</v>
      </c>
      <c r="AN976" s="23" t="s">
        <v>197</v>
      </c>
      <c r="AO976" s="23" t="n">
        <v>2</v>
      </c>
      <c r="AP976" s="23" t="n">
        <v>4.6</v>
      </c>
    </row>
    <row r="977" customFormat="false" ht="21.75" hidden="false" customHeight="true" outlineLevel="0" collapsed="false">
      <c r="B977" s="14" t="n">
        <v>973</v>
      </c>
      <c r="C977" s="7" t="s">
        <v>56</v>
      </c>
      <c r="D977" s="7" t="s">
        <v>26</v>
      </c>
      <c r="E977" s="7" t="s">
        <v>124</v>
      </c>
      <c r="F977" s="7" t="s">
        <v>68</v>
      </c>
      <c r="G977" s="7" t="s">
        <v>2295</v>
      </c>
      <c r="H977" s="7" t="s">
        <v>337</v>
      </c>
      <c r="I977" s="7" t="s">
        <v>1016</v>
      </c>
      <c r="J977" s="7" t="s">
        <v>2288</v>
      </c>
      <c r="K977" s="7" t="s">
        <v>517</v>
      </c>
      <c r="L977" s="7" t="s">
        <v>2229</v>
      </c>
      <c r="M977" s="7" t="s">
        <v>2279</v>
      </c>
      <c r="N977" s="7" t="s">
        <v>1437</v>
      </c>
      <c r="O977" s="7" t="s">
        <v>189</v>
      </c>
      <c r="P977" s="7" t="s">
        <v>2232</v>
      </c>
      <c r="Q977" s="7" t="s">
        <v>2289</v>
      </c>
      <c r="R977" s="7" t="s">
        <v>254</v>
      </c>
      <c r="S977" s="7" t="s">
        <v>2234</v>
      </c>
      <c r="T977" s="7" t="s">
        <v>2290</v>
      </c>
      <c r="U977" s="18" t="n">
        <v>25</v>
      </c>
      <c r="V977" s="7"/>
      <c r="W977" s="7"/>
      <c r="X977" s="7" t="s">
        <v>205</v>
      </c>
      <c r="Y977" s="22" t="n">
        <v>0.019</v>
      </c>
      <c r="Z977" s="22" t="n">
        <v>0.029</v>
      </c>
      <c r="AA977" s="22" t="n">
        <v>12</v>
      </c>
      <c r="AB977" s="7" t="s">
        <v>2229</v>
      </c>
      <c r="AC977" s="7" t="s">
        <v>2261</v>
      </c>
      <c r="AD977" s="22" t="s">
        <v>197</v>
      </c>
      <c r="AE977" s="22" t="s">
        <v>197</v>
      </c>
      <c r="AF977" s="22" t="s">
        <v>197</v>
      </c>
      <c r="AG977" s="22" t="s">
        <v>197</v>
      </c>
      <c r="AH977" s="22" t="s">
        <v>197</v>
      </c>
      <c r="AI977" s="22" t="s">
        <v>197</v>
      </c>
      <c r="AJ977" s="22" t="n">
        <v>9</v>
      </c>
      <c r="AK977" s="22" t="s">
        <v>197</v>
      </c>
      <c r="AL977" s="22" t="s">
        <v>197</v>
      </c>
      <c r="AM977" s="7" t="s">
        <v>328</v>
      </c>
      <c r="AN977" s="22" t="s">
        <v>197</v>
      </c>
      <c r="AO977" s="22" t="n">
        <v>2</v>
      </c>
      <c r="AP977" s="22" t="n">
        <v>4.6</v>
      </c>
    </row>
    <row r="978" customFormat="false" ht="21.75" hidden="false" customHeight="true" outlineLevel="0" collapsed="false">
      <c r="B978" s="15" t="n">
        <v>974</v>
      </c>
      <c r="C978" s="9" t="s">
        <v>56</v>
      </c>
      <c r="D978" s="9" t="s">
        <v>26</v>
      </c>
      <c r="E978" s="9" t="s">
        <v>124</v>
      </c>
      <c r="F978" s="9" t="s">
        <v>69</v>
      </c>
      <c r="G978" s="9" t="s">
        <v>391</v>
      </c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19"/>
      <c r="V978" s="9"/>
      <c r="W978" s="9"/>
      <c r="X978" s="9" t="s">
        <v>2296</v>
      </c>
      <c r="Y978" s="23" t="s">
        <v>197</v>
      </c>
      <c r="Z978" s="23" t="s">
        <v>197</v>
      </c>
      <c r="AA978" s="23" t="s">
        <v>197</v>
      </c>
      <c r="AB978" s="9" t="s">
        <v>197</v>
      </c>
      <c r="AC978" s="9" t="s">
        <v>197</v>
      </c>
      <c r="AD978" s="23" t="s">
        <v>197</v>
      </c>
      <c r="AE978" s="23" t="s">
        <v>197</v>
      </c>
      <c r="AF978" s="23" t="s">
        <v>197</v>
      </c>
      <c r="AG978" s="23" t="s">
        <v>197</v>
      </c>
      <c r="AH978" s="23" t="s">
        <v>197</v>
      </c>
      <c r="AI978" s="23" t="s">
        <v>197</v>
      </c>
      <c r="AJ978" s="23" t="s">
        <v>197</v>
      </c>
      <c r="AK978" s="23" t="s">
        <v>197</v>
      </c>
      <c r="AL978" s="23" t="s">
        <v>197</v>
      </c>
      <c r="AM978" s="9" t="s">
        <v>197</v>
      </c>
      <c r="AN978" s="23" t="s">
        <v>197</v>
      </c>
      <c r="AO978" s="23" t="s">
        <v>197</v>
      </c>
      <c r="AP978" s="23" t="s">
        <v>197</v>
      </c>
    </row>
    <row r="979" customFormat="false" ht="21.75" hidden="false" customHeight="true" outlineLevel="0" collapsed="false">
      <c r="B979" s="14" t="n">
        <v>975</v>
      </c>
      <c r="C979" s="7" t="s">
        <v>56</v>
      </c>
      <c r="D979" s="7" t="s">
        <v>26</v>
      </c>
      <c r="E979" s="7" t="s">
        <v>124</v>
      </c>
      <c r="F979" s="7" t="s">
        <v>70</v>
      </c>
      <c r="G979" s="7" t="s">
        <v>2297</v>
      </c>
      <c r="H979" s="7" t="s">
        <v>359</v>
      </c>
      <c r="I979" s="7" t="s">
        <v>575</v>
      </c>
      <c r="J979" s="7" t="s">
        <v>2298</v>
      </c>
      <c r="K979" s="7" t="s">
        <v>517</v>
      </c>
      <c r="L979" s="7" t="s">
        <v>2229</v>
      </c>
      <c r="M979" s="7" t="s">
        <v>2258</v>
      </c>
      <c r="N979" s="7" t="s">
        <v>189</v>
      </c>
      <c r="O979" s="7" t="s">
        <v>189</v>
      </c>
      <c r="P979" s="7" t="s">
        <v>2232</v>
      </c>
      <c r="Q979" s="7" t="s">
        <v>2299</v>
      </c>
      <c r="R979" s="7" t="s">
        <v>838</v>
      </c>
      <c r="S979" s="7" t="s">
        <v>2234</v>
      </c>
      <c r="T979" s="7" t="s">
        <v>2260</v>
      </c>
      <c r="U979" s="18" t="n">
        <v>8</v>
      </c>
      <c r="V979" s="7"/>
      <c r="W979" s="7"/>
      <c r="X979" s="7" t="s">
        <v>195</v>
      </c>
      <c r="Y979" s="22" t="n">
        <v>2.155E-005</v>
      </c>
      <c r="Z979" s="22" t="n">
        <v>0.132</v>
      </c>
      <c r="AA979" s="22" t="n">
        <v>3</v>
      </c>
      <c r="AB979" s="7" t="s">
        <v>2229</v>
      </c>
      <c r="AC979" s="7" t="s">
        <v>2261</v>
      </c>
      <c r="AD979" s="22" t="s">
        <v>197</v>
      </c>
      <c r="AE979" s="22" t="s">
        <v>197</v>
      </c>
      <c r="AF979" s="22" t="s">
        <v>197</v>
      </c>
      <c r="AG979" s="22" t="s">
        <v>197</v>
      </c>
      <c r="AH979" s="22" t="s">
        <v>197</v>
      </c>
      <c r="AI979" s="22" t="s">
        <v>197</v>
      </c>
      <c r="AJ979" s="22" t="s">
        <v>197</v>
      </c>
      <c r="AK979" s="22" t="s">
        <v>197</v>
      </c>
      <c r="AL979" s="22" t="s">
        <v>197</v>
      </c>
      <c r="AM979" s="7" t="s">
        <v>197</v>
      </c>
      <c r="AN979" s="22" t="n">
        <v>4.4</v>
      </c>
      <c r="AO979" s="22" t="n">
        <v>2</v>
      </c>
      <c r="AP979" s="22" t="n">
        <v>3</v>
      </c>
    </row>
    <row r="980" customFormat="false" ht="21.75" hidden="false" customHeight="true" outlineLevel="0" collapsed="false">
      <c r="B980" s="15" t="n">
        <v>976</v>
      </c>
      <c r="C980" s="9" t="s">
        <v>56</v>
      </c>
      <c r="D980" s="9" t="s">
        <v>26</v>
      </c>
      <c r="E980" s="9" t="s">
        <v>124</v>
      </c>
      <c r="F980" s="9" t="s">
        <v>70</v>
      </c>
      <c r="G980" s="9" t="s">
        <v>2300</v>
      </c>
      <c r="H980" s="9" t="s">
        <v>367</v>
      </c>
      <c r="I980" s="9" t="s">
        <v>575</v>
      </c>
      <c r="J980" s="9" t="s">
        <v>2298</v>
      </c>
      <c r="K980" s="9" t="s">
        <v>517</v>
      </c>
      <c r="L980" s="9" t="s">
        <v>2229</v>
      </c>
      <c r="M980" s="9" t="s">
        <v>2258</v>
      </c>
      <c r="N980" s="9" t="s">
        <v>189</v>
      </c>
      <c r="O980" s="9" t="s">
        <v>189</v>
      </c>
      <c r="P980" s="9" t="s">
        <v>2232</v>
      </c>
      <c r="Q980" s="9" t="s">
        <v>2299</v>
      </c>
      <c r="R980" s="9" t="s">
        <v>838</v>
      </c>
      <c r="S980" s="9" t="s">
        <v>2234</v>
      </c>
      <c r="T980" s="9" t="s">
        <v>2260</v>
      </c>
      <c r="U980" s="19" t="n">
        <v>12</v>
      </c>
      <c r="V980" s="9"/>
      <c r="W980" s="9"/>
      <c r="X980" s="9" t="s">
        <v>199</v>
      </c>
      <c r="Y980" s="23" t="n">
        <v>9.14E-006</v>
      </c>
      <c r="Z980" s="23" t="n">
        <v>0.066</v>
      </c>
      <c r="AA980" s="23" t="n">
        <v>3</v>
      </c>
      <c r="AB980" s="9" t="s">
        <v>2229</v>
      </c>
      <c r="AC980" s="9" t="s">
        <v>2261</v>
      </c>
      <c r="AD980" s="23" t="s">
        <v>197</v>
      </c>
      <c r="AE980" s="23" t="s">
        <v>197</v>
      </c>
      <c r="AF980" s="23" t="s">
        <v>197</v>
      </c>
      <c r="AG980" s="23" t="s">
        <v>197</v>
      </c>
      <c r="AH980" s="23" t="s">
        <v>197</v>
      </c>
      <c r="AI980" s="23" t="s">
        <v>197</v>
      </c>
      <c r="AJ980" s="23" t="s">
        <v>197</v>
      </c>
      <c r="AK980" s="23" t="s">
        <v>197</v>
      </c>
      <c r="AL980" s="23" t="s">
        <v>197</v>
      </c>
      <c r="AM980" s="9" t="s">
        <v>197</v>
      </c>
      <c r="AN980" s="23" t="n">
        <v>2.2</v>
      </c>
      <c r="AO980" s="23" t="n">
        <v>2</v>
      </c>
      <c r="AP980" s="23" t="n">
        <v>3</v>
      </c>
    </row>
    <row r="981" customFormat="false" ht="21.75" hidden="false" customHeight="true" outlineLevel="0" collapsed="false">
      <c r="B981" s="14" t="n">
        <v>977</v>
      </c>
      <c r="C981" s="7" t="s">
        <v>56</v>
      </c>
      <c r="D981" s="7" t="s">
        <v>26</v>
      </c>
      <c r="E981" s="7" t="s">
        <v>124</v>
      </c>
      <c r="F981" s="7" t="s">
        <v>70</v>
      </c>
      <c r="G981" s="7" t="s">
        <v>2301</v>
      </c>
      <c r="H981" s="7" t="s">
        <v>369</v>
      </c>
      <c r="I981" s="7" t="s">
        <v>575</v>
      </c>
      <c r="J981" s="7" t="s">
        <v>2298</v>
      </c>
      <c r="K981" s="7" t="s">
        <v>517</v>
      </c>
      <c r="L981" s="7" t="s">
        <v>2229</v>
      </c>
      <c r="M981" s="7" t="s">
        <v>2258</v>
      </c>
      <c r="N981" s="7" t="s">
        <v>189</v>
      </c>
      <c r="O981" s="7" t="s">
        <v>189</v>
      </c>
      <c r="P981" s="7" t="s">
        <v>2232</v>
      </c>
      <c r="Q981" s="7" t="s">
        <v>2299</v>
      </c>
      <c r="R981" s="7" t="s">
        <v>838</v>
      </c>
      <c r="S981" s="7" t="s">
        <v>2234</v>
      </c>
      <c r="T981" s="7" t="s">
        <v>2260</v>
      </c>
      <c r="U981" s="18" t="n">
        <v>16</v>
      </c>
      <c r="V981" s="7"/>
      <c r="W981" s="7"/>
      <c r="X981" s="7" t="s">
        <v>2302</v>
      </c>
      <c r="Y981" s="22" t="n">
        <v>1.429E-005</v>
      </c>
      <c r="Z981" s="22" t="n">
        <v>0.093</v>
      </c>
      <c r="AA981" s="22" t="n">
        <v>3</v>
      </c>
      <c r="AB981" s="7" t="s">
        <v>2229</v>
      </c>
      <c r="AC981" s="7" t="s">
        <v>2261</v>
      </c>
      <c r="AD981" s="22" t="s">
        <v>197</v>
      </c>
      <c r="AE981" s="22" t="s">
        <v>197</v>
      </c>
      <c r="AF981" s="22" t="s">
        <v>197</v>
      </c>
      <c r="AG981" s="22" t="s">
        <v>197</v>
      </c>
      <c r="AH981" s="22" t="s">
        <v>197</v>
      </c>
      <c r="AI981" s="22" t="s">
        <v>197</v>
      </c>
      <c r="AJ981" s="22" t="s">
        <v>197</v>
      </c>
      <c r="AK981" s="22" t="s">
        <v>197</v>
      </c>
      <c r="AL981" s="22" t="s">
        <v>197</v>
      </c>
      <c r="AM981" s="7" t="s">
        <v>197</v>
      </c>
      <c r="AN981" s="22" t="n">
        <v>3.1</v>
      </c>
      <c r="AO981" s="22" t="n">
        <v>2</v>
      </c>
      <c r="AP981" s="22" t="n">
        <v>3</v>
      </c>
    </row>
    <row r="982" customFormat="false" ht="21.75" hidden="false" customHeight="true" outlineLevel="0" collapsed="false">
      <c r="B982" s="15" t="n">
        <v>978</v>
      </c>
      <c r="C982" s="9" t="s">
        <v>56</v>
      </c>
      <c r="D982" s="9" t="s">
        <v>26</v>
      </c>
      <c r="E982" s="9" t="s">
        <v>124</v>
      </c>
      <c r="F982" s="9" t="s">
        <v>70</v>
      </c>
      <c r="G982" s="9" t="s">
        <v>1583</v>
      </c>
      <c r="H982" s="9" t="s">
        <v>339</v>
      </c>
      <c r="I982" s="9" t="s">
        <v>575</v>
      </c>
      <c r="J982" s="9" t="s">
        <v>2298</v>
      </c>
      <c r="K982" s="9" t="s">
        <v>517</v>
      </c>
      <c r="L982" s="9" t="s">
        <v>2229</v>
      </c>
      <c r="M982" s="9" t="s">
        <v>2258</v>
      </c>
      <c r="N982" s="9" t="s">
        <v>189</v>
      </c>
      <c r="O982" s="9" t="s">
        <v>189</v>
      </c>
      <c r="P982" s="9" t="s">
        <v>2232</v>
      </c>
      <c r="Q982" s="9" t="s">
        <v>2299</v>
      </c>
      <c r="R982" s="9" t="s">
        <v>838</v>
      </c>
      <c r="S982" s="9" t="s">
        <v>2234</v>
      </c>
      <c r="T982" s="9" t="s">
        <v>2260</v>
      </c>
      <c r="U982" s="19" t="n">
        <v>20</v>
      </c>
      <c r="V982" s="9"/>
      <c r="W982" s="9"/>
      <c r="X982" s="9" t="s">
        <v>203</v>
      </c>
      <c r="Y982" s="23" t="n">
        <v>2.218E-005</v>
      </c>
      <c r="Z982" s="23" t="n">
        <v>0.135</v>
      </c>
      <c r="AA982" s="23" t="n">
        <v>3</v>
      </c>
      <c r="AB982" s="9" t="s">
        <v>2229</v>
      </c>
      <c r="AC982" s="9" t="s">
        <v>2261</v>
      </c>
      <c r="AD982" s="23" t="s">
        <v>197</v>
      </c>
      <c r="AE982" s="23" t="s">
        <v>197</v>
      </c>
      <c r="AF982" s="23" t="s">
        <v>197</v>
      </c>
      <c r="AG982" s="23" t="s">
        <v>197</v>
      </c>
      <c r="AH982" s="23" t="s">
        <v>197</v>
      </c>
      <c r="AI982" s="23" t="s">
        <v>197</v>
      </c>
      <c r="AJ982" s="23" t="s">
        <v>197</v>
      </c>
      <c r="AK982" s="23" t="s">
        <v>197</v>
      </c>
      <c r="AL982" s="23" t="s">
        <v>197</v>
      </c>
      <c r="AM982" s="9" t="s">
        <v>197</v>
      </c>
      <c r="AN982" s="23" t="n">
        <v>4.5</v>
      </c>
      <c r="AO982" s="23" t="n">
        <v>2</v>
      </c>
      <c r="AP982" s="23" t="n">
        <v>3</v>
      </c>
    </row>
    <row r="983" customFormat="false" ht="21.75" hidden="false" customHeight="true" outlineLevel="0" collapsed="false">
      <c r="B983" s="14" t="n">
        <v>979</v>
      </c>
      <c r="C983" s="7" t="s">
        <v>56</v>
      </c>
      <c r="D983" s="7" t="s">
        <v>26</v>
      </c>
      <c r="E983" s="7" t="s">
        <v>124</v>
      </c>
      <c r="F983" s="7" t="s">
        <v>70</v>
      </c>
      <c r="G983" s="7" t="s">
        <v>2303</v>
      </c>
      <c r="H983" s="7" t="s">
        <v>352</v>
      </c>
      <c r="I983" s="7" t="s">
        <v>575</v>
      </c>
      <c r="J983" s="7" t="s">
        <v>2298</v>
      </c>
      <c r="K983" s="7" t="s">
        <v>517</v>
      </c>
      <c r="L983" s="7" t="s">
        <v>2229</v>
      </c>
      <c r="M983" s="7" t="s">
        <v>2258</v>
      </c>
      <c r="N983" s="7" t="s">
        <v>189</v>
      </c>
      <c r="O983" s="7" t="s">
        <v>189</v>
      </c>
      <c r="P983" s="7" t="s">
        <v>2232</v>
      </c>
      <c r="Q983" s="7" t="s">
        <v>2299</v>
      </c>
      <c r="R983" s="7" t="s">
        <v>838</v>
      </c>
      <c r="S983" s="7" t="s">
        <v>2234</v>
      </c>
      <c r="T983" s="7" t="s">
        <v>2260</v>
      </c>
      <c r="U983" s="18" t="n">
        <v>35</v>
      </c>
      <c r="V983" s="7"/>
      <c r="W983" s="7"/>
      <c r="X983" s="7" t="s">
        <v>205</v>
      </c>
      <c r="Y983" s="22" t="n">
        <v>2.313E-005</v>
      </c>
      <c r="Z983" s="22" t="n">
        <v>0.14</v>
      </c>
      <c r="AA983" s="22" t="n">
        <v>3</v>
      </c>
      <c r="AB983" s="7" t="s">
        <v>2229</v>
      </c>
      <c r="AC983" s="7" t="s">
        <v>2261</v>
      </c>
      <c r="AD983" s="22" t="s">
        <v>197</v>
      </c>
      <c r="AE983" s="22" t="s">
        <v>197</v>
      </c>
      <c r="AF983" s="22" t="s">
        <v>197</v>
      </c>
      <c r="AG983" s="22" t="s">
        <v>197</v>
      </c>
      <c r="AH983" s="22" t="s">
        <v>197</v>
      </c>
      <c r="AI983" s="22" t="s">
        <v>197</v>
      </c>
      <c r="AJ983" s="22" t="s">
        <v>197</v>
      </c>
      <c r="AK983" s="22" t="s">
        <v>197</v>
      </c>
      <c r="AL983" s="22" t="s">
        <v>197</v>
      </c>
      <c r="AM983" s="7" t="s">
        <v>197</v>
      </c>
      <c r="AN983" s="22" t="n">
        <v>4.7</v>
      </c>
      <c r="AO983" s="22" t="n">
        <v>2</v>
      </c>
      <c r="AP983" s="22" t="n">
        <v>3</v>
      </c>
    </row>
    <row r="984" customFormat="false" ht="21.75" hidden="false" customHeight="true" outlineLevel="0" collapsed="false">
      <c r="B984" s="15" t="n">
        <v>980</v>
      </c>
      <c r="C984" s="9" t="s">
        <v>56</v>
      </c>
      <c r="D984" s="9" t="s">
        <v>26</v>
      </c>
      <c r="E984" s="9" t="s">
        <v>124</v>
      </c>
      <c r="F984" s="9" t="s">
        <v>71</v>
      </c>
      <c r="G984" s="9" t="s">
        <v>391</v>
      </c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19"/>
      <c r="V984" s="9"/>
      <c r="W984" s="9"/>
      <c r="X984" s="9" t="s">
        <v>2304</v>
      </c>
      <c r="Y984" s="23" t="s">
        <v>197</v>
      </c>
      <c r="Z984" s="23" t="s">
        <v>197</v>
      </c>
      <c r="AA984" s="23" t="s">
        <v>197</v>
      </c>
      <c r="AB984" s="9" t="s">
        <v>197</v>
      </c>
      <c r="AC984" s="9" t="s">
        <v>197</v>
      </c>
      <c r="AD984" s="23" t="s">
        <v>197</v>
      </c>
      <c r="AE984" s="23" t="s">
        <v>197</v>
      </c>
      <c r="AF984" s="23" t="s">
        <v>197</v>
      </c>
      <c r="AG984" s="23" t="s">
        <v>197</v>
      </c>
      <c r="AH984" s="23" t="s">
        <v>197</v>
      </c>
      <c r="AI984" s="23" t="s">
        <v>197</v>
      </c>
      <c r="AJ984" s="23" t="s">
        <v>197</v>
      </c>
      <c r="AK984" s="23" t="s">
        <v>197</v>
      </c>
      <c r="AL984" s="23" t="s">
        <v>197</v>
      </c>
      <c r="AM984" s="9" t="s">
        <v>197</v>
      </c>
      <c r="AN984" s="23" t="s">
        <v>197</v>
      </c>
      <c r="AO984" s="23" t="s">
        <v>197</v>
      </c>
      <c r="AP984" s="23" t="s">
        <v>197</v>
      </c>
    </row>
    <row r="985" customFormat="false" ht="21.75" hidden="false" customHeight="true" outlineLevel="0" collapsed="false">
      <c r="B985" s="14" t="n">
        <v>981</v>
      </c>
      <c r="C985" s="7" t="s">
        <v>56</v>
      </c>
      <c r="D985" s="7" t="s">
        <v>26</v>
      </c>
      <c r="E985" s="7" t="s">
        <v>124</v>
      </c>
      <c r="F985" s="7" t="s">
        <v>72</v>
      </c>
      <c r="G985" s="7" t="s">
        <v>391</v>
      </c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18"/>
      <c r="V985" s="7"/>
      <c r="W985" s="7"/>
      <c r="X985" s="7" t="s">
        <v>2305</v>
      </c>
      <c r="Y985" s="22" t="s">
        <v>197</v>
      </c>
      <c r="Z985" s="22" t="s">
        <v>197</v>
      </c>
      <c r="AA985" s="22" t="s">
        <v>197</v>
      </c>
      <c r="AB985" s="7" t="s">
        <v>197</v>
      </c>
      <c r="AC985" s="7" t="s">
        <v>197</v>
      </c>
      <c r="AD985" s="22" t="s">
        <v>197</v>
      </c>
      <c r="AE985" s="22" t="s">
        <v>197</v>
      </c>
      <c r="AF985" s="22" t="s">
        <v>197</v>
      </c>
      <c r="AG985" s="22" t="s">
        <v>197</v>
      </c>
      <c r="AH985" s="22" t="s">
        <v>197</v>
      </c>
      <c r="AI985" s="22" t="s">
        <v>197</v>
      </c>
      <c r="AJ985" s="22" t="s">
        <v>197</v>
      </c>
      <c r="AK985" s="22" t="s">
        <v>197</v>
      </c>
      <c r="AL985" s="22" t="s">
        <v>197</v>
      </c>
      <c r="AM985" s="7" t="s">
        <v>197</v>
      </c>
      <c r="AN985" s="22" t="s">
        <v>197</v>
      </c>
      <c r="AO985" s="22" t="s">
        <v>197</v>
      </c>
      <c r="AP985" s="22" t="s">
        <v>197</v>
      </c>
    </row>
    <row r="986" customFormat="false" ht="21.75" hidden="false" customHeight="true" outlineLevel="0" collapsed="false">
      <c r="B986" s="15" t="n">
        <v>982</v>
      </c>
      <c r="C986" s="9" t="s">
        <v>56</v>
      </c>
      <c r="D986" s="9" t="s">
        <v>26</v>
      </c>
      <c r="E986" s="9" t="s">
        <v>124</v>
      </c>
      <c r="F986" s="9" t="s">
        <v>73</v>
      </c>
      <c r="G986" s="9" t="s">
        <v>391</v>
      </c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19"/>
      <c r="V986" s="9"/>
      <c r="W986" s="9"/>
      <c r="X986" s="9" t="s">
        <v>2306</v>
      </c>
      <c r="Y986" s="23" t="s">
        <v>197</v>
      </c>
      <c r="Z986" s="23" t="s">
        <v>197</v>
      </c>
      <c r="AA986" s="23" t="s">
        <v>197</v>
      </c>
      <c r="AB986" s="9" t="s">
        <v>197</v>
      </c>
      <c r="AC986" s="9" t="s">
        <v>197</v>
      </c>
      <c r="AD986" s="23" t="s">
        <v>197</v>
      </c>
      <c r="AE986" s="23" t="s">
        <v>197</v>
      </c>
      <c r="AF986" s="23" t="s">
        <v>197</v>
      </c>
      <c r="AG986" s="23" t="s">
        <v>197</v>
      </c>
      <c r="AH986" s="23" t="s">
        <v>197</v>
      </c>
      <c r="AI986" s="23" t="s">
        <v>197</v>
      </c>
      <c r="AJ986" s="23" t="s">
        <v>197</v>
      </c>
      <c r="AK986" s="23" t="s">
        <v>197</v>
      </c>
      <c r="AL986" s="23" t="s">
        <v>197</v>
      </c>
      <c r="AM986" s="9" t="s">
        <v>197</v>
      </c>
      <c r="AN986" s="23" t="s">
        <v>197</v>
      </c>
      <c r="AO986" s="23" t="s">
        <v>197</v>
      </c>
      <c r="AP986" s="23" t="s">
        <v>197</v>
      </c>
    </row>
    <row r="987" customFormat="false" ht="21.75" hidden="false" customHeight="true" outlineLevel="0" collapsed="false">
      <c r="B987" s="14" t="n">
        <v>983</v>
      </c>
      <c r="C987" s="7" t="s">
        <v>56</v>
      </c>
      <c r="D987" s="7" t="s">
        <v>26</v>
      </c>
      <c r="E987" s="7" t="s">
        <v>124</v>
      </c>
      <c r="F987" s="7" t="s">
        <v>74</v>
      </c>
      <c r="G987" s="7" t="s">
        <v>391</v>
      </c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18"/>
      <c r="V987" s="7"/>
      <c r="W987" s="7"/>
      <c r="X987" s="7" t="s">
        <v>2307</v>
      </c>
      <c r="Y987" s="22" t="s">
        <v>197</v>
      </c>
      <c r="Z987" s="22" t="s">
        <v>197</v>
      </c>
      <c r="AA987" s="22" t="s">
        <v>197</v>
      </c>
      <c r="AB987" s="7" t="s">
        <v>197</v>
      </c>
      <c r="AC987" s="7" t="s">
        <v>197</v>
      </c>
      <c r="AD987" s="22" t="s">
        <v>197</v>
      </c>
      <c r="AE987" s="22" t="s">
        <v>197</v>
      </c>
      <c r="AF987" s="22" t="s">
        <v>197</v>
      </c>
      <c r="AG987" s="22" t="s">
        <v>197</v>
      </c>
      <c r="AH987" s="22" t="s">
        <v>197</v>
      </c>
      <c r="AI987" s="22" t="s">
        <v>197</v>
      </c>
      <c r="AJ987" s="22" t="s">
        <v>197</v>
      </c>
      <c r="AK987" s="22" t="s">
        <v>197</v>
      </c>
      <c r="AL987" s="22" t="s">
        <v>197</v>
      </c>
      <c r="AM987" s="7" t="s">
        <v>197</v>
      </c>
      <c r="AN987" s="22" t="s">
        <v>197</v>
      </c>
      <c r="AO987" s="22" t="s">
        <v>197</v>
      </c>
      <c r="AP987" s="22" t="s">
        <v>197</v>
      </c>
    </row>
    <row r="988" customFormat="false" ht="21.75" hidden="false" customHeight="true" outlineLevel="0" collapsed="false">
      <c r="B988" s="15" t="n">
        <v>984</v>
      </c>
      <c r="C988" s="9" t="s">
        <v>56</v>
      </c>
      <c r="D988" s="9" t="s">
        <v>26</v>
      </c>
      <c r="E988" s="9" t="s">
        <v>124</v>
      </c>
      <c r="F988" s="9" t="s">
        <v>75</v>
      </c>
      <c r="G988" s="9" t="s">
        <v>391</v>
      </c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19"/>
      <c r="V988" s="9"/>
      <c r="W988" s="9"/>
      <c r="X988" s="9" t="s">
        <v>2308</v>
      </c>
      <c r="Y988" s="23" t="s">
        <v>197</v>
      </c>
      <c r="Z988" s="23" t="s">
        <v>197</v>
      </c>
      <c r="AA988" s="23" t="s">
        <v>197</v>
      </c>
      <c r="AB988" s="9" t="s">
        <v>197</v>
      </c>
      <c r="AC988" s="9" t="s">
        <v>197</v>
      </c>
      <c r="AD988" s="23" t="s">
        <v>197</v>
      </c>
      <c r="AE988" s="23" t="s">
        <v>197</v>
      </c>
      <c r="AF988" s="23" t="s">
        <v>197</v>
      </c>
      <c r="AG988" s="23" t="s">
        <v>197</v>
      </c>
      <c r="AH988" s="23" t="s">
        <v>197</v>
      </c>
      <c r="AI988" s="23" t="s">
        <v>197</v>
      </c>
      <c r="AJ988" s="23" t="s">
        <v>197</v>
      </c>
      <c r="AK988" s="23" t="s">
        <v>197</v>
      </c>
      <c r="AL988" s="23" t="s">
        <v>197</v>
      </c>
      <c r="AM988" s="9" t="s">
        <v>197</v>
      </c>
      <c r="AN988" s="23" t="s">
        <v>197</v>
      </c>
      <c r="AO988" s="23" t="s">
        <v>197</v>
      </c>
      <c r="AP988" s="23" t="s">
        <v>197</v>
      </c>
    </row>
    <row r="989" customFormat="false" ht="21.75" hidden="false" customHeight="true" outlineLevel="0" collapsed="false">
      <c r="B989" s="14" t="n">
        <v>985</v>
      </c>
      <c r="C989" s="7" t="s">
        <v>57</v>
      </c>
      <c r="D989" s="7" t="s">
        <v>20</v>
      </c>
      <c r="E989" s="7" t="s">
        <v>126</v>
      </c>
      <c r="F989" s="7" t="s">
        <v>60</v>
      </c>
      <c r="G989" s="7" t="s">
        <v>391</v>
      </c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18"/>
      <c r="V989" s="7"/>
      <c r="W989" s="7"/>
      <c r="X989" s="7" t="s">
        <v>2309</v>
      </c>
      <c r="Y989" s="22" t="s">
        <v>197</v>
      </c>
      <c r="Z989" s="22" t="s">
        <v>197</v>
      </c>
      <c r="AA989" s="22" t="s">
        <v>197</v>
      </c>
      <c r="AB989" s="7" t="s">
        <v>197</v>
      </c>
      <c r="AC989" s="7" t="s">
        <v>197</v>
      </c>
      <c r="AD989" s="22" t="s">
        <v>197</v>
      </c>
      <c r="AE989" s="22" t="s">
        <v>197</v>
      </c>
      <c r="AF989" s="22" t="s">
        <v>197</v>
      </c>
      <c r="AG989" s="22" t="s">
        <v>197</v>
      </c>
      <c r="AH989" s="22" t="s">
        <v>197</v>
      </c>
      <c r="AI989" s="22" t="s">
        <v>197</v>
      </c>
      <c r="AJ989" s="22" t="s">
        <v>197</v>
      </c>
      <c r="AK989" s="22" t="s">
        <v>197</v>
      </c>
      <c r="AL989" s="22" t="s">
        <v>197</v>
      </c>
      <c r="AM989" s="7" t="s">
        <v>197</v>
      </c>
      <c r="AN989" s="22" t="s">
        <v>197</v>
      </c>
      <c r="AO989" s="22" t="s">
        <v>197</v>
      </c>
      <c r="AP989" s="22" t="s">
        <v>197</v>
      </c>
    </row>
    <row r="990" customFormat="false" ht="21.75" hidden="false" customHeight="true" outlineLevel="0" collapsed="false">
      <c r="B990" s="15" t="n">
        <v>986</v>
      </c>
      <c r="C990" s="9" t="s">
        <v>57</v>
      </c>
      <c r="D990" s="9" t="s">
        <v>20</v>
      </c>
      <c r="E990" s="9" t="s">
        <v>126</v>
      </c>
      <c r="F990" s="9" t="s">
        <v>61</v>
      </c>
      <c r="G990" s="9" t="s">
        <v>391</v>
      </c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19"/>
      <c r="V990" s="9"/>
      <c r="W990" s="9"/>
      <c r="X990" s="9" t="s">
        <v>2309</v>
      </c>
      <c r="Y990" s="23" t="s">
        <v>197</v>
      </c>
      <c r="Z990" s="23" t="s">
        <v>197</v>
      </c>
      <c r="AA990" s="23" t="s">
        <v>197</v>
      </c>
      <c r="AB990" s="9" t="s">
        <v>197</v>
      </c>
      <c r="AC990" s="9" t="s">
        <v>197</v>
      </c>
      <c r="AD990" s="23" t="s">
        <v>197</v>
      </c>
      <c r="AE990" s="23" t="s">
        <v>197</v>
      </c>
      <c r="AF990" s="23" t="s">
        <v>197</v>
      </c>
      <c r="AG990" s="23" t="s">
        <v>197</v>
      </c>
      <c r="AH990" s="23" t="s">
        <v>197</v>
      </c>
      <c r="AI990" s="23" t="s">
        <v>197</v>
      </c>
      <c r="AJ990" s="23" t="s">
        <v>197</v>
      </c>
      <c r="AK990" s="23" t="s">
        <v>197</v>
      </c>
      <c r="AL990" s="23" t="s">
        <v>197</v>
      </c>
      <c r="AM990" s="9" t="s">
        <v>197</v>
      </c>
      <c r="AN990" s="23" t="s">
        <v>197</v>
      </c>
      <c r="AO990" s="23" t="s">
        <v>197</v>
      </c>
      <c r="AP990" s="23" t="s">
        <v>197</v>
      </c>
    </row>
    <row r="991" customFormat="false" ht="21.75" hidden="false" customHeight="true" outlineLevel="0" collapsed="false">
      <c r="B991" s="14" t="n">
        <v>987</v>
      </c>
      <c r="C991" s="7" t="s">
        <v>57</v>
      </c>
      <c r="D991" s="7" t="s">
        <v>20</v>
      </c>
      <c r="E991" s="7" t="s">
        <v>126</v>
      </c>
      <c r="F991" s="7" t="s">
        <v>62</v>
      </c>
      <c r="G991" s="7" t="s">
        <v>391</v>
      </c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18"/>
      <c r="V991" s="7"/>
      <c r="W991" s="7"/>
      <c r="X991" s="7" t="s">
        <v>2310</v>
      </c>
      <c r="Y991" s="22" t="s">
        <v>197</v>
      </c>
      <c r="Z991" s="22" t="s">
        <v>197</v>
      </c>
      <c r="AA991" s="22" t="s">
        <v>197</v>
      </c>
      <c r="AB991" s="7" t="s">
        <v>197</v>
      </c>
      <c r="AC991" s="7" t="s">
        <v>197</v>
      </c>
      <c r="AD991" s="22" t="s">
        <v>197</v>
      </c>
      <c r="AE991" s="22" t="s">
        <v>197</v>
      </c>
      <c r="AF991" s="22" t="s">
        <v>197</v>
      </c>
      <c r="AG991" s="22" t="s">
        <v>197</v>
      </c>
      <c r="AH991" s="22" t="s">
        <v>197</v>
      </c>
      <c r="AI991" s="22" t="s">
        <v>197</v>
      </c>
      <c r="AJ991" s="22" t="s">
        <v>197</v>
      </c>
      <c r="AK991" s="22" t="s">
        <v>197</v>
      </c>
      <c r="AL991" s="22" t="s">
        <v>197</v>
      </c>
      <c r="AM991" s="7" t="s">
        <v>197</v>
      </c>
      <c r="AN991" s="22" t="s">
        <v>197</v>
      </c>
      <c r="AO991" s="22" t="s">
        <v>197</v>
      </c>
      <c r="AP991" s="22" t="s">
        <v>197</v>
      </c>
    </row>
    <row r="992" customFormat="false" ht="21.75" hidden="false" customHeight="true" outlineLevel="0" collapsed="false">
      <c r="B992" s="15" t="n">
        <v>988</v>
      </c>
      <c r="C992" s="9" t="s">
        <v>57</v>
      </c>
      <c r="D992" s="9" t="s">
        <v>20</v>
      </c>
      <c r="E992" s="9" t="s">
        <v>126</v>
      </c>
      <c r="F992" s="9" t="s">
        <v>63</v>
      </c>
      <c r="G992" s="9" t="s">
        <v>391</v>
      </c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19"/>
      <c r="V992" s="9"/>
      <c r="W992" s="9"/>
      <c r="X992" s="9" t="s">
        <v>2310</v>
      </c>
      <c r="Y992" s="23" t="s">
        <v>197</v>
      </c>
      <c r="Z992" s="23" t="s">
        <v>197</v>
      </c>
      <c r="AA992" s="23" t="s">
        <v>197</v>
      </c>
      <c r="AB992" s="9" t="s">
        <v>197</v>
      </c>
      <c r="AC992" s="9" t="s">
        <v>197</v>
      </c>
      <c r="AD992" s="23" t="s">
        <v>197</v>
      </c>
      <c r="AE992" s="23" t="s">
        <v>197</v>
      </c>
      <c r="AF992" s="23" t="s">
        <v>197</v>
      </c>
      <c r="AG992" s="23" t="s">
        <v>197</v>
      </c>
      <c r="AH992" s="23" t="s">
        <v>197</v>
      </c>
      <c r="AI992" s="23" t="s">
        <v>197</v>
      </c>
      <c r="AJ992" s="23" t="s">
        <v>197</v>
      </c>
      <c r="AK992" s="23" t="s">
        <v>197</v>
      </c>
      <c r="AL992" s="23" t="s">
        <v>197</v>
      </c>
      <c r="AM992" s="9" t="s">
        <v>197</v>
      </c>
      <c r="AN992" s="23" t="s">
        <v>197</v>
      </c>
      <c r="AO992" s="23" t="s">
        <v>197</v>
      </c>
      <c r="AP992" s="23" t="s">
        <v>197</v>
      </c>
    </row>
    <row r="993" customFormat="false" ht="21.75" hidden="false" customHeight="true" outlineLevel="0" collapsed="false">
      <c r="B993" s="14" t="n">
        <v>989</v>
      </c>
      <c r="C993" s="7" t="s">
        <v>57</v>
      </c>
      <c r="D993" s="7" t="s">
        <v>20</v>
      </c>
      <c r="E993" s="7" t="s">
        <v>126</v>
      </c>
      <c r="F993" s="7" t="s">
        <v>64</v>
      </c>
      <c r="G993" s="7" t="s">
        <v>2311</v>
      </c>
      <c r="H993" s="7" t="s">
        <v>247</v>
      </c>
      <c r="I993" s="7" t="s">
        <v>2312</v>
      </c>
      <c r="J993" s="7" t="s">
        <v>2313</v>
      </c>
      <c r="K993" s="7" t="s">
        <v>250</v>
      </c>
      <c r="L993" s="7" t="s">
        <v>2314</v>
      </c>
      <c r="M993" s="7" t="s">
        <v>2315</v>
      </c>
      <c r="N993" s="7" t="s">
        <v>324</v>
      </c>
      <c r="O993" s="7" t="s">
        <v>189</v>
      </c>
      <c r="P993" s="7" t="s">
        <v>2316</v>
      </c>
      <c r="Q993" s="7" t="s">
        <v>2317</v>
      </c>
      <c r="R993" s="7" t="s">
        <v>1790</v>
      </c>
      <c r="S993" s="7" t="s">
        <v>2318</v>
      </c>
      <c r="T993" s="7" t="s">
        <v>690</v>
      </c>
      <c r="U993" s="18" t="n">
        <v>19</v>
      </c>
      <c r="V993" s="7"/>
      <c r="W993" s="7"/>
      <c r="X993" s="7" t="s">
        <v>195</v>
      </c>
      <c r="Y993" s="22" t="n">
        <v>0.008</v>
      </c>
      <c r="Z993" s="22" t="n">
        <v>0.012</v>
      </c>
      <c r="AA993" s="22" t="n">
        <v>12</v>
      </c>
      <c r="AB993" s="7" t="s">
        <v>2314</v>
      </c>
      <c r="AC993" s="7" t="s">
        <v>2319</v>
      </c>
      <c r="AD993" s="22" t="s">
        <v>197</v>
      </c>
      <c r="AE993" s="22" t="s">
        <v>197</v>
      </c>
      <c r="AF993" s="22" t="s">
        <v>197</v>
      </c>
      <c r="AG993" s="22" t="s">
        <v>197</v>
      </c>
      <c r="AH993" s="22" t="s">
        <v>197</v>
      </c>
      <c r="AI993" s="22" t="s">
        <v>197</v>
      </c>
      <c r="AJ993" s="22" t="n">
        <v>8</v>
      </c>
      <c r="AK993" s="22" t="s">
        <v>197</v>
      </c>
      <c r="AL993" s="22" t="n">
        <v>90</v>
      </c>
      <c r="AM993" s="7" t="s">
        <v>257</v>
      </c>
      <c r="AN993" s="22" t="s">
        <v>197</v>
      </c>
      <c r="AO993" s="22" t="n">
        <v>2</v>
      </c>
      <c r="AP993" s="22" t="n">
        <v>2.7</v>
      </c>
    </row>
    <row r="994" customFormat="false" ht="21.75" hidden="false" customHeight="true" outlineLevel="0" collapsed="false">
      <c r="B994" s="15" t="n">
        <v>990</v>
      </c>
      <c r="C994" s="9" t="s">
        <v>57</v>
      </c>
      <c r="D994" s="9" t="s">
        <v>20</v>
      </c>
      <c r="E994" s="9" t="s">
        <v>126</v>
      </c>
      <c r="F994" s="9" t="s">
        <v>64</v>
      </c>
      <c r="G994" s="9" t="s">
        <v>2320</v>
      </c>
      <c r="H994" s="9" t="s">
        <v>259</v>
      </c>
      <c r="I994" s="9" t="s">
        <v>2312</v>
      </c>
      <c r="J994" s="9" t="s">
        <v>2313</v>
      </c>
      <c r="K994" s="9" t="s">
        <v>250</v>
      </c>
      <c r="L994" s="9" t="s">
        <v>2314</v>
      </c>
      <c r="M994" s="9" t="s">
        <v>2315</v>
      </c>
      <c r="N994" s="9" t="s">
        <v>324</v>
      </c>
      <c r="O994" s="9" t="s">
        <v>189</v>
      </c>
      <c r="P994" s="9" t="s">
        <v>2316</v>
      </c>
      <c r="Q994" s="9" t="s">
        <v>2317</v>
      </c>
      <c r="R994" s="9" t="s">
        <v>1790</v>
      </c>
      <c r="S994" s="9" t="s">
        <v>2318</v>
      </c>
      <c r="T994" s="9" t="s">
        <v>690</v>
      </c>
      <c r="U994" s="19" t="n">
        <v>25</v>
      </c>
      <c r="V994" s="9"/>
      <c r="W994" s="9"/>
      <c r="X994" s="9" t="s">
        <v>199</v>
      </c>
      <c r="Y994" s="23" t="n">
        <v>0.014</v>
      </c>
      <c r="Z994" s="23" t="n">
        <v>0.02</v>
      </c>
      <c r="AA994" s="23" t="n">
        <v>12</v>
      </c>
      <c r="AB994" s="9" t="s">
        <v>2314</v>
      </c>
      <c r="AC994" s="9" t="s">
        <v>2319</v>
      </c>
      <c r="AD994" s="23" t="s">
        <v>197</v>
      </c>
      <c r="AE994" s="23" t="s">
        <v>197</v>
      </c>
      <c r="AF994" s="23" t="s">
        <v>197</v>
      </c>
      <c r="AG994" s="23" t="s">
        <v>197</v>
      </c>
      <c r="AH994" s="23" t="s">
        <v>197</v>
      </c>
      <c r="AI994" s="23" t="s">
        <v>197</v>
      </c>
      <c r="AJ994" s="23" t="n">
        <v>10</v>
      </c>
      <c r="AK994" s="23" t="s">
        <v>197</v>
      </c>
      <c r="AL994" s="23" t="n">
        <v>90</v>
      </c>
      <c r="AM994" s="9" t="s">
        <v>257</v>
      </c>
      <c r="AN994" s="23" t="s">
        <v>197</v>
      </c>
      <c r="AO994" s="23" t="n">
        <v>2</v>
      </c>
      <c r="AP994" s="23" t="n">
        <v>2.7</v>
      </c>
    </row>
    <row r="995" customFormat="false" ht="21.75" hidden="false" customHeight="true" outlineLevel="0" collapsed="false">
      <c r="B995" s="14" t="n">
        <v>991</v>
      </c>
      <c r="C995" s="7" t="s">
        <v>57</v>
      </c>
      <c r="D995" s="7" t="s">
        <v>20</v>
      </c>
      <c r="E995" s="7" t="s">
        <v>126</v>
      </c>
      <c r="F995" s="7" t="s">
        <v>64</v>
      </c>
      <c r="G995" s="7" t="s">
        <v>2321</v>
      </c>
      <c r="H995" s="7" t="s">
        <v>261</v>
      </c>
      <c r="I995" s="7" t="s">
        <v>2312</v>
      </c>
      <c r="J995" s="7" t="s">
        <v>2313</v>
      </c>
      <c r="K995" s="7" t="s">
        <v>250</v>
      </c>
      <c r="L995" s="7" t="s">
        <v>2314</v>
      </c>
      <c r="M995" s="7" t="s">
        <v>2315</v>
      </c>
      <c r="N995" s="7" t="s">
        <v>324</v>
      </c>
      <c r="O995" s="7" t="s">
        <v>189</v>
      </c>
      <c r="P995" s="7" t="s">
        <v>2316</v>
      </c>
      <c r="Q995" s="7" t="s">
        <v>2317</v>
      </c>
      <c r="R995" s="7" t="s">
        <v>1790</v>
      </c>
      <c r="S995" s="7" t="s">
        <v>2318</v>
      </c>
      <c r="T995" s="7" t="s">
        <v>690</v>
      </c>
      <c r="U995" s="18" t="n">
        <v>35</v>
      </c>
      <c r="V995" s="7"/>
      <c r="W995" s="7"/>
      <c r="X995" s="7" t="s">
        <v>2322</v>
      </c>
      <c r="Y995" s="22" t="n">
        <v>0.015</v>
      </c>
      <c r="Z995" s="22" t="n">
        <v>0.021</v>
      </c>
      <c r="AA995" s="22" t="n">
        <v>12</v>
      </c>
      <c r="AB995" s="7" t="s">
        <v>2314</v>
      </c>
      <c r="AC995" s="7" t="s">
        <v>2319</v>
      </c>
      <c r="AD995" s="22" t="s">
        <v>197</v>
      </c>
      <c r="AE995" s="22" t="s">
        <v>197</v>
      </c>
      <c r="AF995" s="22" t="s">
        <v>197</v>
      </c>
      <c r="AG995" s="22" t="s">
        <v>197</v>
      </c>
      <c r="AH995" s="22" t="s">
        <v>197</v>
      </c>
      <c r="AI995" s="22" t="s">
        <v>197</v>
      </c>
      <c r="AJ995" s="22" t="n">
        <v>12</v>
      </c>
      <c r="AK995" s="22" t="s">
        <v>197</v>
      </c>
      <c r="AL995" s="22" t="n">
        <v>90</v>
      </c>
      <c r="AM995" s="7" t="s">
        <v>257</v>
      </c>
      <c r="AN995" s="22" t="s">
        <v>197</v>
      </c>
      <c r="AO995" s="22" t="n">
        <v>2</v>
      </c>
      <c r="AP995" s="22" t="n">
        <v>2.7</v>
      </c>
    </row>
    <row r="996" customFormat="false" ht="21.75" hidden="false" customHeight="true" outlineLevel="0" collapsed="false">
      <c r="B996" s="15" t="n">
        <v>992</v>
      </c>
      <c r="C996" s="9" t="s">
        <v>57</v>
      </c>
      <c r="D996" s="9" t="s">
        <v>20</v>
      </c>
      <c r="E996" s="9" t="s">
        <v>126</v>
      </c>
      <c r="F996" s="9" t="s">
        <v>64</v>
      </c>
      <c r="G996" s="9" t="s">
        <v>2323</v>
      </c>
      <c r="H996" s="9" t="s">
        <v>264</v>
      </c>
      <c r="I996" s="9" t="s">
        <v>2312</v>
      </c>
      <c r="J996" s="9" t="s">
        <v>2313</v>
      </c>
      <c r="K996" s="9" t="s">
        <v>250</v>
      </c>
      <c r="L996" s="9" t="s">
        <v>2314</v>
      </c>
      <c r="M996" s="9" t="s">
        <v>2315</v>
      </c>
      <c r="N996" s="9" t="s">
        <v>324</v>
      </c>
      <c r="O996" s="9" t="s">
        <v>189</v>
      </c>
      <c r="P996" s="9" t="s">
        <v>2316</v>
      </c>
      <c r="Q996" s="9" t="s">
        <v>2317</v>
      </c>
      <c r="R996" s="9" t="s">
        <v>1790</v>
      </c>
      <c r="S996" s="9" t="s">
        <v>2318</v>
      </c>
      <c r="T996" s="9" t="s">
        <v>690</v>
      </c>
      <c r="U996" s="19" t="n">
        <v>55</v>
      </c>
      <c r="V996" s="9"/>
      <c r="W996" s="9"/>
      <c r="X996" s="9" t="s">
        <v>203</v>
      </c>
      <c r="Y996" s="23" t="n">
        <v>0.014</v>
      </c>
      <c r="Z996" s="23" t="n">
        <v>0.02</v>
      </c>
      <c r="AA996" s="23" t="n">
        <v>12</v>
      </c>
      <c r="AB996" s="9" t="s">
        <v>2314</v>
      </c>
      <c r="AC996" s="9" t="s">
        <v>2319</v>
      </c>
      <c r="AD996" s="23" t="s">
        <v>197</v>
      </c>
      <c r="AE996" s="23" t="s">
        <v>197</v>
      </c>
      <c r="AF996" s="23" t="s">
        <v>197</v>
      </c>
      <c r="AG996" s="23" t="s">
        <v>197</v>
      </c>
      <c r="AH996" s="23" t="s">
        <v>197</v>
      </c>
      <c r="AI996" s="23" t="s">
        <v>197</v>
      </c>
      <c r="AJ996" s="23" t="n">
        <v>12</v>
      </c>
      <c r="AK996" s="23" t="s">
        <v>197</v>
      </c>
      <c r="AL996" s="23" t="n">
        <v>110</v>
      </c>
      <c r="AM996" s="9" t="s">
        <v>257</v>
      </c>
      <c r="AN996" s="23" t="s">
        <v>197</v>
      </c>
      <c r="AO996" s="23" t="n">
        <v>2</v>
      </c>
      <c r="AP996" s="23" t="n">
        <v>2.7</v>
      </c>
    </row>
    <row r="997" customFormat="false" ht="21.75" hidden="false" customHeight="true" outlineLevel="0" collapsed="false">
      <c r="B997" s="14" t="n">
        <v>993</v>
      </c>
      <c r="C997" s="7" t="s">
        <v>57</v>
      </c>
      <c r="D997" s="7" t="s">
        <v>20</v>
      </c>
      <c r="E997" s="7" t="s">
        <v>126</v>
      </c>
      <c r="F997" s="7" t="s">
        <v>64</v>
      </c>
      <c r="G997" s="7" t="s">
        <v>2324</v>
      </c>
      <c r="H997" s="7" t="s">
        <v>266</v>
      </c>
      <c r="I997" s="7" t="s">
        <v>2312</v>
      </c>
      <c r="J997" s="7" t="s">
        <v>2313</v>
      </c>
      <c r="K997" s="7" t="s">
        <v>250</v>
      </c>
      <c r="L997" s="7" t="s">
        <v>2314</v>
      </c>
      <c r="M997" s="7" t="s">
        <v>2315</v>
      </c>
      <c r="N997" s="7" t="s">
        <v>324</v>
      </c>
      <c r="O997" s="7" t="s">
        <v>189</v>
      </c>
      <c r="P997" s="7" t="s">
        <v>2316</v>
      </c>
      <c r="Q997" s="7" t="s">
        <v>2317</v>
      </c>
      <c r="R997" s="7" t="s">
        <v>1790</v>
      </c>
      <c r="S997" s="7" t="s">
        <v>2318</v>
      </c>
      <c r="T997" s="7" t="s">
        <v>690</v>
      </c>
      <c r="U997" s="18" t="n">
        <v>80</v>
      </c>
      <c r="V997" s="7"/>
      <c r="W997" s="7"/>
      <c r="X997" s="7" t="s">
        <v>205</v>
      </c>
      <c r="Y997" s="22" t="n">
        <v>0.016</v>
      </c>
      <c r="Z997" s="22" t="n">
        <v>0.022</v>
      </c>
      <c r="AA997" s="22" t="n">
        <v>12</v>
      </c>
      <c r="AB997" s="7" t="s">
        <v>2314</v>
      </c>
      <c r="AC997" s="7" t="s">
        <v>2319</v>
      </c>
      <c r="AD997" s="22" t="s">
        <v>197</v>
      </c>
      <c r="AE997" s="22" t="s">
        <v>197</v>
      </c>
      <c r="AF997" s="22" t="s">
        <v>197</v>
      </c>
      <c r="AG997" s="22" t="s">
        <v>197</v>
      </c>
      <c r="AH997" s="22" t="s">
        <v>197</v>
      </c>
      <c r="AI997" s="22" t="s">
        <v>197</v>
      </c>
      <c r="AJ997" s="22" t="n">
        <v>15</v>
      </c>
      <c r="AK997" s="22" t="s">
        <v>197</v>
      </c>
      <c r="AL997" s="22" t="n">
        <v>110</v>
      </c>
      <c r="AM997" s="7" t="s">
        <v>257</v>
      </c>
      <c r="AN997" s="22" t="s">
        <v>197</v>
      </c>
      <c r="AO997" s="22" t="n">
        <v>2</v>
      </c>
      <c r="AP997" s="22" t="n">
        <v>2.7</v>
      </c>
    </row>
    <row r="998" customFormat="false" ht="21.75" hidden="false" customHeight="true" outlineLevel="0" collapsed="false">
      <c r="B998" s="15" t="n">
        <v>994</v>
      </c>
      <c r="C998" s="9" t="s">
        <v>57</v>
      </c>
      <c r="D998" s="9" t="s">
        <v>20</v>
      </c>
      <c r="E998" s="9" t="s">
        <v>126</v>
      </c>
      <c r="F998" s="9" t="s">
        <v>65</v>
      </c>
      <c r="G998" s="9" t="s">
        <v>391</v>
      </c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19"/>
      <c r="V998" s="9"/>
      <c r="W998" s="9"/>
      <c r="X998" s="9" t="s">
        <v>2325</v>
      </c>
      <c r="Y998" s="23" t="s">
        <v>197</v>
      </c>
      <c r="Z998" s="23" t="s">
        <v>197</v>
      </c>
      <c r="AA998" s="23" t="s">
        <v>197</v>
      </c>
      <c r="AB998" s="9" t="s">
        <v>197</v>
      </c>
      <c r="AC998" s="9" t="s">
        <v>197</v>
      </c>
      <c r="AD998" s="23" t="s">
        <v>197</v>
      </c>
      <c r="AE998" s="23" t="s">
        <v>197</v>
      </c>
      <c r="AF998" s="23" t="s">
        <v>197</v>
      </c>
      <c r="AG998" s="23" t="s">
        <v>197</v>
      </c>
      <c r="AH998" s="23" t="s">
        <v>197</v>
      </c>
      <c r="AI998" s="23" t="s">
        <v>197</v>
      </c>
      <c r="AJ998" s="23" t="s">
        <v>197</v>
      </c>
      <c r="AK998" s="23" t="s">
        <v>197</v>
      </c>
      <c r="AL998" s="23" t="s">
        <v>197</v>
      </c>
      <c r="AM998" s="9" t="s">
        <v>197</v>
      </c>
      <c r="AN998" s="23" t="s">
        <v>197</v>
      </c>
      <c r="AO998" s="23" t="s">
        <v>197</v>
      </c>
      <c r="AP998" s="23" t="s">
        <v>197</v>
      </c>
    </row>
    <row r="999" customFormat="false" ht="21.75" hidden="false" customHeight="true" outlineLevel="0" collapsed="false">
      <c r="B999" s="14" t="n">
        <v>995</v>
      </c>
      <c r="C999" s="7" t="s">
        <v>57</v>
      </c>
      <c r="D999" s="7" t="s">
        <v>20</v>
      </c>
      <c r="E999" s="7" t="s">
        <v>126</v>
      </c>
      <c r="F999" s="7" t="s">
        <v>66</v>
      </c>
      <c r="G999" s="7" t="s">
        <v>2326</v>
      </c>
      <c r="H999" s="7" t="s">
        <v>285</v>
      </c>
      <c r="I999" s="7" t="s">
        <v>2327</v>
      </c>
      <c r="J999" s="7" t="s">
        <v>2328</v>
      </c>
      <c r="K999" s="7" t="s">
        <v>250</v>
      </c>
      <c r="L999" s="7" t="s">
        <v>2314</v>
      </c>
      <c r="M999" s="7" t="s">
        <v>2315</v>
      </c>
      <c r="N999" s="7" t="s">
        <v>710</v>
      </c>
      <c r="O999" s="7" t="s">
        <v>998</v>
      </c>
      <c r="P999" s="7" t="s">
        <v>2316</v>
      </c>
      <c r="Q999" s="7" t="s">
        <v>2329</v>
      </c>
      <c r="R999" s="7" t="s">
        <v>364</v>
      </c>
      <c r="S999" s="7" t="s">
        <v>2318</v>
      </c>
      <c r="T999" s="7" t="s">
        <v>1001</v>
      </c>
      <c r="U999" s="18" t="n">
        <v>55</v>
      </c>
      <c r="V999" s="7"/>
      <c r="W999" s="7"/>
      <c r="X999" s="7" t="s">
        <v>195</v>
      </c>
      <c r="Y999" s="22" t="n">
        <v>0.025</v>
      </c>
      <c r="Z999" s="22" t="n">
        <v>0.035</v>
      </c>
      <c r="AA999" s="22" t="n">
        <v>12</v>
      </c>
      <c r="AB999" s="7" t="s">
        <v>2314</v>
      </c>
      <c r="AC999" s="7" t="s">
        <v>2319</v>
      </c>
      <c r="AD999" s="22" t="s">
        <v>197</v>
      </c>
      <c r="AE999" s="22" t="s">
        <v>197</v>
      </c>
      <c r="AF999" s="22" t="s">
        <v>197</v>
      </c>
      <c r="AG999" s="22" t="s">
        <v>197</v>
      </c>
      <c r="AH999" s="22" t="s">
        <v>197</v>
      </c>
      <c r="AI999" s="22" t="s">
        <v>197</v>
      </c>
      <c r="AJ999" s="22" t="s">
        <v>197</v>
      </c>
      <c r="AK999" s="22" t="n">
        <v>10</v>
      </c>
      <c r="AL999" s="22" t="n">
        <v>90</v>
      </c>
      <c r="AM999" s="7" t="s">
        <v>292</v>
      </c>
      <c r="AN999" s="22" t="s">
        <v>197</v>
      </c>
      <c r="AO999" s="22" t="n">
        <v>2</v>
      </c>
      <c r="AP999" s="22" t="n">
        <v>3</v>
      </c>
    </row>
    <row r="1000" customFormat="false" ht="21.75" hidden="false" customHeight="true" outlineLevel="0" collapsed="false">
      <c r="B1000" s="15" t="n">
        <v>996</v>
      </c>
      <c r="C1000" s="9" t="s">
        <v>57</v>
      </c>
      <c r="D1000" s="9" t="s">
        <v>20</v>
      </c>
      <c r="E1000" s="9" t="s">
        <v>126</v>
      </c>
      <c r="F1000" s="9" t="s">
        <v>66</v>
      </c>
      <c r="G1000" s="9" t="s">
        <v>2330</v>
      </c>
      <c r="H1000" s="9" t="s">
        <v>294</v>
      </c>
      <c r="I1000" s="9" t="s">
        <v>2327</v>
      </c>
      <c r="J1000" s="9" t="s">
        <v>2328</v>
      </c>
      <c r="K1000" s="9" t="s">
        <v>250</v>
      </c>
      <c r="L1000" s="9" t="s">
        <v>2314</v>
      </c>
      <c r="M1000" s="9" t="s">
        <v>2315</v>
      </c>
      <c r="N1000" s="9" t="s">
        <v>710</v>
      </c>
      <c r="O1000" s="9" t="s">
        <v>998</v>
      </c>
      <c r="P1000" s="9" t="s">
        <v>2316</v>
      </c>
      <c r="Q1000" s="9" t="s">
        <v>2329</v>
      </c>
      <c r="R1000" s="9" t="s">
        <v>364</v>
      </c>
      <c r="S1000" s="9" t="s">
        <v>2318</v>
      </c>
      <c r="T1000" s="9" t="s">
        <v>1001</v>
      </c>
      <c r="U1000" s="19" t="n">
        <v>85</v>
      </c>
      <c r="V1000" s="9"/>
      <c r="W1000" s="9"/>
      <c r="X1000" s="9" t="s">
        <v>199</v>
      </c>
      <c r="Y1000" s="23" t="n">
        <v>0.02</v>
      </c>
      <c r="Z1000" s="23" t="n">
        <v>0.03</v>
      </c>
      <c r="AA1000" s="23" t="n">
        <v>12</v>
      </c>
      <c r="AB1000" s="9" t="s">
        <v>2314</v>
      </c>
      <c r="AC1000" s="9" t="s">
        <v>2319</v>
      </c>
      <c r="AD1000" s="23" t="s">
        <v>197</v>
      </c>
      <c r="AE1000" s="23" t="s">
        <v>197</v>
      </c>
      <c r="AF1000" s="23" t="s">
        <v>197</v>
      </c>
      <c r="AG1000" s="23" t="s">
        <v>197</v>
      </c>
      <c r="AH1000" s="23" t="s">
        <v>197</v>
      </c>
      <c r="AI1000" s="23" t="s">
        <v>197</v>
      </c>
      <c r="AJ1000" s="23" t="s">
        <v>197</v>
      </c>
      <c r="AK1000" s="23" t="n">
        <v>12</v>
      </c>
      <c r="AL1000" s="23" t="n">
        <v>90</v>
      </c>
      <c r="AM1000" s="9" t="s">
        <v>292</v>
      </c>
      <c r="AN1000" s="23" t="s">
        <v>197</v>
      </c>
      <c r="AO1000" s="23" t="n">
        <v>2</v>
      </c>
      <c r="AP1000" s="23" t="n">
        <v>3</v>
      </c>
    </row>
    <row r="1001" customFormat="false" ht="21.75" hidden="false" customHeight="true" outlineLevel="0" collapsed="false">
      <c r="B1001" s="14" t="n">
        <v>997</v>
      </c>
      <c r="C1001" s="7" t="s">
        <v>57</v>
      </c>
      <c r="D1001" s="7" t="s">
        <v>20</v>
      </c>
      <c r="E1001" s="7" t="s">
        <v>126</v>
      </c>
      <c r="F1001" s="7" t="s">
        <v>66</v>
      </c>
      <c r="G1001" s="7" t="s">
        <v>2331</v>
      </c>
      <c r="H1001" s="7" t="s">
        <v>296</v>
      </c>
      <c r="I1001" s="7" t="s">
        <v>2327</v>
      </c>
      <c r="J1001" s="7" t="s">
        <v>2328</v>
      </c>
      <c r="K1001" s="7" t="s">
        <v>250</v>
      </c>
      <c r="L1001" s="7" t="s">
        <v>2314</v>
      </c>
      <c r="M1001" s="7" t="s">
        <v>2315</v>
      </c>
      <c r="N1001" s="7" t="s">
        <v>710</v>
      </c>
      <c r="O1001" s="7" t="s">
        <v>998</v>
      </c>
      <c r="P1001" s="7" t="s">
        <v>2316</v>
      </c>
      <c r="Q1001" s="7" t="s">
        <v>2329</v>
      </c>
      <c r="R1001" s="7" t="s">
        <v>364</v>
      </c>
      <c r="S1001" s="7" t="s">
        <v>2318</v>
      </c>
      <c r="T1001" s="7" t="s">
        <v>1001</v>
      </c>
      <c r="U1001" s="18" t="n">
        <v>115</v>
      </c>
      <c r="V1001" s="7"/>
      <c r="W1001" s="7"/>
      <c r="X1001" s="7" t="s">
        <v>2332</v>
      </c>
      <c r="Y1001" s="22" t="n">
        <v>0.027</v>
      </c>
      <c r="Z1001" s="22" t="n">
        <v>0.037</v>
      </c>
      <c r="AA1001" s="22" t="n">
        <v>12</v>
      </c>
      <c r="AB1001" s="7" t="s">
        <v>2314</v>
      </c>
      <c r="AC1001" s="7" t="s">
        <v>2319</v>
      </c>
      <c r="AD1001" s="22" t="s">
        <v>197</v>
      </c>
      <c r="AE1001" s="22" t="s">
        <v>197</v>
      </c>
      <c r="AF1001" s="22" t="s">
        <v>197</v>
      </c>
      <c r="AG1001" s="22" t="s">
        <v>197</v>
      </c>
      <c r="AH1001" s="22" t="s">
        <v>197</v>
      </c>
      <c r="AI1001" s="22" t="s">
        <v>197</v>
      </c>
      <c r="AJ1001" s="22" t="s">
        <v>197</v>
      </c>
      <c r="AK1001" s="22" t="n">
        <v>12</v>
      </c>
      <c r="AL1001" s="22" t="n">
        <v>90</v>
      </c>
      <c r="AM1001" s="7" t="s">
        <v>292</v>
      </c>
      <c r="AN1001" s="22" t="s">
        <v>197</v>
      </c>
      <c r="AO1001" s="22" t="n">
        <v>2</v>
      </c>
      <c r="AP1001" s="22" t="n">
        <v>3</v>
      </c>
    </row>
    <row r="1002" customFormat="false" ht="21.75" hidden="false" customHeight="true" outlineLevel="0" collapsed="false">
      <c r="B1002" s="15" t="n">
        <v>998</v>
      </c>
      <c r="C1002" s="9" t="s">
        <v>57</v>
      </c>
      <c r="D1002" s="9" t="s">
        <v>20</v>
      </c>
      <c r="E1002" s="9" t="s">
        <v>126</v>
      </c>
      <c r="F1002" s="9" t="s">
        <v>66</v>
      </c>
      <c r="G1002" s="9" t="s">
        <v>2333</v>
      </c>
      <c r="H1002" s="9" t="s">
        <v>299</v>
      </c>
      <c r="I1002" s="9" t="s">
        <v>2327</v>
      </c>
      <c r="J1002" s="9" t="s">
        <v>2328</v>
      </c>
      <c r="K1002" s="9" t="s">
        <v>250</v>
      </c>
      <c r="L1002" s="9" t="s">
        <v>2314</v>
      </c>
      <c r="M1002" s="9" t="s">
        <v>2315</v>
      </c>
      <c r="N1002" s="9" t="s">
        <v>710</v>
      </c>
      <c r="O1002" s="9" t="s">
        <v>998</v>
      </c>
      <c r="P1002" s="9" t="s">
        <v>2316</v>
      </c>
      <c r="Q1002" s="9" t="s">
        <v>2329</v>
      </c>
      <c r="R1002" s="9" t="s">
        <v>364</v>
      </c>
      <c r="S1002" s="9" t="s">
        <v>2318</v>
      </c>
      <c r="T1002" s="9" t="s">
        <v>1001</v>
      </c>
      <c r="U1002" s="19" t="n">
        <v>170</v>
      </c>
      <c r="V1002" s="9"/>
      <c r="W1002" s="9"/>
      <c r="X1002" s="9" t="s">
        <v>203</v>
      </c>
      <c r="Y1002" s="23" t="n">
        <v>0.022</v>
      </c>
      <c r="Z1002" s="23" t="n">
        <v>0.032</v>
      </c>
      <c r="AA1002" s="23" t="n">
        <v>12</v>
      </c>
      <c r="AB1002" s="9" t="s">
        <v>2314</v>
      </c>
      <c r="AC1002" s="9" t="s">
        <v>2319</v>
      </c>
      <c r="AD1002" s="23" t="s">
        <v>197</v>
      </c>
      <c r="AE1002" s="23" t="s">
        <v>197</v>
      </c>
      <c r="AF1002" s="23" t="s">
        <v>197</v>
      </c>
      <c r="AG1002" s="23" t="s">
        <v>197</v>
      </c>
      <c r="AH1002" s="23" t="s">
        <v>197</v>
      </c>
      <c r="AI1002" s="23" t="s">
        <v>197</v>
      </c>
      <c r="AJ1002" s="23" t="s">
        <v>197</v>
      </c>
      <c r="AK1002" s="23" t="n">
        <v>15</v>
      </c>
      <c r="AL1002" s="23" t="n">
        <v>90</v>
      </c>
      <c r="AM1002" s="9" t="s">
        <v>292</v>
      </c>
      <c r="AN1002" s="23" t="s">
        <v>197</v>
      </c>
      <c r="AO1002" s="23" t="n">
        <v>2</v>
      </c>
      <c r="AP1002" s="23" t="n">
        <v>3</v>
      </c>
    </row>
    <row r="1003" customFormat="false" ht="21.75" hidden="false" customHeight="true" outlineLevel="0" collapsed="false">
      <c r="B1003" s="14" t="n">
        <v>999</v>
      </c>
      <c r="C1003" s="7" t="s">
        <v>57</v>
      </c>
      <c r="D1003" s="7" t="s">
        <v>20</v>
      </c>
      <c r="E1003" s="7" t="s">
        <v>126</v>
      </c>
      <c r="F1003" s="7" t="s">
        <v>66</v>
      </c>
      <c r="G1003" s="7" t="s">
        <v>2334</v>
      </c>
      <c r="H1003" s="7" t="s">
        <v>301</v>
      </c>
      <c r="I1003" s="7" t="s">
        <v>2327</v>
      </c>
      <c r="J1003" s="7" t="s">
        <v>2328</v>
      </c>
      <c r="K1003" s="7" t="s">
        <v>250</v>
      </c>
      <c r="L1003" s="7" t="s">
        <v>2314</v>
      </c>
      <c r="M1003" s="7" t="s">
        <v>2315</v>
      </c>
      <c r="N1003" s="7" t="s">
        <v>710</v>
      </c>
      <c r="O1003" s="7" t="s">
        <v>998</v>
      </c>
      <c r="P1003" s="7" t="s">
        <v>2316</v>
      </c>
      <c r="Q1003" s="7" t="s">
        <v>2329</v>
      </c>
      <c r="R1003" s="7" t="s">
        <v>364</v>
      </c>
      <c r="S1003" s="7" t="s">
        <v>2318</v>
      </c>
      <c r="T1003" s="7" t="s">
        <v>1001</v>
      </c>
      <c r="U1003" s="18" t="n">
        <v>250</v>
      </c>
      <c r="V1003" s="7"/>
      <c r="W1003" s="7"/>
      <c r="X1003" s="7" t="s">
        <v>205</v>
      </c>
      <c r="Y1003" s="22" t="n">
        <v>0.024</v>
      </c>
      <c r="Z1003" s="22" t="n">
        <v>0.034</v>
      </c>
      <c r="AA1003" s="22" t="n">
        <v>12</v>
      </c>
      <c r="AB1003" s="7" t="s">
        <v>2314</v>
      </c>
      <c r="AC1003" s="7" t="s">
        <v>2319</v>
      </c>
      <c r="AD1003" s="22" t="s">
        <v>197</v>
      </c>
      <c r="AE1003" s="22" t="s">
        <v>197</v>
      </c>
      <c r="AF1003" s="22" t="s">
        <v>197</v>
      </c>
      <c r="AG1003" s="22" t="s">
        <v>197</v>
      </c>
      <c r="AH1003" s="22" t="s">
        <v>197</v>
      </c>
      <c r="AI1003" s="22" t="s">
        <v>197</v>
      </c>
      <c r="AJ1003" s="22" t="s">
        <v>197</v>
      </c>
      <c r="AK1003" s="22" t="n">
        <v>20</v>
      </c>
      <c r="AL1003" s="22" t="n">
        <v>90</v>
      </c>
      <c r="AM1003" s="7" t="s">
        <v>292</v>
      </c>
      <c r="AN1003" s="22" t="s">
        <v>197</v>
      </c>
      <c r="AO1003" s="22" t="n">
        <v>2</v>
      </c>
      <c r="AP1003" s="22" t="n">
        <v>3</v>
      </c>
    </row>
    <row r="1004" customFormat="false" ht="21.75" hidden="false" customHeight="true" outlineLevel="0" collapsed="false">
      <c r="B1004" s="15" t="n">
        <v>1000</v>
      </c>
      <c r="C1004" s="9" t="s">
        <v>57</v>
      </c>
      <c r="D1004" s="9" t="s">
        <v>20</v>
      </c>
      <c r="E1004" s="9" t="s">
        <v>126</v>
      </c>
      <c r="F1004" s="9" t="s">
        <v>67</v>
      </c>
      <c r="G1004" s="9" t="s">
        <v>391</v>
      </c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19"/>
      <c r="V1004" s="9"/>
      <c r="W1004" s="9"/>
      <c r="X1004" s="9" t="s">
        <v>2335</v>
      </c>
      <c r="Y1004" s="23" t="s">
        <v>197</v>
      </c>
      <c r="Z1004" s="23" t="s">
        <v>197</v>
      </c>
      <c r="AA1004" s="23" t="s">
        <v>197</v>
      </c>
      <c r="AB1004" s="9" t="s">
        <v>197</v>
      </c>
      <c r="AC1004" s="9" t="s">
        <v>197</v>
      </c>
      <c r="AD1004" s="23" t="s">
        <v>197</v>
      </c>
      <c r="AE1004" s="23" t="s">
        <v>197</v>
      </c>
      <c r="AF1004" s="23" t="s">
        <v>197</v>
      </c>
      <c r="AG1004" s="23" t="s">
        <v>197</v>
      </c>
      <c r="AH1004" s="23" t="s">
        <v>197</v>
      </c>
      <c r="AI1004" s="23" t="s">
        <v>197</v>
      </c>
      <c r="AJ1004" s="23" t="s">
        <v>197</v>
      </c>
      <c r="AK1004" s="23" t="s">
        <v>197</v>
      </c>
      <c r="AL1004" s="23" t="s">
        <v>197</v>
      </c>
      <c r="AM1004" s="9" t="s">
        <v>197</v>
      </c>
      <c r="AN1004" s="23" t="s">
        <v>197</v>
      </c>
      <c r="AO1004" s="23" t="s">
        <v>197</v>
      </c>
      <c r="AP1004" s="23" t="s">
        <v>197</v>
      </c>
    </row>
    <row r="1005" customFormat="false" ht="21.75" hidden="false" customHeight="true" outlineLevel="0" collapsed="false">
      <c r="B1005" s="14" t="n">
        <v>1001</v>
      </c>
      <c r="C1005" s="7" t="s">
        <v>57</v>
      </c>
      <c r="D1005" s="7" t="s">
        <v>20</v>
      </c>
      <c r="E1005" s="7" t="s">
        <v>126</v>
      </c>
      <c r="F1005" s="7" t="s">
        <v>68</v>
      </c>
      <c r="G1005" s="7" t="s">
        <v>391</v>
      </c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18"/>
      <c r="V1005" s="7"/>
      <c r="W1005" s="7"/>
      <c r="X1005" s="7" t="s">
        <v>2336</v>
      </c>
      <c r="Y1005" s="22" t="s">
        <v>197</v>
      </c>
      <c r="Z1005" s="22" t="s">
        <v>197</v>
      </c>
      <c r="AA1005" s="22" t="s">
        <v>197</v>
      </c>
      <c r="AB1005" s="7" t="s">
        <v>197</v>
      </c>
      <c r="AC1005" s="7" t="s">
        <v>197</v>
      </c>
      <c r="AD1005" s="22" t="s">
        <v>197</v>
      </c>
      <c r="AE1005" s="22" t="s">
        <v>197</v>
      </c>
      <c r="AF1005" s="22" t="s">
        <v>197</v>
      </c>
      <c r="AG1005" s="22" t="s">
        <v>197</v>
      </c>
      <c r="AH1005" s="22" t="s">
        <v>197</v>
      </c>
      <c r="AI1005" s="22" t="s">
        <v>197</v>
      </c>
      <c r="AJ1005" s="22" t="s">
        <v>197</v>
      </c>
      <c r="AK1005" s="22" t="s">
        <v>197</v>
      </c>
      <c r="AL1005" s="22" t="s">
        <v>197</v>
      </c>
      <c r="AM1005" s="7" t="s">
        <v>197</v>
      </c>
      <c r="AN1005" s="22" t="s">
        <v>197</v>
      </c>
      <c r="AO1005" s="22" t="s">
        <v>197</v>
      </c>
      <c r="AP1005" s="22" t="s">
        <v>197</v>
      </c>
    </row>
    <row r="1006" customFormat="false" ht="21.75" hidden="false" customHeight="true" outlineLevel="0" collapsed="false">
      <c r="B1006" s="15" t="n">
        <v>1002</v>
      </c>
      <c r="C1006" s="9" t="s">
        <v>57</v>
      </c>
      <c r="D1006" s="9" t="s">
        <v>20</v>
      </c>
      <c r="E1006" s="9" t="s">
        <v>126</v>
      </c>
      <c r="F1006" s="9" t="s">
        <v>69</v>
      </c>
      <c r="G1006" s="9" t="s">
        <v>391</v>
      </c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19"/>
      <c r="V1006" s="9"/>
      <c r="W1006" s="9"/>
      <c r="X1006" s="9" t="s">
        <v>2337</v>
      </c>
      <c r="Y1006" s="23" t="s">
        <v>197</v>
      </c>
      <c r="Z1006" s="23" t="s">
        <v>197</v>
      </c>
      <c r="AA1006" s="23" t="s">
        <v>197</v>
      </c>
      <c r="AB1006" s="9" t="s">
        <v>197</v>
      </c>
      <c r="AC1006" s="9" t="s">
        <v>197</v>
      </c>
      <c r="AD1006" s="23" t="s">
        <v>197</v>
      </c>
      <c r="AE1006" s="23" t="s">
        <v>197</v>
      </c>
      <c r="AF1006" s="23" t="s">
        <v>197</v>
      </c>
      <c r="AG1006" s="23" t="s">
        <v>197</v>
      </c>
      <c r="AH1006" s="23" t="s">
        <v>197</v>
      </c>
      <c r="AI1006" s="23" t="s">
        <v>197</v>
      </c>
      <c r="AJ1006" s="23" t="s">
        <v>197</v>
      </c>
      <c r="AK1006" s="23" t="s">
        <v>197</v>
      </c>
      <c r="AL1006" s="23" t="s">
        <v>197</v>
      </c>
      <c r="AM1006" s="9" t="s">
        <v>197</v>
      </c>
      <c r="AN1006" s="23" t="s">
        <v>197</v>
      </c>
      <c r="AO1006" s="23" t="s">
        <v>197</v>
      </c>
      <c r="AP1006" s="23" t="s">
        <v>197</v>
      </c>
    </row>
    <row r="1007" customFormat="false" ht="21.75" hidden="false" customHeight="true" outlineLevel="0" collapsed="false">
      <c r="B1007" s="14" t="n">
        <v>1003</v>
      </c>
      <c r="C1007" s="7" t="s">
        <v>57</v>
      </c>
      <c r="D1007" s="7" t="s">
        <v>20</v>
      </c>
      <c r="E1007" s="7" t="s">
        <v>126</v>
      </c>
      <c r="F1007" s="7" t="s">
        <v>70</v>
      </c>
      <c r="G1007" s="7" t="s">
        <v>391</v>
      </c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18"/>
      <c r="V1007" s="7"/>
      <c r="W1007" s="7"/>
      <c r="X1007" s="7" t="s">
        <v>2338</v>
      </c>
      <c r="Y1007" s="22" t="s">
        <v>197</v>
      </c>
      <c r="Z1007" s="22" t="s">
        <v>197</v>
      </c>
      <c r="AA1007" s="22" t="s">
        <v>197</v>
      </c>
      <c r="AB1007" s="7" t="s">
        <v>197</v>
      </c>
      <c r="AC1007" s="7" t="s">
        <v>197</v>
      </c>
      <c r="AD1007" s="22" t="s">
        <v>197</v>
      </c>
      <c r="AE1007" s="22" t="s">
        <v>197</v>
      </c>
      <c r="AF1007" s="22" t="s">
        <v>197</v>
      </c>
      <c r="AG1007" s="22" t="s">
        <v>197</v>
      </c>
      <c r="AH1007" s="22" t="s">
        <v>197</v>
      </c>
      <c r="AI1007" s="22" t="s">
        <v>197</v>
      </c>
      <c r="AJ1007" s="22" t="s">
        <v>197</v>
      </c>
      <c r="AK1007" s="22" t="s">
        <v>197</v>
      </c>
      <c r="AL1007" s="22" t="s">
        <v>197</v>
      </c>
      <c r="AM1007" s="7" t="s">
        <v>197</v>
      </c>
      <c r="AN1007" s="22" t="s">
        <v>197</v>
      </c>
      <c r="AO1007" s="22" t="s">
        <v>197</v>
      </c>
      <c r="AP1007" s="22" t="s">
        <v>197</v>
      </c>
    </row>
    <row r="1008" customFormat="false" ht="21.75" hidden="false" customHeight="true" outlineLevel="0" collapsed="false">
      <c r="B1008" s="15" t="n">
        <v>1004</v>
      </c>
      <c r="C1008" s="9" t="s">
        <v>57</v>
      </c>
      <c r="D1008" s="9" t="s">
        <v>20</v>
      </c>
      <c r="E1008" s="9" t="s">
        <v>126</v>
      </c>
      <c r="F1008" s="9" t="s">
        <v>71</v>
      </c>
      <c r="G1008" s="9" t="s">
        <v>391</v>
      </c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19"/>
      <c r="V1008" s="9"/>
      <c r="W1008" s="9"/>
      <c r="X1008" s="9" t="s">
        <v>2339</v>
      </c>
      <c r="Y1008" s="23" t="s">
        <v>197</v>
      </c>
      <c r="Z1008" s="23" t="s">
        <v>197</v>
      </c>
      <c r="AA1008" s="23" t="s">
        <v>197</v>
      </c>
      <c r="AB1008" s="9" t="s">
        <v>197</v>
      </c>
      <c r="AC1008" s="9" t="s">
        <v>197</v>
      </c>
      <c r="AD1008" s="23" t="s">
        <v>197</v>
      </c>
      <c r="AE1008" s="23" t="s">
        <v>197</v>
      </c>
      <c r="AF1008" s="23" t="s">
        <v>197</v>
      </c>
      <c r="AG1008" s="23" t="s">
        <v>197</v>
      </c>
      <c r="AH1008" s="23" t="s">
        <v>197</v>
      </c>
      <c r="AI1008" s="23" t="s">
        <v>197</v>
      </c>
      <c r="AJ1008" s="23" t="s">
        <v>197</v>
      </c>
      <c r="AK1008" s="23" t="s">
        <v>197</v>
      </c>
      <c r="AL1008" s="23" t="s">
        <v>197</v>
      </c>
      <c r="AM1008" s="9" t="s">
        <v>197</v>
      </c>
      <c r="AN1008" s="23" t="s">
        <v>197</v>
      </c>
      <c r="AO1008" s="23" t="s">
        <v>197</v>
      </c>
      <c r="AP1008" s="23" t="s">
        <v>197</v>
      </c>
    </row>
    <row r="1009" customFormat="false" ht="21.75" hidden="false" customHeight="true" outlineLevel="0" collapsed="false">
      <c r="B1009" s="14" t="n">
        <v>1005</v>
      </c>
      <c r="C1009" s="7" t="s">
        <v>57</v>
      </c>
      <c r="D1009" s="7" t="s">
        <v>20</v>
      </c>
      <c r="E1009" s="7" t="s">
        <v>126</v>
      </c>
      <c r="F1009" s="7" t="s">
        <v>72</v>
      </c>
      <c r="G1009" s="7" t="s">
        <v>2340</v>
      </c>
      <c r="H1009" s="7" t="s">
        <v>1198</v>
      </c>
      <c r="I1009" s="7" t="s">
        <v>2341</v>
      </c>
      <c r="J1009" s="7" t="s">
        <v>2342</v>
      </c>
      <c r="K1009" s="7" t="s">
        <v>250</v>
      </c>
      <c r="L1009" s="7" t="s">
        <v>2314</v>
      </c>
      <c r="M1009" s="7" t="s">
        <v>2315</v>
      </c>
      <c r="N1009" s="7" t="s">
        <v>2343</v>
      </c>
      <c r="O1009" s="7" t="s">
        <v>2344</v>
      </c>
      <c r="P1009" s="7" t="s">
        <v>2316</v>
      </c>
      <c r="Q1009" s="7" t="s">
        <v>2345</v>
      </c>
      <c r="R1009" s="7" t="s">
        <v>2346</v>
      </c>
      <c r="S1009" s="7" t="s">
        <v>2318</v>
      </c>
      <c r="T1009" s="7" t="s">
        <v>1001</v>
      </c>
      <c r="U1009" s="18" t="n">
        <v>155</v>
      </c>
      <c r="V1009" s="7"/>
      <c r="W1009" s="7"/>
      <c r="X1009" s="7" t="s">
        <v>195</v>
      </c>
      <c r="Y1009" s="22" t="n">
        <v>0.068</v>
      </c>
      <c r="Z1009" s="22" t="n">
        <v>0.082</v>
      </c>
      <c r="AA1009" s="22" t="n">
        <v>12</v>
      </c>
      <c r="AB1009" s="7" t="s">
        <v>2314</v>
      </c>
      <c r="AC1009" s="7" t="s">
        <v>2319</v>
      </c>
      <c r="AD1009" s="22" t="s">
        <v>197</v>
      </c>
      <c r="AE1009" s="22" t="s">
        <v>197</v>
      </c>
      <c r="AF1009" s="22" t="s">
        <v>197</v>
      </c>
      <c r="AG1009" s="22" t="s">
        <v>197</v>
      </c>
      <c r="AH1009" s="22" t="s">
        <v>197</v>
      </c>
      <c r="AI1009" s="22" t="s">
        <v>197</v>
      </c>
      <c r="AJ1009" s="22" t="s">
        <v>197</v>
      </c>
      <c r="AK1009" s="22" t="n">
        <v>40</v>
      </c>
      <c r="AL1009" s="22" t="s">
        <v>197</v>
      </c>
      <c r="AM1009" s="7" t="s">
        <v>1203</v>
      </c>
      <c r="AN1009" s="22" t="s">
        <v>197</v>
      </c>
      <c r="AO1009" s="22" t="n">
        <v>0.5</v>
      </c>
      <c r="AP1009" s="22" t="n">
        <v>2.5</v>
      </c>
    </row>
    <row r="1010" customFormat="false" ht="21.75" hidden="false" customHeight="true" outlineLevel="0" collapsed="false">
      <c r="B1010" s="15" t="n">
        <v>1006</v>
      </c>
      <c r="C1010" s="9" t="s">
        <v>57</v>
      </c>
      <c r="D1010" s="9" t="s">
        <v>20</v>
      </c>
      <c r="E1010" s="9" t="s">
        <v>126</v>
      </c>
      <c r="F1010" s="9" t="s">
        <v>72</v>
      </c>
      <c r="G1010" s="9" t="s">
        <v>2347</v>
      </c>
      <c r="H1010" s="9" t="s">
        <v>1205</v>
      </c>
      <c r="I1010" s="9" t="s">
        <v>2341</v>
      </c>
      <c r="J1010" s="9" t="s">
        <v>2342</v>
      </c>
      <c r="K1010" s="9" t="s">
        <v>250</v>
      </c>
      <c r="L1010" s="9" t="s">
        <v>2314</v>
      </c>
      <c r="M1010" s="9" t="s">
        <v>2315</v>
      </c>
      <c r="N1010" s="9" t="s">
        <v>2343</v>
      </c>
      <c r="O1010" s="9" t="s">
        <v>2344</v>
      </c>
      <c r="P1010" s="9" t="s">
        <v>2316</v>
      </c>
      <c r="Q1010" s="9" t="s">
        <v>2345</v>
      </c>
      <c r="R1010" s="9" t="s">
        <v>2346</v>
      </c>
      <c r="S1010" s="9" t="s">
        <v>2318</v>
      </c>
      <c r="T1010" s="9" t="s">
        <v>1001</v>
      </c>
      <c r="U1010" s="19" t="n">
        <v>230</v>
      </c>
      <c r="V1010" s="9"/>
      <c r="W1010" s="9"/>
      <c r="X1010" s="9" t="s">
        <v>199</v>
      </c>
      <c r="Y1010" s="23" t="n">
        <v>0.043</v>
      </c>
      <c r="Z1010" s="23" t="n">
        <v>0.054</v>
      </c>
      <c r="AA1010" s="23" t="n">
        <v>12</v>
      </c>
      <c r="AB1010" s="9" t="s">
        <v>2314</v>
      </c>
      <c r="AC1010" s="9" t="s">
        <v>2319</v>
      </c>
      <c r="AD1010" s="23" t="s">
        <v>197</v>
      </c>
      <c r="AE1010" s="23" t="s">
        <v>197</v>
      </c>
      <c r="AF1010" s="23" t="s">
        <v>197</v>
      </c>
      <c r="AG1010" s="23" t="s">
        <v>197</v>
      </c>
      <c r="AH1010" s="23" t="s">
        <v>197</v>
      </c>
      <c r="AI1010" s="23" t="s">
        <v>197</v>
      </c>
      <c r="AJ1010" s="23" t="s">
        <v>197</v>
      </c>
      <c r="AK1010" s="23" t="n">
        <v>60</v>
      </c>
      <c r="AL1010" s="23" t="s">
        <v>197</v>
      </c>
      <c r="AM1010" s="9" t="s">
        <v>1203</v>
      </c>
      <c r="AN1010" s="23" t="s">
        <v>197</v>
      </c>
      <c r="AO1010" s="23" t="n">
        <v>0.5</v>
      </c>
      <c r="AP1010" s="23" t="n">
        <v>2.5</v>
      </c>
    </row>
    <row r="1011" customFormat="false" ht="21.75" hidden="false" customHeight="true" outlineLevel="0" collapsed="false">
      <c r="B1011" s="14" t="n">
        <v>1007</v>
      </c>
      <c r="C1011" s="7" t="s">
        <v>57</v>
      </c>
      <c r="D1011" s="7" t="s">
        <v>20</v>
      </c>
      <c r="E1011" s="7" t="s">
        <v>126</v>
      </c>
      <c r="F1011" s="7" t="s">
        <v>72</v>
      </c>
      <c r="G1011" s="7" t="s">
        <v>2348</v>
      </c>
      <c r="H1011" s="7" t="s">
        <v>1207</v>
      </c>
      <c r="I1011" s="7" t="s">
        <v>2341</v>
      </c>
      <c r="J1011" s="7" t="s">
        <v>2342</v>
      </c>
      <c r="K1011" s="7" t="s">
        <v>250</v>
      </c>
      <c r="L1011" s="7" t="s">
        <v>2314</v>
      </c>
      <c r="M1011" s="7" t="s">
        <v>2315</v>
      </c>
      <c r="N1011" s="7" t="s">
        <v>2343</v>
      </c>
      <c r="O1011" s="7" t="s">
        <v>2344</v>
      </c>
      <c r="P1011" s="7" t="s">
        <v>2316</v>
      </c>
      <c r="Q1011" s="7" t="s">
        <v>2345</v>
      </c>
      <c r="R1011" s="7" t="s">
        <v>2346</v>
      </c>
      <c r="S1011" s="7" t="s">
        <v>2318</v>
      </c>
      <c r="T1011" s="7" t="s">
        <v>1001</v>
      </c>
      <c r="U1011" s="18" t="n">
        <v>310</v>
      </c>
      <c r="V1011" s="7"/>
      <c r="W1011" s="7"/>
      <c r="X1011" s="7" t="s">
        <v>2349</v>
      </c>
      <c r="Y1011" s="22" t="n">
        <v>0.069</v>
      </c>
      <c r="Z1011" s="22" t="n">
        <v>0.084</v>
      </c>
      <c r="AA1011" s="22" t="n">
        <v>12</v>
      </c>
      <c r="AB1011" s="7" t="s">
        <v>2314</v>
      </c>
      <c r="AC1011" s="7" t="s">
        <v>2319</v>
      </c>
      <c r="AD1011" s="22" t="s">
        <v>197</v>
      </c>
      <c r="AE1011" s="22" t="s">
        <v>197</v>
      </c>
      <c r="AF1011" s="22" t="s">
        <v>197</v>
      </c>
      <c r="AG1011" s="22" t="s">
        <v>197</v>
      </c>
      <c r="AH1011" s="22" t="s">
        <v>197</v>
      </c>
      <c r="AI1011" s="22" t="s">
        <v>197</v>
      </c>
      <c r="AJ1011" s="22" t="s">
        <v>197</v>
      </c>
      <c r="AK1011" s="22" t="n">
        <v>100</v>
      </c>
      <c r="AL1011" s="22" t="s">
        <v>197</v>
      </c>
      <c r="AM1011" s="7" t="s">
        <v>1203</v>
      </c>
      <c r="AN1011" s="22" t="s">
        <v>197</v>
      </c>
      <c r="AO1011" s="22" t="n">
        <v>0.5</v>
      </c>
      <c r="AP1011" s="22" t="n">
        <v>2.5</v>
      </c>
    </row>
    <row r="1012" customFormat="false" ht="21.75" hidden="false" customHeight="true" outlineLevel="0" collapsed="false">
      <c r="B1012" s="15" t="n">
        <v>1008</v>
      </c>
      <c r="C1012" s="9" t="s">
        <v>57</v>
      </c>
      <c r="D1012" s="9" t="s">
        <v>20</v>
      </c>
      <c r="E1012" s="9" t="s">
        <v>126</v>
      </c>
      <c r="F1012" s="9" t="s">
        <v>72</v>
      </c>
      <c r="G1012" s="9" t="s">
        <v>2350</v>
      </c>
      <c r="H1012" s="9" t="s">
        <v>1210</v>
      </c>
      <c r="I1012" s="9" t="s">
        <v>2341</v>
      </c>
      <c r="J1012" s="9" t="s">
        <v>2342</v>
      </c>
      <c r="K1012" s="9" t="s">
        <v>250</v>
      </c>
      <c r="L1012" s="9" t="s">
        <v>2314</v>
      </c>
      <c r="M1012" s="9" t="s">
        <v>2315</v>
      </c>
      <c r="N1012" s="9" t="s">
        <v>2343</v>
      </c>
      <c r="O1012" s="9" t="s">
        <v>2344</v>
      </c>
      <c r="P1012" s="9" t="s">
        <v>2316</v>
      </c>
      <c r="Q1012" s="9" t="s">
        <v>2345</v>
      </c>
      <c r="R1012" s="9" t="s">
        <v>2346</v>
      </c>
      <c r="S1012" s="9" t="s">
        <v>2318</v>
      </c>
      <c r="T1012" s="9" t="s">
        <v>1001</v>
      </c>
      <c r="U1012" s="19" t="n">
        <v>465</v>
      </c>
      <c r="V1012" s="9"/>
      <c r="W1012" s="9"/>
      <c r="X1012" s="9" t="s">
        <v>203</v>
      </c>
      <c r="Y1012" s="23" t="n">
        <v>0.056</v>
      </c>
      <c r="Z1012" s="23" t="n">
        <v>0.069</v>
      </c>
      <c r="AA1012" s="23" t="n">
        <v>12</v>
      </c>
      <c r="AB1012" s="9" t="s">
        <v>2314</v>
      </c>
      <c r="AC1012" s="9" t="s">
        <v>2319</v>
      </c>
      <c r="AD1012" s="23" t="s">
        <v>197</v>
      </c>
      <c r="AE1012" s="23" t="s">
        <v>197</v>
      </c>
      <c r="AF1012" s="23" t="s">
        <v>197</v>
      </c>
      <c r="AG1012" s="23" t="s">
        <v>197</v>
      </c>
      <c r="AH1012" s="23" t="s">
        <v>197</v>
      </c>
      <c r="AI1012" s="23" t="s">
        <v>197</v>
      </c>
      <c r="AJ1012" s="23" t="s">
        <v>197</v>
      </c>
      <c r="AK1012" s="23" t="n">
        <v>200</v>
      </c>
      <c r="AL1012" s="23" t="s">
        <v>197</v>
      </c>
      <c r="AM1012" s="9" t="s">
        <v>1203</v>
      </c>
      <c r="AN1012" s="23" t="s">
        <v>197</v>
      </c>
      <c r="AO1012" s="23" t="n">
        <v>0.5</v>
      </c>
      <c r="AP1012" s="23" t="n">
        <v>2.5</v>
      </c>
    </row>
    <row r="1013" customFormat="false" ht="21.75" hidden="false" customHeight="true" outlineLevel="0" collapsed="false">
      <c r="B1013" s="14" t="n">
        <v>1009</v>
      </c>
      <c r="C1013" s="7" t="s">
        <v>57</v>
      </c>
      <c r="D1013" s="7" t="s">
        <v>20</v>
      </c>
      <c r="E1013" s="7" t="s">
        <v>126</v>
      </c>
      <c r="F1013" s="7" t="s">
        <v>72</v>
      </c>
      <c r="G1013" s="7" t="s">
        <v>2351</v>
      </c>
      <c r="H1013" s="7" t="s">
        <v>1212</v>
      </c>
      <c r="I1013" s="7" t="s">
        <v>2341</v>
      </c>
      <c r="J1013" s="7" t="s">
        <v>2342</v>
      </c>
      <c r="K1013" s="7" t="s">
        <v>250</v>
      </c>
      <c r="L1013" s="7" t="s">
        <v>2314</v>
      </c>
      <c r="M1013" s="7" t="s">
        <v>2315</v>
      </c>
      <c r="N1013" s="7" t="s">
        <v>2343</v>
      </c>
      <c r="O1013" s="7" t="s">
        <v>2344</v>
      </c>
      <c r="P1013" s="7" t="s">
        <v>2316</v>
      </c>
      <c r="Q1013" s="7" t="s">
        <v>2345</v>
      </c>
      <c r="R1013" s="7" t="s">
        <v>2346</v>
      </c>
      <c r="S1013" s="7" t="s">
        <v>2318</v>
      </c>
      <c r="T1013" s="7" t="s">
        <v>1001</v>
      </c>
      <c r="U1013" s="18" t="n">
        <v>680</v>
      </c>
      <c r="V1013" s="7"/>
      <c r="W1013" s="7"/>
      <c r="X1013" s="7" t="s">
        <v>205</v>
      </c>
      <c r="Y1013" s="22" t="n">
        <v>0.054</v>
      </c>
      <c r="Z1013" s="22" t="n">
        <v>0.067</v>
      </c>
      <c r="AA1013" s="22" t="n">
        <v>12</v>
      </c>
      <c r="AB1013" s="7" t="s">
        <v>2314</v>
      </c>
      <c r="AC1013" s="7" t="s">
        <v>2319</v>
      </c>
      <c r="AD1013" s="22" t="s">
        <v>197</v>
      </c>
      <c r="AE1013" s="22" t="s">
        <v>197</v>
      </c>
      <c r="AF1013" s="22" t="s">
        <v>197</v>
      </c>
      <c r="AG1013" s="22" t="s">
        <v>197</v>
      </c>
      <c r="AH1013" s="22" t="s">
        <v>197</v>
      </c>
      <c r="AI1013" s="22" t="s">
        <v>197</v>
      </c>
      <c r="AJ1013" s="22" t="s">
        <v>197</v>
      </c>
      <c r="AK1013" s="22" t="n">
        <v>300</v>
      </c>
      <c r="AL1013" s="22" t="s">
        <v>197</v>
      </c>
      <c r="AM1013" s="7" t="s">
        <v>1203</v>
      </c>
      <c r="AN1013" s="22" t="s">
        <v>197</v>
      </c>
      <c r="AO1013" s="22" t="n">
        <v>0.5</v>
      </c>
      <c r="AP1013" s="22" t="n">
        <v>2.5</v>
      </c>
    </row>
    <row r="1014" customFormat="false" ht="21.75" hidden="false" customHeight="true" outlineLevel="0" collapsed="false">
      <c r="B1014" s="15" t="n">
        <v>1010</v>
      </c>
      <c r="C1014" s="9" t="s">
        <v>57</v>
      </c>
      <c r="D1014" s="9" t="s">
        <v>20</v>
      </c>
      <c r="E1014" s="9" t="s">
        <v>126</v>
      </c>
      <c r="F1014" s="9" t="s">
        <v>73</v>
      </c>
      <c r="G1014" s="9" t="s">
        <v>391</v>
      </c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19"/>
      <c r="V1014" s="9"/>
      <c r="W1014" s="9"/>
      <c r="X1014" s="9" t="s">
        <v>2352</v>
      </c>
      <c r="Y1014" s="23" t="s">
        <v>197</v>
      </c>
      <c r="Z1014" s="23" t="s">
        <v>197</v>
      </c>
      <c r="AA1014" s="23" t="s">
        <v>197</v>
      </c>
      <c r="AB1014" s="9" t="s">
        <v>197</v>
      </c>
      <c r="AC1014" s="9" t="s">
        <v>197</v>
      </c>
      <c r="AD1014" s="23" t="s">
        <v>197</v>
      </c>
      <c r="AE1014" s="23" t="s">
        <v>197</v>
      </c>
      <c r="AF1014" s="23" t="s">
        <v>197</v>
      </c>
      <c r="AG1014" s="23" t="s">
        <v>197</v>
      </c>
      <c r="AH1014" s="23" t="s">
        <v>197</v>
      </c>
      <c r="AI1014" s="23" t="s">
        <v>197</v>
      </c>
      <c r="AJ1014" s="23" t="s">
        <v>197</v>
      </c>
      <c r="AK1014" s="23" t="s">
        <v>197</v>
      </c>
      <c r="AL1014" s="23" t="s">
        <v>197</v>
      </c>
      <c r="AM1014" s="9" t="s">
        <v>197</v>
      </c>
      <c r="AN1014" s="23" t="s">
        <v>197</v>
      </c>
      <c r="AO1014" s="23" t="s">
        <v>197</v>
      </c>
      <c r="AP1014" s="23" t="s">
        <v>197</v>
      </c>
    </row>
    <row r="1015" customFormat="false" ht="21.75" hidden="false" customHeight="true" outlineLevel="0" collapsed="false">
      <c r="B1015" s="14" t="n">
        <v>1011</v>
      </c>
      <c r="C1015" s="7" t="s">
        <v>57</v>
      </c>
      <c r="D1015" s="7" t="s">
        <v>20</v>
      </c>
      <c r="E1015" s="7" t="s">
        <v>126</v>
      </c>
      <c r="F1015" s="7" t="s">
        <v>74</v>
      </c>
      <c r="G1015" s="7" t="s">
        <v>391</v>
      </c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18"/>
      <c r="V1015" s="7"/>
      <c r="W1015" s="7"/>
      <c r="X1015" s="7" t="s">
        <v>2353</v>
      </c>
      <c r="Y1015" s="22" t="s">
        <v>197</v>
      </c>
      <c r="Z1015" s="22" t="s">
        <v>197</v>
      </c>
      <c r="AA1015" s="22" t="s">
        <v>197</v>
      </c>
      <c r="AB1015" s="7" t="s">
        <v>197</v>
      </c>
      <c r="AC1015" s="7" t="s">
        <v>197</v>
      </c>
      <c r="AD1015" s="22" t="s">
        <v>197</v>
      </c>
      <c r="AE1015" s="22" t="s">
        <v>197</v>
      </c>
      <c r="AF1015" s="22" t="s">
        <v>197</v>
      </c>
      <c r="AG1015" s="22" t="s">
        <v>197</v>
      </c>
      <c r="AH1015" s="22" t="s">
        <v>197</v>
      </c>
      <c r="AI1015" s="22" t="s">
        <v>197</v>
      </c>
      <c r="AJ1015" s="22" t="s">
        <v>197</v>
      </c>
      <c r="AK1015" s="22" t="s">
        <v>197</v>
      </c>
      <c r="AL1015" s="22" t="s">
        <v>197</v>
      </c>
      <c r="AM1015" s="7" t="s">
        <v>197</v>
      </c>
      <c r="AN1015" s="22" t="s">
        <v>197</v>
      </c>
      <c r="AO1015" s="22" t="s">
        <v>197</v>
      </c>
      <c r="AP1015" s="22" t="s">
        <v>197</v>
      </c>
    </row>
    <row r="1016" customFormat="false" ht="21.75" hidden="false" customHeight="true" outlineLevel="0" collapsed="false">
      <c r="B1016" s="15" t="n">
        <v>1012</v>
      </c>
      <c r="C1016" s="9" t="s">
        <v>57</v>
      </c>
      <c r="D1016" s="9" t="s">
        <v>20</v>
      </c>
      <c r="E1016" s="9" t="s">
        <v>126</v>
      </c>
      <c r="F1016" s="9" t="s">
        <v>75</v>
      </c>
      <c r="G1016" s="9" t="s">
        <v>391</v>
      </c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19"/>
      <c r="V1016" s="9"/>
      <c r="W1016" s="9"/>
      <c r="X1016" s="9" t="s">
        <v>2354</v>
      </c>
      <c r="Y1016" s="23" t="s">
        <v>197</v>
      </c>
      <c r="Z1016" s="23" t="s">
        <v>197</v>
      </c>
      <c r="AA1016" s="23" t="s">
        <v>197</v>
      </c>
      <c r="AB1016" s="9" t="s">
        <v>197</v>
      </c>
      <c r="AC1016" s="9" t="s">
        <v>197</v>
      </c>
      <c r="AD1016" s="23" t="s">
        <v>197</v>
      </c>
      <c r="AE1016" s="23" t="s">
        <v>197</v>
      </c>
      <c r="AF1016" s="23" t="s">
        <v>197</v>
      </c>
      <c r="AG1016" s="23" t="s">
        <v>197</v>
      </c>
      <c r="AH1016" s="23" t="s">
        <v>197</v>
      </c>
      <c r="AI1016" s="23" t="s">
        <v>197</v>
      </c>
      <c r="AJ1016" s="23" t="s">
        <v>197</v>
      </c>
      <c r="AK1016" s="23" t="s">
        <v>197</v>
      </c>
      <c r="AL1016" s="23" t="s">
        <v>197</v>
      </c>
      <c r="AM1016" s="9" t="s">
        <v>197</v>
      </c>
      <c r="AN1016" s="23" t="s">
        <v>197</v>
      </c>
      <c r="AO1016" s="23" t="s">
        <v>197</v>
      </c>
      <c r="AP1016" s="23" t="s">
        <v>197</v>
      </c>
    </row>
    <row r="1017" customFormat="false" ht="21.75" hidden="false" customHeight="true" outlineLevel="0" collapsed="false">
      <c r="B1017" s="14" t="n">
        <v>1013</v>
      </c>
      <c r="C1017" s="7" t="s">
        <v>58</v>
      </c>
      <c r="D1017" s="7" t="s">
        <v>20</v>
      </c>
      <c r="E1017" s="7" t="s">
        <v>118</v>
      </c>
      <c r="F1017" s="7" t="s">
        <v>60</v>
      </c>
      <c r="G1017" s="7" t="s">
        <v>2355</v>
      </c>
      <c r="H1017" s="7" t="s">
        <v>2356</v>
      </c>
      <c r="I1017" s="7" t="s">
        <v>2357</v>
      </c>
      <c r="J1017" s="7" t="s">
        <v>2358</v>
      </c>
      <c r="K1017" s="7" t="s">
        <v>2359</v>
      </c>
      <c r="L1017" s="7" t="s">
        <v>2360</v>
      </c>
      <c r="M1017" s="7" t="s">
        <v>2361</v>
      </c>
      <c r="N1017" s="7" t="s">
        <v>189</v>
      </c>
      <c r="O1017" s="7" t="s">
        <v>189</v>
      </c>
      <c r="P1017" s="7" t="s">
        <v>1744</v>
      </c>
      <c r="Q1017" s="7" t="s">
        <v>2362</v>
      </c>
      <c r="R1017" s="7" t="s">
        <v>2363</v>
      </c>
      <c r="S1017" s="7" t="s">
        <v>2364</v>
      </c>
      <c r="T1017" s="7" t="s">
        <v>2365</v>
      </c>
      <c r="U1017" s="18" t="n">
        <v>285</v>
      </c>
      <c r="V1017" s="7"/>
      <c r="W1017" s="7"/>
      <c r="X1017" s="7" t="s">
        <v>195</v>
      </c>
      <c r="Y1017" s="22" t="n">
        <v>0.091</v>
      </c>
      <c r="Z1017" s="22" t="n">
        <v>0.447</v>
      </c>
      <c r="AA1017" s="22" t="n">
        <v>12</v>
      </c>
      <c r="AB1017" s="7" t="s">
        <v>2360</v>
      </c>
      <c r="AC1017" s="7" t="s">
        <v>2366</v>
      </c>
      <c r="AD1017" s="22" t="n">
        <v>0.091</v>
      </c>
      <c r="AE1017" s="22" t="n">
        <v>0.447</v>
      </c>
      <c r="AF1017" s="22" t="n">
        <v>3.5</v>
      </c>
      <c r="AG1017" s="22" t="n">
        <v>128</v>
      </c>
      <c r="AH1017" s="22" t="n">
        <v>16</v>
      </c>
      <c r="AI1017" s="22" t="s">
        <v>197</v>
      </c>
      <c r="AJ1017" s="22" t="s">
        <v>197</v>
      </c>
      <c r="AK1017" s="22" t="s">
        <v>197</v>
      </c>
      <c r="AL1017" s="22" t="s">
        <v>197</v>
      </c>
      <c r="AM1017" s="7" t="s">
        <v>197</v>
      </c>
      <c r="AN1017" s="22" t="s">
        <v>197</v>
      </c>
      <c r="AO1017" s="22" t="s">
        <v>197</v>
      </c>
      <c r="AP1017" s="22" t="s">
        <v>197</v>
      </c>
    </row>
    <row r="1018" customFormat="false" ht="21.75" hidden="false" customHeight="true" outlineLevel="0" collapsed="false">
      <c r="B1018" s="15" t="n">
        <v>1014</v>
      </c>
      <c r="C1018" s="9" t="s">
        <v>58</v>
      </c>
      <c r="D1018" s="9" t="s">
        <v>20</v>
      </c>
      <c r="E1018" s="9" t="s">
        <v>118</v>
      </c>
      <c r="F1018" s="9" t="s">
        <v>60</v>
      </c>
      <c r="G1018" s="9" t="s">
        <v>2367</v>
      </c>
      <c r="H1018" s="9" t="s">
        <v>2356</v>
      </c>
      <c r="I1018" s="9" t="s">
        <v>2357</v>
      </c>
      <c r="J1018" s="9" t="s">
        <v>2358</v>
      </c>
      <c r="K1018" s="9" t="s">
        <v>2359</v>
      </c>
      <c r="L1018" s="9" t="s">
        <v>2360</v>
      </c>
      <c r="M1018" s="9" t="s">
        <v>2361</v>
      </c>
      <c r="N1018" s="9" t="s">
        <v>189</v>
      </c>
      <c r="O1018" s="9" t="s">
        <v>189</v>
      </c>
      <c r="P1018" s="9" t="s">
        <v>1744</v>
      </c>
      <c r="Q1018" s="9" t="s">
        <v>2362</v>
      </c>
      <c r="R1018" s="9" t="s">
        <v>2363</v>
      </c>
      <c r="S1018" s="9" t="s">
        <v>2364</v>
      </c>
      <c r="T1018" s="9" t="s">
        <v>2365</v>
      </c>
      <c r="U1018" s="19" t="n">
        <v>425</v>
      </c>
      <c r="V1018" s="9"/>
      <c r="W1018" s="9"/>
      <c r="X1018" s="9" t="s">
        <v>199</v>
      </c>
      <c r="Y1018" s="23" t="n">
        <v>0.102</v>
      </c>
      <c r="Z1018" s="23" t="n">
        <v>0.486</v>
      </c>
      <c r="AA1018" s="23" t="n">
        <v>12</v>
      </c>
      <c r="AB1018" s="9" t="s">
        <v>2360</v>
      </c>
      <c r="AC1018" s="9" t="s">
        <v>2366</v>
      </c>
      <c r="AD1018" s="23" t="n">
        <v>0.102</v>
      </c>
      <c r="AE1018" s="23" t="n">
        <v>0.486</v>
      </c>
      <c r="AF1018" s="23" t="n">
        <v>3.5</v>
      </c>
      <c r="AG1018" s="23" t="n">
        <v>128</v>
      </c>
      <c r="AH1018" s="23" t="n">
        <v>16</v>
      </c>
      <c r="AI1018" s="23" t="s">
        <v>197</v>
      </c>
      <c r="AJ1018" s="23" t="s">
        <v>197</v>
      </c>
      <c r="AK1018" s="23" t="s">
        <v>197</v>
      </c>
      <c r="AL1018" s="23" t="s">
        <v>197</v>
      </c>
      <c r="AM1018" s="9" t="s">
        <v>197</v>
      </c>
      <c r="AN1018" s="23" t="s">
        <v>197</v>
      </c>
      <c r="AO1018" s="23" t="s">
        <v>197</v>
      </c>
      <c r="AP1018" s="23" t="s">
        <v>197</v>
      </c>
    </row>
    <row r="1019" customFormat="false" ht="21.75" hidden="false" customHeight="true" outlineLevel="0" collapsed="false">
      <c r="B1019" s="14" t="n">
        <v>1015</v>
      </c>
      <c r="C1019" s="7" t="s">
        <v>58</v>
      </c>
      <c r="D1019" s="7" t="s">
        <v>20</v>
      </c>
      <c r="E1019" s="7" t="s">
        <v>118</v>
      </c>
      <c r="F1019" s="7" t="s">
        <v>60</v>
      </c>
      <c r="G1019" s="7" t="s">
        <v>2368</v>
      </c>
      <c r="H1019" s="7" t="s">
        <v>2356</v>
      </c>
      <c r="I1019" s="7" t="s">
        <v>2357</v>
      </c>
      <c r="J1019" s="7" t="s">
        <v>2358</v>
      </c>
      <c r="K1019" s="7" t="s">
        <v>2359</v>
      </c>
      <c r="L1019" s="7" t="s">
        <v>2360</v>
      </c>
      <c r="M1019" s="7" t="s">
        <v>2361</v>
      </c>
      <c r="N1019" s="7" t="s">
        <v>189</v>
      </c>
      <c r="O1019" s="7" t="s">
        <v>189</v>
      </c>
      <c r="P1019" s="7" t="s">
        <v>1744</v>
      </c>
      <c r="Q1019" s="7" t="s">
        <v>2362</v>
      </c>
      <c r="R1019" s="7" t="s">
        <v>2363</v>
      </c>
      <c r="S1019" s="7" t="s">
        <v>2364</v>
      </c>
      <c r="T1019" s="7" t="s">
        <v>2365</v>
      </c>
      <c r="U1019" s="18" t="n">
        <v>570</v>
      </c>
      <c r="V1019" s="7"/>
      <c r="W1019" s="7"/>
      <c r="X1019" s="7" t="s">
        <v>2369</v>
      </c>
      <c r="Y1019" s="22" t="n">
        <v>0.061</v>
      </c>
      <c r="Z1019" s="22" t="n">
        <v>0.339</v>
      </c>
      <c r="AA1019" s="22" t="n">
        <v>12</v>
      </c>
      <c r="AB1019" s="7" t="s">
        <v>2360</v>
      </c>
      <c r="AC1019" s="7" t="s">
        <v>2366</v>
      </c>
      <c r="AD1019" s="22" t="n">
        <v>0.061</v>
      </c>
      <c r="AE1019" s="22" t="n">
        <v>0.339</v>
      </c>
      <c r="AF1019" s="22" t="n">
        <v>3.5</v>
      </c>
      <c r="AG1019" s="22" t="n">
        <v>128</v>
      </c>
      <c r="AH1019" s="22" t="n">
        <v>16</v>
      </c>
      <c r="AI1019" s="22" t="s">
        <v>197</v>
      </c>
      <c r="AJ1019" s="22" t="s">
        <v>197</v>
      </c>
      <c r="AK1019" s="22" t="s">
        <v>197</v>
      </c>
      <c r="AL1019" s="22" t="s">
        <v>197</v>
      </c>
      <c r="AM1019" s="7" t="s">
        <v>197</v>
      </c>
      <c r="AN1019" s="22" t="s">
        <v>197</v>
      </c>
      <c r="AO1019" s="22" t="s">
        <v>197</v>
      </c>
      <c r="AP1019" s="22" t="s">
        <v>197</v>
      </c>
    </row>
    <row r="1020" customFormat="false" ht="21.75" hidden="false" customHeight="true" outlineLevel="0" collapsed="false">
      <c r="B1020" s="15" t="n">
        <v>1016</v>
      </c>
      <c r="C1020" s="9" t="s">
        <v>58</v>
      </c>
      <c r="D1020" s="9" t="s">
        <v>20</v>
      </c>
      <c r="E1020" s="9" t="s">
        <v>118</v>
      </c>
      <c r="F1020" s="9" t="s">
        <v>60</v>
      </c>
      <c r="G1020" s="9" t="s">
        <v>2370</v>
      </c>
      <c r="H1020" s="9" t="s">
        <v>2356</v>
      </c>
      <c r="I1020" s="9" t="s">
        <v>2357</v>
      </c>
      <c r="J1020" s="9" t="s">
        <v>2358</v>
      </c>
      <c r="K1020" s="9" t="s">
        <v>2359</v>
      </c>
      <c r="L1020" s="9" t="s">
        <v>2360</v>
      </c>
      <c r="M1020" s="9" t="s">
        <v>2361</v>
      </c>
      <c r="N1020" s="9" t="s">
        <v>189</v>
      </c>
      <c r="O1020" s="9" t="s">
        <v>189</v>
      </c>
      <c r="P1020" s="9" t="s">
        <v>1744</v>
      </c>
      <c r="Q1020" s="9" t="s">
        <v>2362</v>
      </c>
      <c r="R1020" s="9" t="s">
        <v>2363</v>
      </c>
      <c r="S1020" s="9" t="s">
        <v>2364</v>
      </c>
      <c r="T1020" s="9" t="s">
        <v>2365</v>
      </c>
      <c r="U1020" s="19" t="n">
        <v>855</v>
      </c>
      <c r="V1020" s="9"/>
      <c r="W1020" s="9"/>
      <c r="X1020" s="9" t="s">
        <v>203</v>
      </c>
      <c r="Y1020" s="23" t="n">
        <v>0.072</v>
      </c>
      <c r="Z1020" s="23" t="n">
        <v>0.378</v>
      </c>
      <c r="AA1020" s="23" t="n">
        <v>12</v>
      </c>
      <c r="AB1020" s="9" t="s">
        <v>2360</v>
      </c>
      <c r="AC1020" s="9" t="s">
        <v>2366</v>
      </c>
      <c r="AD1020" s="23" t="n">
        <v>0.072</v>
      </c>
      <c r="AE1020" s="23" t="n">
        <v>0.378</v>
      </c>
      <c r="AF1020" s="23" t="n">
        <v>3.5</v>
      </c>
      <c r="AG1020" s="23" t="n">
        <v>128</v>
      </c>
      <c r="AH1020" s="23" t="n">
        <v>16</v>
      </c>
      <c r="AI1020" s="23" t="s">
        <v>197</v>
      </c>
      <c r="AJ1020" s="23" t="s">
        <v>197</v>
      </c>
      <c r="AK1020" s="23" t="s">
        <v>197</v>
      </c>
      <c r="AL1020" s="23" t="s">
        <v>197</v>
      </c>
      <c r="AM1020" s="9" t="s">
        <v>197</v>
      </c>
      <c r="AN1020" s="23" t="s">
        <v>197</v>
      </c>
      <c r="AO1020" s="23" t="s">
        <v>197</v>
      </c>
      <c r="AP1020" s="23" t="s">
        <v>197</v>
      </c>
    </row>
    <row r="1021" customFormat="false" ht="21.75" hidden="false" customHeight="true" outlineLevel="0" collapsed="false">
      <c r="B1021" s="14" t="n">
        <v>1017</v>
      </c>
      <c r="C1021" s="7" t="s">
        <v>58</v>
      </c>
      <c r="D1021" s="7" t="s">
        <v>20</v>
      </c>
      <c r="E1021" s="7" t="s">
        <v>118</v>
      </c>
      <c r="F1021" s="7" t="s">
        <v>60</v>
      </c>
      <c r="G1021" s="7" t="s">
        <v>2371</v>
      </c>
      <c r="H1021" s="7" t="s">
        <v>2356</v>
      </c>
      <c r="I1021" s="7" t="s">
        <v>2357</v>
      </c>
      <c r="J1021" s="7" t="s">
        <v>2358</v>
      </c>
      <c r="K1021" s="7" t="s">
        <v>2359</v>
      </c>
      <c r="L1021" s="7" t="s">
        <v>2360</v>
      </c>
      <c r="M1021" s="7" t="s">
        <v>2361</v>
      </c>
      <c r="N1021" s="7" t="s">
        <v>189</v>
      </c>
      <c r="O1021" s="7" t="s">
        <v>189</v>
      </c>
      <c r="P1021" s="7" t="s">
        <v>1744</v>
      </c>
      <c r="Q1021" s="7" t="s">
        <v>2362</v>
      </c>
      <c r="R1021" s="7" t="s">
        <v>2363</v>
      </c>
      <c r="S1021" s="7" t="s">
        <v>2364</v>
      </c>
      <c r="T1021" s="7" t="s">
        <v>2365</v>
      </c>
      <c r="U1021" s="18" t="n">
        <v>1250</v>
      </c>
      <c r="V1021" s="7"/>
      <c r="W1021" s="7"/>
      <c r="X1021" s="7" t="s">
        <v>205</v>
      </c>
      <c r="Y1021" s="22" t="n">
        <v>0.102</v>
      </c>
      <c r="Z1021" s="22" t="n">
        <v>0.486</v>
      </c>
      <c r="AA1021" s="22" t="n">
        <v>12</v>
      </c>
      <c r="AB1021" s="7" t="s">
        <v>2360</v>
      </c>
      <c r="AC1021" s="7" t="s">
        <v>2366</v>
      </c>
      <c r="AD1021" s="22" t="n">
        <v>0.102</v>
      </c>
      <c r="AE1021" s="22" t="n">
        <v>0.486</v>
      </c>
      <c r="AF1021" s="22" t="n">
        <v>3.5</v>
      </c>
      <c r="AG1021" s="22" t="n">
        <v>128</v>
      </c>
      <c r="AH1021" s="22" t="n">
        <v>16</v>
      </c>
      <c r="AI1021" s="22" t="s">
        <v>197</v>
      </c>
      <c r="AJ1021" s="22" t="s">
        <v>197</v>
      </c>
      <c r="AK1021" s="22" t="s">
        <v>197</v>
      </c>
      <c r="AL1021" s="22" t="s">
        <v>197</v>
      </c>
      <c r="AM1021" s="7" t="s">
        <v>197</v>
      </c>
      <c r="AN1021" s="22" t="s">
        <v>197</v>
      </c>
      <c r="AO1021" s="22" t="s">
        <v>197</v>
      </c>
      <c r="AP1021" s="22" t="s">
        <v>197</v>
      </c>
    </row>
    <row r="1022" customFormat="false" ht="21.75" hidden="false" customHeight="true" outlineLevel="0" collapsed="false">
      <c r="B1022" s="15" t="n">
        <v>1018</v>
      </c>
      <c r="C1022" s="9" t="s">
        <v>58</v>
      </c>
      <c r="D1022" s="9" t="s">
        <v>20</v>
      </c>
      <c r="E1022" s="9" t="s">
        <v>118</v>
      </c>
      <c r="F1022" s="9" t="s">
        <v>61</v>
      </c>
      <c r="G1022" s="9" t="s">
        <v>391</v>
      </c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19"/>
      <c r="V1022" s="9"/>
      <c r="W1022" s="9"/>
      <c r="X1022" s="9" t="s">
        <v>2372</v>
      </c>
      <c r="Y1022" s="23" t="s">
        <v>197</v>
      </c>
      <c r="Z1022" s="23" t="s">
        <v>197</v>
      </c>
      <c r="AA1022" s="23" t="s">
        <v>197</v>
      </c>
      <c r="AB1022" s="9" t="s">
        <v>197</v>
      </c>
      <c r="AC1022" s="9" t="s">
        <v>197</v>
      </c>
      <c r="AD1022" s="23" t="s">
        <v>197</v>
      </c>
      <c r="AE1022" s="23" t="s">
        <v>197</v>
      </c>
      <c r="AF1022" s="23" t="s">
        <v>197</v>
      </c>
      <c r="AG1022" s="23" t="s">
        <v>197</v>
      </c>
      <c r="AH1022" s="23" t="s">
        <v>197</v>
      </c>
      <c r="AI1022" s="23" t="s">
        <v>197</v>
      </c>
      <c r="AJ1022" s="23" t="s">
        <v>197</v>
      </c>
      <c r="AK1022" s="23" t="s">
        <v>197</v>
      </c>
      <c r="AL1022" s="23" t="s">
        <v>197</v>
      </c>
      <c r="AM1022" s="9" t="s">
        <v>197</v>
      </c>
      <c r="AN1022" s="23" t="s">
        <v>197</v>
      </c>
      <c r="AO1022" s="23" t="s">
        <v>197</v>
      </c>
      <c r="AP1022" s="23" t="s">
        <v>197</v>
      </c>
    </row>
    <row r="1023" customFormat="false" ht="21.75" hidden="false" customHeight="true" outlineLevel="0" collapsed="false">
      <c r="B1023" s="14" t="n">
        <v>1019</v>
      </c>
      <c r="C1023" s="7" t="s">
        <v>58</v>
      </c>
      <c r="D1023" s="7" t="s">
        <v>20</v>
      </c>
      <c r="E1023" s="7" t="s">
        <v>118</v>
      </c>
      <c r="F1023" s="7" t="s">
        <v>62</v>
      </c>
      <c r="G1023" s="7" t="s">
        <v>391</v>
      </c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18"/>
      <c r="V1023" s="7"/>
      <c r="W1023" s="7"/>
      <c r="X1023" s="7" t="s">
        <v>2373</v>
      </c>
      <c r="Y1023" s="22" t="s">
        <v>197</v>
      </c>
      <c r="Z1023" s="22" t="s">
        <v>197</v>
      </c>
      <c r="AA1023" s="22" t="s">
        <v>197</v>
      </c>
      <c r="AB1023" s="7" t="s">
        <v>197</v>
      </c>
      <c r="AC1023" s="7" t="s">
        <v>197</v>
      </c>
      <c r="AD1023" s="22" t="s">
        <v>197</v>
      </c>
      <c r="AE1023" s="22" t="s">
        <v>197</v>
      </c>
      <c r="AF1023" s="22" t="s">
        <v>197</v>
      </c>
      <c r="AG1023" s="22" t="s">
        <v>197</v>
      </c>
      <c r="AH1023" s="22" t="s">
        <v>197</v>
      </c>
      <c r="AI1023" s="22" t="s">
        <v>197</v>
      </c>
      <c r="AJ1023" s="22" t="s">
        <v>197</v>
      </c>
      <c r="AK1023" s="22" t="s">
        <v>197</v>
      </c>
      <c r="AL1023" s="22" t="s">
        <v>197</v>
      </c>
      <c r="AM1023" s="7" t="s">
        <v>197</v>
      </c>
      <c r="AN1023" s="22" t="s">
        <v>197</v>
      </c>
      <c r="AO1023" s="22" t="s">
        <v>197</v>
      </c>
      <c r="AP1023" s="22" t="s">
        <v>197</v>
      </c>
    </row>
    <row r="1024" customFormat="false" ht="21.75" hidden="false" customHeight="true" outlineLevel="0" collapsed="false">
      <c r="B1024" s="15" t="n">
        <v>1020</v>
      </c>
      <c r="C1024" s="9" t="s">
        <v>58</v>
      </c>
      <c r="D1024" s="9" t="s">
        <v>20</v>
      </c>
      <c r="E1024" s="9" t="s">
        <v>118</v>
      </c>
      <c r="F1024" s="9" t="s">
        <v>63</v>
      </c>
      <c r="G1024" s="9" t="s">
        <v>2374</v>
      </c>
      <c r="H1024" s="9" t="s">
        <v>2375</v>
      </c>
      <c r="I1024" s="9" t="s">
        <v>2376</v>
      </c>
      <c r="J1024" s="9" t="s">
        <v>2377</v>
      </c>
      <c r="K1024" s="9" t="s">
        <v>2378</v>
      </c>
      <c r="L1024" s="9" t="s">
        <v>2360</v>
      </c>
      <c r="M1024" s="9" t="s">
        <v>235</v>
      </c>
      <c r="N1024" s="9" t="s">
        <v>2063</v>
      </c>
      <c r="O1024" s="9" t="s">
        <v>189</v>
      </c>
      <c r="P1024" s="9" t="s">
        <v>1744</v>
      </c>
      <c r="Q1024" s="9" t="s">
        <v>2379</v>
      </c>
      <c r="R1024" s="9" t="s">
        <v>364</v>
      </c>
      <c r="S1024" s="9" t="s">
        <v>2364</v>
      </c>
      <c r="T1024" s="9" t="s">
        <v>2380</v>
      </c>
      <c r="U1024" s="19" t="n">
        <v>60</v>
      </c>
      <c r="V1024" s="9"/>
      <c r="W1024" s="9"/>
      <c r="X1024" s="9" t="s">
        <v>195</v>
      </c>
      <c r="Y1024" s="23" t="n">
        <v>0.058</v>
      </c>
      <c r="Z1024" s="23" t="n">
        <v>0.107</v>
      </c>
      <c r="AA1024" s="23" t="n">
        <v>12</v>
      </c>
      <c r="AB1024" s="9" t="s">
        <v>2360</v>
      </c>
      <c r="AC1024" s="9" t="s">
        <v>2381</v>
      </c>
      <c r="AD1024" s="23" t="s">
        <v>197</v>
      </c>
      <c r="AE1024" s="23" t="s">
        <v>197</v>
      </c>
      <c r="AF1024" s="23" t="s">
        <v>197</v>
      </c>
      <c r="AG1024" s="23" t="s">
        <v>197</v>
      </c>
      <c r="AH1024" s="23" t="s">
        <v>197</v>
      </c>
      <c r="AI1024" s="23" t="s">
        <v>197</v>
      </c>
      <c r="AJ1024" s="23" t="s">
        <v>197</v>
      </c>
      <c r="AK1024" s="23" t="s">
        <v>197</v>
      </c>
      <c r="AL1024" s="23" t="s">
        <v>197</v>
      </c>
      <c r="AM1024" s="9" t="s">
        <v>197</v>
      </c>
      <c r="AN1024" s="23" t="s">
        <v>197</v>
      </c>
      <c r="AO1024" s="23" t="n">
        <v>1.2</v>
      </c>
      <c r="AP1024" s="23" t="n">
        <v>1.6</v>
      </c>
    </row>
    <row r="1025" customFormat="false" ht="21.75" hidden="false" customHeight="true" outlineLevel="0" collapsed="false">
      <c r="B1025" s="14" t="n">
        <v>1021</v>
      </c>
      <c r="C1025" s="7" t="s">
        <v>58</v>
      </c>
      <c r="D1025" s="7" t="s">
        <v>20</v>
      </c>
      <c r="E1025" s="7" t="s">
        <v>118</v>
      </c>
      <c r="F1025" s="7" t="s">
        <v>63</v>
      </c>
      <c r="G1025" s="7" t="s">
        <v>2382</v>
      </c>
      <c r="H1025" s="7" t="s">
        <v>2375</v>
      </c>
      <c r="I1025" s="7" t="s">
        <v>2376</v>
      </c>
      <c r="J1025" s="7" t="s">
        <v>2377</v>
      </c>
      <c r="K1025" s="7" t="s">
        <v>2378</v>
      </c>
      <c r="L1025" s="7" t="s">
        <v>2360</v>
      </c>
      <c r="M1025" s="7" t="s">
        <v>235</v>
      </c>
      <c r="N1025" s="7" t="s">
        <v>2063</v>
      </c>
      <c r="O1025" s="7" t="s">
        <v>189</v>
      </c>
      <c r="P1025" s="7" t="s">
        <v>1744</v>
      </c>
      <c r="Q1025" s="7" t="s">
        <v>2379</v>
      </c>
      <c r="R1025" s="7" t="s">
        <v>364</v>
      </c>
      <c r="S1025" s="7" t="s">
        <v>2364</v>
      </c>
      <c r="T1025" s="7" t="s">
        <v>2380</v>
      </c>
      <c r="U1025" s="18" t="n">
        <v>90</v>
      </c>
      <c r="V1025" s="7"/>
      <c r="W1025" s="7"/>
      <c r="X1025" s="7" t="s">
        <v>199</v>
      </c>
      <c r="Y1025" s="22" t="n">
        <v>0.047</v>
      </c>
      <c r="Z1025" s="22" t="n">
        <v>0.089</v>
      </c>
      <c r="AA1025" s="22" t="n">
        <v>12</v>
      </c>
      <c r="AB1025" s="7" t="s">
        <v>2360</v>
      </c>
      <c r="AC1025" s="7" t="s">
        <v>2381</v>
      </c>
      <c r="AD1025" s="22" t="s">
        <v>197</v>
      </c>
      <c r="AE1025" s="22" t="s">
        <v>197</v>
      </c>
      <c r="AF1025" s="22" t="s">
        <v>197</v>
      </c>
      <c r="AG1025" s="22" t="s">
        <v>197</v>
      </c>
      <c r="AH1025" s="22" t="s">
        <v>197</v>
      </c>
      <c r="AI1025" s="22" t="s">
        <v>197</v>
      </c>
      <c r="AJ1025" s="22" t="s">
        <v>197</v>
      </c>
      <c r="AK1025" s="22" t="s">
        <v>197</v>
      </c>
      <c r="AL1025" s="22" t="s">
        <v>197</v>
      </c>
      <c r="AM1025" s="7" t="s">
        <v>197</v>
      </c>
      <c r="AN1025" s="22" t="s">
        <v>197</v>
      </c>
      <c r="AO1025" s="22" t="n">
        <v>1.2</v>
      </c>
      <c r="AP1025" s="22" t="n">
        <v>1.6</v>
      </c>
    </row>
    <row r="1026" customFormat="false" ht="21.75" hidden="false" customHeight="true" outlineLevel="0" collapsed="false">
      <c r="B1026" s="15" t="n">
        <v>1022</v>
      </c>
      <c r="C1026" s="9" t="s">
        <v>58</v>
      </c>
      <c r="D1026" s="9" t="s">
        <v>20</v>
      </c>
      <c r="E1026" s="9" t="s">
        <v>118</v>
      </c>
      <c r="F1026" s="9" t="s">
        <v>63</v>
      </c>
      <c r="G1026" s="9" t="s">
        <v>2383</v>
      </c>
      <c r="H1026" s="9" t="s">
        <v>2375</v>
      </c>
      <c r="I1026" s="9" t="s">
        <v>2376</v>
      </c>
      <c r="J1026" s="9" t="s">
        <v>2377</v>
      </c>
      <c r="K1026" s="9" t="s">
        <v>2378</v>
      </c>
      <c r="L1026" s="9" t="s">
        <v>2360</v>
      </c>
      <c r="M1026" s="9" t="s">
        <v>235</v>
      </c>
      <c r="N1026" s="9" t="s">
        <v>2063</v>
      </c>
      <c r="O1026" s="9" t="s">
        <v>189</v>
      </c>
      <c r="P1026" s="9" t="s">
        <v>1744</v>
      </c>
      <c r="Q1026" s="9" t="s">
        <v>2379</v>
      </c>
      <c r="R1026" s="9" t="s">
        <v>364</v>
      </c>
      <c r="S1026" s="9" t="s">
        <v>2364</v>
      </c>
      <c r="T1026" s="9" t="s">
        <v>2380</v>
      </c>
      <c r="U1026" s="19" t="n">
        <v>125</v>
      </c>
      <c r="V1026" s="9"/>
      <c r="W1026" s="9"/>
      <c r="X1026" s="9" t="s">
        <v>2384</v>
      </c>
      <c r="Y1026" s="23" t="n">
        <v>0.04</v>
      </c>
      <c r="Z1026" s="23" t="n">
        <v>0.076</v>
      </c>
      <c r="AA1026" s="23" t="n">
        <v>12</v>
      </c>
      <c r="AB1026" s="9" t="s">
        <v>2360</v>
      </c>
      <c r="AC1026" s="9" t="s">
        <v>2381</v>
      </c>
      <c r="AD1026" s="23" t="s">
        <v>197</v>
      </c>
      <c r="AE1026" s="23" t="s">
        <v>197</v>
      </c>
      <c r="AF1026" s="23" t="s">
        <v>197</v>
      </c>
      <c r="AG1026" s="23" t="s">
        <v>197</v>
      </c>
      <c r="AH1026" s="23" t="s">
        <v>197</v>
      </c>
      <c r="AI1026" s="23" t="s">
        <v>197</v>
      </c>
      <c r="AJ1026" s="23" t="s">
        <v>197</v>
      </c>
      <c r="AK1026" s="23" t="s">
        <v>197</v>
      </c>
      <c r="AL1026" s="23" t="s">
        <v>197</v>
      </c>
      <c r="AM1026" s="9" t="s">
        <v>197</v>
      </c>
      <c r="AN1026" s="23" t="s">
        <v>197</v>
      </c>
      <c r="AO1026" s="23" t="n">
        <v>1.2</v>
      </c>
      <c r="AP1026" s="23" t="n">
        <v>1.6</v>
      </c>
    </row>
    <row r="1027" customFormat="false" ht="21.75" hidden="false" customHeight="true" outlineLevel="0" collapsed="false">
      <c r="B1027" s="14" t="n">
        <v>1023</v>
      </c>
      <c r="C1027" s="7" t="s">
        <v>58</v>
      </c>
      <c r="D1027" s="7" t="s">
        <v>20</v>
      </c>
      <c r="E1027" s="7" t="s">
        <v>118</v>
      </c>
      <c r="F1027" s="7" t="s">
        <v>63</v>
      </c>
      <c r="G1027" s="7" t="s">
        <v>2385</v>
      </c>
      <c r="H1027" s="7" t="s">
        <v>2375</v>
      </c>
      <c r="I1027" s="7" t="s">
        <v>2376</v>
      </c>
      <c r="J1027" s="7" t="s">
        <v>2377</v>
      </c>
      <c r="K1027" s="7" t="s">
        <v>2378</v>
      </c>
      <c r="L1027" s="7" t="s">
        <v>2360</v>
      </c>
      <c r="M1027" s="7" t="s">
        <v>235</v>
      </c>
      <c r="N1027" s="7" t="s">
        <v>2063</v>
      </c>
      <c r="O1027" s="7" t="s">
        <v>189</v>
      </c>
      <c r="P1027" s="7" t="s">
        <v>1744</v>
      </c>
      <c r="Q1027" s="7" t="s">
        <v>2379</v>
      </c>
      <c r="R1027" s="7" t="s">
        <v>364</v>
      </c>
      <c r="S1027" s="7" t="s">
        <v>2364</v>
      </c>
      <c r="T1027" s="7" t="s">
        <v>2380</v>
      </c>
      <c r="U1027" s="18" t="n">
        <v>185</v>
      </c>
      <c r="V1027" s="7"/>
      <c r="W1027" s="7"/>
      <c r="X1027" s="7" t="s">
        <v>203</v>
      </c>
      <c r="Y1027" s="22" t="n">
        <v>0.032</v>
      </c>
      <c r="Z1027" s="22" t="n">
        <v>0.063</v>
      </c>
      <c r="AA1027" s="22" t="n">
        <v>12</v>
      </c>
      <c r="AB1027" s="7" t="s">
        <v>2360</v>
      </c>
      <c r="AC1027" s="7" t="s">
        <v>2381</v>
      </c>
      <c r="AD1027" s="22" t="s">
        <v>197</v>
      </c>
      <c r="AE1027" s="22" t="s">
        <v>197</v>
      </c>
      <c r="AF1027" s="22" t="s">
        <v>197</v>
      </c>
      <c r="AG1027" s="22" t="s">
        <v>197</v>
      </c>
      <c r="AH1027" s="22" t="s">
        <v>197</v>
      </c>
      <c r="AI1027" s="22" t="s">
        <v>197</v>
      </c>
      <c r="AJ1027" s="22" t="s">
        <v>197</v>
      </c>
      <c r="AK1027" s="22" t="s">
        <v>197</v>
      </c>
      <c r="AL1027" s="22" t="s">
        <v>197</v>
      </c>
      <c r="AM1027" s="7" t="s">
        <v>197</v>
      </c>
      <c r="AN1027" s="22" t="s">
        <v>197</v>
      </c>
      <c r="AO1027" s="22" t="n">
        <v>1.2</v>
      </c>
      <c r="AP1027" s="22" t="n">
        <v>1.6</v>
      </c>
    </row>
    <row r="1028" customFormat="false" ht="21.75" hidden="false" customHeight="true" outlineLevel="0" collapsed="false">
      <c r="B1028" s="15" t="n">
        <v>1024</v>
      </c>
      <c r="C1028" s="9" t="s">
        <v>58</v>
      </c>
      <c r="D1028" s="9" t="s">
        <v>20</v>
      </c>
      <c r="E1028" s="9" t="s">
        <v>118</v>
      </c>
      <c r="F1028" s="9" t="s">
        <v>63</v>
      </c>
      <c r="G1028" s="9" t="s">
        <v>2386</v>
      </c>
      <c r="H1028" s="9" t="s">
        <v>2375</v>
      </c>
      <c r="I1028" s="9" t="s">
        <v>2376</v>
      </c>
      <c r="J1028" s="9" t="s">
        <v>2377</v>
      </c>
      <c r="K1028" s="9" t="s">
        <v>2378</v>
      </c>
      <c r="L1028" s="9" t="s">
        <v>2360</v>
      </c>
      <c r="M1028" s="9" t="s">
        <v>235</v>
      </c>
      <c r="N1028" s="9" t="s">
        <v>2063</v>
      </c>
      <c r="O1028" s="9" t="s">
        <v>189</v>
      </c>
      <c r="P1028" s="9" t="s">
        <v>1744</v>
      </c>
      <c r="Q1028" s="9" t="s">
        <v>2379</v>
      </c>
      <c r="R1028" s="9" t="s">
        <v>364</v>
      </c>
      <c r="S1028" s="9" t="s">
        <v>2364</v>
      </c>
      <c r="T1028" s="9" t="s">
        <v>2380</v>
      </c>
      <c r="U1028" s="19" t="n">
        <v>275</v>
      </c>
      <c r="V1028" s="9"/>
      <c r="W1028" s="9"/>
      <c r="X1028" s="9" t="s">
        <v>205</v>
      </c>
      <c r="Y1028" s="23" t="n">
        <v>0.05</v>
      </c>
      <c r="Z1028" s="23" t="n">
        <v>0.094</v>
      </c>
      <c r="AA1028" s="23" t="n">
        <v>12</v>
      </c>
      <c r="AB1028" s="9" t="s">
        <v>2360</v>
      </c>
      <c r="AC1028" s="9" t="s">
        <v>2381</v>
      </c>
      <c r="AD1028" s="23" t="s">
        <v>197</v>
      </c>
      <c r="AE1028" s="23" t="s">
        <v>197</v>
      </c>
      <c r="AF1028" s="23" t="s">
        <v>197</v>
      </c>
      <c r="AG1028" s="23" t="s">
        <v>197</v>
      </c>
      <c r="AH1028" s="23" t="s">
        <v>197</v>
      </c>
      <c r="AI1028" s="23" t="s">
        <v>197</v>
      </c>
      <c r="AJ1028" s="23" t="s">
        <v>197</v>
      </c>
      <c r="AK1028" s="23" t="s">
        <v>197</v>
      </c>
      <c r="AL1028" s="23" t="s">
        <v>197</v>
      </c>
      <c r="AM1028" s="9" t="s">
        <v>197</v>
      </c>
      <c r="AN1028" s="23" t="s">
        <v>197</v>
      </c>
      <c r="AO1028" s="23" t="n">
        <v>1.2</v>
      </c>
      <c r="AP1028" s="23" t="n">
        <v>1.6</v>
      </c>
    </row>
    <row r="1029" customFormat="false" ht="21.75" hidden="false" customHeight="true" outlineLevel="0" collapsed="false">
      <c r="B1029" s="14" t="n">
        <v>1025</v>
      </c>
      <c r="C1029" s="7" t="s">
        <v>58</v>
      </c>
      <c r="D1029" s="7" t="s">
        <v>20</v>
      </c>
      <c r="E1029" s="7" t="s">
        <v>118</v>
      </c>
      <c r="F1029" s="7" t="s">
        <v>64</v>
      </c>
      <c r="G1029" s="7" t="s">
        <v>391</v>
      </c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18"/>
      <c r="V1029" s="7"/>
      <c r="W1029" s="7"/>
      <c r="X1029" s="7" t="s">
        <v>2387</v>
      </c>
      <c r="Y1029" s="22" t="s">
        <v>197</v>
      </c>
      <c r="Z1029" s="22" t="s">
        <v>197</v>
      </c>
      <c r="AA1029" s="22" t="s">
        <v>197</v>
      </c>
      <c r="AB1029" s="7" t="s">
        <v>197</v>
      </c>
      <c r="AC1029" s="7" t="s">
        <v>197</v>
      </c>
      <c r="AD1029" s="22" t="s">
        <v>197</v>
      </c>
      <c r="AE1029" s="22" t="s">
        <v>197</v>
      </c>
      <c r="AF1029" s="22" t="s">
        <v>197</v>
      </c>
      <c r="AG1029" s="22" t="s">
        <v>197</v>
      </c>
      <c r="AH1029" s="22" t="s">
        <v>197</v>
      </c>
      <c r="AI1029" s="22" t="s">
        <v>197</v>
      </c>
      <c r="AJ1029" s="22" t="s">
        <v>197</v>
      </c>
      <c r="AK1029" s="22" t="s">
        <v>197</v>
      </c>
      <c r="AL1029" s="22" t="s">
        <v>197</v>
      </c>
      <c r="AM1029" s="7" t="s">
        <v>197</v>
      </c>
      <c r="AN1029" s="22" t="s">
        <v>197</v>
      </c>
      <c r="AO1029" s="22" t="s">
        <v>197</v>
      </c>
      <c r="AP1029" s="22" t="s">
        <v>197</v>
      </c>
    </row>
    <row r="1030" customFormat="false" ht="21.75" hidden="false" customHeight="true" outlineLevel="0" collapsed="false">
      <c r="B1030" s="15" t="n">
        <v>1026</v>
      </c>
      <c r="C1030" s="9" t="s">
        <v>58</v>
      </c>
      <c r="D1030" s="9" t="s">
        <v>20</v>
      </c>
      <c r="E1030" s="9" t="s">
        <v>118</v>
      </c>
      <c r="F1030" s="9" t="s">
        <v>65</v>
      </c>
      <c r="G1030" s="9" t="s">
        <v>2388</v>
      </c>
      <c r="H1030" s="9" t="s">
        <v>247</v>
      </c>
      <c r="I1030" s="9" t="s">
        <v>2389</v>
      </c>
      <c r="J1030" s="9" t="s">
        <v>2390</v>
      </c>
      <c r="K1030" s="9" t="s">
        <v>2391</v>
      </c>
      <c r="L1030" s="9" t="s">
        <v>2360</v>
      </c>
      <c r="M1030" s="9" t="s">
        <v>271</v>
      </c>
      <c r="N1030" s="9" t="s">
        <v>2392</v>
      </c>
      <c r="O1030" s="9" t="s">
        <v>189</v>
      </c>
      <c r="P1030" s="9" t="s">
        <v>1744</v>
      </c>
      <c r="Q1030" s="9" t="s">
        <v>1018</v>
      </c>
      <c r="R1030" s="9" t="s">
        <v>701</v>
      </c>
      <c r="S1030" s="9" t="s">
        <v>2364</v>
      </c>
      <c r="T1030" s="9" t="s">
        <v>2393</v>
      </c>
      <c r="U1030" s="19" t="n">
        <v>25</v>
      </c>
      <c r="V1030" s="9"/>
      <c r="W1030" s="9"/>
      <c r="X1030" s="9" t="s">
        <v>195</v>
      </c>
      <c r="Y1030" s="23" t="n">
        <v>1.675E-005</v>
      </c>
      <c r="Z1030" s="23" t="n">
        <v>4.063E-005</v>
      </c>
      <c r="AA1030" s="23" t="n">
        <v>3</v>
      </c>
      <c r="AB1030" s="9" t="s">
        <v>2360</v>
      </c>
      <c r="AC1030" s="9" t="s">
        <v>2394</v>
      </c>
      <c r="AD1030" s="23" t="s">
        <v>197</v>
      </c>
      <c r="AE1030" s="23" t="s">
        <v>197</v>
      </c>
      <c r="AF1030" s="23" t="s">
        <v>197</v>
      </c>
      <c r="AG1030" s="23" t="s">
        <v>197</v>
      </c>
      <c r="AH1030" s="23" t="s">
        <v>197</v>
      </c>
      <c r="AI1030" s="23" t="s">
        <v>197</v>
      </c>
      <c r="AJ1030" s="23" t="n">
        <v>8</v>
      </c>
      <c r="AK1030" s="23" t="s">
        <v>197</v>
      </c>
      <c r="AL1030" s="23" t="n">
        <v>90</v>
      </c>
      <c r="AM1030" s="9" t="s">
        <v>257</v>
      </c>
      <c r="AN1030" s="23" t="s">
        <v>197</v>
      </c>
      <c r="AO1030" s="23" t="n">
        <v>2</v>
      </c>
      <c r="AP1030" s="23" t="n">
        <v>2.7</v>
      </c>
    </row>
    <row r="1031" customFormat="false" ht="21.75" hidden="false" customHeight="true" outlineLevel="0" collapsed="false">
      <c r="B1031" s="14" t="n">
        <v>1027</v>
      </c>
      <c r="C1031" s="7" t="s">
        <v>58</v>
      </c>
      <c r="D1031" s="7" t="s">
        <v>20</v>
      </c>
      <c r="E1031" s="7" t="s">
        <v>118</v>
      </c>
      <c r="F1031" s="7" t="s">
        <v>65</v>
      </c>
      <c r="G1031" s="7" t="s">
        <v>2395</v>
      </c>
      <c r="H1031" s="7" t="s">
        <v>259</v>
      </c>
      <c r="I1031" s="7" t="s">
        <v>2389</v>
      </c>
      <c r="J1031" s="7" t="s">
        <v>2390</v>
      </c>
      <c r="K1031" s="7" t="s">
        <v>2391</v>
      </c>
      <c r="L1031" s="7" t="s">
        <v>2360</v>
      </c>
      <c r="M1031" s="7" t="s">
        <v>271</v>
      </c>
      <c r="N1031" s="7" t="s">
        <v>2392</v>
      </c>
      <c r="O1031" s="7" t="s">
        <v>189</v>
      </c>
      <c r="P1031" s="7" t="s">
        <v>1744</v>
      </c>
      <c r="Q1031" s="7" t="s">
        <v>1018</v>
      </c>
      <c r="R1031" s="7" t="s">
        <v>701</v>
      </c>
      <c r="S1031" s="7" t="s">
        <v>2364</v>
      </c>
      <c r="T1031" s="7" t="s">
        <v>2393</v>
      </c>
      <c r="U1031" s="18" t="n">
        <v>40</v>
      </c>
      <c r="V1031" s="7"/>
      <c r="W1031" s="7"/>
      <c r="X1031" s="7" t="s">
        <v>199</v>
      </c>
      <c r="Y1031" s="22" t="n">
        <v>1.727E-005</v>
      </c>
      <c r="Z1031" s="22" t="n">
        <v>4.156E-005</v>
      </c>
      <c r="AA1031" s="22" t="n">
        <v>3</v>
      </c>
      <c r="AB1031" s="7" t="s">
        <v>2360</v>
      </c>
      <c r="AC1031" s="7" t="s">
        <v>2394</v>
      </c>
      <c r="AD1031" s="22" t="s">
        <v>197</v>
      </c>
      <c r="AE1031" s="22" t="s">
        <v>197</v>
      </c>
      <c r="AF1031" s="22" t="s">
        <v>197</v>
      </c>
      <c r="AG1031" s="22" t="s">
        <v>197</v>
      </c>
      <c r="AH1031" s="22" t="s">
        <v>197</v>
      </c>
      <c r="AI1031" s="22" t="s">
        <v>197</v>
      </c>
      <c r="AJ1031" s="22" t="n">
        <v>10</v>
      </c>
      <c r="AK1031" s="22" t="s">
        <v>197</v>
      </c>
      <c r="AL1031" s="22" t="n">
        <v>90</v>
      </c>
      <c r="AM1031" s="7" t="s">
        <v>257</v>
      </c>
      <c r="AN1031" s="22" t="s">
        <v>197</v>
      </c>
      <c r="AO1031" s="22" t="n">
        <v>2</v>
      </c>
      <c r="AP1031" s="22" t="n">
        <v>2.7</v>
      </c>
    </row>
    <row r="1032" customFormat="false" ht="21.75" hidden="false" customHeight="true" outlineLevel="0" collapsed="false">
      <c r="B1032" s="15" t="n">
        <v>1028</v>
      </c>
      <c r="C1032" s="9" t="s">
        <v>58</v>
      </c>
      <c r="D1032" s="9" t="s">
        <v>20</v>
      </c>
      <c r="E1032" s="9" t="s">
        <v>118</v>
      </c>
      <c r="F1032" s="9" t="s">
        <v>65</v>
      </c>
      <c r="G1032" s="9" t="s">
        <v>2396</v>
      </c>
      <c r="H1032" s="9" t="s">
        <v>261</v>
      </c>
      <c r="I1032" s="9" t="s">
        <v>2389</v>
      </c>
      <c r="J1032" s="9" t="s">
        <v>2390</v>
      </c>
      <c r="K1032" s="9" t="s">
        <v>2391</v>
      </c>
      <c r="L1032" s="9" t="s">
        <v>2360</v>
      </c>
      <c r="M1032" s="9" t="s">
        <v>271</v>
      </c>
      <c r="N1032" s="9" t="s">
        <v>2392</v>
      </c>
      <c r="O1032" s="9" t="s">
        <v>189</v>
      </c>
      <c r="P1032" s="9" t="s">
        <v>1744</v>
      </c>
      <c r="Q1032" s="9" t="s">
        <v>1018</v>
      </c>
      <c r="R1032" s="9" t="s">
        <v>701</v>
      </c>
      <c r="S1032" s="9" t="s">
        <v>2364</v>
      </c>
      <c r="T1032" s="9" t="s">
        <v>2393</v>
      </c>
      <c r="U1032" s="19" t="n">
        <v>55</v>
      </c>
      <c r="V1032" s="9"/>
      <c r="W1032" s="9"/>
      <c r="X1032" s="9" t="s">
        <v>2397</v>
      </c>
      <c r="Y1032" s="23" t="n">
        <v>1.201E-005</v>
      </c>
      <c r="Z1032" s="23" t="n">
        <v>3.217E-005</v>
      </c>
      <c r="AA1032" s="23" t="n">
        <v>3</v>
      </c>
      <c r="AB1032" s="9" t="s">
        <v>2360</v>
      </c>
      <c r="AC1032" s="9" t="s">
        <v>2394</v>
      </c>
      <c r="AD1032" s="23" t="s">
        <v>197</v>
      </c>
      <c r="AE1032" s="23" t="s">
        <v>197</v>
      </c>
      <c r="AF1032" s="23" t="s">
        <v>197</v>
      </c>
      <c r="AG1032" s="23" t="s">
        <v>197</v>
      </c>
      <c r="AH1032" s="23" t="s">
        <v>197</v>
      </c>
      <c r="AI1032" s="23" t="s">
        <v>197</v>
      </c>
      <c r="AJ1032" s="23" t="n">
        <v>12</v>
      </c>
      <c r="AK1032" s="23" t="s">
        <v>197</v>
      </c>
      <c r="AL1032" s="23" t="n">
        <v>90</v>
      </c>
      <c r="AM1032" s="9" t="s">
        <v>257</v>
      </c>
      <c r="AN1032" s="23" t="s">
        <v>197</v>
      </c>
      <c r="AO1032" s="23" t="n">
        <v>2</v>
      </c>
      <c r="AP1032" s="23" t="n">
        <v>2.7</v>
      </c>
    </row>
    <row r="1033" customFormat="false" ht="21.75" hidden="false" customHeight="true" outlineLevel="0" collapsed="false">
      <c r="B1033" s="14" t="n">
        <v>1029</v>
      </c>
      <c r="C1033" s="7" t="s">
        <v>58</v>
      </c>
      <c r="D1033" s="7" t="s">
        <v>20</v>
      </c>
      <c r="E1033" s="7" t="s">
        <v>118</v>
      </c>
      <c r="F1033" s="7" t="s">
        <v>65</v>
      </c>
      <c r="G1033" s="7" t="s">
        <v>2398</v>
      </c>
      <c r="H1033" s="7" t="s">
        <v>281</v>
      </c>
      <c r="I1033" s="7" t="s">
        <v>2389</v>
      </c>
      <c r="J1033" s="7" t="s">
        <v>2390</v>
      </c>
      <c r="K1033" s="7" t="s">
        <v>2391</v>
      </c>
      <c r="L1033" s="7" t="s">
        <v>2360</v>
      </c>
      <c r="M1033" s="7" t="s">
        <v>271</v>
      </c>
      <c r="N1033" s="7" t="s">
        <v>2392</v>
      </c>
      <c r="O1033" s="7" t="s">
        <v>189</v>
      </c>
      <c r="P1033" s="7" t="s">
        <v>1744</v>
      </c>
      <c r="Q1033" s="7" t="s">
        <v>1018</v>
      </c>
      <c r="R1033" s="7" t="s">
        <v>701</v>
      </c>
      <c r="S1033" s="7" t="s">
        <v>2364</v>
      </c>
      <c r="T1033" s="7" t="s">
        <v>2393</v>
      </c>
      <c r="U1033" s="18" t="n">
        <v>80</v>
      </c>
      <c r="V1033" s="7"/>
      <c r="W1033" s="7"/>
      <c r="X1033" s="7" t="s">
        <v>203</v>
      </c>
      <c r="Y1033" s="22" t="n">
        <v>1.441E-005</v>
      </c>
      <c r="Z1033" s="22" t="n">
        <v>3.645E-005</v>
      </c>
      <c r="AA1033" s="22" t="n">
        <v>3</v>
      </c>
      <c r="AB1033" s="7" t="s">
        <v>2360</v>
      </c>
      <c r="AC1033" s="7" t="s">
        <v>2394</v>
      </c>
      <c r="AD1033" s="22" t="s">
        <v>197</v>
      </c>
      <c r="AE1033" s="22" t="s">
        <v>197</v>
      </c>
      <c r="AF1033" s="22" t="s">
        <v>197</v>
      </c>
      <c r="AG1033" s="22" t="s">
        <v>197</v>
      </c>
      <c r="AH1033" s="22" t="s">
        <v>197</v>
      </c>
      <c r="AI1033" s="22" t="s">
        <v>197</v>
      </c>
      <c r="AJ1033" s="22" t="n">
        <v>12</v>
      </c>
      <c r="AK1033" s="22" t="s">
        <v>197</v>
      </c>
      <c r="AL1033" s="22" t="n">
        <v>90</v>
      </c>
      <c r="AM1033" s="7" t="s">
        <v>257</v>
      </c>
      <c r="AN1033" s="22" t="s">
        <v>197</v>
      </c>
      <c r="AO1033" s="22" t="n">
        <v>2</v>
      </c>
      <c r="AP1033" s="22" t="n">
        <v>2.7</v>
      </c>
    </row>
    <row r="1034" customFormat="false" ht="21.75" hidden="false" customHeight="true" outlineLevel="0" collapsed="false">
      <c r="B1034" s="15" t="n">
        <v>1030</v>
      </c>
      <c r="C1034" s="9" t="s">
        <v>58</v>
      </c>
      <c r="D1034" s="9" t="s">
        <v>20</v>
      </c>
      <c r="E1034" s="9" t="s">
        <v>118</v>
      </c>
      <c r="F1034" s="9" t="s">
        <v>65</v>
      </c>
      <c r="G1034" s="9" t="s">
        <v>2399</v>
      </c>
      <c r="H1034" s="9" t="s">
        <v>283</v>
      </c>
      <c r="I1034" s="9" t="s">
        <v>2389</v>
      </c>
      <c r="J1034" s="9" t="s">
        <v>2390</v>
      </c>
      <c r="K1034" s="9" t="s">
        <v>2391</v>
      </c>
      <c r="L1034" s="9" t="s">
        <v>2360</v>
      </c>
      <c r="M1034" s="9" t="s">
        <v>271</v>
      </c>
      <c r="N1034" s="9" t="s">
        <v>2392</v>
      </c>
      <c r="O1034" s="9" t="s">
        <v>189</v>
      </c>
      <c r="P1034" s="9" t="s">
        <v>1744</v>
      </c>
      <c r="Q1034" s="9" t="s">
        <v>1018</v>
      </c>
      <c r="R1034" s="9" t="s">
        <v>701</v>
      </c>
      <c r="S1034" s="9" t="s">
        <v>2364</v>
      </c>
      <c r="T1034" s="9" t="s">
        <v>2393</v>
      </c>
      <c r="U1034" s="19" t="n">
        <v>120</v>
      </c>
      <c r="V1034" s="9"/>
      <c r="W1034" s="9"/>
      <c r="X1034" s="9" t="s">
        <v>205</v>
      </c>
      <c r="Y1034" s="23" t="n">
        <v>2.161E-005</v>
      </c>
      <c r="Z1034" s="23" t="n">
        <v>4.93E-005</v>
      </c>
      <c r="AA1034" s="23" t="n">
        <v>3</v>
      </c>
      <c r="AB1034" s="9" t="s">
        <v>2360</v>
      </c>
      <c r="AC1034" s="9" t="s">
        <v>2394</v>
      </c>
      <c r="AD1034" s="23" t="s">
        <v>197</v>
      </c>
      <c r="AE1034" s="23" t="s">
        <v>197</v>
      </c>
      <c r="AF1034" s="23" t="s">
        <v>197</v>
      </c>
      <c r="AG1034" s="23" t="s">
        <v>197</v>
      </c>
      <c r="AH1034" s="23" t="s">
        <v>197</v>
      </c>
      <c r="AI1034" s="23" t="s">
        <v>197</v>
      </c>
      <c r="AJ1034" s="23" t="n">
        <v>15</v>
      </c>
      <c r="AK1034" s="23" t="s">
        <v>197</v>
      </c>
      <c r="AL1034" s="23" t="n">
        <v>90</v>
      </c>
      <c r="AM1034" s="9" t="s">
        <v>257</v>
      </c>
      <c r="AN1034" s="23" t="s">
        <v>197</v>
      </c>
      <c r="AO1034" s="23" t="n">
        <v>2</v>
      </c>
      <c r="AP1034" s="23" t="n">
        <v>2.7</v>
      </c>
    </row>
    <row r="1035" customFormat="false" ht="21.75" hidden="false" customHeight="true" outlineLevel="0" collapsed="false">
      <c r="B1035" s="14" t="n">
        <v>1031</v>
      </c>
      <c r="C1035" s="7" t="s">
        <v>58</v>
      </c>
      <c r="D1035" s="7" t="s">
        <v>20</v>
      </c>
      <c r="E1035" s="7" t="s">
        <v>118</v>
      </c>
      <c r="F1035" s="7" t="s">
        <v>66</v>
      </c>
      <c r="G1035" s="7" t="s">
        <v>391</v>
      </c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18"/>
      <c r="V1035" s="7"/>
      <c r="W1035" s="7"/>
      <c r="X1035" s="7" t="s">
        <v>2400</v>
      </c>
      <c r="Y1035" s="22" t="s">
        <v>197</v>
      </c>
      <c r="Z1035" s="22" t="s">
        <v>197</v>
      </c>
      <c r="AA1035" s="22" t="s">
        <v>197</v>
      </c>
      <c r="AB1035" s="7" t="s">
        <v>197</v>
      </c>
      <c r="AC1035" s="7" t="s">
        <v>197</v>
      </c>
      <c r="AD1035" s="22" t="s">
        <v>197</v>
      </c>
      <c r="AE1035" s="22" t="s">
        <v>197</v>
      </c>
      <c r="AF1035" s="22" t="s">
        <v>197</v>
      </c>
      <c r="AG1035" s="22" t="s">
        <v>197</v>
      </c>
      <c r="AH1035" s="22" t="s">
        <v>197</v>
      </c>
      <c r="AI1035" s="22" t="s">
        <v>197</v>
      </c>
      <c r="AJ1035" s="22" t="s">
        <v>197</v>
      </c>
      <c r="AK1035" s="22" t="s">
        <v>197</v>
      </c>
      <c r="AL1035" s="22" t="s">
        <v>197</v>
      </c>
      <c r="AM1035" s="7" t="s">
        <v>197</v>
      </c>
      <c r="AN1035" s="22" t="s">
        <v>197</v>
      </c>
      <c r="AO1035" s="22" t="s">
        <v>197</v>
      </c>
      <c r="AP1035" s="22" t="s">
        <v>197</v>
      </c>
    </row>
    <row r="1036" customFormat="false" ht="21.75" hidden="false" customHeight="true" outlineLevel="0" collapsed="false">
      <c r="B1036" s="15" t="n">
        <v>1032</v>
      </c>
      <c r="C1036" s="9" t="s">
        <v>58</v>
      </c>
      <c r="D1036" s="9" t="s">
        <v>20</v>
      </c>
      <c r="E1036" s="9" t="s">
        <v>118</v>
      </c>
      <c r="F1036" s="9" t="s">
        <v>67</v>
      </c>
      <c r="G1036" s="9" t="s">
        <v>2401</v>
      </c>
      <c r="H1036" s="9" t="s">
        <v>303</v>
      </c>
      <c r="I1036" s="9" t="s">
        <v>2402</v>
      </c>
      <c r="J1036" s="9" t="s">
        <v>2403</v>
      </c>
      <c r="K1036" s="9" t="s">
        <v>2404</v>
      </c>
      <c r="L1036" s="9" t="s">
        <v>2360</v>
      </c>
      <c r="M1036" s="9" t="s">
        <v>271</v>
      </c>
      <c r="N1036" s="9" t="s">
        <v>416</v>
      </c>
      <c r="O1036" s="9" t="s">
        <v>189</v>
      </c>
      <c r="P1036" s="9" t="s">
        <v>1744</v>
      </c>
      <c r="Q1036" s="9" t="s">
        <v>2405</v>
      </c>
      <c r="R1036" s="9" t="s">
        <v>1048</v>
      </c>
      <c r="S1036" s="9" t="s">
        <v>2364</v>
      </c>
      <c r="T1036" s="9" t="s">
        <v>309</v>
      </c>
      <c r="U1036" s="19" t="n">
        <v>18</v>
      </c>
      <c r="V1036" s="9"/>
      <c r="W1036" s="9"/>
      <c r="X1036" s="9" t="s">
        <v>195</v>
      </c>
      <c r="Y1036" s="23" t="n">
        <v>9.29E-006</v>
      </c>
      <c r="Z1036" s="23" t="n">
        <v>2.117E-005</v>
      </c>
      <c r="AA1036" s="23" t="n">
        <v>3</v>
      </c>
      <c r="AB1036" s="9" t="s">
        <v>2360</v>
      </c>
      <c r="AC1036" s="9" t="s">
        <v>2394</v>
      </c>
      <c r="AD1036" s="23" t="s">
        <v>197</v>
      </c>
      <c r="AE1036" s="23" t="s">
        <v>197</v>
      </c>
      <c r="AF1036" s="23" t="s">
        <v>197</v>
      </c>
      <c r="AG1036" s="23" t="s">
        <v>197</v>
      </c>
      <c r="AH1036" s="23" t="s">
        <v>197</v>
      </c>
      <c r="AI1036" s="23" t="s">
        <v>197</v>
      </c>
      <c r="AJ1036" s="23" t="s">
        <v>197</v>
      </c>
      <c r="AK1036" s="23" t="s">
        <v>197</v>
      </c>
      <c r="AL1036" s="23" t="s">
        <v>197</v>
      </c>
      <c r="AM1036" s="9" t="s">
        <v>310</v>
      </c>
      <c r="AN1036" s="23" t="s">
        <v>197</v>
      </c>
      <c r="AO1036" s="23" t="s">
        <v>197</v>
      </c>
      <c r="AP1036" s="23" t="s">
        <v>197</v>
      </c>
    </row>
    <row r="1037" customFormat="false" ht="21.75" hidden="false" customHeight="true" outlineLevel="0" collapsed="false">
      <c r="B1037" s="14" t="n">
        <v>1033</v>
      </c>
      <c r="C1037" s="7" t="s">
        <v>58</v>
      </c>
      <c r="D1037" s="7" t="s">
        <v>20</v>
      </c>
      <c r="E1037" s="7" t="s">
        <v>118</v>
      </c>
      <c r="F1037" s="7" t="s">
        <v>67</v>
      </c>
      <c r="G1037" s="7" t="s">
        <v>2406</v>
      </c>
      <c r="H1037" s="7" t="s">
        <v>312</v>
      </c>
      <c r="I1037" s="7" t="s">
        <v>2402</v>
      </c>
      <c r="J1037" s="7" t="s">
        <v>2403</v>
      </c>
      <c r="K1037" s="7" t="s">
        <v>2404</v>
      </c>
      <c r="L1037" s="7" t="s">
        <v>2360</v>
      </c>
      <c r="M1037" s="7" t="s">
        <v>271</v>
      </c>
      <c r="N1037" s="7" t="s">
        <v>416</v>
      </c>
      <c r="O1037" s="7" t="s">
        <v>189</v>
      </c>
      <c r="P1037" s="7" t="s">
        <v>1744</v>
      </c>
      <c r="Q1037" s="7" t="s">
        <v>2405</v>
      </c>
      <c r="R1037" s="7" t="s">
        <v>1048</v>
      </c>
      <c r="S1037" s="7" t="s">
        <v>2364</v>
      </c>
      <c r="T1037" s="7" t="s">
        <v>309</v>
      </c>
      <c r="U1037" s="18" t="n">
        <v>25</v>
      </c>
      <c r="V1037" s="7"/>
      <c r="W1037" s="7"/>
      <c r="X1037" s="7" t="s">
        <v>199</v>
      </c>
      <c r="Y1037" s="22" t="n">
        <v>9.92E-006</v>
      </c>
      <c r="Z1037" s="22" t="n">
        <v>2.234E-005</v>
      </c>
      <c r="AA1037" s="22" t="n">
        <v>3</v>
      </c>
      <c r="AB1037" s="7" t="s">
        <v>2360</v>
      </c>
      <c r="AC1037" s="7" t="s">
        <v>2394</v>
      </c>
      <c r="AD1037" s="22" t="s">
        <v>197</v>
      </c>
      <c r="AE1037" s="22" t="s">
        <v>197</v>
      </c>
      <c r="AF1037" s="22" t="s">
        <v>197</v>
      </c>
      <c r="AG1037" s="22" t="s">
        <v>197</v>
      </c>
      <c r="AH1037" s="22" t="s">
        <v>197</v>
      </c>
      <c r="AI1037" s="22" t="s">
        <v>197</v>
      </c>
      <c r="AJ1037" s="22" t="s">
        <v>197</v>
      </c>
      <c r="AK1037" s="22" t="s">
        <v>197</v>
      </c>
      <c r="AL1037" s="22" t="s">
        <v>197</v>
      </c>
      <c r="AM1037" s="7" t="s">
        <v>310</v>
      </c>
      <c r="AN1037" s="22" t="s">
        <v>197</v>
      </c>
      <c r="AO1037" s="22" t="s">
        <v>197</v>
      </c>
      <c r="AP1037" s="22" t="s">
        <v>197</v>
      </c>
    </row>
    <row r="1038" customFormat="false" ht="21.75" hidden="false" customHeight="true" outlineLevel="0" collapsed="false">
      <c r="B1038" s="15" t="n">
        <v>1034</v>
      </c>
      <c r="C1038" s="9" t="s">
        <v>58</v>
      </c>
      <c r="D1038" s="9" t="s">
        <v>20</v>
      </c>
      <c r="E1038" s="9" t="s">
        <v>118</v>
      </c>
      <c r="F1038" s="9" t="s">
        <v>67</v>
      </c>
      <c r="G1038" s="9" t="s">
        <v>2407</v>
      </c>
      <c r="H1038" s="9" t="s">
        <v>314</v>
      </c>
      <c r="I1038" s="9" t="s">
        <v>2402</v>
      </c>
      <c r="J1038" s="9" t="s">
        <v>2403</v>
      </c>
      <c r="K1038" s="9" t="s">
        <v>2404</v>
      </c>
      <c r="L1038" s="9" t="s">
        <v>2360</v>
      </c>
      <c r="M1038" s="9" t="s">
        <v>271</v>
      </c>
      <c r="N1038" s="9" t="s">
        <v>416</v>
      </c>
      <c r="O1038" s="9" t="s">
        <v>189</v>
      </c>
      <c r="P1038" s="9" t="s">
        <v>1744</v>
      </c>
      <c r="Q1038" s="9" t="s">
        <v>2405</v>
      </c>
      <c r="R1038" s="9" t="s">
        <v>1048</v>
      </c>
      <c r="S1038" s="9" t="s">
        <v>2364</v>
      </c>
      <c r="T1038" s="9" t="s">
        <v>309</v>
      </c>
      <c r="U1038" s="19" t="n">
        <v>35</v>
      </c>
      <c r="V1038" s="9"/>
      <c r="W1038" s="9"/>
      <c r="X1038" s="9" t="s">
        <v>2408</v>
      </c>
      <c r="Y1038" s="23" t="n">
        <v>1.117E-005</v>
      </c>
      <c r="Z1038" s="23" t="n">
        <v>2.47E-005</v>
      </c>
      <c r="AA1038" s="23" t="n">
        <v>3</v>
      </c>
      <c r="AB1038" s="9" t="s">
        <v>2360</v>
      </c>
      <c r="AC1038" s="9" t="s">
        <v>2394</v>
      </c>
      <c r="AD1038" s="23" t="s">
        <v>197</v>
      </c>
      <c r="AE1038" s="23" t="s">
        <v>197</v>
      </c>
      <c r="AF1038" s="23" t="s">
        <v>197</v>
      </c>
      <c r="AG1038" s="23" t="s">
        <v>197</v>
      </c>
      <c r="AH1038" s="23" t="s">
        <v>197</v>
      </c>
      <c r="AI1038" s="23" t="s">
        <v>197</v>
      </c>
      <c r="AJ1038" s="23" t="s">
        <v>197</v>
      </c>
      <c r="AK1038" s="23" t="s">
        <v>197</v>
      </c>
      <c r="AL1038" s="23" t="s">
        <v>197</v>
      </c>
      <c r="AM1038" s="9" t="s">
        <v>310</v>
      </c>
      <c r="AN1038" s="23" t="s">
        <v>197</v>
      </c>
      <c r="AO1038" s="23" t="s">
        <v>197</v>
      </c>
      <c r="AP1038" s="23" t="s">
        <v>197</v>
      </c>
    </row>
    <row r="1039" customFormat="false" ht="21.75" hidden="false" customHeight="true" outlineLevel="0" collapsed="false">
      <c r="B1039" s="14" t="n">
        <v>1035</v>
      </c>
      <c r="C1039" s="7" t="s">
        <v>58</v>
      </c>
      <c r="D1039" s="7" t="s">
        <v>20</v>
      </c>
      <c r="E1039" s="7" t="s">
        <v>118</v>
      </c>
      <c r="F1039" s="7" t="s">
        <v>67</v>
      </c>
      <c r="G1039" s="7" t="s">
        <v>2409</v>
      </c>
      <c r="H1039" s="7" t="s">
        <v>317</v>
      </c>
      <c r="I1039" s="7" t="s">
        <v>2402</v>
      </c>
      <c r="J1039" s="7" t="s">
        <v>2403</v>
      </c>
      <c r="K1039" s="7" t="s">
        <v>2404</v>
      </c>
      <c r="L1039" s="7" t="s">
        <v>2360</v>
      </c>
      <c r="M1039" s="7" t="s">
        <v>271</v>
      </c>
      <c r="N1039" s="7" t="s">
        <v>416</v>
      </c>
      <c r="O1039" s="7" t="s">
        <v>189</v>
      </c>
      <c r="P1039" s="7" t="s">
        <v>1744</v>
      </c>
      <c r="Q1039" s="7" t="s">
        <v>2405</v>
      </c>
      <c r="R1039" s="7" t="s">
        <v>1048</v>
      </c>
      <c r="S1039" s="7" t="s">
        <v>2364</v>
      </c>
      <c r="T1039" s="7" t="s">
        <v>309</v>
      </c>
      <c r="U1039" s="18" t="n">
        <v>50</v>
      </c>
      <c r="V1039" s="7"/>
      <c r="W1039" s="7"/>
      <c r="X1039" s="7" t="s">
        <v>203</v>
      </c>
      <c r="Y1039" s="22" t="n">
        <v>9.04E-006</v>
      </c>
      <c r="Z1039" s="22" t="n">
        <v>2.071E-005</v>
      </c>
      <c r="AA1039" s="22" t="n">
        <v>3</v>
      </c>
      <c r="AB1039" s="7" t="s">
        <v>2360</v>
      </c>
      <c r="AC1039" s="7" t="s">
        <v>2394</v>
      </c>
      <c r="AD1039" s="22" t="s">
        <v>197</v>
      </c>
      <c r="AE1039" s="22" t="s">
        <v>197</v>
      </c>
      <c r="AF1039" s="22" t="s">
        <v>197</v>
      </c>
      <c r="AG1039" s="22" t="s">
        <v>197</v>
      </c>
      <c r="AH1039" s="22" t="s">
        <v>197</v>
      </c>
      <c r="AI1039" s="22" t="s">
        <v>197</v>
      </c>
      <c r="AJ1039" s="22" t="s">
        <v>197</v>
      </c>
      <c r="AK1039" s="22" t="s">
        <v>197</v>
      </c>
      <c r="AL1039" s="22" t="s">
        <v>197</v>
      </c>
      <c r="AM1039" s="7" t="s">
        <v>310</v>
      </c>
      <c r="AN1039" s="22" t="s">
        <v>197</v>
      </c>
      <c r="AO1039" s="22" t="s">
        <v>197</v>
      </c>
      <c r="AP1039" s="22" t="s">
        <v>197</v>
      </c>
    </row>
    <row r="1040" customFormat="false" ht="21.75" hidden="false" customHeight="true" outlineLevel="0" collapsed="false">
      <c r="B1040" s="15" t="n">
        <v>1036</v>
      </c>
      <c r="C1040" s="9" t="s">
        <v>58</v>
      </c>
      <c r="D1040" s="9" t="s">
        <v>20</v>
      </c>
      <c r="E1040" s="9" t="s">
        <v>118</v>
      </c>
      <c r="F1040" s="9" t="s">
        <v>67</v>
      </c>
      <c r="G1040" s="9" t="s">
        <v>2410</v>
      </c>
      <c r="H1040" s="9" t="s">
        <v>319</v>
      </c>
      <c r="I1040" s="9" t="s">
        <v>2402</v>
      </c>
      <c r="J1040" s="9" t="s">
        <v>2403</v>
      </c>
      <c r="K1040" s="9" t="s">
        <v>2404</v>
      </c>
      <c r="L1040" s="9" t="s">
        <v>2360</v>
      </c>
      <c r="M1040" s="9" t="s">
        <v>271</v>
      </c>
      <c r="N1040" s="9" t="s">
        <v>416</v>
      </c>
      <c r="O1040" s="9" t="s">
        <v>189</v>
      </c>
      <c r="P1040" s="9" t="s">
        <v>1744</v>
      </c>
      <c r="Q1040" s="9" t="s">
        <v>2405</v>
      </c>
      <c r="R1040" s="9" t="s">
        <v>1048</v>
      </c>
      <c r="S1040" s="9" t="s">
        <v>2364</v>
      </c>
      <c r="T1040" s="9" t="s">
        <v>309</v>
      </c>
      <c r="U1040" s="19" t="n">
        <v>75</v>
      </c>
      <c r="V1040" s="9"/>
      <c r="W1040" s="9"/>
      <c r="X1040" s="9" t="s">
        <v>205</v>
      </c>
      <c r="Y1040" s="23" t="n">
        <v>8.21E-006</v>
      </c>
      <c r="Z1040" s="23" t="n">
        <v>1.915E-005</v>
      </c>
      <c r="AA1040" s="23" t="n">
        <v>3</v>
      </c>
      <c r="AB1040" s="9" t="s">
        <v>2360</v>
      </c>
      <c r="AC1040" s="9" t="s">
        <v>2394</v>
      </c>
      <c r="AD1040" s="23" t="s">
        <v>197</v>
      </c>
      <c r="AE1040" s="23" t="s">
        <v>197</v>
      </c>
      <c r="AF1040" s="23" t="s">
        <v>197</v>
      </c>
      <c r="AG1040" s="23" t="s">
        <v>197</v>
      </c>
      <c r="AH1040" s="23" t="s">
        <v>197</v>
      </c>
      <c r="AI1040" s="23" t="s">
        <v>197</v>
      </c>
      <c r="AJ1040" s="23" t="s">
        <v>197</v>
      </c>
      <c r="AK1040" s="23" t="s">
        <v>197</v>
      </c>
      <c r="AL1040" s="23" t="s">
        <v>197</v>
      </c>
      <c r="AM1040" s="9" t="s">
        <v>310</v>
      </c>
      <c r="AN1040" s="23" t="s">
        <v>197</v>
      </c>
      <c r="AO1040" s="23" t="s">
        <v>197</v>
      </c>
      <c r="AP1040" s="23" t="s">
        <v>197</v>
      </c>
    </row>
    <row r="1041" customFormat="false" ht="21.75" hidden="false" customHeight="true" outlineLevel="0" collapsed="false">
      <c r="B1041" s="14" t="n">
        <v>1037</v>
      </c>
      <c r="C1041" s="7" t="s">
        <v>58</v>
      </c>
      <c r="D1041" s="7" t="s">
        <v>20</v>
      </c>
      <c r="E1041" s="7" t="s">
        <v>118</v>
      </c>
      <c r="F1041" s="7" t="s">
        <v>68</v>
      </c>
      <c r="G1041" s="7" t="s">
        <v>2411</v>
      </c>
      <c r="H1041" s="7" t="s">
        <v>321</v>
      </c>
      <c r="I1041" s="7" t="s">
        <v>2412</v>
      </c>
      <c r="J1041" s="7" t="s">
        <v>2413</v>
      </c>
      <c r="K1041" s="7" t="s">
        <v>2404</v>
      </c>
      <c r="L1041" s="7" t="s">
        <v>2360</v>
      </c>
      <c r="M1041" s="7" t="s">
        <v>271</v>
      </c>
      <c r="N1041" s="7" t="s">
        <v>2392</v>
      </c>
      <c r="O1041" s="7" t="s">
        <v>189</v>
      </c>
      <c r="P1041" s="7" t="s">
        <v>1744</v>
      </c>
      <c r="Q1041" s="7" t="s">
        <v>555</v>
      </c>
      <c r="R1041" s="7" t="s">
        <v>1790</v>
      </c>
      <c r="S1041" s="7" t="s">
        <v>2364</v>
      </c>
      <c r="T1041" s="7" t="s">
        <v>327</v>
      </c>
      <c r="U1041" s="18" t="n">
        <v>25</v>
      </c>
      <c r="V1041" s="7"/>
      <c r="W1041" s="7"/>
      <c r="X1041" s="7" t="s">
        <v>195</v>
      </c>
      <c r="Y1041" s="22" t="n">
        <v>0.012</v>
      </c>
      <c r="Z1041" s="22" t="n">
        <v>0.02</v>
      </c>
      <c r="AA1041" s="22" t="n">
        <v>12</v>
      </c>
      <c r="AB1041" s="7" t="s">
        <v>2360</v>
      </c>
      <c r="AC1041" s="7" t="s">
        <v>2394</v>
      </c>
      <c r="AD1041" s="22" t="s">
        <v>197</v>
      </c>
      <c r="AE1041" s="22" t="s">
        <v>197</v>
      </c>
      <c r="AF1041" s="22" t="s">
        <v>197</v>
      </c>
      <c r="AG1041" s="22" t="s">
        <v>197</v>
      </c>
      <c r="AH1041" s="22" t="s">
        <v>197</v>
      </c>
      <c r="AI1041" s="22" t="s">
        <v>197</v>
      </c>
      <c r="AJ1041" s="22" t="n">
        <v>6</v>
      </c>
      <c r="AK1041" s="22" t="s">
        <v>197</v>
      </c>
      <c r="AL1041" s="22" t="s">
        <v>197</v>
      </c>
      <c r="AM1041" s="7" t="s">
        <v>328</v>
      </c>
      <c r="AN1041" s="22" t="s">
        <v>197</v>
      </c>
      <c r="AO1041" s="22" t="n">
        <v>2</v>
      </c>
      <c r="AP1041" s="22" t="n">
        <v>4.6</v>
      </c>
    </row>
    <row r="1042" customFormat="false" ht="21.75" hidden="false" customHeight="true" outlineLevel="0" collapsed="false">
      <c r="B1042" s="15" t="n">
        <v>1038</v>
      </c>
      <c r="C1042" s="9" t="s">
        <v>58</v>
      </c>
      <c r="D1042" s="9" t="s">
        <v>20</v>
      </c>
      <c r="E1042" s="9" t="s">
        <v>118</v>
      </c>
      <c r="F1042" s="9" t="s">
        <v>68</v>
      </c>
      <c r="G1042" s="9" t="s">
        <v>2414</v>
      </c>
      <c r="H1042" s="9" t="s">
        <v>330</v>
      </c>
      <c r="I1042" s="9" t="s">
        <v>2412</v>
      </c>
      <c r="J1042" s="9" t="s">
        <v>2413</v>
      </c>
      <c r="K1042" s="9" t="s">
        <v>2404</v>
      </c>
      <c r="L1042" s="9" t="s">
        <v>2360</v>
      </c>
      <c r="M1042" s="9" t="s">
        <v>271</v>
      </c>
      <c r="N1042" s="9" t="s">
        <v>2392</v>
      </c>
      <c r="O1042" s="9" t="s">
        <v>189</v>
      </c>
      <c r="P1042" s="9" t="s">
        <v>1744</v>
      </c>
      <c r="Q1042" s="9" t="s">
        <v>555</v>
      </c>
      <c r="R1042" s="9" t="s">
        <v>1790</v>
      </c>
      <c r="S1042" s="9" t="s">
        <v>2364</v>
      </c>
      <c r="T1042" s="9" t="s">
        <v>327</v>
      </c>
      <c r="U1042" s="19" t="n">
        <v>35</v>
      </c>
      <c r="V1042" s="9"/>
      <c r="W1042" s="9"/>
      <c r="X1042" s="9" t="s">
        <v>199</v>
      </c>
      <c r="Y1042" s="23" t="n">
        <v>0.017</v>
      </c>
      <c r="Z1042" s="23" t="n">
        <v>0.026</v>
      </c>
      <c r="AA1042" s="23" t="n">
        <v>12</v>
      </c>
      <c r="AB1042" s="9" t="s">
        <v>2360</v>
      </c>
      <c r="AC1042" s="9" t="s">
        <v>2394</v>
      </c>
      <c r="AD1042" s="23" t="s">
        <v>197</v>
      </c>
      <c r="AE1042" s="23" t="s">
        <v>197</v>
      </c>
      <c r="AF1042" s="23" t="s">
        <v>197</v>
      </c>
      <c r="AG1042" s="23" t="s">
        <v>197</v>
      </c>
      <c r="AH1042" s="23" t="s">
        <v>197</v>
      </c>
      <c r="AI1042" s="23" t="s">
        <v>197</v>
      </c>
      <c r="AJ1042" s="23" t="n">
        <v>7.6</v>
      </c>
      <c r="AK1042" s="23" t="s">
        <v>197</v>
      </c>
      <c r="AL1042" s="23" t="s">
        <v>197</v>
      </c>
      <c r="AM1042" s="9" t="s">
        <v>328</v>
      </c>
      <c r="AN1042" s="23" t="s">
        <v>197</v>
      </c>
      <c r="AO1042" s="23" t="n">
        <v>2</v>
      </c>
      <c r="AP1042" s="23" t="n">
        <v>4.6</v>
      </c>
    </row>
    <row r="1043" customFormat="false" ht="21.75" hidden="false" customHeight="true" outlineLevel="0" collapsed="false">
      <c r="B1043" s="14" t="n">
        <v>1039</v>
      </c>
      <c r="C1043" s="7" t="s">
        <v>58</v>
      </c>
      <c r="D1043" s="7" t="s">
        <v>20</v>
      </c>
      <c r="E1043" s="7" t="s">
        <v>118</v>
      </c>
      <c r="F1043" s="7" t="s">
        <v>68</v>
      </c>
      <c r="G1043" s="7" t="s">
        <v>2415</v>
      </c>
      <c r="H1043" s="7" t="s">
        <v>332</v>
      </c>
      <c r="I1043" s="7" t="s">
        <v>2412</v>
      </c>
      <c r="J1043" s="7" t="s">
        <v>2413</v>
      </c>
      <c r="K1043" s="7" t="s">
        <v>2404</v>
      </c>
      <c r="L1043" s="7" t="s">
        <v>2360</v>
      </c>
      <c r="M1043" s="7" t="s">
        <v>271</v>
      </c>
      <c r="N1043" s="7" t="s">
        <v>2392</v>
      </c>
      <c r="O1043" s="7" t="s">
        <v>189</v>
      </c>
      <c r="P1043" s="7" t="s">
        <v>1744</v>
      </c>
      <c r="Q1043" s="7" t="s">
        <v>555</v>
      </c>
      <c r="R1043" s="7" t="s">
        <v>1790</v>
      </c>
      <c r="S1043" s="7" t="s">
        <v>2364</v>
      </c>
      <c r="T1043" s="7" t="s">
        <v>327</v>
      </c>
      <c r="U1043" s="18" t="n">
        <v>50</v>
      </c>
      <c r="V1043" s="7"/>
      <c r="W1043" s="7"/>
      <c r="X1043" s="7" t="s">
        <v>2416</v>
      </c>
      <c r="Y1043" s="22" t="n">
        <v>0.017</v>
      </c>
      <c r="Z1043" s="22" t="n">
        <v>0.026</v>
      </c>
      <c r="AA1043" s="22" t="n">
        <v>12</v>
      </c>
      <c r="AB1043" s="7" t="s">
        <v>2360</v>
      </c>
      <c r="AC1043" s="7" t="s">
        <v>2394</v>
      </c>
      <c r="AD1043" s="22" t="s">
        <v>197</v>
      </c>
      <c r="AE1043" s="22" t="s">
        <v>197</v>
      </c>
      <c r="AF1043" s="22" t="s">
        <v>197</v>
      </c>
      <c r="AG1043" s="22" t="s">
        <v>197</v>
      </c>
      <c r="AH1043" s="22" t="s">
        <v>197</v>
      </c>
      <c r="AI1043" s="22" t="s">
        <v>197</v>
      </c>
      <c r="AJ1043" s="22" t="n">
        <v>7.6</v>
      </c>
      <c r="AK1043" s="22" t="s">
        <v>197</v>
      </c>
      <c r="AL1043" s="22" t="s">
        <v>197</v>
      </c>
      <c r="AM1043" s="7" t="s">
        <v>328</v>
      </c>
      <c r="AN1043" s="22" t="s">
        <v>197</v>
      </c>
      <c r="AO1043" s="22" t="n">
        <v>2</v>
      </c>
      <c r="AP1043" s="22" t="n">
        <v>4.6</v>
      </c>
    </row>
    <row r="1044" customFormat="false" ht="21.75" hidden="false" customHeight="true" outlineLevel="0" collapsed="false">
      <c r="B1044" s="15" t="n">
        <v>1040</v>
      </c>
      <c r="C1044" s="9" t="s">
        <v>58</v>
      </c>
      <c r="D1044" s="9" t="s">
        <v>20</v>
      </c>
      <c r="E1044" s="9" t="s">
        <v>118</v>
      </c>
      <c r="F1044" s="9" t="s">
        <v>68</v>
      </c>
      <c r="G1044" s="9" t="s">
        <v>2417</v>
      </c>
      <c r="H1044" s="9" t="s">
        <v>335</v>
      </c>
      <c r="I1044" s="9" t="s">
        <v>2412</v>
      </c>
      <c r="J1044" s="9" t="s">
        <v>2413</v>
      </c>
      <c r="K1044" s="9" t="s">
        <v>2404</v>
      </c>
      <c r="L1044" s="9" t="s">
        <v>2360</v>
      </c>
      <c r="M1044" s="9" t="s">
        <v>271</v>
      </c>
      <c r="N1044" s="9" t="s">
        <v>2392</v>
      </c>
      <c r="O1044" s="9" t="s">
        <v>189</v>
      </c>
      <c r="P1044" s="9" t="s">
        <v>1744</v>
      </c>
      <c r="Q1044" s="9" t="s">
        <v>555</v>
      </c>
      <c r="R1044" s="9" t="s">
        <v>1790</v>
      </c>
      <c r="S1044" s="9" t="s">
        <v>2364</v>
      </c>
      <c r="T1044" s="9" t="s">
        <v>327</v>
      </c>
      <c r="U1044" s="19" t="n">
        <v>75</v>
      </c>
      <c r="V1044" s="9"/>
      <c r="W1044" s="9"/>
      <c r="X1044" s="9" t="s">
        <v>203</v>
      </c>
      <c r="Y1044" s="23" t="n">
        <v>0.015</v>
      </c>
      <c r="Z1044" s="23" t="n">
        <v>0.024</v>
      </c>
      <c r="AA1044" s="23" t="n">
        <v>12</v>
      </c>
      <c r="AB1044" s="9" t="s">
        <v>2360</v>
      </c>
      <c r="AC1044" s="9" t="s">
        <v>2394</v>
      </c>
      <c r="AD1044" s="23" t="s">
        <v>197</v>
      </c>
      <c r="AE1044" s="23" t="s">
        <v>197</v>
      </c>
      <c r="AF1044" s="23" t="s">
        <v>197</v>
      </c>
      <c r="AG1044" s="23" t="s">
        <v>197</v>
      </c>
      <c r="AH1044" s="23" t="s">
        <v>197</v>
      </c>
      <c r="AI1044" s="23" t="s">
        <v>197</v>
      </c>
      <c r="AJ1044" s="23" t="n">
        <v>9</v>
      </c>
      <c r="AK1044" s="23" t="s">
        <v>197</v>
      </c>
      <c r="AL1044" s="23" t="s">
        <v>197</v>
      </c>
      <c r="AM1044" s="9" t="s">
        <v>328</v>
      </c>
      <c r="AN1044" s="23" t="s">
        <v>197</v>
      </c>
      <c r="AO1044" s="23" t="n">
        <v>2</v>
      </c>
      <c r="AP1044" s="23" t="n">
        <v>4.6</v>
      </c>
    </row>
    <row r="1045" customFormat="false" ht="21.75" hidden="false" customHeight="true" outlineLevel="0" collapsed="false">
      <c r="B1045" s="14" t="n">
        <v>1041</v>
      </c>
      <c r="C1045" s="7" t="s">
        <v>58</v>
      </c>
      <c r="D1045" s="7" t="s">
        <v>20</v>
      </c>
      <c r="E1045" s="7" t="s">
        <v>118</v>
      </c>
      <c r="F1045" s="7" t="s">
        <v>68</v>
      </c>
      <c r="G1045" s="7" t="s">
        <v>2418</v>
      </c>
      <c r="H1045" s="7" t="s">
        <v>337</v>
      </c>
      <c r="I1045" s="7" t="s">
        <v>2412</v>
      </c>
      <c r="J1045" s="7" t="s">
        <v>2413</v>
      </c>
      <c r="K1045" s="7" t="s">
        <v>2404</v>
      </c>
      <c r="L1045" s="7" t="s">
        <v>2360</v>
      </c>
      <c r="M1045" s="7" t="s">
        <v>271</v>
      </c>
      <c r="N1045" s="7" t="s">
        <v>2392</v>
      </c>
      <c r="O1045" s="7" t="s">
        <v>189</v>
      </c>
      <c r="P1045" s="7" t="s">
        <v>1744</v>
      </c>
      <c r="Q1045" s="7" t="s">
        <v>555</v>
      </c>
      <c r="R1045" s="7" t="s">
        <v>1790</v>
      </c>
      <c r="S1045" s="7" t="s">
        <v>2364</v>
      </c>
      <c r="T1045" s="7" t="s">
        <v>327</v>
      </c>
      <c r="U1045" s="18" t="n">
        <v>110</v>
      </c>
      <c r="V1045" s="7"/>
      <c r="W1045" s="7"/>
      <c r="X1045" s="7" t="s">
        <v>205</v>
      </c>
      <c r="Y1045" s="22" t="n">
        <v>0.012</v>
      </c>
      <c r="Z1045" s="22" t="n">
        <v>0.02</v>
      </c>
      <c r="AA1045" s="22" t="n">
        <v>12</v>
      </c>
      <c r="AB1045" s="7" t="s">
        <v>2360</v>
      </c>
      <c r="AC1045" s="7" t="s">
        <v>2394</v>
      </c>
      <c r="AD1045" s="22" t="s">
        <v>197</v>
      </c>
      <c r="AE1045" s="22" t="s">
        <v>197</v>
      </c>
      <c r="AF1045" s="22" t="s">
        <v>197</v>
      </c>
      <c r="AG1045" s="22" t="s">
        <v>197</v>
      </c>
      <c r="AH1045" s="22" t="s">
        <v>197</v>
      </c>
      <c r="AI1045" s="22" t="s">
        <v>197</v>
      </c>
      <c r="AJ1045" s="22" t="n">
        <v>9</v>
      </c>
      <c r="AK1045" s="22" t="s">
        <v>197</v>
      </c>
      <c r="AL1045" s="22" t="s">
        <v>197</v>
      </c>
      <c r="AM1045" s="7" t="s">
        <v>328</v>
      </c>
      <c r="AN1045" s="22" t="s">
        <v>197</v>
      </c>
      <c r="AO1045" s="22" t="n">
        <v>2</v>
      </c>
      <c r="AP1045" s="22" t="n">
        <v>4.6</v>
      </c>
    </row>
    <row r="1046" customFormat="false" ht="21.75" hidden="false" customHeight="true" outlineLevel="0" collapsed="false">
      <c r="B1046" s="15" t="n">
        <v>1042</v>
      </c>
      <c r="C1046" s="9" t="s">
        <v>58</v>
      </c>
      <c r="D1046" s="9" t="s">
        <v>20</v>
      </c>
      <c r="E1046" s="9" t="s">
        <v>118</v>
      </c>
      <c r="F1046" s="9" t="s">
        <v>69</v>
      </c>
      <c r="G1046" s="9" t="s">
        <v>2419</v>
      </c>
      <c r="H1046" s="9" t="s">
        <v>339</v>
      </c>
      <c r="I1046" s="9" t="s">
        <v>2420</v>
      </c>
      <c r="J1046" s="9" t="s">
        <v>2421</v>
      </c>
      <c r="K1046" s="9" t="s">
        <v>2404</v>
      </c>
      <c r="L1046" s="9" t="s">
        <v>2360</v>
      </c>
      <c r="M1046" s="9" t="s">
        <v>2422</v>
      </c>
      <c r="N1046" s="9" t="s">
        <v>344</v>
      </c>
      <c r="O1046" s="9" t="s">
        <v>2209</v>
      </c>
      <c r="P1046" s="9" t="s">
        <v>1744</v>
      </c>
      <c r="Q1046" s="9" t="s">
        <v>2423</v>
      </c>
      <c r="R1046" s="9" t="s">
        <v>746</v>
      </c>
      <c r="S1046" s="9" t="s">
        <v>2364</v>
      </c>
      <c r="T1046" s="9" t="s">
        <v>348</v>
      </c>
      <c r="U1046" s="19" t="n">
        <v>55</v>
      </c>
      <c r="V1046" s="9"/>
      <c r="W1046" s="9"/>
      <c r="X1046" s="9" t="s">
        <v>195</v>
      </c>
      <c r="Y1046" s="23" t="n">
        <v>1.558E-005</v>
      </c>
      <c r="Z1046" s="23" t="n">
        <v>0.113</v>
      </c>
      <c r="AA1046" s="23" t="n">
        <v>3</v>
      </c>
      <c r="AB1046" s="9" t="s">
        <v>2360</v>
      </c>
      <c r="AC1046" s="9" t="s">
        <v>2394</v>
      </c>
      <c r="AD1046" s="23" t="s">
        <v>197</v>
      </c>
      <c r="AE1046" s="23" t="s">
        <v>197</v>
      </c>
      <c r="AF1046" s="23" t="s">
        <v>197</v>
      </c>
      <c r="AG1046" s="23" t="s">
        <v>197</v>
      </c>
      <c r="AH1046" s="23" t="s">
        <v>197</v>
      </c>
      <c r="AI1046" s="23" t="s">
        <v>197</v>
      </c>
      <c r="AJ1046" s="23" t="s">
        <v>197</v>
      </c>
      <c r="AK1046" s="23" t="s">
        <v>197</v>
      </c>
      <c r="AL1046" s="23" t="s">
        <v>197</v>
      </c>
      <c r="AM1046" s="9" t="s">
        <v>197</v>
      </c>
      <c r="AN1046" s="23" t="n">
        <v>3.1</v>
      </c>
      <c r="AO1046" s="23" t="n">
        <v>2.5</v>
      </c>
      <c r="AP1046" s="23" t="n">
        <v>4.5</v>
      </c>
    </row>
    <row r="1047" customFormat="false" ht="21.75" hidden="false" customHeight="true" outlineLevel="0" collapsed="false">
      <c r="B1047" s="14" t="n">
        <v>1043</v>
      </c>
      <c r="C1047" s="7" t="s">
        <v>58</v>
      </c>
      <c r="D1047" s="7" t="s">
        <v>20</v>
      </c>
      <c r="E1047" s="7" t="s">
        <v>118</v>
      </c>
      <c r="F1047" s="7" t="s">
        <v>69</v>
      </c>
      <c r="G1047" s="7" t="s">
        <v>2424</v>
      </c>
      <c r="H1047" s="7" t="s">
        <v>350</v>
      </c>
      <c r="I1047" s="7" t="s">
        <v>2420</v>
      </c>
      <c r="J1047" s="7" t="s">
        <v>2421</v>
      </c>
      <c r="K1047" s="7" t="s">
        <v>2404</v>
      </c>
      <c r="L1047" s="7" t="s">
        <v>2360</v>
      </c>
      <c r="M1047" s="7" t="s">
        <v>2422</v>
      </c>
      <c r="N1047" s="7" t="s">
        <v>344</v>
      </c>
      <c r="O1047" s="7" t="s">
        <v>2209</v>
      </c>
      <c r="P1047" s="7" t="s">
        <v>1744</v>
      </c>
      <c r="Q1047" s="7" t="s">
        <v>2423</v>
      </c>
      <c r="R1047" s="7" t="s">
        <v>746</v>
      </c>
      <c r="S1047" s="7" t="s">
        <v>2364</v>
      </c>
      <c r="T1047" s="7" t="s">
        <v>348</v>
      </c>
      <c r="U1047" s="18" t="n">
        <v>85</v>
      </c>
      <c r="V1047" s="7"/>
      <c r="W1047" s="7"/>
      <c r="X1047" s="7" t="s">
        <v>199</v>
      </c>
      <c r="Y1047" s="22" t="n">
        <v>2.689E-005</v>
      </c>
      <c r="Z1047" s="22" t="n">
        <v>0.181</v>
      </c>
      <c r="AA1047" s="22" t="n">
        <v>3</v>
      </c>
      <c r="AB1047" s="7" t="s">
        <v>2360</v>
      </c>
      <c r="AC1047" s="7" t="s">
        <v>2394</v>
      </c>
      <c r="AD1047" s="22" t="s">
        <v>197</v>
      </c>
      <c r="AE1047" s="22" t="s">
        <v>197</v>
      </c>
      <c r="AF1047" s="22" t="s">
        <v>197</v>
      </c>
      <c r="AG1047" s="22" t="s">
        <v>197</v>
      </c>
      <c r="AH1047" s="22" t="s">
        <v>197</v>
      </c>
      <c r="AI1047" s="22" t="s">
        <v>197</v>
      </c>
      <c r="AJ1047" s="22" t="s">
        <v>197</v>
      </c>
      <c r="AK1047" s="22" t="s">
        <v>197</v>
      </c>
      <c r="AL1047" s="22" t="s">
        <v>197</v>
      </c>
      <c r="AM1047" s="7" t="s">
        <v>197</v>
      </c>
      <c r="AN1047" s="22" t="n">
        <v>5.4</v>
      </c>
      <c r="AO1047" s="22" t="n">
        <v>2.5</v>
      </c>
      <c r="AP1047" s="22" t="n">
        <v>4.5</v>
      </c>
    </row>
    <row r="1048" customFormat="false" ht="21.75" hidden="false" customHeight="true" outlineLevel="0" collapsed="false">
      <c r="B1048" s="15" t="n">
        <v>1044</v>
      </c>
      <c r="C1048" s="9" t="s">
        <v>58</v>
      </c>
      <c r="D1048" s="9" t="s">
        <v>20</v>
      </c>
      <c r="E1048" s="9" t="s">
        <v>118</v>
      </c>
      <c r="F1048" s="9" t="s">
        <v>69</v>
      </c>
      <c r="G1048" s="9" t="s">
        <v>2425</v>
      </c>
      <c r="H1048" s="9" t="s">
        <v>352</v>
      </c>
      <c r="I1048" s="9" t="s">
        <v>2420</v>
      </c>
      <c r="J1048" s="9" t="s">
        <v>2421</v>
      </c>
      <c r="K1048" s="9" t="s">
        <v>2404</v>
      </c>
      <c r="L1048" s="9" t="s">
        <v>2360</v>
      </c>
      <c r="M1048" s="9" t="s">
        <v>2422</v>
      </c>
      <c r="N1048" s="9" t="s">
        <v>344</v>
      </c>
      <c r="O1048" s="9" t="s">
        <v>2209</v>
      </c>
      <c r="P1048" s="9" t="s">
        <v>1744</v>
      </c>
      <c r="Q1048" s="9" t="s">
        <v>2423</v>
      </c>
      <c r="R1048" s="9" t="s">
        <v>746</v>
      </c>
      <c r="S1048" s="9" t="s">
        <v>2364</v>
      </c>
      <c r="T1048" s="9" t="s">
        <v>348</v>
      </c>
      <c r="U1048" s="19" t="n">
        <v>115</v>
      </c>
      <c r="V1048" s="9"/>
      <c r="W1048" s="9"/>
      <c r="X1048" s="9" t="s">
        <v>2426</v>
      </c>
      <c r="Y1048" s="23" t="n">
        <v>2.555E-005</v>
      </c>
      <c r="Z1048" s="23" t="n">
        <v>0.173</v>
      </c>
      <c r="AA1048" s="23" t="n">
        <v>3</v>
      </c>
      <c r="AB1048" s="9" t="s">
        <v>2360</v>
      </c>
      <c r="AC1048" s="9" t="s">
        <v>2394</v>
      </c>
      <c r="AD1048" s="23" t="s">
        <v>197</v>
      </c>
      <c r="AE1048" s="23" t="s">
        <v>197</v>
      </c>
      <c r="AF1048" s="23" t="s">
        <v>197</v>
      </c>
      <c r="AG1048" s="23" t="s">
        <v>197</v>
      </c>
      <c r="AH1048" s="23" t="s">
        <v>197</v>
      </c>
      <c r="AI1048" s="23" t="s">
        <v>197</v>
      </c>
      <c r="AJ1048" s="23" t="s">
        <v>197</v>
      </c>
      <c r="AK1048" s="23" t="s">
        <v>197</v>
      </c>
      <c r="AL1048" s="23" t="s">
        <v>197</v>
      </c>
      <c r="AM1048" s="9" t="s">
        <v>197</v>
      </c>
      <c r="AN1048" s="23" t="n">
        <v>5.1</v>
      </c>
      <c r="AO1048" s="23" t="n">
        <v>2.5</v>
      </c>
      <c r="AP1048" s="23" t="n">
        <v>4.5</v>
      </c>
    </row>
    <row r="1049" customFormat="false" ht="21.75" hidden="false" customHeight="true" outlineLevel="0" collapsed="false">
      <c r="B1049" s="14" t="n">
        <v>1045</v>
      </c>
      <c r="C1049" s="7" t="s">
        <v>58</v>
      </c>
      <c r="D1049" s="7" t="s">
        <v>20</v>
      </c>
      <c r="E1049" s="7" t="s">
        <v>118</v>
      </c>
      <c r="F1049" s="7" t="s">
        <v>69</v>
      </c>
      <c r="G1049" s="7" t="s">
        <v>2427</v>
      </c>
      <c r="H1049" s="7" t="s">
        <v>355</v>
      </c>
      <c r="I1049" s="7" t="s">
        <v>2420</v>
      </c>
      <c r="J1049" s="7" t="s">
        <v>2421</v>
      </c>
      <c r="K1049" s="7" t="s">
        <v>2404</v>
      </c>
      <c r="L1049" s="7" t="s">
        <v>2360</v>
      </c>
      <c r="M1049" s="7" t="s">
        <v>2422</v>
      </c>
      <c r="N1049" s="7" t="s">
        <v>344</v>
      </c>
      <c r="O1049" s="7" t="s">
        <v>2209</v>
      </c>
      <c r="P1049" s="7" t="s">
        <v>1744</v>
      </c>
      <c r="Q1049" s="7" t="s">
        <v>2423</v>
      </c>
      <c r="R1049" s="7" t="s">
        <v>746</v>
      </c>
      <c r="S1049" s="7" t="s">
        <v>2364</v>
      </c>
      <c r="T1049" s="7" t="s">
        <v>348</v>
      </c>
      <c r="U1049" s="18" t="n">
        <v>170</v>
      </c>
      <c r="V1049" s="7"/>
      <c r="W1049" s="7"/>
      <c r="X1049" s="7" t="s">
        <v>203</v>
      </c>
      <c r="Y1049" s="22" t="n">
        <v>2.332E-005</v>
      </c>
      <c r="Z1049" s="22" t="n">
        <v>0.16</v>
      </c>
      <c r="AA1049" s="22" t="n">
        <v>3</v>
      </c>
      <c r="AB1049" s="7" t="s">
        <v>2360</v>
      </c>
      <c r="AC1049" s="7" t="s">
        <v>2394</v>
      </c>
      <c r="AD1049" s="22" t="s">
        <v>197</v>
      </c>
      <c r="AE1049" s="22" t="s">
        <v>197</v>
      </c>
      <c r="AF1049" s="22" t="s">
        <v>197</v>
      </c>
      <c r="AG1049" s="22" t="s">
        <v>197</v>
      </c>
      <c r="AH1049" s="22" t="s">
        <v>197</v>
      </c>
      <c r="AI1049" s="22" t="s">
        <v>197</v>
      </c>
      <c r="AJ1049" s="22" t="s">
        <v>197</v>
      </c>
      <c r="AK1049" s="22" t="s">
        <v>197</v>
      </c>
      <c r="AL1049" s="22" t="s">
        <v>197</v>
      </c>
      <c r="AM1049" s="7" t="s">
        <v>197</v>
      </c>
      <c r="AN1049" s="22" t="n">
        <v>4.7</v>
      </c>
      <c r="AO1049" s="22" t="n">
        <v>2.5</v>
      </c>
      <c r="AP1049" s="22" t="n">
        <v>4.5</v>
      </c>
    </row>
    <row r="1050" customFormat="false" ht="21.75" hidden="false" customHeight="true" outlineLevel="0" collapsed="false">
      <c r="B1050" s="15" t="n">
        <v>1046</v>
      </c>
      <c r="C1050" s="9" t="s">
        <v>58</v>
      </c>
      <c r="D1050" s="9" t="s">
        <v>20</v>
      </c>
      <c r="E1050" s="9" t="s">
        <v>118</v>
      </c>
      <c r="F1050" s="9" t="s">
        <v>69</v>
      </c>
      <c r="G1050" s="9" t="s">
        <v>2428</v>
      </c>
      <c r="H1050" s="9" t="s">
        <v>357</v>
      </c>
      <c r="I1050" s="9" t="s">
        <v>2420</v>
      </c>
      <c r="J1050" s="9" t="s">
        <v>2421</v>
      </c>
      <c r="K1050" s="9" t="s">
        <v>2404</v>
      </c>
      <c r="L1050" s="9" t="s">
        <v>2360</v>
      </c>
      <c r="M1050" s="9" t="s">
        <v>2422</v>
      </c>
      <c r="N1050" s="9" t="s">
        <v>344</v>
      </c>
      <c r="O1050" s="9" t="s">
        <v>2209</v>
      </c>
      <c r="P1050" s="9" t="s">
        <v>1744</v>
      </c>
      <c r="Q1050" s="9" t="s">
        <v>2423</v>
      </c>
      <c r="R1050" s="9" t="s">
        <v>746</v>
      </c>
      <c r="S1050" s="9" t="s">
        <v>2364</v>
      </c>
      <c r="T1050" s="9" t="s">
        <v>348</v>
      </c>
      <c r="U1050" s="19" t="n">
        <v>250</v>
      </c>
      <c r="V1050" s="9"/>
      <c r="W1050" s="9"/>
      <c r="X1050" s="9" t="s">
        <v>205</v>
      </c>
      <c r="Y1050" s="23" t="n">
        <v>1.421E-005</v>
      </c>
      <c r="Z1050" s="23" t="n">
        <v>0.105</v>
      </c>
      <c r="AA1050" s="23" t="n">
        <v>3</v>
      </c>
      <c r="AB1050" s="9" t="s">
        <v>2360</v>
      </c>
      <c r="AC1050" s="9" t="s">
        <v>2394</v>
      </c>
      <c r="AD1050" s="23" t="s">
        <v>197</v>
      </c>
      <c r="AE1050" s="23" t="s">
        <v>197</v>
      </c>
      <c r="AF1050" s="23" t="s">
        <v>197</v>
      </c>
      <c r="AG1050" s="23" t="s">
        <v>197</v>
      </c>
      <c r="AH1050" s="23" t="s">
        <v>197</v>
      </c>
      <c r="AI1050" s="23" t="s">
        <v>197</v>
      </c>
      <c r="AJ1050" s="23" t="s">
        <v>197</v>
      </c>
      <c r="AK1050" s="23" t="s">
        <v>197</v>
      </c>
      <c r="AL1050" s="23" t="s">
        <v>197</v>
      </c>
      <c r="AM1050" s="9" t="s">
        <v>197</v>
      </c>
      <c r="AN1050" s="23" t="n">
        <v>2.8</v>
      </c>
      <c r="AO1050" s="23" t="n">
        <v>2.5</v>
      </c>
      <c r="AP1050" s="23" t="n">
        <v>4.5</v>
      </c>
    </row>
    <row r="1051" customFormat="false" ht="21.75" hidden="false" customHeight="true" outlineLevel="0" collapsed="false">
      <c r="B1051" s="14" t="n">
        <v>1047</v>
      </c>
      <c r="C1051" s="7" t="s">
        <v>58</v>
      </c>
      <c r="D1051" s="7" t="s">
        <v>20</v>
      </c>
      <c r="E1051" s="7" t="s">
        <v>118</v>
      </c>
      <c r="F1051" s="7" t="s">
        <v>70</v>
      </c>
      <c r="G1051" s="7" t="s">
        <v>2429</v>
      </c>
      <c r="H1051" s="7" t="s">
        <v>359</v>
      </c>
      <c r="I1051" s="7" t="s">
        <v>2430</v>
      </c>
      <c r="J1051" s="7" t="s">
        <v>2431</v>
      </c>
      <c r="K1051" s="7" t="s">
        <v>2404</v>
      </c>
      <c r="L1051" s="7" t="s">
        <v>2360</v>
      </c>
      <c r="M1051" s="7" t="s">
        <v>2422</v>
      </c>
      <c r="N1051" s="7" t="s">
        <v>2432</v>
      </c>
      <c r="O1051" s="7" t="s">
        <v>189</v>
      </c>
      <c r="P1051" s="7" t="s">
        <v>1744</v>
      </c>
      <c r="Q1051" s="7" t="s">
        <v>2433</v>
      </c>
      <c r="R1051" s="7" t="s">
        <v>2434</v>
      </c>
      <c r="S1051" s="7" t="s">
        <v>2364</v>
      </c>
      <c r="T1051" s="7" t="s">
        <v>2435</v>
      </c>
      <c r="U1051" s="18" t="n">
        <v>35</v>
      </c>
      <c r="V1051" s="7"/>
      <c r="W1051" s="7"/>
      <c r="X1051" s="7" t="s">
        <v>195</v>
      </c>
      <c r="Y1051" s="22" t="n">
        <v>2.048E-005</v>
      </c>
      <c r="Z1051" s="22" t="n">
        <v>0.126</v>
      </c>
      <c r="AA1051" s="22" t="n">
        <v>3</v>
      </c>
      <c r="AB1051" s="7" t="s">
        <v>2360</v>
      </c>
      <c r="AC1051" s="7" t="s">
        <v>2394</v>
      </c>
      <c r="AD1051" s="22" t="s">
        <v>197</v>
      </c>
      <c r="AE1051" s="22" t="s">
        <v>197</v>
      </c>
      <c r="AF1051" s="22" t="s">
        <v>197</v>
      </c>
      <c r="AG1051" s="22" t="s">
        <v>197</v>
      </c>
      <c r="AH1051" s="22" t="s">
        <v>197</v>
      </c>
      <c r="AI1051" s="22" t="s">
        <v>197</v>
      </c>
      <c r="AJ1051" s="22" t="s">
        <v>197</v>
      </c>
      <c r="AK1051" s="22" t="s">
        <v>197</v>
      </c>
      <c r="AL1051" s="22" t="s">
        <v>197</v>
      </c>
      <c r="AM1051" s="7" t="s">
        <v>197</v>
      </c>
      <c r="AN1051" s="22" t="n">
        <v>4.2</v>
      </c>
      <c r="AO1051" s="22" t="n">
        <v>2</v>
      </c>
      <c r="AP1051" s="22" t="n">
        <v>3</v>
      </c>
    </row>
    <row r="1052" customFormat="false" ht="21.75" hidden="false" customHeight="true" outlineLevel="0" collapsed="false">
      <c r="B1052" s="15" t="n">
        <v>1048</v>
      </c>
      <c r="C1052" s="9" t="s">
        <v>58</v>
      </c>
      <c r="D1052" s="9" t="s">
        <v>20</v>
      </c>
      <c r="E1052" s="9" t="s">
        <v>118</v>
      </c>
      <c r="F1052" s="9" t="s">
        <v>70</v>
      </c>
      <c r="G1052" s="9" t="s">
        <v>2436</v>
      </c>
      <c r="H1052" s="9" t="s">
        <v>367</v>
      </c>
      <c r="I1052" s="9" t="s">
        <v>2430</v>
      </c>
      <c r="J1052" s="9" t="s">
        <v>2431</v>
      </c>
      <c r="K1052" s="9" t="s">
        <v>2404</v>
      </c>
      <c r="L1052" s="9" t="s">
        <v>2360</v>
      </c>
      <c r="M1052" s="9" t="s">
        <v>2422</v>
      </c>
      <c r="N1052" s="9" t="s">
        <v>2432</v>
      </c>
      <c r="O1052" s="9" t="s">
        <v>189</v>
      </c>
      <c r="P1052" s="9" t="s">
        <v>1744</v>
      </c>
      <c r="Q1052" s="9" t="s">
        <v>2433</v>
      </c>
      <c r="R1052" s="9" t="s">
        <v>2434</v>
      </c>
      <c r="S1052" s="9" t="s">
        <v>2364</v>
      </c>
      <c r="T1052" s="9" t="s">
        <v>2435</v>
      </c>
      <c r="U1052" s="19" t="n">
        <v>55</v>
      </c>
      <c r="V1052" s="9"/>
      <c r="W1052" s="9"/>
      <c r="X1052" s="9" t="s">
        <v>199</v>
      </c>
      <c r="Y1052" s="23" t="n">
        <v>1.886E-005</v>
      </c>
      <c r="Z1052" s="23" t="n">
        <v>0.117</v>
      </c>
      <c r="AA1052" s="23" t="n">
        <v>3</v>
      </c>
      <c r="AB1052" s="9" t="s">
        <v>2360</v>
      </c>
      <c r="AC1052" s="9" t="s">
        <v>2394</v>
      </c>
      <c r="AD1052" s="23" t="s">
        <v>197</v>
      </c>
      <c r="AE1052" s="23" t="s">
        <v>197</v>
      </c>
      <c r="AF1052" s="23" t="s">
        <v>197</v>
      </c>
      <c r="AG1052" s="23" t="s">
        <v>197</v>
      </c>
      <c r="AH1052" s="23" t="s">
        <v>197</v>
      </c>
      <c r="AI1052" s="23" t="s">
        <v>197</v>
      </c>
      <c r="AJ1052" s="23" t="s">
        <v>197</v>
      </c>
      <c r="AK1052" s="23" t="s">
        <v>197</v>
      </c>
      <c r="AL1052" s="23" t="s">
        <v>197</v>
      </c>
      <c r="AM1052" s="9" t="s">
        <v>197</v>
      </c>
      <c r="AN1052" s="23" t="n">
        <v>3.9</v>
      </c>
      <c r="AO1052" s="23" t="n">
        <v>2</v>
      </c>
      <c r="AP1052" s="23" t="n">
        <v>3</v>
      </c>
    </row>
    <row r="1053" customFormat="false" ht="21.75" hidden="false" customHeight="true" outlineLevel="0" collapsed="false">
      <c r="B1053" s="14" t="n">
        <v>1049</v>
      </c>
      <c r="C1053" s="7" t="s">
        <v>58</v>
      </c>
      <c r="D1053" s="7" t="s">
        <v>20</v>
      </c>
      <c r="E1053" s="7" t="s">
        <v>118</v>
      </c>
      <c r="F1053" s="7" t="s">
        <v>70</v>
      </c>
      <c r="G1053" s="7" t="s">
        <v>2437</v>
      </c>
      <c r="H1053" s="7" t="s">
        <v>369</v>
      </c>
      <c r="I1053" s="7" t="s">
        <v>2430</v>
      </c>
      <c r="J1053" s="7" t="s">
        <v>2431</v>
      </c>
      <c r="K1053" s="7" t="s">
        <v>2404</v>
      </c>
      <c r="L1053" s="7" t="s">
        <v>2360</v>
      </c>
      <c r="M1053" s="7" t="s">
        <v>2422</v>
      </c>
      <c r="N1053" s="7" t="s">
        <v>2432</v>
      </c>
      <c r="O1053" s="7" t="s">
        <v>189</v>
      </c>
      <c r="P1053" s="7" t="s">
        <v>1744</v>
      </c>
      <c r="Q1053" s="7" t="s">
        <v>2433</v>
      </c>
      <c r="R1053" s="7" t="s">
        <v>2434</v>
      </c>
      <c r="S1053" s="7" t="s">
        <v>2364</v>
      </c>
      <c r="T1053" s="7" t="s">
        <v>2435</v>
      </c>
      <c r="U1053" s="18" t="n">
        <v>75</v>
      </c>
      <c r="V1053" s="7"/>
      <c r="W1053" s="7"/>
      <c r="X1053" s="7" t="s">
        <v>2438</v>
      </c>
      <c r="Y1053" s="22" t="n">
        <v>1.481E-005</v>
      </c>
      <c r="Z1053" s="22" t="n">
        <v>0.096</v>
      </c>
      <c r="AA1053" s="22" t="n">
        <v>3</v>
      </c>
      <c r="AB1053" s="7" t="s">
        <v>2360</v>
      </c>
      <c r="AC1053" s="7" t="s">
        <v>2394</v>
      </c>
      <c r="AD1053" s="22" t="s">
        <v>197</v>
      </c>
      <c r="AE1053" s="22" t="s">
        <v>197</v>
      </c>
      <c r="AF1053" s="22" t="s">
        <v>197</v>
      </c>
      <c r="AG1053" s="22" t="s">
        <v>197</v>
      </c>
      <c r="AH1053" s="22" t="s">
        <v>197</v>
      </c>
      <c r="AI1053" s="22" t="s">
        <v>197</v>
      </c>
      <c r="AJ1053" s="22" t="s">
        <v>197</v>
      </c>
      <c r="AK1053" s="22" t="s">
        <v>197</v>
      </c>
      <c r="AL1053" s="22" t="s">
        <v>197</v>
      </c>
      <c r="AM1053" s="7" t="s">
        <v>197</v>
      </c>
      <c r="AN1053" s="22" t="n">
        <v>3.2</v>
      </c>
      <c r="AO1053" s="22" t="n">
        <v>2</v>
      </c>
      <c r="AP1053" s="22" t="n">
        <v>3</v>
      </c>
    </row>
    <row r="1054" customFormat="false" ht="21.75" hidden="false" customHeight="true" outlineLevel="0" collapsed="false">
      <c r="B1054" s="15" t="n">
        <v>1050</v>
      </c>
      <c r="C1054" s="9" t="s">
        <v>58</v>
      </c>
      <c r="D1054" s="9" t="s">
        <v>20</v>
      </c>
      <c r="E1054" s="9" t="s">
        <v>118</v>
      </c>
      <c r="F1054" s="9" t="s">
        <v>70</v>
      </c>
      <c r="G1054" s="9" t="s">
        <v>2439</v>
      </c>
      <c r="H1054" s="9" t="s">
        <v>339</v>
      </c>
      <c r="I1054" s="9" t="s">
        <v>2430</v>
      </c>
      <c r="J1054" s="9" t="s">
        <v>2431</v>
      </c>
      <c r="K1054" s="9" t="s">
        <v>2404</v>
      </c>
      <c r="L1054" s="9" t="s">
        <v>2360</v>
      </c>
      <c r="M1054" s="9" t="s">
        <v>2422</v>
      </c>
      <c r="N1054" s="9" t="s">
        <v>2432</v>
      </c>
      <c r="O1054" s="9" t="s">
        <v>189</v>
      </c>
      <c r="P1054" s="9" t="s">
        <v>1744</v>
      </c>
      <c r="Q1054" s="9" t="s">
        <v>2433</v>
      </c>
      <c r="R1054" s="9" t="s">
        <v>2434</v>
      </c>
      <c r="S1054" s="9" t="s">
        <v>2364</v>
      </c>
      <c r="T1054" s="9" t="s">
        <v>2435</v>
      </c>
      <c r="U1054" s="19" t="n">
        <v>110</v>
      </c>
      <c r="V1054" s="9"/>
      <c r="W1054" s="9"/>
      <c r="X1054" s="9" t="s">
        <v>203</v>
      </c>
      <c r="Y1054" s="23" t="n">
        <v>1.506E-005</v>
      </c>
      <c r="Z1054" s="23" t="n">
        <v>0.097</v>
      </c>
      <c r="AA1054" s="23" t="n">
        <v>3</v>
      </c>
      <c r="AB1054" s="9" t="s">
        <v>2360</v>
      </c>
      <c r="AC1054" s="9" t="s">
        <v>2394</v>
      </c>
      <c r="AD1054" s="23" t="s">
        <v>197</v>
      </c>
      <c r="AE1054" s="23" t="s">
        <v>197</v>
      </c>
      <c r="AF1054" s="23" t="s">
        <v>197</v>
      </c>
      <c r="AG1054" s="23" t="s">
        <v>197</v>
      </c>
      <c r="AH1054" s="23" t="s">
        <v>197</v>
      </c>
      <c r="AI1054" s="23" t="s">
        <v>197</v>
      </c>
      <c r="AJ1054" s="23" t="s">
        <v>197</v>
      </c>
      <c r="AK1054" s="23" t="s">
        <v>197</v>
      </c>
      <c r="AL1054" s="23" t="s">
        <v>197</v>
      </c>
      <c r="AM1054" s="9" t="s">
        <v>197</v>
      </c>
      <c r="AN1054" s="23" t="n">
        <v>3.2</v>
      </c>
      <c r="AO1054" s="23" t="n">
        <v>2</v>
      </c>
      <c r="AP1054" s="23" t="n">
        <v>3</v>
      </c>
    </row>
    <row r="1055" customFormat="false" ht="21.75" hidden="false" customHeight="true" outlineLevel="0" collapsed="false">
      <c r="B1055" s="14" t="n">
        <v>1051</v>
      </c>
      <c r="C1055" s="7" t="s">
        <v>58</v>
      </c>
      <c r="D1055" s="7" t="s">
        <v>20</v>
      </c>
      <c r="E1055" s="7" t="s">
        <v>118</v>
      </c>
      <c r="F1055" s="7" t="s">
        <v>70</v>
      </c>
      <c r="G1055" s="7" t="s">
        <v>2440</v>
      </c>
      <c r="H1055" s="7" t="s">
        <v>352</v>
      </c>
      <c r="I1055" s="7" t="s">
        <v>2430</v>
      </c>
      <c r="J1055" s="7" t="s">
        <v>2431</v>
      </c>
      <c r="K1055" s="7" t="s">
        <v>2404</v>
      </c>
      <c r="L1055" s="7" t="s">
        <v>2360</v>
      </c>
      <c r="M1055" s="7" t="s">
        <v>2422</v>
      </c>
      <c r="N1055" s="7" t="s">
        <v>2432</v>
      </c>
      <c r="O1055" s="7" t="s">
        <v>189</v>
      </c>
      <c r="P1055" s="7" t="s">
        <v>1744</v>
      </c>
      <c r="Q1055" s="7" t="s">
        <v>2433</v>
      </c>
      <c r="R1055" s="7" t="s">
        <v>2434</v>
      </c>
      <c r="S1055" s="7" t="s">
        <v>2364</v>
      </c>
      <c r="T1055" s="7" t="s">
        <v>2435</v>
      </c>
      <c r="U1055" s="18" t="n">
        <v>165</v>
      </c>
      <c r="V1055" s="7"/>
      <c r="W1055" s="7"/>
      <c r="X1055" s="7" t="s">
        <v>205</v>
      </c>
      <c r="Y1055" s="22" t="n">
        <v>1.546E-005</v>
      </c>
      <c r="Z1055" s="22" t="n">
        <v>0.1</v>
      </c>
      <c r="AA1055" s="22" t="n">
        <v>3</v>
      </c>
      <c r="AB1055" s="7" t="s">
        <v>2360</v>
      </c>
      <c r="AC1055" s="7" t="s">
        <v>2394</v>
      </c>
      <c r="AD1055" s="22" t="s">
        <v>197</v>
      </c>
      <c r="AE1055" s="22" t="s">
        <v>197</v>
      </c>
      <c r="AF1055" s="22" t="s">
        <v>197</v>
      </c>
      <c r="AG1055" s="22" t="s">
        <v>197</v>
      </c>
      <c r="AH1055" s="22" t="s">
        <v>197</v>
      </c>
      <c r="AI1055" s="22" t="s">
        <v>197</v>
      </c>
      <c r="AJ1055" s="22" t="s">
        <v>197</v>
      </c>
      <c r="AK1055" s="22" t="s">
        <v>197</v>
      </c>
      <c r="AL1055" s="22" t="s">
        <v>197</v>
      </c>
      <c r="AM1055" s="7" t="s">
        <v>197</v>
      </c>
      <c r="AN1055" s="22" t="n">
        <v>3.3</v>
      </c>
      <c r="AO1055" s="22" t="n">
        <v>2</v>
      </c>
      <c r="AP1055" s="22" t="n">
        <v>3</v>
      </c>
    </row>
    <row r="1056" customFormat="false" ht="21.75" hidden="false" customHeight="true" outlineLevel="0" collapsed="false">
      <c r="B1056" s="15" t="n">
        <v>1052</v>
      </c>
      <c r="C1056" s="9" t="s">
        <v>58</v>
      </c>
      <c r="D1056" s="9" t="s">
        <v>20</v>
      </c>
      <c r="E1056" s="9" t="s">
        <v>118</v>
      </c>
      <c r="F1056" s="9" t="s">
        <v>71</v>
      </c>
      <c r="G1056" s="9" t="s">
        <v>2441</v>
      </c>
      <c r="H1056" s="9" t="s">
        <v>374</v>
      </c>
      <c r="I1056" s="9" t="s">
        <v>2442</v>
      </c>
      <c r="J1056" s="9" t="s">
        <v>2443</v>
      </c>
      <c r="K1056" s="9" t="s">
        <v>2444</v>
      </c>
      <c r="L1056" s="9" t="s">
        <v>2360</v>
      </c>
      <c r="M1056" s="9" t="s">
        <v>235</v>
      </c>
      <c r="N1056" s="9" t="s">
        <v>2445</v>
      </c>
      <c r="O1056" s="9" t="s">
        <v>189</v>
      </c>
      <c r="P1056" s="9" t="s">
        <v>1744</v>
      </c>
      <c r="Q1056" s="9" t="s">
        <v>2446</v>
      </c>
      <c r="R1056" s="9" t="s">
        <v>506</v>
      </c>
      <c r="S1056" s="9" t="s">
        <v>2364</v>
      </c>
      <c r="T1056" s="9" t="s">
        <v>2447</v>
      </c>
      <c r="U1056" s="19" t="n">
        <v>75</v>
      </c>
      <c r="V1056" s="9"/>
      <c r="W1056" s="9"/>
      <c r="X1056" s="9" t="s">
        <v>195</v>
      </c>
      <c r="Y1056" s="23" t="n">
        <v>0.099</v>
      </c>
      <c r="Z1056" s="23" t="n">
        <v>0.346</v>
      </c>
      <c r="AA1056" s="23" t="n">
        <v>12</v>
      </c>
      <c r="AB1056" s="9" t="s">
        <v>2360</v>
      </c>
      <c r="AC1056" s="9" t="s">
        <v>2381</v>
      </c>
      <c r="AD1056" s="23" t="s">
        <v>197</v>
      </c>
      <c r="AE1056" s="23" t="s">
        <v>197</v>
      </c>
      <c r="AF1056" s="23" t="s">
        <v>197</v>
      </c>
      <c r="AG1056" s="23" t="s">
        <v>197</v>
      </c>
      <c r="AH1056" s="23" t="s">
        <v>197</v>
      </c>
      <c r="AI1056" s="23" t="s">
        <v>197</v>
      </c>
      <c r="AJ1056" s="23" t="s">
        <v>197</v>
      </c>
      <c r="AK1056" s="23" t="s">
        <v>197</v>
      </c>
      <c r="AL1056" s="23" t="s">
        <v>197</v>
      </c>
      <c r="AM1056" s="9" t="s">
        <v>197</v>
      </c>
      <c r="AN1056" s="23" t="s">
        <v>197</v>
      </c>
      <c r="AO1056" s="23" t="s">
        <v>197</v>
      </c>
      <c r="AP1056" s="23" t="s">
        <v>197</v>
      </c>
    </row>
    <row r="1057" customFormat="false" ht="21.75" hidden="false" customHeight="true" outlineLevel="0" collapsed="false">
      <c r="B1057" s="14" t="n">
        <v>1053</v>
      </c>
      <c r="C1057" s="7" t="s">
        <v>58</v>
      </c>
      <c r="D1057" s="7" t="s">
        <v>20</v>
      </c>
      <c r="E1057" s="7" t="s">
        <v>118</v>
      </c>
      <c r="F1057" s="7" t="s">
        <v>71</v>
      </c>
      <c r="G1057" s="7" t="s">
        <v>2448</v>
      </c>
      <c r="H1057" s="7" t="s">
        <v>383</v>
      </c>
      <c r="I1057" s="7" t="s">
        <v>2442</v>
      </c>
      <c r="J1057" s="7" t="s">
        <v>2443</v>
      </c>
      <c r="K1057" s="7" t="s">
        <v>2444</v>
      </c>
      <c r="L1057" s="7" t="s">
        <v>2360</v>
      </c>
      <c r="M1057" s="7" t="s">
        <v>235</v>
      </c>
      <c r="N1057" s="7" t="s">
        <v>2445</v>
      </c>
      <c r="O1057" s="7" t="s">
        <v>189</v>
      </c>
      <c r="P1057" s="7" t="s">
        <v>1744</v>
      </c>
      <c r="Q1057" s="7" t="s">
        <v>2446</v>
      </c>
      <c r="R1057" s="7" t="s">
        <v>506</v>
      </c>
      <c r="S1057" s="7" t="s">
        <v>2364</v>
      </c>
      <c r="T1057" s="7" t="s">
        <v>2447</v>
      </c>
      <c r="U1057" s="18" t="n">
        <v>110</v>
      </c>
      <c r="V1057" s="7"/>
      <c r="W1057" s="7"/>
      <c r="X1057" s="7" t="s">
        <v>199</v>
      </c>
      <c r="Y1057" s="22" t="n">
        <v>0.053</v>
      </c>
      <c r="Z1057" s="22" t="n">
        <v>0.232</v>
      </c>
      <c r="AA1057" s="22" t="n">
        <v>12</v>
      </c>
      <c r="AB1057" s="7" t="s">
        <v>2360</v>
      </c>
      <c r="AC1057" s="7" t="s">
        <v>2381</v>
      </c>
      <c r="AD1057" s="22" t="s">
        <v>197</v>
      </c>
      <c r="AE1057" s="22" t="s">
        <v>197</v>
      </c>
      <c r="AF1057" s="22" t="s">
        <v>197</v>
      </c>
      <c r="AG1057" s="22" t="s">
        <v>197</v>
      </c>
      <c r="AH1057" s="22" t="s">
        <v>197</v>
      </c>
      <c r="AI1057" s="22" t="s">
        <v>197</v>
      </c>
      <c r="AJ1057" s="22" t="s">
        <v>197</v>
      </c>
      <c r="AK1057" s="22" t="s">
        <v>197</v>
      </c>
      <c r="AL1057" s="22" t="s">
        <v>197</v>
      </c>
      <c r="AM1057" s="7" t="s">
        <v>197</v>
      </c>
      <c r="AN1057" s="22" t="s">
        <v>197</v>
      </c>
      <c r="AO1057" s="22" t="s">
        <v>197</v>
      </c>
      <c r="AP1057" s="22" t="s">
        <v>197</v>
      </c>
    </row>
    <row r="1058" customFormat="false" ht="21.75" hidden="false" customHeight="true" outlineLevel="0" collapsed="false">
      <c r="B1058" s="15" t="n">
        <v>1054</v>
      </c>
      <c r="C1058" s="9" t="s">
        <v>58</v>
      </c>
      <c r="D1058" s="9" t="s">
        <v>20</v>
      </c>
      <c r="E1058" s="9" t="s">
        <v>118</v>
      </c>
      <c r="F1058" s="9" t="s">
        <v>71</v>
      </c>
      <c r="G1058" s="9" t="s">
        <v>2449</v>
      </c>
      <c r="H1058" s="9" t="s">
        <v>385</v>
      </c>
      <c r="I1058" s="9" t="s">
        <v>2442</v>
      </c>
      <c r="J1058" s="9" t="s">
        <v>2443</v>
      </c>
      <c r="K1058" s="9" t="s">
        <v>2444</v>
      </c>
      <c r="L1058" s="9" t="s">
        <v>2360</v>
      </c>
      <c r="M1058" s="9" t="s">
        <v>235</v>
      </c>
      <c r="N1058" s="9" t="s">
        <v>2445</v>
      </c>
      <c r="O1058" s="9" t="s">
        <v>189</v>
      </c>
      <c r="P1058" s="9" t="s">
        <v>1744</v>
      </c>
      <c r="Q1058" s="9" t="s">
        <v>2446</v>
      </c>
      <c r="R1058" s="9" t="s">
        <v>506</v>
      </c>
      <c r="S1058" s="9" t="s">
        <v>2364</v>
      </c>
      <c r="T1058" s="9" t="s">
        <v>2447</v>
      </c>
      <c r="U1058" s="19" t="n">
        <v>150</v>
      </c>
      <c r="V1058" s="9"/>
      <c r="W1058" s="9"/>
      <c r="X1058" s="9" t="s">
        <v>2450</v>
      </c>
      <c r="Y1058" s="23" t="n">
        <v>0.088</v>
      </c>
      <c r="Z1058" s="23" t="n">
        <v>0.32</v>
      </c>
      <c r="AA1058" s="23" t="n">
        <v>12</v>
      </c>
      <c r="AB1058" s="9" t="s">
        <v>2360</v>
      </c>
      <c r="AC1058" s="9" t="s">
        <v>2381</v>
      </c>
      <c r="AD1058" s="23" t="s">
        <v>197</v>
      </c>
      <c r="AE1058" s="23" t="s">
        <v>197</v>
      </c>
      <c r="AF1058" s="23" t="s">
        <v>197</v>
      </c>
      <c r="AG1058" s="23" t="s">
        <v>197</v>
      </c>
      <c r="AH1058" s="23" t="s">
        <v>197</v>
      </c>
      <c r="AI1058" s="23" t="s">
        <v>197</v>
      </c>
      <c r="AJ1058" s="23" t="s">
        <v>197</v>
      </c>
      <c r="AK1058" s="23" t="s">
        <v>197</v>
      </c>
      <c r="AL1058" s="23" t="s">
        <v>197</v>
      </c>
      <c r="AM1058" s="9" t="s">
        <v>197</v>
      </c>
      <c r="AN1058" s="23" t="s">
        <v>197</v>
      </c>
      <c r="AO1058" s="23" t="s">
        <v>197</v>
      </c>
      <c r="AP1058" s="23" t="s">
        <v>197</v>
      </c>
    </row>
    <row r="1059" customFormat="false" ht="21.75" hidden="false" customHeight="true" outlineLevel="0" collapsed="false">
      <c r="B1059" s="14" t="n">
        <v>1055</v>
      </c>
      <c r="C1059" s="7" t="s">
        <v>58</v>
      </c>
      <c r="D1059" s="7" t="s">
        <v>20</v>
      </c>
      <c r="E1059" s="7" t="s">
        <v>118</v>
      </c>
      <c r="F1059" s="7" t="s">
        <v>71</v>
      </c>
      <c r="G1059" s="7" t="s">
        <v>2451</v>
      </c>
      <c r="H1059" s="7" t="s">
        <v>388</v>
      </c>
      <c r="I1059" s="7" t="s">
        <v>2442</v>
      </c>
      <c r="J1059" s="7" t="s">
        <v>2443</v>
      </c>
      <c r="K1059" s="7" t="s">
        <v>2444</v>
      </c>
      <c r="L1059" s="7" t="s">
        <v>2360</v>
      </c>
      <c r="M1059" s="7" t="s">
        <v>235</v>
      </c>
      <c r="N1059" s="7" t="s">
        <v>2445</v>
      </c>
      <c r="O1059" s="7" t="s">
        <v>189</v>
      </c>
      <c r="P1059" s="7" t="s">
        <v>1744</v>
      </c>
      <c r="Q1059" s="7" t="s">
        <v>2446</v>
      </c>
      <c r="R1059" s="7" t="s">
        <v>506</v>
      </c>
      <c r="S1059" s="7" t="s">
        <v>2364</v>
      </c>
      <c r="T1059" s="7" t="s">
        <v>2447</v>
      </c>
      <c r="U1059" s="18" t="n">
        <v>225</v>
      </c>
      <c r="V1059" s="7"/>
      <c r="W1059" s="7"/>
      <c r="X1059" s="7" t="s">
        <v>203</v>
      </c>
      <c r="Y1059" s="22" t="n">
        <v>0.095</v>
      </c>
      <c r="Z1059" s="22" t="n">
        <v>0.337</v>
      </c>
      <c r="AA1059" s="22" t="n">
        <v>12</v>
      </c>
      <c r="AB1059" s="7" t="s">
        <v>2360</v>
      </c>
      <c r="AC1059" s="7" t="s">
        <v>2381</v>
      </c>
      <c r="AD1059" s="22" t="s">
        <v>197</v>
      </c>
      <c r="AE1059" s="22" t="s">
        <v>197</v>
      </c>
      <c r="AF1059" s="22" t="s">
        <v>197</v>
      </c>
      <c r="AG1059" s="22" t="s">
        <v>197</v>
      </c>
      <c r="AH1059" s="22" t="s">
        <v>197</v>
      </c>
      <c r="AI1059" s="22" t="s">
        <v>197</v>
      </c>
      <c r="AJ1059" s="22" t="s">
        <v>197</v>
      </c>
      <c r="AK1059" s="22" t="s">
        <v>197</v>
      </c>
      <c r="AL1059" s="22" t="s">
        <v>197</v>
      </c>
      <c r="AM1059" s="7" t="s">
        <v>197</v>
      </c>
      <c r="AN1059" s="22" t="s">
        <v>197</v>
      </c>
      <c r="AO1059" s="22" t="s">
        <v>197</v>
      </c>
      <c r="AP1059" s="22" t="s">
        <v>197</v>
      </c>
    </row>
    <row r="1060" customFormat="false" ht="21.75" hidden="false" customHeight="true" outlineLevel="0" collapsed="false">
      <c r="B1060" s="15" t="n">
        <v>1056</v>
      </c>
      <c r="C1060" s="9" t="s">
        <v>58</v>
      </c>
      <c r="D1060" s="9" t="s">
        <v>20</v>
      </c>
      <c r="E1060" s="9" t="s">
        <v>118</v>
      </c>
      <c r="F1060" s="9" t="s">
        <v>71</v>
      </c>
      <c r="G1060" s="9" t="s">
        <v>2452</v>
      </c>
      <c r="H1060" s="9" t="s">
        <v>390</v>
      </c>
      <c r="I1060" s="9" t="s">
        <v>2442</v>
      </c>
      <c r="J1060" s="9" t="s">
        <v>2443</v>
      </c>
      <c r="K1060" s="9" t="s">
        <v>2444</v>
      </c>
      <c r="L1060" s="9" t="s">
        <v>2360</v>
      </c>
      <c r="M1060" s="9" t="s">
        <v>235</v>
      </c>
      <c r="N1060" s="9" t="s">
        <v>2445</v>
      </c>
      <c r="O1060" s="9" t="s">
        <v>189</v>
      </c>
      <c r="P1060" s="9" t="s">
        <v>1744</v>
      </c>
      <c r="Q1060" s="9" t="s">
        <v>2446</v>
      </c>
      <c r="R1060" s="9" t="s">
        <v>506</v>
      </c>
      <c r="S1060" s="9" t="s">
        <v>2364</v>
      </c>
      <c r="T1060" s="9" t="s">
        <v>2447</v>
      </c>
      <c r="U1060" s="19" t="n">
        <v>330</v>
      </c>
      <c r="V1060" s="9"/>
      <c r="W1060" s="9"/>
      <c r="X1060" s="9" t="s">
        <v>205</v>
      </c>
      <c r="Y1060" s="23" t="n">
        <v>0.07</v>
      </c>
      <c r="Z1060" s="23" t="n">
        <v>0.274</v>
      </c>
      <c r="AA1060" s="23" t="n">
        <v>12</v>
      </c>
      <c r="AB1060" s="9" t="s">
        <v>2360</v>
      </c>
      <c r="AC1060" s="9" t="s">
        <v>2381</v>
      </c>
      <c r="AD1060" s="23" t="s">
        <v>197</v>
      </c>
      <c r="AE1060" s="23" t="s">
        <v>197</v>
      </c>
      <c r="AF1060" s="23" t="s">
        <v>197</v>
      </c>
      <c r="AG1060" s="23" t="s">
        <v>197</v>
      </c>
      <c r="AH1060" s="23" t="s">
        <v>197</v>
      </c>
      <c r="AI1060" s="23" t="s">
        <v>197</v>
      </c>
      <c r="AJ1060" s="23" t="s">
        <v>197</v>
      </c>
      <c r="AK1060" s="23" t="s">
        <v>197</v>
      </c>
      <c r="AL1060" s="23" t="s">
        <v>197</v>
      </c>
      <c r="AM1060" s="9" t="s">
        <v>197</v>
      </c>
      <c r="AN1060" s="23" t="s">
        <v>197</v>
      </c>
      <c r="AO1060" s="23" t="s">
        <v>197</v>
      </c>
      <c r="AP1060" s="23" t="s">
        <v>197</v>
      </c>
    </row>
    <row r="1061" customFormat="false" ht="21.75" hidden="false" customHeight="true" outlineLevel="0" collapsed="false">
      <c r="B1061" s="14" t="n">
        <v>1057</v>
      </c>
      <c r="C1061" s="7" t="s">
        <v>58</v>
      </c>
      <c r="D1061" s="7" t="s">
        <v>20</v>
      </c>
      <c r="E1061" s="7" t="s">
        <v>118</v>
      </c>
      <c r="F1061" s="7" t="s">
        <v>72</v>
      </c>
      <c r="G1061" s="7" t="s">
        <v>391</v>
      </c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18"/>
      <c r="V1061" s="7"/>
      <c r="W1061" s="7"/>
      <c r="X1061" s="7" t="s">
        <v>2453</v>
      </c>
      <c r="Y1061" s="22" t="s">
        <v>197</v>
      </c>
      <c r="Z1061" s="22" t="s">
        <v>197</v>
      </c>
      <c r="AA1061" s="22" t="s">
        <v>197</v>
      </c>
      <c r="AB1061" s="7" t="s">
        <v>197</v>
      </c>
      <c r="AC1061" s="7" t="s">
        <v>197</v>
      </c>
      <c r="AD1061" s="22" t="s">
        <v>197</v>
      </c>
      <c r="AE1061" s="22" t="s">
        <v>197</v>
      </c>
      <c r="AF1061" s="22" t="s">
        <v>197</v>
      </c>
      <c r="AG1061" s="22" t="s">
        <v>197</v>
      </c>
      <c r="AH1061" s="22" t="s">
        <v>197</v>
      </c>
      <c r="AI1061" s="22" t="s">
        <v>197</v>
      </c>
      <c r="AJ1061" s="22" t="s">
        <v>197</v>
      </c>
      <c r="AK1061" s="22" t="s">
        <v>197</v>
      </c>
      <c r="AL1061" s="22" t="s">
        <v>197</v>
      </c>
      <c r="AM1061" s="7" t="s">
        <v>197</v>
      </c>
      <c r="AN1061" s="22" t="s">
        <v>197</v>
      </c>
      <c r="AO1061" s="22" t="s">
        <v>197</v>
      </c>
      <c r="AP1061" s="22" t="s">
        <v>197</v>
      </c>
    </row>
    <row r="1062" customFormat="false" ht="21.75" hidden="false" customHeight="true" outlineLevel="0" collapsed="false">
      <c r="B1062" s="15" t="n">
        <v>1058</v>
      </c>
      <c r="C1062" s="9" t="s">
        <v>58</v>
      </c>
      <c r="D1062" s="9" t="s">
        <v>20</v>
      </c>
      <c r="E1062" s="9" t="s">
        <v>118</v>
      </c>
      <c r="F1062" s="9" t="s">
        <v>73</v>
      </c>
      <c r="G1062" s="9" t="s">
        <v>2454</v>
      </c>
      <c r="H1062" s="9" t="s">
        <v>394</v>
      </c>
      <c r="I1062" s="9" t="s">
        <v>2455</v>
      </c>
      <c r="J1062" s="9" t="s">
        <v>2456</v>
      </c>
      <c r="K1062" s="9" t="s">
        <v>2378</v>
      </c>
      <c r="L1062" s="9" t="s">
        <v>2360</v>
      </c>
      <c r="M1062" s="9" t="s">
        <v>235</v>
      </c>
      <c r="N1062" s="9" t="s">
        <v>2457</v>
      </c>
      <c r="O1062" s="9" t="s">
        <v>189</v>
      </c>
      <c r="P1062" s="9" t="s">
        <v>1744</v>
      </c>
      <c r="Q1062" s="9" t="s">
        <v>2458</v>
      </c>
      <c r="R1062" s="9" t="s">
        <v>838</v>
      </c>
      <c r="S1062" s="9" t="s">
        <v>2364</v>
      </c>
      <c r="T1062" s="9" t="s">
        <v>2459</v>
      </c>
      <c r="U1062" s="19" t="n">
        <v>55</v>
      </c>
      <c r="V1062" s="9"/>
      <c r="W1062" s="9"/>
      <c r="X1062" s="9" t="s">
        <v>195</v>
      </c>
      <c r="Y1062" s="23" t="n">
        <v>0.03</v>
      </c>
      <c r="Z1062" s="23" t="n">
        <v>0.05</v>
      </c>
      <c r="AA1062" s="23" t="n">
        <v>12</v>
      </c>
      <c r="AB1062" s="9" t="s">
        <v>2360</v>
      </c>
      <c r="AC1062" s="9" t="s">
        <v>2381</v>
      </c>
      <c r="AD1062" s="23" t="s">
        <v>197</v>
      </c>
      <c r="AE1062" s="23" t="s">
        <v>197</v>
      </c>
      <c r="AF1062" s="23" t="s">
        <v>197</v>
      </c>
      <c r="AG1062" s="23" t="n">
        <v>4</v>
      </c>
      <c r="AH1062" s="23" t="s">
        <v>197</v>
      </c>
      <c r="AI1062" s="23" t="s">
        <v>197</v>
      </c>
      <c r="AJ1062" s="23" t="s">
        <v>197</v>
      </c>
      <c r="AK1062" s="23" t="s">
        <v>197</v>
      </c>
      <c r="AL1062" s="23" t="s">
        <v>197</v>
      </c>
      <c r="AM1062" s="9" t="s">
        <v>197</v>
      </c>
      <c r="AN1062" s="23" t="s">
        <v>197</v>
      </c>
      <c r="AO1062" s="23" t="s">
        <v>197</v>
      </c>
      <c r="AP1062" s="23" t="s">
        <v>197</v>
      </c>
    </row>
    <row r="1063" customFormat="false" ht="21.75" hidden="false" customHeight="true" outlineLevel="0" collapsed="false">
      <c r="B1063" s="14" t="n">
        <v>1059</v>
      </c>
      <c r="C1063" s="7" t="s">
        <v>58</v>
      </c>
      <c r="D1063" s="7" t="s">
        <v>20</v>
      </c>
      <c r="E1063" s="7" t="s">
        <v>118</v>
      </c>
      <c r="F1063" s="7" t="s">
        <v>73</v>
      </c>
      <c r="G1063" s="7" t="s">
        <v>2460</v>
      </c>
      <c r="H1063" s="7" t="s">
        <v>402</v>
      </c>
      <c r="I1063" s="7" t="s">
        <v>2455</v>
      </c>
      <c r="J1063" s="7" t="s">
        <v>2456</v>
      </c>
      <c r="K1063" s="7" t="s">
        <v>2378</v>
      </c>
      <c r="L1063" s="7" t="s">
        <v>2360</v>
      </c>
      <c r="M1063" s="7" t="s">
        <v>235</v>
      </c>
      <c r="N1063" s="7" t="s">
        <v>2457</v>
      </c>
      <c r="O1063" s="7" t="s">
        <v>189</v>
      </c>
      <c r="P1063" s="7" t="s">
        <v>1744</v>
      </c>
      <c r="Q1063" s="7" t="s">
        <v>2458</v>
      </c>
      <c r="R1063" s="7" t="s">
        <v>838</v>
      </c>
      <c r="S1063" s="7" t="s">
        <v>2364</v>
      </c>
      <c r="T1063" s="7" t="s">
        <v>2459</v>
      </c>
      <c r="U1063" s="18" t="n">
        <v>80</v>
      </c>
      <c r="V1063" s="7"/>
      <c r="W1063" s="7"/>
      <c r="X1063" s="7" t="s">
        <v>199</v>
      </c>
      <c r="Y1063" s="22" t="n">
        <v>0.04</v>
      </c>
      <c r="Z1063" s="22" t="n">
        <v>0.064</v>
      </c>
      <c r="AA1063" s="22" t="n">
        <v>12</v>
      </c>
      <c r="AB1063" s="7" t="s">
        <v>2360</v>
      </c>
      <c r="AC1063" s="7" t="s">
        <v>2381</v>
      </c>
      <c r="AD1063" s="22" t="s">
        <v>197</v>
      </c>
      <c r="AE1063" s="22" t="s">
        <v>197</v>
      </c>
      <c r="AF1063" s="22" t="s">
        <v>197</v>
      </c>
      <c r="AG1063" s="22" t="n">
        <v>8</v>
      </c>
      <c r="AH1063" s="22" t="s">
        <v>197</v>
      </c>
      <c r="AI1063" s="22" t="s">
        <v>197</v>
      </c>
      <c r="AJ1063" s="22" t="s">
        <v>197</v>
      </c>
      <c r="AK1063" s="22" t="s">
        <v>197</v>
      </c>
      <c r="AL1063" s="22" t="s">
        <v>197</v>
      </c>
      <c r="AM1063" s="7" t="s">
        <v>197</v>
      </c>
      <c r="AN1063" s="22" t="s">
        <v>197</v>
      </c>
      <c r="AO1063" s="22" t="s">
        <v>197</v>
      </c>
      <c r="AP1063" s="22" t="s">
        <v>197</v>
      </c>
    </row>
    <row r="1064" customFormat="false" ht="21.75" hidden="false" customHeight="true" outlineLevel="0" collapsed="false">
      <c r="B1064" s="15" t="n">
        <v>1060</v>
      </c>
      <c r="C1064" s="9" t="s">
        <v>58</v>
      </c>
      <c r="D1064" s="9" t="s">
        <v>20</v>
      </c>
      <c r="E1064" s="9" t="s">
        <v>118</v>
      </c>
      <c r="F1064" s="9" t="s">
        <v>73</v>
      </c>
      <c r="G1064" s="9" t="s">
        <v>2461</v>
      </c>
      <c r="H1064" s="9" t="s">
        <v>404</v>
      </c>
      <c r="I1064" s="9" t="s">
        <v>2455</v>
      </c>
      <c r="J1064" s="9" t="s">
        <v>2456</v>
      </c>
      <c r="K1064" s="9" t="s">
        <v>2378</v>
      </c>
      <c r="L1064" s="9" t="s">
        <v>2360</v>
      </c>
      <c r="M1064" s="9" t="s">
        <v>235</v>
      </c>
      <c r="N1064" s="9" t="s">
        <v>2457</v>
      </c>
      <c r="O1064" s="9" t="s">
        <v>189</v>
      </c>
      <c r="P1064" s="9" t="s">
        <v>1744</v>
      </c>
      <c r="Q1064" s="9" t="s">
        <v>2458</v>
      </c>
      <c r="R1064" s="9" t="s">
        <v>838</v>
      </c>
      <c r="S1064" s="9" t="s">
        <v>2364</v>
      </c>
      <c r="T1064" s="9" t="s">
        <v>2459</v>
      </c>
      <c r="U1064" s="19" t="n">
        <v>110</v>
      </c>
      <c r="V1064" s="9"/>
      <c r="W1064" s="9"/>
      <c r="X1064" s="9" t="s">
        <v>2462</v>
      </c>
      <c r="Y1064" s="23" t="n">
        <v>0.036</v>
      </c>
      <c r="Z1064" s="23" t="n">
        <v>0.059</v>
      </c>
      <c r="AA1064" s="23" t="n">
        <v>12</v>
      </c>
      <c r="AB1064" s="9" t="s">
        <v>2360</v>
      </c>
      <c r="AC1064" s="9" t="s">
        <v>2381</v>
      </c>
      <c r="AD1064" s="23" t="s">
        <v>197</v>
      </c>
      <c r="AE1064" s="23" t="s">
        <v>197</v>
      </c>
      <c r="AF1064" s="23" t="s">
        <v>197</v>
      </c>
      <c r="AG1064" s="23" t="n">
        <v>8</v>
      </c>
      <c r="AH1064" s="23" t="s">
        <v>197</v>
      </c>
      <c r="AI1064" s="23" t="s">
        <v>197</v>
      </c>
      <c r="AJ1064" s="23" t="s">
        <v>197</v>
      </c>
      <c r="AK1064" s="23" t="s">
        <v>197</v>
      </c>
      <c r="AL1064" s="23" t="s">
        <v>197</v>
      </c>
      <c r="AM1064" s="9" t="s">
        <v>197</v>
      </c>
      <c r="AN1064" s="23" t="s">
        <v>197</v>
      </c>
      <c r="AO1064" s="23" t="s">
        <v>197</v>
      </c>
      <c r="AP1064" s="23" t="s">
        <v>197</v>
      </c>
    </row>
    <row r="1065" customFormat="false" ht="21.75" hidden="false" customHeight="true" outlineLevel="0" collapsed="false">
      <c r="B1065" s="14" t="n">
        <v>1061</v>
      </c>
      <c r="C1065" s="7" t="s">
        <v>58</v>
      </c>
      <c r="D1065" s="7" t="s">
        <v>20</v>
      </c>
      <c r="E1065" s="7" t="s">
        <v>118</v>
      </c>
      <c r="F1065" s="7" t="s">
        <v>73</v>
      </c>
      <c r="G1065" s="7" t="s">
        <v>2463</v>
      </c>
      <c r="H1065" s="7" t="s">
        <v>407</v>
      </c>
      <c r="I1065" s="7" t="s">
        <v>2455</v>
      </c>
      <c r="J1065" s="7" t="s">
        <v>2456</v>
      </c>
      <c r="K1065" s="7" t="s">
        <v>2378</v>
      </c>
      <c r="L1065" s="7" t="s">
        <v>2360</v>
      </c>
      <c r="M1065" s="7" t="s">
        <v>235</v>
      </c>
      <c r="N1065" s="7" t="s">
        <v>2457</v>
      </c>
      <c r="O1065" s="7" t="s">
        <v>189</v>
      </c>
      <c r="P1065" s="7" t="s">
        <v>1744</v>
      </c>
      <c r="Q1065" s="7" t="s">
        <v>2458</v>
      </c>
      <c r="R1065" s="7" t="s">
        <v>838</v>
      </c>
      <c r="S1065" s="7" t="s">
        <v>2364</v>
      </c>
      <c r="T1065" s="7" t="s">
        <v>2459</v>
      </c>
      <c r="U1065" s="18" t="n">
        <v>165</v>
      </c>
      <c r="V1065" s="7"/>
      <c r="W1065" s="7"/>
      <c r="X1065" s="7" t="s">
        <v>203</v>
      </c>
      <c r="Y1065" s="22" t="n">
        <v>0.05</v>
      </c>
      <c r="Z1065" s="22" t="n">
        <v>0.076</v>
      </c>
      <c r="AA1065" s="22" t="n">
        <v>12</v>
      </c>
      <c r="AB1065" s="7" t="s">
        <v>2360</v>
      </c>
      <c r="AC1065" s="7" t="s">
        <v>2381</v>
      </c>
      <c r="AD1065" s="22" t="s">
        <v>197</v>
      </c>
      <c r="AE1065" s="22" t="s">
        <v>197</v>
      </c>
      <c r="AF1065" s="22" t="s">
        <v>197</v>
      </c>
      <c r="AG1065" s="22" t="n">
        <v>16</v>
      </c>
      <c r="AH1065" s="22" t="s">
        <v>197</v>
      </c>
      <c r="AI1065" s="22" t="s">
        <v>197</v>
      </c>
      <c r="AJ1065" s="22" t="s">
        <v>197</v>
      </c>
      <c r="AK1065" s="22" t="s">
        <v>197</v>
      </c>
      <c r="AL1065" s="22" t="s">
        <v>197</v>
      </c>
      <c r="AM1065" s="7" t="s">
        <v>197</v>
      </c>
      <c r="AN1065" s="22" t="s">
        <v>197</v>
      </c>
      <c r="AO1065" s="22" t="s">
        <v>197</v>
      </c>
      <c r="AP1065" s="22" t="s">
        <v>197</v>
      </c>
    </row>
    <row r="1066" customFormat="false" ht="21.75" hidden="false" customHeight="true" outlineLevel="0" collapsed="false">
      <c r="B1066" s="15" t="n">
        <v>1062</v>
      </c>
      <c r="C1066" s="9" t="s">
        <v>58</v>
      </c>
      <c r="D1066" s="9" t="s">
        <v>20</v>
      </c>
      <c r="E1066" s="9" t="s">
        <v>118</v>
      </c>
      <c r="F1066" s="9" t="s">
        <v>73</v>
      </c>
      <c r="G1066" s="9" t="s">
        <v>2464</v>
      </c>
      <c r="H1066" s="9" t="s">
        <v>409</v>
      </c>
      <c r="I1066" s="9" t="s">
        <v>2455</v>
      </c>
      <c r="J1066" s="9" t="s">
        <v>2456</v>
      </c>
      <c r="K1066" s="9" t="s">
        <v>2378</v>
      </c>
      <c r="L1066" s="9" t="s">
        <v>2360</v>
      </c>
      <c r="M1066" s="9" t="s">
        <v>235</v>
      </c>
      <c r="N1066" s="9" t="s">
        <v>2457</v>
      </c>
      <c r="O1066" s="9" t="s">
        <v>189</v>
      </c>
      <c r="P1066" s="9" t="s">
        <v>1744</v>
      </c>
      <c r="Q1066" s="9" t="s">
        <v>2458</v>
      </c>
      <c r="R1066" s="9" t="s">
        <v>838</v>
      </c>
      <c r="S1066" s="9" t="s">
        <v>2364</v>
      </c>
      <c r="T1066" s="9" t="s">
        <v>2459</v>
      </c>
      <c r="U1066" s="19" t="n">
        <v>240</v>
      </c>
      <c r="V1066" s="9"/>
      <c r="W1066" s="9"/>
      <c r="X1066" s="9" t="s">
        <v>205</v>
      </c>
      <c r="Y1066" s="23" t="n">
        <v>0.06</v>
      </c>
      <c r="Z1066" s="23" t="n">
        <v>0.09</v>
      </c>
      <c r="AA1066" s="23" t="n">
        <v>12</v>
      </c>
      <c r="AB1066" s="9" t="s">
        <v>2360</v>
      </c>
      <c r="AC1066" s="9" t="s">
        <v>2381</v>
      </c>
      <c r="AD1066" s="23" t="s">
        <v>197</v>
      </c>
      <c r="AE1066" s="23" t="s">
        <v>197</v>
      </c>
      <c r="AF1066" s="23" t="s">
        <v>197</v>
      </c>
      <c r="AG1066" s="23" t="n">
        <v>16</v>
      </c>
      <c r="AH1066" s="23" t="s">
        <v>197</v>
      </c>
      <c r="AI1066" s="23" t="s">
        <v>197</v>
      </c>
      <c r="AJ1066" s="23" t="s">
        <v>197</v>
      </c>
      <c r="AK1066" s="23" t="s">
        <v>197</v>
      </c>
      <c r="AL1066" s="23" t="s">
        <v>197</v>
      </c>
      <c r="AM1066" s="9" t="s">
        <v>197</v>
      </c>
      <c r="AN1066" s="23" t="s">
        <v>197</v>
      </c>
      <c r="AO1066" s="23" t="s">
        <v>197</v>
      </c>
      <c r="AP1066" s="23" t="s">
        <v>197</v>
      </c>
    </row>
    <row r="1067" customFormat="false" ht="21.75" hidden="false" customHeight="true" outlineLevel="0" collapsed="false">
      <c r="B1067" s="14" t="n">
        <v>1063</v>
      </c>
      <c r="C1067" s="7" t="s">
        <v>58</v>
      </c>
      <c r="D1067" s="7" t="s">
        <v>20</v>
      </c>
      <c r="E1067" s="7" t="s">
        <v>118</v>
      </c>
      <c r="F1067" s="7" t="s">
        <v>74</v>
      </c>
      <c r="G1067" s="7" t="s">
        <v>2465</v>
      </c>
      <c r="H1067" s="7" t="s">
        <v>411</v>
      </c>
      <c r="I1067" s="7" t="s">
        <v>2466</v>
      </c>
      <c r="J1067" s="7" t="s">
        <v>2467</v>
      </c>
      <c r="K1067" s="7" t="s">
        <v>2404</v>
      </c>
      <c r="L1067" s="7" t="s">
        <v>2360</v>
      </c>
      <c r="M1067" s="7" t="s">
        <v>415</v>
      </c>
      <c r="N1067" s="7" t="s">
        <v>433</v>
      </c>
      <c r="O1067" s="7" t="s">
        <v>189</v>
      </c>
      <c r="P1067" s="7" t="s">
        <v>1744</v>
      </c>
      <c r="Q1067" s="7" t="s">
        <v>417</v>
      </c>
      <c r="R1067" s="7" t="s">
        <v>308</v>
      </c>
      <c r="S1067" s="7" t="s">
        <v>2364</v>
      </c>
      <c r="T1067" s="7" t="s">
        <v>618</v>
      </c>
      <c r="U1067" s="18" t="n">
        <v>15</v>
      </c>
      <c r="V1067" s="7"/>
      <c r="W1067" s="7"/>
      <c r="X1067" s="7" t="s">
        <v>195</v>
      </c>
      <c r="Y1067" s="22" t="n">
        <v>3.93E-006</v>
      </c>
      <c r="Z1067" s="22" t="n">
        <v>1.628E-005</v>
      </c>
      <c r="AA1067" s="22" t="n">
        <v>3</v>
      </c>
      <c r="AB1067" s="7" t="s">
        <v>2360</v>
      </c>
      <c r="AC1067" s="7" t="s">
        <v>2394</v>
      </c>
      <c r="AD1067" s="22" t="s">
        <v>197</v>
      </c>
      <c r="AE1067" s="22" t="s">
        <v>197</v>
      </c>
      <c r="AF1067" s="22" t="s">
        <v>197</v>
      </c>
      <c r="AG1067" s="22" t="s">
        <v>197</v>
      </c>
      <c r="AH1067" s="22" t="s">
        <v>197</v>
      </c>
      <c r="AI1067" s="22" t="s">
        <v>197</v>
      </c>
      <c r="AJ1067" s="22" t="s">
        <v>197</v>
      </c>
      <c r="AK1067" s="22" t="s">
        <v>197</v>
      </c>
      <c r="AL1067" s="22" t="s">
        <v>197</v>
      </c>
      <c r="AM1067" s="7" t="s">
        <v>197</v>
      </c>
      <c r="AN1067" s="22" t="s">
        <v>197</v>
      </c>
      <c r="AO1067" s="22" t="s">
        <v>197</v>
      </c>
      <c r="AP1067" s="22" t="s">
        <v>197</v>
      </c>
    </row>
    <row r="1068" customFormat="false" ht="21.75" hidden="false" customHeight="true" outlineLevel="0" collapsed="false">
      <c r="B1068" s="15" t="n">
        <v>1064</v>
      </c>
      <c r="C1068" s="9" t="s">
        <v>58</v>
      </c>
      <c r="D1068" s="9" t="s">
        <v>20</v>
      </c>
      <c r="E1068" s="9" t="s">
        <v>118</v>
      </c>
      <c r="F1068" s="9" t="s">
        <v>74</v>
      </c>
      <c r="G1068" s="9" t="s">
        <v>2468</v>
      </c>
      <c r="H1068" s="9" t="s">
        <v>421</v>
      </c>
      <c r="I1068" s="9" t="s">
        <v>2466</v>
      </c>
      <c r="J1068" s="9" t="s">
        <v>2467</v>
      </c>
      <c r="K1068" s="9" t="s">
        <v>2404</v>
      </c>
      <c r="L1068" s="9" t="s">
        <v>2360</v>
      </c>
      <c r="M1068" s="9" t="s">
        <v>415</v>
      </c>
      <c r="N1068" s="9" t="s">
        <v>433</v>
      </c>
      <c r="O1068" s="9" t="s">
        <v>189</v>
      </c>
      <c r="P1068" s="9" t="s">
        <v>1744</v>
      </c>
      <c r="Q1068" s="9" t="s">
        <v>417</v>
      </c>
      <c r="R1068" s="9" t="s">
        <v>308</v>
      </c>
      <c r="S1068" s="9" t="s">
        <v>2364</v>
      </c>
      <c r="T1068" s="9" t="s">
        <v>618</v>
      </c>
      <c r="U1068" s="19" t="n">
        <v>20</v>
      </c>
      <c r="V1068" s="9"/>
      <c r="W1068" s="9"/>
      <c r="X1068" s="9" t="s">
        <v>199</v>
      </c>
      <c r="Y1068" s="23" t="n">
        <v>5.37E-006</v>
      </c>
      <c r="Z1068" s="23" t="n">
        <v>2.291E-005</v>
      </c>
      <c r="AA1068" s="23" t="n">
        <v>3</v>
      </c>
      <c r="AB1068" s="9" t="s">
        <v>2360</v>
      </c>
      <c r="AC1068" s="9" t="s">
        <v>2394</v>
      </c>
      <c r="AD1068" s="23" t="s">
        <v>197</v>
      </c>
      <c r="AE1068" s="23" t="s">
        <v>197</v>
      </c>
      <c r="AF1068" s="23" t="s">
        <v>197</v>
      </c>
      <c r="AG1068" s="23" t="s">
        <v>197</v>
      </c>
      <c r="AH1068" s="23" t="s">
        <v>197</v>
      </c>
      <c r="AI1068" s="23" t="s">
        <v>197</v>
      </c>
      <c r="AJ1068" s="23" t="s">
        <v>197</v>
      </c>
      <c r="AK1068" s="23" t="s">
        <v>197</v>
      </c>
      <c r="AL1068" s="23" t="s">
        <v>197</v>
      </c>
      <c r="AM1068" s="9" t="s">
        <v>197</v>
      </c>
      <c r="AN1068" s="23" t="s">
        <v>197</v>
      </c>
      <c r="AO1068" s="23" t="s">
        <v>197</v>
      </c>
      <c r="AP1068" s="23" t="s">
        <v>197</v>
      </c>
    </row>
    <row r="1069" customFormat="false" ht="21.75" hidden="false" customHeight="true" outlineLevel="0" collapsed="false">
      <c r="B1069" s="14" t="n">
        <v>1065</v>
      </c>
      <c r="C1069" s="7" t="s">
        <v>58</v>
      </c>
      <c r="D1069" s="7" t="s">
        <v>20</v>
      </c>
      <c r="E1069" s="7" t="s">
        <v>118</v>
      </c>
      <c r="F1069" s="7" t="s">
        <v>74</v>
      </c>
      <c r="G1069" s="7" t="s">
        <v>2469</v>
      </c>
      <c r="H1069" s="7" t="s">
        <v>423</v>
      </c>
      <c r="I1069" s="7" t="s">
        <v>2466</v>
      </c>
      <c r="J1069" s="7" t="s">
        <v>2467</v>
      </c>
      <c r="K1069" s="7" t="s">
        <v>2404</v>
      </c>
      <c r="L1069" s="7" t="s">
        <v>2360</v>
      </c>
      <c r="M1069" s="7" t="s">
        <v>415</v>
      </c>
      <c r="N1069" s="7" t="s">
        <v>433</v>
      </c>
      <c r="O1069" s="7" t="s">
        <v>189</v>
      </c>
      <c r="P1069" s="7" t="s">
        <v>1744</v>
      </c>
      <c r="Q1069" s="7" t="s">
        <v>417</v>
      </c>
      <c r="R1069" s="7" t="s">
        <v>308</v>
      </c>
      <c r="S1069" s="7" t="s">
        <v>2364</v>
      </c>
      <c r="T1069" s="7" t="s">
        <v>618</v>
      </c>
      <c r="U1069" s="18" t="n">
        <v>30</v>
      </c>
      <c r="V1069" s="7"/>
      <c r="W1069" s="7"/>
      <c r="X1069" s="7" t="s">
        <v>2416</v>
      </c>
      <c r="Y1069" s="22" t="n">
        <v>3.56E-006</v>
      </c>
      <c r="Z1069" s="22" t="n">
        <v>1.458E-005</v>
      </c>
      <c r="AA1069" s="22" t="n">
        <v>3</v>
      </c>
      <c r="AB1069" s="7" t="s">
        <v>2360</v>
      </c>
      <c r="AC1069" s="7" t="s">
        <v>2394</v>
      </c>
      <c r="AD1069" s="22" t="s">
        <v>197</v>
      </c>
      <c r="AE1069" s="22" t="s">
        <v>197</v>
      </c>
      <c r="AF1069" s="22" t="s">
        <v>197</v>
      </c>
      <c r="AG1069" s="22" t="s">
        <v>197</v>
      </c>
      <c r="AH1069" s="22" t="s">
        <v>197</v>
      </c>
      <c r="AI1069" s="22" t="s">
        <v>197</v>
      </c>
      <c r="AJ1069" s="22" t="s">
        <v>197</v>
      </c>
      <c r="AK1069" s="22" t="s">
        <v>197</v>
      </c>
      <c r="AL1069" s="22" t="s">
        <v>197</v>
      </c>
      <c r="AM1069" s="7" t="s">
        <v>197</v>
      </c>
      <c r="AN1069" s="22" t="s">
        <v>197</v>
      </c>
      <c r="AO1069" s="22" t="n">
        <v>1.1</v>
      </c>
      <c r="AP1069" s="22" t="n">
        <v>1.5</v>
      </c>
    </row>
    <row r="1070" customFormat="false" ht="21.75" hidden="false" customHeight="true" outlineLevel="0" collapsed="false">
      <c r="B1070" s="15" t="n">
        <v>1066</v>
      </c>
      <c r="C1070" s="9" t="s">
        <v>58</v>
      </c>
      <c r="D1070" s="9" t="s">
        <v>20</v>
      </c>
      <c r="E1070" s="9" t="s">
        <v>118</v>
      </c>
      <c r="F1070" s="9" t="s">
        <v>74</v>
      </c>
      <c r="G1070" s="9" t="s">
        <v>2470</v>
      </c>
      <c r="H1070" s="9" t="s">
        <v>426</v>
      </c>
      <c r="I1070" s="9" t="s">
        <v>2466</v>
      </c>
      <c r="J1070" s="9" t="s">
        <v>2467</v>
      </c>
      <c r="K1070" s="9" t="s">
        <v>2404</v>
      </c>
      <c r="L1070" s="9" t="s">
        <v>2360</v>
      </c>
      <c r="M1070" s="9" t="s">
        <v>415</v>
      </c>
      <c r="N1070" s="9" t="s">
        <v>433</v>
      </c>
      <c r="O1070" s="9" t="s">
        <v>189</v>
      </c>
      <c r="P1070" s="9" t="s">
        <v>1744</v>
      </c>
      <c r="Q1070" s="9" t="s">
        <v>417</v>
      </c>
      <c r="R1070" s="9" t="s">
        <v>308</v>
      </c>
      <c r="S1070" s="9" t="s">
        <v>2364</v>
      </c>
      <c r="T1070" s="9" t="s">
        <v>618</v>
      </c>
      <c r="U1070" s="19" t="n">
        <v>45</v>
      </c>
      <c r="V1070" s="9"/>
      <c r="W1070" s="9"/>
      <c r="X1070" s="9" t="s">
        <v>203</v>
      </c>
      <c r="Y1070" s="23" t="n">
        <v>6.29E-006</v>
      </c>
      <c r="Z1070" s="23" t="n">
        <v>2.714E-005</v>
      </c>
      <c r="AA1070" s="23" t="n">
        <v>3</v>
      </c>
      <c r="AB1070" s="9" t="s">
        <v>2360</v>
      </c>
      <c r="AC1070" s="9" t="s">
        <v>2394</v>
      </c>
      <c r="AD1070" s="23" t="s">
        <v>197</v>
      </c>
      <c r="AE1070" s="23" t="s">
        <v>197</v>
      </c>
      <c r="AF1070" s="23" t="s">
        <v>197</v>
      </c>
      <c r="AG1070" s="23" t="s">
        <v>197</v>
      </c>
      <c r="AH1070" s="23" t="s">
        <v>197</v>
      </c>
      <c r="AI1070" s="23" t="s">
        <v>197</v>
      </c>
      <c r="AJ1070" s="23" t="s">
        <v>197</v>
      </c>
      <c r="AK1070" s="23" t="s">
        <v>197</v>
      </c>
      <c r="AL1070" s="23" t="s">
        <v>197</v>
      </c>
      <c r="AM1070" s="9" t="s">
        <v>197</v>
      </c>
      <c r="AN1070" s="23" t="s">
        <v>197</v>
      </c>
      <c r="AO1070" s="23" t="n">
        <v>1.1</v>
      </c>
      <c r="AP1070" s="23" t="n">
        <v>1.5</v>
      </c>
    </row>
    <row r="1071" customFormat="false" ht="21.75" hidden="false" customHeight="true" outlineLevel="0" collapsed="false">
      <c r="B1071" s="14" t="n">
        <v>1067</v>
      </c>
      <c r="C1071" s="7" t="s">
        <v>58</v>
      </c>
      <c r="D1071" s="7" t="s">
        <v>20</v>
      </c>
      <c r="E1071" s="7" t="s">
        <v>118</v>
      </c>
      <c r="F1071" s="7" t="s">
        <v>74</v>
      </c>
      <c r="G1071" s="7" t="s">
        <v>2471</v>
      </c>
      <c r="H1071" s="7" t="s">
        <v>428</v>
      </c>
      <c r="I1071" s="7" t="s">
        <v>2466</v>
      </c>
      <c r="J1071" s="7" t="s">
        <v>2467</v>
      </c>
      <c r="K1071" s="7" t="s">
        <v>2404</v>
      </c>
      <c r="L1071" s="7" t="s">
        <v>2360</v>
      </c>
      <c r="M1071" s="7" t="s">
        <v>415</v>
      </c>
      <c r="N1071" s="7" t="s">
        <v>433</v>
      </c>
      <c r="O1071" s="7" t="s">
        <v>189</v>
      </c>
      <c r="P1071" s="7" t="s">
        <v>1744</v>
      </c>
      <c r="Q1071" s="7" t="s">
        <v>417</v>
      </c>
      <c r="R1071" s="7" t="s">
        <v>308</v>
      </c>
      <c r="S1071" s="7" t="s">
        <v>2364</v>
      </c>
      <c r="T1071" s="7" t="s">
        <v>618</v>
      </c>
      <c r="U1071" s="18" t="n">
        <v>65</v>
      </c>
      <c r="V1071" s="7"/>
      <c r="W1071" s="7"/>
      <c r="X1071" s="7" t="s">
        <v>205</v>
      </c>
      <c r="Y1071" s="22" t="n">
        <v>4.86E-006</v>
      </c>
      <c r="Z1071" s="22" t="n">
        <v>2.053E-005</v>
      </c>
      <c r="AA1071" s="22" t="n">
        <v>3</v>
      </c>
      <c r="AB1071" s="7" t="s">
        <v>2360</v>
      </c>
      <c r="AC1071" s="7" t="s">
        <v>2394</v>
      </c>
      <c r="AD1071" s="22" t="s">
        <v>197</v>
      </c>
      <c r="AE1071" s="22" t="s">
        <v>197</v>
      </c>
      <c r="AF1071" s="22" t="s">
        <v>197</v>
      </c>
      <c r="AG1071" s="22" t="s">
        <v>197</v>
      </c>
      <c r="AH1071" s="22" t="s">
        <v>197</v>
      </c>
      <c r="AI1071" s="22" t="s">
        <v>197</v>
      </c>
      <c r="AJ1071" s="22" t="s">
        <v>197</v>
      </c>
      <c r="AK1071" s="22" t="s">
        <v>197</v>
      </c>
      <c r="AL1071" s="22" t="s">
        <v>197</v>
      </c>
      <c r="AM1071" s="7" t="s">
        <v>197</v>
      </c>
      <c r="AN1071" s="22" t="s">
        <v>197</v>
      </c>
      <c r="AO1071" s="22" t="n">
        <v>1.1</v>
      </c>
      <c r="AP1071" s="22" t="n">
        <v>1.5</v>
      </c>
    </row>
    <row r="1072" customFormat="false" ht="21.75" hidden="false" customHeight="true" outlineLevel="0" collapsed="false">
      <c r="B1072" s="15" t="n">
        <v>1068</v>
      </c>
      <c r="C1072" s="9" t="s">
        <v>58</v>
      </c>
      <c r="D1072" s="9" t="s">
        <v>20</v>
      </c>
      <c r="E1072" s="9" t="s">
        <v>118</v>
      </c>
      <c r="F1072" s="9" t="s">
        <v>75</v>
      </c>
      <c r="G1072" s="9" t="s">
        <v>2472</v>
      </c>
      <c r="H1072" s="9" t="s">
        <v>430</v>
      </c>
      <c r="I1072" s="9" t="s">
        <v>2473</v>
      </c>
      <c r="J1072" s="9" t="s">
        <v>2474</v>
      </c>
      <c r="K1072" s="9" t="s">
        <v>2404</v>
      </c>
      <c r="L1072" s="9" t="s">
        <v>2360</v>
      </c>
      <c r="M1072" s="9" t="s">
        <v>415</v>
      </c>
      <c r="N1072" s="9" t="s">
        <v>433</v>
      </c>
      <c r="O1072" s="9" t="s">
        <v>189</v>
      </c>
      <c r="P1072" s="9" t="s">
        <v>1744</v>
      </c>
      <c r="Q1072" s="9" t="s">
        <v>2475</v>
      </c>
      <c r="R1072" s="9" t="s">
        <v>418</v>
      </c>
      <c r="S1072" s="9" t="s">
        <v>2364</v>
      </c>
      <c r="T1072" s="9" t="s">
        <v>2476</v>
      </c>
      <c r="U1072" s="19" t="n">
        <v>12</v>
      </c>
      <c r="V1072" s="9"/>
      <c r="W1072" s="9"/>
      <c r="X1072" s="9" t="s">
        <v>195</v>
      </c>
      <c r="Y1072" s="23" t="n">
        <v>4.33E-006</v>
      </c>
      <c r="Z1072" s="23" t="n">
        <v>2.164E-005</v>
      </c>
      <c r="AA1072" s="23" t="n">
        <v>3</v>
      </c>
      <c r="AB1072" s="9" t="s">
        <v>2360</v>
      </c>
      <c r="AC1072" s="9" t="s">
        <v>2394</v>
      </c>
      <c r="AD1072" s="23" t="s">
        <v>197</v>
      </c>
      <c r="AE1072" s="23" t="s">
        <v>197</v>
      </c>
      <c r="AF1072" s="23" t="s">
        <v>197</v>
      </c>
      <c r="AG1072" s="23" t="s">
        <v>197</v>
      </c>
      <c r="AH1072" s="23" t="s">
        <v>197</v>
      </c>
      <c r="AI1072" s="23" t="s">
        <v>197</v>
      </c>
      <c r="AJ1072" s="23" t="s">
        <v>197</v>
      </c>
      <c r="AK1072" s="23" t="s">
        <v>197</v>
      </c>
      <c r="AL1072" s="23" t="s">
        <v>197</v>
      </c>
      <c r="AM1072" s="9" t="s">
        <v>197</v>
      </c>
      <c r="AN1072" s="23" t="s">
        <v>197</v>
      </c>
      <c r="AO1072" s="23" t="s">
        <v>197</v>
      </c>
      <c r="AP1072" s="23" t="s">
        <v>197</v>
      </c>
    </row>
    <row r="1073" customFormat="false" ht="21.75" hidden="false" customHeight="true" outlineLevel="0" collapsed="false">
      <c r="B1073" s="14" t="n">
        <v>1069</v>
      </c>
      <c r="C1073" s="7" t="s">
        <v>58</v>
      </c>
      <c r="D1073" s="7" t="s">
        <v>20</v>
      </c>
      <c r="E1073" s="7" t="s">
        <v>118</v>
      </c>
      <c r="F1073" s="7" t="s">
        <v>75</v>
      </c>
      <c r="G1073" s="7" t="s">
        <v>2477</v>
      </c>
      <c r="H1073" s="7" t="s">
        <v>438</v>
      </c>
      <c r="I1073" s="7" t="s">
        <v>2473</v>
      </c>
      <c r="J1073" s="7" t="s">
        <v>2474</v>
      </c>
      <c r="K1073" s="7" t="s">
        <v>2404</v>
      </c>
      <c r="L1073" s="7" t="s">
        <v>2360</v>
      </c>
      <c r="M1073" s="7" t="s">
        <v>415</v>
      </c>
      <c r="N1073" s="7" t="s">
        <v>433</v>
      </c>
      <c r="O1073" s="7" t="s">
        <v>189</v>
      </c>
      <c r="P1073" s="7" t="s">
        <v>1744</v>
      </c>
      <c r="Q1073" s="7" t="s">
        <v>2475</v>
      </c>
      <c r="R1073" s="7" t="s">
        <v>418</v>
      </c>
      <c r="S1073" s="7" t="s">
        <v>2364</v>
      </c>
      <c r="T1073" s="7" t="s">
        <v>2476</v>
      </c>
      <c r="U1073" s="18" t="n">
        <v>19</v>
      </c>
      <c r="V1073" s="7"/>
      <c r="W1073" s="7"/>
      <c r="X1073" s="7" t="s">
        <v>199</v>
      </c>
      <c r="Y1073" s="22" t="n">
        <v>2.32E-006</v>
      </c>
      <c r="Z1073" s="22" t="n">
        <v>1.16E-005</v>
      </c>
      <c r="AA1073" s="22" t="n">
        <v>3</v>
      </c>
      <c r="AB1073" s="7" t="s">
        <v>2360</v>
      </c>
      <c r="AC1073" s="7" t="s">
        <v>2394</v>
      </c>
      <c r="AD1073" s="22" t="s">
        <v>197</v>
      </c>
      <c r="AE1073" s="22" t="s">
        <v>197</v>
      </c>
      <c r="AF1073" s="22" t="s">
        <v>197</v>
      </c>
      <c r="AG1073" s="22" t="s">
        <v>197</v>
      </c>
      <c r="AH1073" s="22" t="s">
        <v>197</v>
      </c>
      <c r="AI1073" s="22" t="s">
        <v>197</v>
      </c>
      <c r="AJ1073" s="22" t="s">
        <v>197</v>
      </c>
      <c r="AK1073" s="22" t="s">
        <v>197</v>
      </c>
      <c r="AL1073" s="22" t="s">
        <v>197</v>
      </c>
      <c r="AM1073" s="7" t="s">
        <v>197</v>
      </c>
      <c r="AN1073" s="22" t="s">
        <v>197</v>
      </c>
      <c r="AO1073" s="22" t="s">
        <v>197</v>
      </c>
      <c r="AP1073" s="22" t="s">
        <v>197</v>
      </c>
    </row>
    <row r="1074" customFormat="false" ht="21.75" hidden="false" customHeight="true" outlineLevel="0" collapsed="false">
      <c r="B1074" s="15" t="n">
        <v>1070</v>
      </c>
      <c r="C1074" s="9" t="s">
        <v>58</v>
      </c>
      <c r="D1074" s="9" t="s">
        <v>20</v>
      </c>
      <c r="E1074" s="9" t="s">
        <v>118</v>
      </c>
      <c r="F1074" s="9" t="s">
        <v>75</v>
      </c>
      <c r="G1074" s="9" t="s">
        <v>2478</v>
      </c>
      <c r="H1074" s="9" t="s">
        <v>440</v>
      </c>
      <c r="I1074" s="9" t="s">
        <v>2473</v>
      </c>
      <c r="J1074" s="9" t="s">
        <v>2474</v>
      </c>
      <c r="K1074" s="9" t="s">
        <v>2404</v>
      </c>
      <c r="L1074" s="9" t="s">
        <v>2360</v>
      </c>
      <c r="M1074" s="9" t="s">
        <v>415</v>
      </c>
      <c r="N1074" s="9" t="s">
        <v>433</v>
      </c>
      <c r="O1074" s="9" t="s">
        <v>189</v>
      </c>
      <c r="P1074" s="9" t="s">
        <v>1744</v>
      </c>
      <c r="Q1074" s="9" t="s">
        <v>2475</v>
      </c>
      <c r="R1074" s="9" t="s">
        <v>418</v>
      </c>
      <c r="S1074" s="9" t="s">
        <v>2364</v>
      </c>
      <c r="T1074" s="9" t="s">
        <v>2476</v>
      </c>
      <c r="U1074" s="19" t="n">
        <v>25</v>
      </c>
      <c r="V1074" s="9"/>
      <c r="W1074" s="9"/>
      <c r="X1074" s="9" t="s">
        <v>2416</v>
      </c>
      <c r="Y1074" s="23" t="n">
        <v>4.91E-006</v>
      </c>
      <c r="Z1074" s="23" t="n">
        <v>2.457E-005</v>
      </c>
      <c r="AA1074" s="23" t="n">
        <v>3</v>
      </c>
      <c r="AB1074" s="9" t="s">
        <v>2360</v>
      </c>
      <c r="AC1074" s="9" t="s">
        <v>2394</v>
      </c>
      <c r="AD1074" s="23" t="s">
        <v>197</v>
      </c>
      <c r="AE1074" s="23" t="s">
        <v>197</v>
      </c>
      <c r="AF1074" s="23" t="s">
        <v>197</v>
      </c>
      <c r="AG1074" s="23" t="s">
        <v>197</v>
      </c>
      <c r="AH1074" s="23" t="s">
        <v>197</v>
      </c>
      <c r="AI1074" s="23" t="s">
        <v>197</v>
      </c>
      <c r="AJ1074" s="23" t="s">
        <v>197</v>
      </c>
      <c r="AK1074" s="23" t="s">
        <v>197</v>
      </c>
      <c r="AL1074" s="23" t="s">
        <v>197</v>
      </c>
      <c r="AM1074" s="9" t="s">
        <v>197</v>
      </c>
      <c r="AN1074" s="23" t="s">
        <v>197</v>
      </c>
      <c r="AO1074" s="23" t="s">
        <v>197</v>
      </c>
      <c r="AP1074" s="23" t="s">
        <v>197</v>
      </c>
    </row>
    <row r="1075" customFormat="false" ht="21.75" hidden="false" customHeight="true" outlineLevel="0" collapsed="false">
      <c r="B1075" s="14" t="n">
        <v>1071</v>
      </c>
      <c r="C1075" s="7" t="s">
        <v>58</v>
      </c>
      <c r="D1075" s="7" t="s">
        <v>20</v>
      </c>
      <c r="E1075" s="7" t="s">
        <v>118</v>
      </c>
      <c r="F1075" s="7" t="s">
        <v>75</v>
      </c>
      <c r="G1075" s="7" t="s">
        <v>2479</v>
      </c>
      <c r="H1075" s="7" t="s">
        <v>443</v>
      </c>
      <c r="I1075" s="7" t="s">
        <v>2473</v>
      </c>
      <c r="J1075" s="7" t="s">
        <v>2474</v>
      </c>
      <c r="K1075" s="7" t="s">
        <v>2404</v>
      </c>
      <c r="L1075" s="7" t="s">
        <v>2360</v>
      </c>
      <c r="M1075" s="7" t="s">
        <v>415</v>
      </c>
      <c r="N1075" s="7" t="s">
        <v>433</v>
      </c>
      <c r="O1075" s="7" t="s">
        <v>189</v>
      </c>
      <c r="P1075" s="7" t="s">
        <v>1744</v>
      </c>
      <c r="Q1075" s="7" t="s">
        <v>2475</v>
      </c>
      <c r="R1075" s="7" t="s">
        <v>418</v>
      </c>
      <c r="S1075" s="7" t="s">
        <v>2364</v>
      </c>
      <c r="T1075" s="7" t="s">
        <v>2476</v>
      </c>
      <c r="U1075" s="18" t="n">
        <v>35</v>
      </c>
      <c r="V1075" s="7"/>
      <c r="W1075" s="7"/>
      <c r="X1075" s="7" t="s">
        <v>203</v>
      </c>
      <c r="Y1075" s="22" t="n">
        <v>5.24E-006</v>
      </c>
      <c r="Z1075" s="22" t="n">
        <v>2.619E-005</v>
      </c>
      <c r="AA1075" s="22" t="n">
        <v>3</v>
      </c>
      <c r="AB1075" s="7" t="s">
        <v>2360</v>
      </c>
      <c r="AC1075" s="7" t="s">
        <v>2394</v>
      </c>
      <c r="AD1075" s="22" t="s">
        <v>197</v>
      </c>
      <c r="AE1075" s="22" t="s">
        <v>197</v>
      </c>
      <c r="AF1075" s="22" t="s">
        <v>197</v>
      </c>
      <c r="AG1075" s="22" t="s">
        <v>197</v>
      </c>
      <c r="AH1075" s="22" t="s">
        <v>197</v>
      </c>
      <c r="AI1075" s="22" t="s">
        <v>197</v>
      </c>
      <c r="AJ1075" s="22" t="s">
        <v>197</v>
      </c>
      <c r="AK1075" s="22" t="s">
        <v>197</v>
      </c>
      <c r="AL1075" s="22" t="s">
        <v>197</v>
      </c>
      <c r="AM1075" s="7" t="s">
        <v>197</v>
      </c>
      <c r="AN1075" s="22" t="s">
        <v>197</v>
      </c>
      <c r="AO1075" s="22" t="s">
        <v>197</v>
      </c>
      <c r="AP1075" s="22" t="s">
        <v>197</v>
      </c>
    </row>
    <row r="1076" customFormat="false" ht="21.75" hidden="false" customHeight="true" outlineLevel="0" collapsed="false">
      <c r="B1076" s="15" t="n">
        <v>1072</v>
      </c>
      <c r="C1076" s="9" t="s">
        <v>58</v>
      </c>
      <c r="D1076" s="9" t="s">
        <v>20</v>
      </c>
      <c r="E1076" s="9" t="s">
        <v>118</v>
      </c>
      <c r="F1076" s="9" t="s">
        <v>75</v>
      </c>
      <c r="G1076" s="9" t="s">
        <v>2480</v>
      </c>
      <c r="H1076" s="9" t="s">
        <v>444</v>
      </c>
      <c r="I1076" s="9" t="s">
        <v>2473</v>
      </c>
      <c r="J1076" s="9" t="s">
        <v>2474</v>
      </c>
      <c r="K1076" s="9" t="s">
        <v>2404</v>
      </c>
      <c r="L1076" s="9" t="s">
        <v>2360</v>
      </c>
      <c r="M1076" s="9" t="s">
        <v>415</v>
      </c>
      <c r="N1076" s="9" t="s">
        <v>433</v>
      </c>
      <c r="O1076" s="9" t="s">
        <v>189</v>
      </c>
      <c r="P1076" s="9" t="s">
        <v>1744</v>
      </c>
      <c r="Q1076" s="9" t="s">
        <v>2475</v>
      </c>
      <c r="R1076" s="9" t="s">
        <v>418</v>
      </c>
      <c r="S1076" s="9" t="s">
        <v>2364</v>
      </c>
      <c r="T1076" s="9" t="s">
        <v>2476</v>
      </c>
      <c r="U1076" s="19" t="n">
        <v>55</v>
      </c>
      <c r="V1076" s="9"/>
      <c r="W1076" s="9"/>
      <c r="X1076" s="9" t="s">
        <v>205</v>
      </c>
      <c r="Y1076" s="23" t="n">
        <v>2.41E-006</v>
      </c>
      <c r="Z1076" s="23" t="n">
        <v>1.203E-005</v>
      </c>
      <c r="AA1076" s="23" t="n">
        <v>3</v>
      </c>
      <c r="AB1076" s="9" t="s">
        <v>2360</v>
      </c>
      <c r="AC1076" s="9" t="s">
        <v>2394</v>
      </c>
      <c r="AD1076" s="23" t="s">
        <v>197</v>
      </c>
      <c r="AE1076" s="23" t="s">
        <v>197</v>
      </c>
      <c r="AF1076" s="23" t="s">
        <v>197</v>
      </c>
      <c r="AG1076" s="23" t="s">
        <v>197</v>
      </c>
      <c r="AH1076" s="23" t="s">
        <v>197</v>
      </c>
      <c r="AI1076" s="23" t="s">
        <v>197</v>
      </c>
      <c r="AJ1076" s="23" t="s">
        <v>197</v>
      </c>
      <c r="AK1076" s="23" t="s">
        <v>197</v>
      </c>
      <c r="AL1076" s="23" t="s">
        <v>197</v>
      </c>
      <c r="AM1076" s="9" t="s">
        <v>197</v>
      </c>
      <c r="AN1076" s="23" t="s">
        <v>197</v>
      </c>
      <c r="AO1076" s="23" t="s">
        <v>197</v>
      </c>
      <c r="AP1076" s="23" t="s">
        <v>197</v>
      </c>
    </row>
  </sheetData>
  <autoFilter ref="B4:AP1076"/>
  <mergeCells count="1">
    <mergeCell ref="B2:AP2"/>
  </mergeCells>
  <conditionalFormatting sqref="G5:G1076">
    <cfRule type="expression" priority="2" aboveAverage="0" equalAverage="0" bottom="0" percent="0" rank="0" text="" dxfId="7">
      <formula>ISNUMBER(SEARCH("No disponible",$G5))</formula>
    </cfRule>
  </conditionalFormatting>
  <dataValidations count="2">
    <dataValidation allowBlank="true" errorStyle="stop" operator="between" showDropDown="false" showErrorMessage="false" showInputMessage="false" sqref="D5:D1076" type="list">
      <formula1>"Alta,Media,Entrada"</formula1>
      <formula2>0</formula2>
    </dataValidation>
    <dataValidation allowBlank="true" errorStyle="stop" operator="between" showDropDown="false" showErrorMessage="false" showInputMessage="false" sqref="W5:W1076" type="list">
      <formula1>"En stock,Bajo pedido,Agotado,Consultar"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6B"/>
    <pageSetUpPr fitToPage="false"/>
  </sheetPr>
  <dimension ref="B2:AQ7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24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24"/>
    <col collapsed="false" customWidth="true" hidden="false" outlineLevel="0" max="7" min="7" style="1" width="36"/>
    <col collapsed="false" customWidth="true" hidden="false" outlineLevel="0" max="8" min="8" style="1" width="22"/>
    <col collapsed="false" customWidth="true" hidden="false" outlineLevel="0" max="9" min="9" style="1" width="34"/>
    <col collapsed="false" customWidth="true" hidden="false" outlineLevel="0" max="10" min="10" style="1" width="36"/>
    <col collapsed="false" customWidth="true" hidden="false" outlineLevel="0" max="11" min="11" style="1" width="28"/>
    <col collapsed="false" customWidth="true" hidden="false" outlineLevel="0" max="12" min="12" style="1" width="26"/>
    <col collapsed="false" customWidth="true" hidden="false" outlineLevel="0" max="13" min="13" style="1" width="24"/>
    <col collapsed="false" customWidth="true" hidden="false" outlineLevel="0" max="14" min="14" style="1" width="15"/>
    <col collapsed="false" customWidth="true" hidden="false" outlineLevel="0" max="15" min="15" style="1" width="12"/>
    <col collapsed="false" customWidth="true" hidden="false" outlineLevel="0" max="16" min="16" style="1" width="18"/>
    <col collapsed="false" customWidth="true" hidden="false" outlineLevel="0" max="17" min="17" style="1" width="24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0" min="20" style="1" width="26"/>
    <col collapsed="false" customWidth="true" hidden="false" outlineLevel="0" max="21" min="21" style="1" width="13"/>
    <col collapsed="false" customWidth="true" hidden="false" outlineLevel="0" max="22" min="22" style="1" width="16"/>
    <col collapsed="false" customWidth="true" hidden="false" outlineLevel="0" max="23" min="23" style="1" width="12"/>
    <col collapsed="false" customWidth="true" hidden="false" outlineLevel="0" max="24" min="24" style="1" width="46"/>
    <col collapsed="false" customWidth="true" hidden="false" outlineLevel="0" max="27" min="25" style="1" width="13"/>
    <col collapsed="false" customWidth="true" hidden="false" outlineLevel="0" max="29" min="28" style="1" width="30"/>
    <col collapsed="false" customWidth="true" hidden="false" outlineLevel="0" max="38" min="30" style="1" width="13"/>
    <col collapsed="false" customWidth="true" hidden="false" outlineLevel="0" max="39" min="39" style="1" width="30"/>
    <col collapsed="false" customWidth="true" hidden="false" outlineLevel="0" max="42" min="40" style="1" width="13"/>
  </cols>
  <sheetData>
    <row r="2" customFormat="false" ht="31.5" hidden="false" customHeight="true" outlineLevel="0" collapsed="false">
      <c r="B2" s="2" t="s">
        <v>2481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customFormat="false" ht="7.5" hidden="false" customHeight="true" outlineLevel="0" collapsed="false"/>
    <row r="4" customFormat="false" ht="27.75" hidden="false" customHeight="true" outlineLevel="0" collapsed="false">
      <c r="B4" s="5" t="s">
        <v>143</v>
      </c>
      <c r="C4" s="5" t="s">
        <v>110</v>
      </c>
      <c r="D4" s="5" t="s">
        <v>17</v>
      </c>
      <c r="E4" s="5" t="s">
        <v>111</v>
      </c>
      <c r="F4" s="5" t="s">
        <v>144</v>
      </c>
      <c r="G4" s="5" t="s">
        <v>145</v>
      </c>
      <c r="H4" s="5" t="s">
        <v>2482</v>
      </c>
      <c r="I4" s="5" t="s">
        <v>2483</v>
      </c>
      <c r="J4" s="5" t="s">
        <v>2484</v>
      </c>
      <c r="K4" s="5" t="s">
        <v>2485</v>
      </c>
      <c r="L4" s="5" t="s">
        <v>2486</v>
      </c>
      <c r="M4" s="5" t="s">
        <v>151</v>
      </c>
      <c r="N4" s="5" t="s">
        <v>152</v>
      </c>
      <c r="O4" s="5" t="s">
        <v>153</v>
      </c>
      <c r="P4" s="5" t="s">
        <v>154</v>
      </c>
      <c r="Q4" s="5" t="s">
        <v>155</v>
      </c>
      <c r="R4" s="5" t="s">
        <v>156</v>
      </c>
      <c r="S4" s="5" t="s">
        <v>157</v>
      </c>
      <c r="T4" s="5" t="s">
        <v>158</v>
      </c>
      <c r="U4" s="5" t="s">
        <v>159</v>
      </c>
      <c r="V4" s="5" t="s">
        <v>160</v>
      </c>
      <c r="W4" s="5" t="s">
        <v>161</v>
      </c>
      <c r="X4" s="5" t="s">
        <v>162</v>
      </c>
      <c r="Y4" s="5" t="s">
        <v>163</v>
      </c>
      <c r="Z4" s="5" t="s">
        <v>164</v>
      </c>
      <c r="AA4" s="5" t="s">
        <v>165</v>
      </c>
      <c r="AB4" s="5" t="s">
        <v>166</v>
      </c>
      <c r="AC4" s="5" t="s">
        <v>167</v>
      </c>
      <c r="AD4" s="5" t="s">
        <v>168</v>
      </c>
      <c r="AE4" s="5" t="s">
        <v>169</v>
      </c>
      <c r="AF4" s="5" t="s">
        <v>170</v>
      </c>
      <c r="AG4" s="5" t="s">
        <v>171</v>
      </c>
      <c r="AH4" s="5" t="s">
        <v>2487</v>
      </c>
      <c r="AI4" s="5" t="s">
        <v>2488</v>
      </c>
      <c r="AJ4" s="5" t="s">
        <v>173</v>
      </c>
      <c r="AK4" s="5" t="s">
        <v>174</v>
      </c>
      <c r="AL4" s="5" t="s">
        <v>175</v>
      </c>
      <c r="AM4" s="5" t="s">
        <v>176</v>
      </c>
      <c r="AN4" s="5" t="s">
        <v>177</v>
      </c>
      <c r="AO4" s="5" t="s">
        <v>178</v>
      </c>
      <c r="AP4" s="5" t="s">
        <v>179</v>
      </c>
      <c r="AQ4" s="5" t="s">
        <v>180</v>
      </c>
    </row>
    <row r="5" customFormat="false" ht="21.75" hidden="false" customHeight="true" outlineLevel="0" collapsed="false">
      <c r="B5" s="14" t="n">
        <v>1</v>
      </c>
      <c r="C5" s="7" t="s">
        <v>78</v>
      </c>
      <c r="D5" s="7" t="s">
        <v>20</v>
      </c>
      <c r="E5" s="7" t="s">
        <v>116</v>
      </c>
      <c r="F5" s="7" t="s">
        <v>93</v>
      </c>
      <c r="G5" s="7" t="s">
        <v>2489</v>
      </c>
      <c r="H5" s="7" t="s">
        <v>2490</v>
      </c>
      <c r="I5" s="7" t="s">
        <v>2491</v>
      </c>
      <c r="J5" s="7" t="s">
        <v>2492</v>
      </c>
      <c r="K5" s="7" t="s">
        <v>2493</v>
      </c>
      <c r="L5" s="7" t="s">
        <v>2494</v>
      </c>
      <c r="M5" s="7" t="s">
        <v>2495</v>
      </c>
      <c r="N5" s="7" t="s">
        <v>2496</v>
      </c>
      <c r="O5" s="7" t="s">
        <v>189</v>
      </c>
      <c r="P5" s="7" t="s">
        <v>190</v>
      </c>
      <c r="Q5" s="7" t="s">
        <v>2497</v>
      </c>
      <c r="R5" s="7" t="s">
        <v>2498</v>
      </c>
      <c r="S5" s="7" t="s">
        <v>2499</v>
      </c>
      <c r="T5" s="7" t="s">
        <v>2500</v>
      </c>
      <c r="U5" s="18" t="n">
        <v>640</v>
      </c>
      <c r="V5" s="7"/>
      <c r="W5" s="7"/>
      <c r="X5" s="7" t="s">
        <v>195</v>
      </c>
      <c r="Y5" s="22" t="n">
        <v>0.5</v>
      </c>
      <c r="Z5" s="22" t="n">
        <v>1.367</v>
      </c>
      <c r="AA5" s="22" t="n">
        <v>24</v>
      </c>
      <c r="AB5" s="7" t="s">
        <v>2494</v>
      </c>
      <c r="AC5" s="7" t="s">
        <v>2501</v>
      </c>
      <c r="AD5" s="22" t="n">
        <v>0.5</v>
      </c>
      <c r="AE5" s="22" t="n">
        <v>1.367</v>
      </c>
      <c r="AF5" s="22" t="n">
        <v>6</v>
      </c>
      <c r="AG5" s="22" t="s">
        <v>197</v>
      </c>
      <c r="AH5" s="22" t="n">
        <v>2</v>
      </c>
      <c r="AI5" s="22" t="n">
        <v>318</v>
      </c>
      <c r="AJ5" s="22" t="s">
        <v>197</v>
      </c>
      <c r="AK5" s="22" t="s">
        <v>197</v>
      </c>
      <c r="AL5" s="22" t="s">
        <v>197</v>
      </c>
      <c r="AM5" s="22" t="s">
        <v>197</v>
      </c>
      <c r="AN5" s="7" t="s">
        <v>197</v>
      </c>
      <c r="AO5" s="22" t="s">
        <v>197</v>
      </c>
      <c r="AP5" s="22" t="s">
        <v>197</v>
      </c>
      <c r="AQ5" s="22" t="s">
        <v>197</v>
      </c>
    </row>
    <row r="6" customFormat="false" ht="21.75" hidden="false" customHeight="true" outlineLevel="0" collapsed="false">
      <c r="B6" s="15" t="n">
        <v>2</v>
      </c>
      <c r="C6" s="9" t="s">
        <v>78</v>
      </c>
      <c r="D6" s="9" t="s">
        <v>20</v>
      </c>
      <c r="E6" s="9" t="s">
        <v>116</v>
      </c>
      <c r="F6" s="9" t="s">
        <v>93</v>
      </c>
      <c r="G6" s="9" t="s">
        <v>2502</v>
      </c>
      <c r="H6" s="9" t="s">
        <v>2490</v>
      </c>
      <c r="I6" s="9" t="s">
        <v>2491</v>
      </c>
      <c r="J6" s="9" t="s">
        <v>2492</v>
      </c>
      <c r="K6" s="9" t="s">
        <v>2493</v>
      </c>
      <c r="L6" s="9" t="s">
        <v>2494</v>
      </c>
      <c r="M6" s="9" t="s">
        <v>2495</v>
      </c>
      <c r="N6" s="9" t="s">
        <v>2496</v>
      </c>
      <c r="O6" s="9" t="s">
        <v>189</v>
      </c>
      <c r="P6" s="9" t="s">
        <v>190</v>
      </c>
      <c r="Q6" s="9" t="s">
        <v>2497</v>
      </c>
      <c r="R6" s="9" t="s">
        <v>2498</v>
      </c>
      <c r="S6" s="9" t="s">
        <v>2499</v>
      </c>
      <c r="T6" s="9" t="s">
        <v>2500</v>
      </c>
      <c r="U6" s="19" t="n">
        <v>960</v>
      </c>
      <c r="V6" s="9"/>
      <c r="W6" s="9"/>
      <c r="X6" s="9" t="s">
        <v>199</v>
      </c>
      <c r="Y6" s="23" t="n">
        <v>0.5</v>
      </c>
      <c r="Z6" s="23" t="n">
        <v>1.982</v>
      </c>
      <c r="AA6" s="23" t="n">
        <v>24</v>
      </c>
      <c r="AB6" s="9" t="s">
        <v>2494</v>
      </c>
      <c r="AC6" s="9" t="s">
        <v>2501</v>
      </c>
      <c r="AD6" s="23" t="n">
        <v>0.5</v>
      </c>
      <c r="AE6" s="23" t="n">
        <v>1.982</v>
      </c>
      <c r="AF6" s="23" t="n">
        <v>6</v>
      </c>
      <c r="AG6" s="23" t="s">
        <v>197</v>
      </c>
      <c r="AH6" s="23" t="n">
        <v>2</v>
      </c>
      <c r="AI6" s="23" t="n">
        <v>318</v>
      </c>
      <c r="AJ6" s="23" t="s">
        <v>197</v>
      </c>
      <c r="AK6" s="23" t="s">
        <v>197</v>
      </c>
      <c r="AL6" s="23" t="s">
        <v>197</v>
      </c>
      <c r="AM6" s="23" t="s">
        <v>197</v>
      </c>
      <c r="AN6" s="9" t="s">
        <v>197</v>
      </c>
      <c r="AO6" s="23" t="s">
        <v>197</v>
      </c>
      <c r="AP6" s="23" t="s">
        <v>197</v>
      </c>
      <c r="AQ6" s="23" t="s">
        <v>197</v>
      </c>
    </row>
    <row r="7" customFormat="false" ht="21.75" hidden="false" customHeight="true" outlineLevel="0" collapsed="false">
      <c r="B7" s="14" t="n">
        <v>3</v>
      </c>
      <c r="C7" s="7" t="s">
        <v>78</v>
      </c>
      <c r="D7" s="7" t="s">
        <v>20</v>
      </c>
      <c r="E7" s="7" t="s">
        <v>116</v>
      </c>
      <c r="F7" s="7" t="s">
        <v>93</v>
      </c>
      <c r="G7" s="7" t="s">
        <v>2503</v>
      </c>
      <c r="H7" s="7" t="s">
        <v>2490</v>
      </c>
      <c r="I7" s="7" t="s">
        <v>2491</v>
      </c>
      <c r="J7" s="7" t="s">
        <v>2492</v>
      </c>
      <c r="K7" s="7" t="s">
        <v>2493</v>
      </c>
      <c r="L7" s="7" t="s">
        <v>2494</v>
      </c>
      <c r="M7" s="7" t="s">
        <v>2495</v>
      </c>
      <c r="N7" s="7" t="s">
        <v>2496</v>
      </c>
      <c r="O7" s="7" t="s">
        <v>189</v>
      </c>
      <c r="P7" s="7" t="s">
        <v>190</v>
      </c>
      <c r="Q7" s="7" t="s">
        <v>2497</v>
      </c>
      <c r="R7" s="7" t="s">
        <v>2498</v>
      </c>
      <c r="S7" s="7" t="s">
        <v>2499</v>
      </c>
      <c r="T7" s="7" t="s">
        <v>2500</v>
      </c>
      <c r="U7" s="18" t="n">
        <v>1280</v>
      </c>
      <c r="V7" s="7"/>
      <c r="W7" s="7"/>
      <c r="X7" s="7" t="s">
        <v>2504</v>
      </c>
      <c r="Y7" s="22" t="n">
        <v>0.5</v>
      </c>
      <c r="Z7" s="22" t="n">
        <v>2.787</v>
      </c>
      <c r="AA7" s="22" t="n">
        <v>24</v>
      </c>
      <c r="AB7" s="7" t="s">
        <v>2494</v>
      </c>
      <c r="AC7" s="7" t="s">
        <v>2501</v>
      </c>
      <c r="AD7" s="22" t="n">
        <v>0.5</v>
      </c>
      <c r="AE7" s="22" t="n">
        <v>2.787</v>
      </c>
      <c r="AF7" s="22" t="n">
        <v>6</v>
      </c>
      <c r="AG7" s="22" t="s">
        <v>197</v>
      </c>
      <c r="AH7" s="22" t="n">
        <v>2</v>
      </c>
      <c r="AI7" s="22" t="n">
        <v>318</v>
      </c>
      <c r="AJ7" s="22" t="s">
        <v>197</v>
      </c>
      <c r="AK7" s="22" t="s">
        <v>197</v>
      </c>
      <c r="AL7" s="22" t="s">
        <v>197</v>
      </c>
      <c r="AM7" s="22" t="s">
        <v>197</v>
      </c>
      <c r="AN7" s="7" t="s">
        <v>197</v>
      </c>
      <c r="AO7" s="22" t="s">
        <v>197</v>
      </c>
      <c r="AP7" s="22" t="s">
        <v>197</v>
      </c>
      <c r="AQ7" s="22" t="s">
        <v>197</v>
      </c>
    </row>
    <row r="8" customFormat="false" ht="21.75" hidden="false" customHeight="true" outlineLevel="0" collapsed="false">
      <c r="B8" s="15" t="n">
        <v>4</v>
      </c>
      <c r="C8" s="9" t="s">
        <v>78</v>
      </c>
      <c r="D8" s="9" t="s">
        <v>20</v>
      </c>
      <c r="E8" s="9" t="s">
        <v>116</v>
      </c>
      <c r="F8" s="9" t="s">
        <v>93</v>
      </c>
      <c r="G8" s="9" t="s">
        <v>2505</v>
      </c>
      <c r="H8" s="9" t="s">
        <v>2490</v>
      </c>
      <c r="I8" s="9" t="s">
        <v>2491</v>
      </c>
      <c r="J8" s="9" t="s">
        <v>2492</v>
      </c>
      <c r="K8" s="9" t="s">
        <v>2493</v>
      </c>
      <c r="L8" s="9" t="s">
        <v>2494</v>
      </c>
      <c r="M8" s="9" t="s">
        <v>2495</v>
      </c>
      <c r="N8" s="9" t="s">
        <v>2496</v>
      </c>
      <c r="O8" s="9" t="s">
        <v>189</v>
      </c>
      <c r="P8" s="9" t="s">
        <v>190</v>
      </c>
      <c r="Q8" s="9" t="s">
        <v>2497</v>
      </c>
      <c r="R8" s="9" t="s">
        <v>2498</v>
      </c>
      <c r="S8" s="9" t="s">
        <v>2499</v>
      </c>
      <c r="T8" s="9" t="s">
        <v>2500</v>
      </c>
      <c r="U8" s="19" t="n">
        <v>1920</v>
      </c>
      <c r="V8" s="9"/>
      <c r="W8" s="9"/>
      <c r="X8" s="9" t="s">
        <v>203</v>
      </c>
      <c r="Y8" s="23" t="n">
        <v>0.5</v>
      </c>
      <c r="Z8" s="23" t="n">
        <v>2.783</v>
      </c>
      <c r="AA8" s="23" t="n">
        <v>24</v>
      </c>
      <c r="AB8" s="9" t="s">
        <v>2494</v>
      </c>
      <c r="AC8" s="9" t="s">
        <v>2501</v>
      </c>
      <c r="AD8" s="23" t="n">
        <v>0.5</v>
      </c>
      <c r="AE8" s="23" t="n">
        <v>2.783</v>
      </c>
      <c r="AF8" s="23" t="n">
        <v>6</v>
      </c>
      <c r="AG8" s="23" t="s">
        <v>197</v>
      </c>
      <c r="AH8" s="23" t="n">
        <v>2</v>
      </c>
      <c r="AI8" s="23" t="n">
        <v>318</v>
      </c>
      <c r="AJ8" s="23" t="s">
        <v>197</v>
      </c>
      <c r="AK8" s="23" t="s">
        <v>197</v>
      </c>
      <c r="AL8" s="23" t="s">
        <v>197</v>
      </c>
      <c r="AM8" s="23" t="s">
        <v>197</v>
      </c>
      <c r="AN8" s="9" t="s">
        <v>197</v>
      </c>
      <c r="AO8" s="23" t="s">
        <v>197</v>
      </c>
      <c r="AP8" s="23" t="s">
        <v>197</v>
      </c>
      <c r="AQ8" s="23" t="s">
        <v>197</v>
      </c>
    </row>
    <row r="9" customFormat="false" ht="21.75" hidden="false" customHeight="true" outlineLevel="0" collapsed="false">
      <c r="B9" s="14" t="n">
        <v>5</v>
      </c>
      <c r="C9" s="7" t="s">
        <v>78</v>
      </c>
      <c r="D9" s="7" t="s">
        <v>20</v>
      </c>
      <c r="E9" s="7" t="s">
        <v>116</v>
      </c>
      <c r="F9" s="7" t="s">
        <v>93</v>
      </c>
      <c r="G9" s="7" t="s">
        <v>2506</v>
      </c>
      <c r="H9" s="7" t="s">
        <v>2490</v>
      </c>
      <c r="I9" s="7" t="s">
        <v>2491</v>
      </c>
      <c r="J9" s="7" t="s">
        <v>2492</v>
      </c>
      <c r="K9" s="7" t="s">
        <v>2493</v>
      </c>
      <c r="L9" s="7" t="s">
        <v>2494</v>
      </c>
      <c r="M9" s="7" t="s">
        <v>2495</v>
      </c>
      <c r="N9" s="7" t="s">
        <v>2496</v>
      </c>
      <c r="O9" s="7" t="s">
        <v>189</v>
      </c>
      <c r="P9" s="7" t="s">
        <v>190</v>
      </c>
      <c r="Q9" s="7" t="s">
        <v>2497</v>
      </c>
      <c r="R9" s="7" t="s">
        <v>2498</v>
      </c>
      <c r="S9" s="7" t="s">
        <v>2499</v>
      </c>
      <c r="T9" s="7" t="s">
        <v>2500</v>
      </c>
      <c r="U9" s="18" t="n">
        <v>2815</v>
      </c>
      <c r="V9" s="7"/>
      <c r="W9" s="7"/>
      <c r="X9" s="7" t="s">
        <v>205</v>
      </c>
      <c r="Y9" s="22" t="n">
        <v>0.5</v>
      </c>
      <c r="Z9" s="22" t="n">
        <v>1.869</v>
      </c>
      <c r="AA9" s="22" t="n">
        <v>24</v>
      </c>
      <c r="AB9" s="7" t="s">
        <v>2494</v>
      </c>
      <c r="AC9" s="7" t="s">
        <v>2501</v>
      </c>
      <c r="AD9" s="22" t="n">
        <v>0.5</v>
      </c>
      <c r="AE9" s="22" t="n">
        <v>1.869</v>
      </c>
      <c r="AF9" s="22" t="n">
        <v>6</v>
      </c>
      <c r="AG9" s="22" t="s">
        <v>197</v>
      </c>
      <c r="AH9" s="22" t="n">
        <v>2</v>
      </c>
      <c r="AI9" s="22" t="n">
        <v>318</v>
      </c>
      <c r="AJ9" s="22" t="s">
        <v>197</v>
      </c>
      <c r="AK9" s="22" t="s">
        <v>197</v>
      </c>
      <c r="AL9" s="22" t="s">
        <v>197</v>
      </c>
      <c r="AM9" s="22" t="s">
        <v>197</v>
      </c>
      <c r="AN9" s="7" t="s">
        <v>197</v>
      </c>
      <c r="AO9" s="22" t="s">
        <v>197</v>
      </c>
      <c r="AP9" s="22" t="s">
        <v>197</v>
      </c>
      <c r="AQ9" s="22" t="s">
        <v>197</v>
      </c>
    </row>
    <row r="10" customFormat="false" ht="21.75" hidden="false" customHeight="true" outlineLevel="0" collapsed="false">
      <c r="B10" s="15" t="n">
        <v>6</v>
      </c>
      <c r="C10" s="9" t="s">
        <v>78</v>
      </c>
      <c r="D10" s="9" t="s">
        <v>20</v>
      </c>
      <c r="E10" s="9" t="s">
        <v>116</v>
      </c>
      <c r="F10" s="9" t="s">
        <v>94</v>
      </c>
      <c r="G10" s="9" t="s">
        <v>391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9"/>
      <c r="V10" s="9"/>
      <c r="W10" s="9"/>
      <c r="X10" s="9" t="s">
        <v>2507</v>
      </c>
      <c r="Y10" s="23" t="s">
        <v>197</v>
      </c>
      <c r="Z10" s="23" t="s">
        <v>197</v>
      </c>
      <c r="AA10" s="23" t="s">
        <v>197</v>
      </c>
      <c r="AB10" s="9" t="s">
        <v>197</v>
      </c>
      <c r="AC10" s="9" t="s">
        <v>197</v>
      </c>
      <c r="AD10" s="23" t="s">
        <v>197</v>
      </c>
      <c r="AE10" s="23" t="s">
        <v>197</v>
      </c>
      <c r="AF10" s="23" t="s">
        <v>197</v>
      </c>
      <c r="AG10" s="23" t="s">
        <v>197</v>
      </c>
      <c r="AH10" s="23" t="s">
        <v>197</v>
      </c>
      <c r="AI10" s="23" t="s">
        <v>197</v>
      </c>
      <c r="AJ10" s="23" t="s">
        <v>197</v>
      </c>
      <c r="AK10" s="23" t="s">
        <v>197</v>
      </c>
      <c r="AL10" s="23" t="s">
        <v>197</v>
      </c>
      <c r="AM10" s="23" t="s">
        <v>197</v>
      </c>
      <c r="AN10" s="9" t="s">
        <v>197</v>
      </c>
      <c r="AO10" s="23" t="s">
        <v>197</v>
      </c>
      <c r="AP10" s="23" t="s">
        <v>197</v>
      </c>
      <c r="AQ10" s="23" t="s">
        <v>197</v>
      </c>
    </row>
    <row r="11" customFormat="false" ht="21.75" hidden="false" customHeight="true" outlineLevel="0" collapsed="false">
      <c r="B11" s="14" t="n">
        <v>7</v>
      </c>
      <c r="C11" s="7" t="s">
        <v>78</v>
      </c>
      <c r="D11" s="7" t="s">
        <v>20</v>
      </c>
      <c r="E11" s="7" t="s">
        <v>116</v>
      </c>
      <c r="F11" s="7" t="s">
        <v>95</v>
      </c>
      <c r="G11" s="7" t="s">
        <v>391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18"/>
      <c r="V11" s="7"/>
      <c r="W11" s="7"/>
      <c r="X11" s="7" t="s">
        <v>2508</v>
      </c>
      <c r="Y11" s="22" t="s">
        <v>197</v>
      </c>
      <c r="Z11" s="22" t="s">
        <v>197</v>
      </c>
      <c r="AA11" s="22" t="s">
        <v>197</v>
      </c>
      <c r="AB11" s="7" t="s">
        <v>197</v>
      </c>
      <c r="AC11" s="7" t="s">
        <v>197</v>
      </c>
      <c r="AD11" s="22" t="s">
        <v>197</v>
      </c>
      <c r="AE11" s="22" t="s">
        <v>197</v>
      </c>
      <c r="AF11" s="22" t="s">
        <v>197</v>
      </c>
      <c r="AG11" s="22" t="s">
        <v>197</v>
      </c>
      <c r="AH11" s="22" t="s">
        <v>197</v>
      </c>
      <c r="AI11" s="22" t="s">
        <v>197</v>
      </c>
      <c r="AJ11" s="22" t="s">
        <v>197</v>
      </c>
      <c r="AK11" s="22" t="s">
        <v>197</v>
      </c>
      <c r="AL11" s="22" t="s">
        <v>197</v>
      </c>
      <c r="AM11" s="22" t="s">
        <v>197</v>
      </c>
      <c r="AN11" s="7" t="s">
        <v>197</v>
      </c>
      <c r="AO11" s="22" t="s">
        <v>197</v>
      </c>
      <c r="AP11" s="22" t="s">
        <v>197</v>
      </c>
      <c r="AQ11" s="22" t="s">
        <v>197</v>
      </c>
    </row>
    <row r="12" customFormat="false" ht="21.75" hidden="false" customHeight="true" outlineLevel="0" collapsed="false">
      <c r="B12" s="15" t="n">
        <v>8</v>
      </c>
      <c r="C12" s="9" t="s">
        <v>78</v>
      </c>
      <c r="D12" s="9" t="s">
        <v>20</v>
      </c>
      <c r="E12" s="9" t="s">
        <v>116</v>
      </c>
      <c r="F12" s="9" t="s">
        <v>96</v>
      </c>
      <c r="G12" s="9" t="s">
        <v>2509</v>
      </c>
      <c r="H12" s="9" t="s">
        <v>2510</v>
      </c>
      <c r="I12" s="9" t="s">
        <v>2511</v>
      </c>
      <c r="J12" s="9" t="s">
        <v>2512</v>
      </c>
      <c r="K12" s="9" t="s">
        <v>2513</v>
      </c>
      <c r="L12" s="9" t="s">
        <v>2494</v>
      </c>
      <c r="M12" s="9" t="s">
        <v>2514</v>
      </c>
      <c r="N12" s="9" t="s">
        <v>189</v>
      </c>
      <c r="O12" s="9" t="s">
        <v>189</v>
      </c>
      <c r="P12" s="9" t="s">
        <v>190</v>
      </c>
      <c r="Q12" s="9" t="s">
        <v>2515</v>
      </c>
      <c r="R12" s="9" t="s">
        <v>933</v>
      </c>
      <c r="S12" s="9" t="s">
        <v>2499</v>
      </c>
      <c r="T12" s="9" t="s">
        <v>2516</v>
      </c>
      <c r="U12" s="19" t="n">
        <v>40</v>
      </c>
      <c r="V12" s="9"/>
      <c r="W12" s="9"/>
      <c r="X12" s="9" t="s">
        <v>195</v>
      </c>
      <c r="Y12" s="23" t="n">
        <v>7.982E-005</v>
      </c>
      <c r="Z12" s="23" t="n">
        <v>0.003</v>
      </c>
      <c r="AA12" s="23" t="n">
        <v>24</v>
      </c>
      <c r="AB12" s="9" t="s">
        <v>2494</v>
      </c>
      <c r="AC12" s="9" t="s">
        <v>2517</v>
      </c>
      <c r="AD12" s="23" t="s">
        <v>197</v>
      </c>
      <c r="AE12" s="23" t="s">
        <v>197</v>
      </c>
      <c r="AF12" s="23" t="s">
        <v>197</v>
      </c>
      <c r="AG12" s="23" t="s">
        <v>197</v>
      </c>
      <c r="AH12" s="23" t="s">
        <v>197</v>
      </c>
      <c r="AI12" s="23" t="s">
        <v>197</v>
      </c>
      <c r="AJ12" s="23" t="n">
        <v>60</v>
      </c>
      <c r="AK12" s="23" t="s">
        <v>197</v>
      </c>
      <c r="AL12" s="23" t="s">
        <v>197</v>
      </c>
      <c r="AM12" s="23" t="s">
        <v>197</v>
      </c>
      <c r="AN12" s="9" t="s">
        <v>2518</v>
      </c>
      <c r="AO12" s="23" t="s">
        <v>197</v>
      </c>
      <c r="AP12" s="23" t="n">
        <v>2.5</v>
      </c>
      <c r="AQ12" s="23" t="n">
        <v>6</v>
      </c>
    </row>
    <row r="13" customFormat="false" ht="21.75" hidden="false" customHeight="true" outlineLevel="0" collapsed="false">
      <c r="B13" s="14" t="n">
        <v>9</v>
      </c>
      <c r="C13" s="7" t="s">
        <v>78</v>
      </c>
      <c r="D13" s="7" t="s">
        <v>20</v>
      </c>
      <c r="E13" s="7" t="s">
        <v>116</v>
      </c>
      <c r="F13" s="7" t="s">
        <v>96</v>
      </c>
      <c r="G13" s="7" t="s">
        <v>2519</v>
      </c>
      <c r="H13" s="7" t="s">
        <v>2520</v>
      </c>
      <c r="I13" s="7" t="s">
        <v>2511</v>
      </c>
      <c r="J13" s="7" t="s">
        <v>2512</v>
      </c>
      <c r="K13" s="7" t="s">
        <v>2513</v>
      </c>
      <c r="L13" s="7" t="s">
        <v>2494</v>
      </c>
      <c r="M13" s="7" t="s">
        <v>2514</v>
      </c>
      <c r="N13" s="7" t="s">
        <v>189</v>
      </c>
      <c r="O13" s="7" t="s">
        <v>189</v>
      </c>
      <c r="P13" s="7" t="s">
        <v>190</v>
      </c>
      <c r="Q13" s="7" t="s">
        <v>2515</v>
      </c>
      <c r="R13" s="7" t="s">
        <v>933</v>
      </c>
      <c r="S13" s="7" t="s">
        <v>2499</v>
      </c>
      <c r="T13" s="7" t="s">
        <v>2516</v>
      </c>
      <c r="U13" s="18" t="n">
        <v>60</v>
      </c>
      <c r="V13" s="7"/>
      <c r="W13" s="7"/>
      <c r="X13" s="7" t="s">
        <v>199</v>
      </c>
      <c r="Y13" s="22" t="n">
        <v>6.772E-005</v>
      </c>
      <c r="Z13" s="22" t="n">
        <v>0.002</v>
      </c>
      <c r="AA13" s="22" t="n">
        <v>24</v>
      </c>
      <c r="AB13" s="7" t="s">
        <v>2494</v>
      </c>
      <c r="AC13" s="7" t="s">
        <v>2517</v>
      </c>
      <c r="AD13" s="22" t="s">
        <v>197</v>
      </c>
      <c r="AE13" s="22" t="s">
        <v>197</v>
      </c>
      <c r="AF13" s="22" t="s">
        <v>197</v>
      </c>
      <c r="AG13" s="22" t="s">
        <v>197</v>
      </c>
      <c r="AH13" s="22" t="s">
        <v>197</v>
      </c>
      <c r="AI13" s="22" t="s">
        <v>197</v>
      </c>
      <c r="AJ13" s="22" t="n">
        <v>80</v>
      </c>
      <c r="AK13" s="22" t="s">
        <v>197</v>
      </c>
      <c r="AL13" s="22" t="s">
        <v>197</v>
      </c>
      <c r="AM13" s="22" t="s">
        <v>197</v>
      </c>
      <c r="AN13" s="7" t="s">
        <v>2518</v>
      </c>
      <c r="AO13" s="22" t="s">
        <v>197</v>
      </c>
      <c r="AP13" s="22" t="n">
        <v>2.5</v>
      </c>
      <c r="AQ13" s="22" t="n">
        <v>6</v>
      </c>
    </row>
    <row r="14" customFormat="false" ht="21.75" hidden="false" customHeight="true" outlineLevel="0" collapsed="false">
      <c r="B14" s="15" t="n">
        <v>10</v>
      </c>
      <c r="C14" s="9" t="s">
        <v>78</v>
      </c>
      <c r="D14" s="9" t="s">
        <v>20</v>
      </c>
      <c r="E14" s="9" t="s">
        <v>116</v>
      </c>
      <c r="F14" s="9" t="s">
        <v>96</v>
      </c>
      <c r="G14" s="9" t="s">
        <v>2521</v>
      </c>
      <c r="H14" s="9" t="s">
        <v>2522</v>
      </c>
      <c r="I14" s="9" t="s">
        <v>2511</v>
      </c>
      <c r="J14" s="9" t="s">
        <v>2512</v>
      </c>
      <c r="K14" s="9" t="s">
        <v>2513</v>
      </c>
      <c r="L14" s="9" t="s">
        <v>2494</v>
      </c>
      <c r="M14" s="9" t="s">
        <v>2514</v>
      </c>
      <c r="N14" s="9" t="s">
        <v>189</v>
      </c>
      <c r="O14" s="9" t="s">
        <v>189</v>
      </c>
      <c r="P14" s="9" t="s">
        <v>190</v>
      </c>
      <c r="Q14" s="9" t="s">
        <v>2515</v>
      </c>
      <c r="R14" s="9" t="s">
        <v>933</v>
      </c>
      <c r="S14" s="9" t="s">
        <v>2499</v>
      </c>
      <c r="T14" s="9" t="s">
        <v>2516</v>
      </c>
      <c r="U14" s="19" t="n">
        <v>85</v>
      </c>
      <c r="V14" s="9"/>
      <c r="W14" s="9"/>
      <c r="X14" s="9" t="s">
        <v>2523</v>
      </c>
      <c r="Y14" s="23" t="n">
        <v>8.911E-005</v>
      </c>
      <c r="Z14" s="23" t="n">
        <v>0.003</v>
      </c>
      <c r="AA14" s="23" t="n">
        <v>24</v>
      </c>
      <c r="AB14" s="9" t="s">
        <v>2494</v>
      </c>
      <c r="AC14" s="9" t="s">
        <v>2517</v>
      </c>
      <c r="AD14" s="23" t="s">
        <v>197</v>
      </c>
      <c r="AE14" s="23" t="s">
        <v>197</v>
      </c>
      <c r="AF14" s="23" t="s">
        <v>197</v>
      </c>
      <c r="AG14" s="23" t="s">
        <v>197</v>
      </c>
      <c r="AH14" s="23" t="s">
        <v>197</v>
      </c>
      <c r="AI14" s="23" t="s">
        <v>197</v>
      </c>
      <c r="AJ14" s="23" t="n">
        <v>100</v>
      </c>
      <c r="AK14" s="23" t="s">
        <v>197</v>
      </c>
      <c r="AL14" s="23" t="s">
        <v>197</v>
      </c>
      <c r="AM14" s="23" t="s">
        <v>197</v>
      </c>
      <c r="AN14" s="9" t="s">
        <v>2518</v>
      </c>
      <c r="AO14" s="23" t="s">
        <v>197</v>
      </c>
      <c r="AP14" s="23" t="n">
        <v>2.5</v>
      </c>
      <c r="AQ14" s="23" t="n">
        <v>6</v>
      </c>
    </row>
    <row r="15" customFormat="false" ht="21.75" hidden="false" customHeight="true" outlineLevel="0" collapsed="false">
      <c r="B15" s="14" t="n">
        <v>11</v>
      </c>
      <c r="C15" s="7" t="s">
        <v>78</v>
      </c>
      <c r="D15" s="7" t="s">
        <v>20</v>
      </c>
      <c r="E15" s="7" t="s">
        <v>116</v>
      </c>
      <c r="F15" s="7" t="s">
        <v>96</v>
      </c>
      <c r="G15" s="7" t="s">
        <v>2524</v>
      </c>
      <c r="H15" s="7" t="s">
        <v>2525</v>
      </c>
      <c r="I15" s="7" t="s">
        <v>2511</v>
      </c>
      <c r="J15" s="7" t="s">
        <v>2512</v>
      </c>
      <c r="K15" s="7" t="s">
        <v>2513</v>
      </c>
      <c r="L15" s="7" t="s">
        <v>2494</v>
      </c>
      <c r="M15" s="7" t="s">
        <v>2514</v>
      </c>
      <c r="N15" s="7" t="s">
        <v>189</v>
      </c>
      <c r="O15" s="7" t="s">
        <v>189</v>
      </c>
      <c r="P15" s="7" t="s">
        <v>190</v>
      </c>
      <c r="Q15" s="7" t="s">
        <v>2515</v>
      </c>
      <c r="R15" s="7" t="s">
        <v>933</v>
      </c>
      <c r="S15" s="7" t="s">
        <v>2499</v>
      </c>
      <c r="T15" s="7" t="s">
        <v>2516</v>
      </c>
      <c r="U15" s="18" t="n">
        <v>125</v>
      </c>
      <c r="V15" s="7"/>
      <c r="W15" s="7"/>
      <c r="X15" s="7" t="s">
        <v>203</v>
      </c>
      <c r="Y15" s="22" t="n">
        <v>0.00011557</v>
      </c>
      <c r="Z15" s="22" t="n">
        <v>0.005</v>
      </c>
      <c r="AA15" s="22" t="n">
        <v>24</v>
      </c>
      <c r="AB15" s="7" t="s">
        <v>2494</v>
      </c>
      <c r="AC15" s="7" t="s">
        <v>2517</v>
      </c>
      <c r="AD15" s="22" t="s">
        <v>197</v>
      </c>
      <c r="AE15" s="22" t="s">
        <v>197</v>
      </c>
      <c r="AF15" s="22" t="s">
        <v>197</v>
      </c>
      <c r="AG15" s="22" t="s">
        <v>197</v>
      </c>
      <c r="AH15" s="22" t="s">
        <v>197</v>
      </c>
      <c r="AI15" s="22" t="s">
        <v>197</v>
      </c>
      <c r="AJ15" s="22" t="n">
        <v>100</v>
      </c>
      <c r="AK15" s="22" t="s">
        <v>197</v>
      </c>
      <c r="AL15" s="22" t="s">
        <v>197</v>
      </c>
      <c r="AM15" s="22" t="s">
        <v>197</v>
      </c>
      <c r="AN15" s="7" t="s">
        <v>2518</v>
      </c>
      <c r="AO15" s="22" t="s">
        <v>197</v>
      </c>
      <c r="AP15" s="22" t="n">
        <v>2.5</v>
      </c>
      <c r="AQ15" s="22" t="n">
        <v>6</v>
      </c>
    </row>
    <row r="16" customFormat="false" ht="21.75" hidden="false" customHeight="true" outlineLevel="0" collapsed="false">
      <c r="B16" s="15" t="n">
        <v>12</v>
      </c>
      <c r="C16" s="9" t="s">
        <v>78</v>
      </c>
      <c r="D16" s="9" t="s">
        <v>20</v>
      </c>
      <c r="E16" s="9" t="s">
        <v>116</v>
      </c>
      <c r="F16" s="9" t="s">
        <v>96</v>
      </c>
      <c r="G16" s="9" t="s">
        <v>2526</v>
      </c>
      <c r="H16" s="9" t="s">
        <v>2527</v>
      </c>
      <c r="I16" s="9" t="s">
        <v>2511</v>
      </c>
      <c r="J16" s="9" t="s">
        <v>2512</v>
      </c>
      <c r="K16" s="9" t="s">
        <v>2513</v>
      </c>
      <c r="L16" s="9" t="s">
        <v>2494</v>
      </c>
      <c r="M16" s="9" t="s">
        <v>2514</v>
      </c>
      <c r="N16" s="9" t="s">
        <v>189</v>
      </c>
      <c r="O16" s="9" t="s">
        <v>189</v>
      </c>
      <c r="P16" s="9" t="s">
        <v>190</v>
      </c>
      <c r="Q16" s="9" t="s">
        <v>2515</v>
      </c>
      <c r="R16" s="9" t="s">
        <v>933</v>
      </c>
      <c r="S16" s="9" t="s">
        <v>2499</v>
      </c>
      <c r="T16" s="9" t="s">
        <v>2516</v>
      </c>
      <c r="U16" s="19" t="n">
        <v>185</v>
      </c>
      <c r="V16" s="9"/>
      <c r="W16" s="9"/>
      <c r="X16" s="9" t="s">
        <v>205</v>
      </c>
      <c r="Y16" s="23" t="n">
        <v>7.025E-005</v>
      </c>
      <c r="Z16" s="23" t="n">
        <v>0.003</v>
      </c>
      <c r="AA16" s="23" t="n">
        <v>24</v>
      </c>
      <c r="AB16" s="9" t="s">
        <v>2494</v>
      </c>
      <c r="AC16" s="9" t="s">
        <v>2517</v>
      </c>
      <c r="AD16" s="23" t="s">
        <v>197</v>
      </c>
      <c r="AE16" s="23" t="s">
        <v>197</v>
      </c>
      <c r="AF16" s="23" t="s">
        <v>197</v>
      </c>
      <c r="AG16" s="23" t="s">
        <v>197</v>
      </c>
      <c r="AH16" s="23" t="s">
        <v>197</v>
      </c>
      <c r="AI16" s="23" t="s">
        <v>197</v>
      </c>
      <c r="AJ16" s="23" t="n">
        <v>120</v>
      </c>
      <c r="AK16" s="23" t="s">
        <v>197</v>
      </c>
      <c r="AL16" s="23" t="s">
        <v>197</v>
      </c>
      <c r="AM16" s="23" t="s">
        <v>197</v>
      </c>
      <c r="AN16" s="9" t="s">
        <v>2518</v>
      </c>
      <c r="AO16" s="23" t="s">
        <v>197</v>
      </c>
      <c r="AP16" s="23" t="n">
        <v>2.5</v>
      </c>
      <c r="AQ16" s="23" t="n">
        <v>6</v>
      </c>
    </row>
    <row r="17" customFormat="false" ht="21.75" hidden="false" customHeight="true" outlineLevel="0" collapsed="false">
      <c r="B17" s="14" t="n">
        <v>13</v>
      </c>
      <c r="C17" s="7" t="s">
        <v>78</v>
      </c>
      <c r="D17" s="7" t="s">
        <v>20</v>
      </c>
      <c r="E17" s="7" t="s">
        <v>116</v>
      </c>
      <c r="F17" s="7" t="s">
        <v>97</v>
      </c>
      <c r="G17" s="7" t="s">
        <v>2528</v>
      </c>
      <c r="H17" s="7" t="s">
        <v>2529</v>
      </c>
      <c r="I17" s="7" t="s">
        <v>2530</v>
      </c>
      <c r="J17" s="7" t="s">
        <v>2531</v>
      </c>
      <c r="K17" s="7" t="s">
        <v>2513</v>
      </c>
      <c r="L17" s="7" t="s">
        <v>2494</v>
      </c>
      <c r="M17" s="7" t="s">
        <v>2514</v>
      </c>
      <c r="N17" s="7" t="s">
        <v>189</v>
      </c>
      <c r="O17" s="7" t="s">
        <v>189</v>
      </c>
      <c r="P17" s="7" t="s">
        <v>190</v>
      </c>
      <c r="Q17" s="7" t="s">
        <v>2515</v>
      </c>
      <c r="R17" s="7" t="s">
        <v>2532</v>
      </c>
      <c r="S17" s="7" t="s">
        <v>2499</v>
      </c>
      <c r="T17" s="7" t="s">
        <v>2533</v>
      </c>
      <c r="U17" s="18" t="n">
        <v>40</v>
      </c>
      <c r="V17" s="7"/>
      <c r="W17" s="7"/>
      <c r="X17" s="7" t="s">
        <v>195</v>
      </c>
      <c r="Y17" s="22" t="n">
        <v>5.087E-005</v>
      </c>
      <c r="Z17" s="22" t="n">
        <v>0.002</v>
      </c>
      <c r="AA17" s="22" t="n">
        <v>24</v>
      </c>
      <c r="AB17" s="7" t="s">
        <v>2494</v>
      </c>
      <c r="AC17" s="7" t="s">
        <v>2517</v>
      </c>
      <c r="AD17" s="22" t="s">
        <v>197</v>
      </c>
      <c r="AE17" s="22" t="s">
        <v>197</v>
      </c>
      <c r="AF17" s="22" t="s">
        <v>197</v>
      </c>
      <c r="AG17" s="22" t="s">
        <v>197</v>
      </c>
      <c r="AH17" s="22" t="s">
        <v>197</v>
      </c>
      <c r="AI17" s="22" t="s">
        <v>197</v>
      </c>
      <c r="AJ17" s="22" t="n">
        <v>40</v>
      </c>
      <c r="AK17" s="22" t="s">
        <v>197</v>
      </c>
      <c r="AL17" s="22" t="s">
        <v>197</v>
      </c>
      <c r="AM17" s="22" t="s">
        <v>197</v>
      </c>
      <c r="AN17" s="7" t="s">
        <v>2518</v>
      </c>
      <c r="AO17" s="22" t="s">
        <v>197</v>
      </c>
      <c r="AP17" s="22" t="n">
        <v>2.5</v>
      </c>
      <c r="AQ17" s="22" t="n">
        <v>6</v>
      </c>
    </row>
    <row r="18" customFormat="false" ht="21.75" hidden="false" customHeight="true" outlineLevel="0" collapsed="false">
      <c r="B18" s="15" t="n">
        <v>14</v>
      </c>
      <c r="C18" s="9" t="s">
        <v>78</v>
      </c>
      <c r="D18" s="9" t="s">
        <v>20</v>
      </c>
      <c r="E18" s="9" t="s">
        <v>116</v>
      </c>
      <c r="F18" s="9" t="s">
        <v>97</v>
      </c>
      <c r="G18" s="9" t="s">
        <v>2534</v>
      </c>
      <c r="H18" s="9" t="s">
        <v>2535</v>
      </c>
      <c r="I18" s="9" t="s">
        <v>2530</v>
      </c>
      <c r="J18" s="9" t="s">
        <v>2531</v>
      </c>
      <c r="K18" s="9" t="s">
        <v>2513</v>
      </c>
      <c r="L18" s="9" t="s">
        <v>2494</v>
      </c>
      <c r="M18" s="9" t="s">
        <v>2514</v>
      </c>
      <c r="N18" s="9" t="s">
        <v>189</v>
      </c>
      <c r="O18" s="9" t="s">
        <v>189</v>
      </c>
      <c r="P18" s="9" t="s">
        <v>190</v>
      </c>
      <c r="Q18" s="9" t="s">
        <v>2515</v>
      </c>
      <c r="R18" s="9" t="s">
        <v>2532</v>
      </c>
      <c r="S18" s="9" t="s">
        <v>2499</v>
      </c>
      <c r="T18" s="9" t="s">
        <v>2533</v>
      </c>
      <c r="U18" s="19" t="n">
        <v>60</v>
      </c>
      <c r="V18" s="9"/>
      <c r="W18" s="9"/>
      <c r="X18" s="9" t="s">
        <v>199</v>
      </c>
      <c r="Y18" s="23" t="n">
        <v>7.951E-005</v>
      </c>
      <c r="Z18" s="23" t="n">
        <v>0.003</v>
      </c>
      <c r="AA18" s="23" t="n">
        <v>24</v>
      </c>
      <c r="AB18" s="9" t="s">
        <v>2494</v>
      </c>
      <c r="AC18" s="9" t="s">
        <v>2517</v>
      </c>
      <c r="AD18" s="23" t="s">
        <v>197</v>
      </c>
      <c r="AE18" s="23" t="s">
        <v>197</v>
      </c>
      <c r="AF18" s="23" t="s">
        <v>197</v>
      </c>
      <c r="AG18" s="23" t="s">
        <v>197</v>
      </c>
      <c r="AH18" s="23" t="s">
        <v>197</v>
      </c>
      <c r="AI18" s="23" t="s">
        <v>197</v>
      </c>
      <c r="AJ18" s="23" t="n">
        <v>50</v>
      </c>
      <c r="AK18" s="23" t="s">
        <v>197</v>
      </c>
      <c r="AL18" s="23" t="s">
        <v>197</v>
      </c>
      <c r="AM18" s="23" t="s">
        <v>197</v>
      </c>
      <c r="AN18" s="9" t="s">
        <v>2518</v>
      </c>
      <c r="AO18" s="23" t="s">
        <v>197</v>
      </c>
      <c r="AP18" s="23" t="n">
        <v>2.5</v>
      </c>
      <c r="AQ18" s="23" t="n">
        <v>6</v>
      </c>
    </row>
    <row r="19" customFormat="false" ht="21.75" hidden="false" customHeight="true" outlineLevel="0" collapsed="false">
      <c r="B19" s="14" t="n">
        <v>15</v>
      </c>
      <c r="C19" s="7" t="s">
        <v>78</v>
      </c>
      <c r="D19" s="7" t="s">
        <v>20</v>
      </c>
      <c r="E19" s="7" t="s">
        <v>116</v>
      </c>
      <c r="F19" s="7" t="s">
        <v>97</v>
      </c>
      <c r="G19" s="7" t="s">
        <v>2536</v>
      </c>
      <c r="H19" s="7" t="s">
        <v>2537</v>
      </c>
      <c r="I19" s="7" t="s">
        <v>2530</v>
      </c>
      <c r="J19" s="7" t="s">
        <v>2531</v>
      </c>
      <c r="K19" s="7" t="s">
        <v>2513</v>
      </c>
      <c r="L19" s="7" t="s">
        <v>2494</v>
      </c>
      <c r="M19" s="7" t="s">
        <v>2514</v>
      </c>
      <c r="N19" s="7" t="s">
        <v>189</v>
      </c>
      <c r="O19" s="7" t="s">
        <v>189</v>
      </c>
      <c r="P19" s="7" t="s">
        <v>190</v>
      </c>
      <c r="Q19" s="7" t="s">
        <v>2515</v>
      </c>
      <c r="R19" s="7" t="s">
        <v>2532</v>
      </c>
      <c r="S19" s="7" t="s">
        <v>2499</v>
      </c>
      <c r="T19" s="7" t="s">
        <v>2533</v>
      </c>
      <c r="U19" s="18" t="n">
        <v>80</v>
      </c>
      <c r="V19" s="7"/>
      <c r="W19" s="7"/>
      <c r="X19" s="7" t="s">
        <v>2538</v>
      </c>
      <c r="Y19" s="22" t="n">
        <v>0.00010221</v>
      </c>
      <c r="Z19" s="22" t="n">
        <v>0.005</v>
      </c>
      <c r="AA19" s="22" t="n">
        <v>24</v>
      </c>
      <c r="AB19" s="7" t="s">
        <v>2494</v>
      </c>
      <c r="AC19" s="7" t="s">
        <v>2517</v>
      </c>
      <c r="AD19" s="22" t="s">
        <v>197</v>
      </c>
      <c r="AE19" s="22" t="s">
        <v>197</v>
      </c>
      <c r="AF19" s="22" t="s">
        <v>197</v>
      </c>
      <c r="AG19" s="22" t="s">
        <v>197</v>
      </c>
      <c r="AH19" s="22" t="s">
        <v>197</v>
      </c>
      <c r="AI19" s="22" t="s">
        <v>197</v>
      </c>
      <c r="AJ19" s="22" t="n">
        <v>57</v>
      </c>
      <c r="AK19" s="22" t="s">
        <v>197</v>
      </c>
      <c r="AL19" s="22" t="s">
        <v>197</v>
      </c>
      <c r="AM19" s="22" t="s">
        <v>197</v>
      </c>
      <c r="AN19" s="7" t="s">
        <v>2518</v>
      </c>
      <c r="AO19" s="22" t="s">
        <v>197</v>
      </c>
      <c r="AP19" s="22" t="n">
        <v>2.5</v>
      </c>
      <c r="AQ19" s="22" t="n">
        <v>6</v>
      </c>
    </row>
    <row r="20" customFormat="false" ht="21.75" hidden="false" customHeight="true" outlineLevel="0" collapsed="false">
      <c r="B20" s="15" t="n">
        <v>16</v>
      </c>
      <c r="C20" s="9" t="s">
        <v>78</v>
      </c>
      <c r="D20" s="9" t="s">
        <v>20</v>
      </c>
      <c r="E20" s="9" t="s">
        <v>116</v>
      </c>
      <c r="F20" s="9" t="s">
        <v>97</v>
      </c>
      <c r="G20" s="9" t="s">
        <v>2539</v>
      </c>
      <c r="H20" s="9" t="s">
        <v>2540</v>
      </c>
      <c r="I20" s="9" t="s">
        <v>2530</v>
      </c>
      <c r="J20" s="9" t="s">
        <v>2531</v>
      </c>
      <c r="K20" s="9" t="s">
        <v>2513</v>
      </c>
      <c r="L20" s="9" t="s">
        <v>2494</v>
      </c>
      <c r="M20" s="9" t="s">
        <v>2514</v>
      </c>
      <c r="N20" s="9" t="s">
        <v>189</v>
      </c>
      <c r="O20" s="9" t="s">
        <v>189</v>
      </c>
      <c r="P20" s="9" t="s">
        <v>190</v>
      </c>
      <c r="Q20" s="9" t="s">
        <v>2515</v>
      </c>
      <c r="R20" s="9" t="s">
        <v>2532</v>
      </c>
      <c r="S20" s="9" t="s">
        <v>2499</v>
      </c>
      <c r="T20" s="9" t="s">
        <v>2533</v>
      </c>
      <c r="U20" s="19" t="n">
        <v>120</v>
      </c>
      <c r="V20" s="9"/>
      <c r="W20" s="9"/>
      <c r="X20" s="9" t="s">
        <v>203</v>
      </c>
      <c r="Y20" s="23" t="n">
        <v>0.0001003</v>
      </c>
      <c r="Z20" s="23" t="n">
        <v>0.005</v>
      </c>
      <c r="AA20" s="23" t="n">
        <v>24</v>
      </c>
      <c r="AB20" s="9" t="s">
        <v>2494</v>
      </c>
      <c r="AC20" s="9" t="s">
        <v>2517</v>
      </c>
      <c r="AD20" s="23" t="s">
        <v>197</v>
      </c>
      <c r="AE20" s="23" t="s">
        <v>197</v>
      </c>
      <c r="AF20" s="23" t="s">
        <v>197</v>
      </c>
      <c r="AG20" s="23" t="s">
        <v>197</v>
      </c>
      <c r="AH20" s="23" t="s">
        <v>197</v>
      </c>
      <c r="AI20" s="23" t="s">
        <v>197</v>
      </c>
      <c r="AJ20" s="23" t="n">
        <v>57</v>
      </c>
      <c r="AK20" s="23" t="s">
        <v>197</v>
      </c>
      <c r="AL20" s="23" t="s">
        <v>197</v>
      </c>
      <c r="AM20" s="23" t="s">
        <v>197</v>
      </c>
      <c r="AN20" s="9" t="s">
        <v>2518</v>
      </c>
      <c r="AO20" s="23" t="s">
        <v>197</v>
      </c>
      <c r="AP20" s="23" t="n">
        <v>2.5</v>
      </c>
      <c r="AQ20" s="23" t="n">
        <v>6</v>
      </c>
    </row>
    <row r="21" customFormat="false" ht="21.75" hidden="false" customHeight="true" outlineLevel="0" collapsed="false">
      <c r="B21" s="14" t="n">
        <v>17</v>
      </c>
      <c r="C21" s="7" t="s">
        <v>78</v>
      </c>
      <c r="D21" s="7" t="s">
        <v>20</v>
      </c>
      <c r="E21" s="7" t="s">
        <v>116</v>
      </c>
      <c r="F21" s="7" t="s">
        <v>97</v>
      </c>
      <c r="G21" s="7" t="s">
        <v>2541</v>
      </c>
      <c r="H21" s="7" t="s">
        <v>2542</v>
      </c>
      <c r="I21" s="7" t="s">
        <v>2530</v>
      </c>
      <c r="J21" s="7" t="s">
        <v>2531</v>
      </c>
      <c r="K21" s="7" t="s">
        <v>2513</v>
      </c>
      <c r="L21" s="7" t="s">
        <v>2494</v>
      </c>
      <c r="M21" s="7" t="s">
        <v>2514</v>
      </c>
      <c r="N21" s="7" t="s">
        <v>189</v>
      </c>
      <c r="O21" s="7" t="s">
        <v>189</v>
      </c>
      <c r="P21" s="7" t="s">
        <v>190</v>
      </c>
      <c r="Q21" s="7" t="s">
        <v>2515</v>
      </c>
      <c r="R21" s="7" t="s">
        <v>2532</v>
      </c>
      <c r="S21" s="7" t="s">
        <v>2499</v>
      </c>
      <c r="T21" s="7" t="s">
        <v>2533</v>
      </c>
      <c r="U21" s="18" t="n">
        <v>180</v>
      </c>
      <c r="V21" s="7"/>
      <c r="W21" s="7"/>
      <c r="X21" s="7" t="s">
        <v>205</v>
      </c>
      <c r="Y21" s="22" t="n">
        <v>5.365E-005</v>
      </c>
      <c r="Z21" s="22" t="n">
        <v>0.002</v>
      </c>
      <c r="AA21" s="22" t="n">
        <v>24</v>
      </c>
      <c r="AB21" s="7" t="s">
        <v>2494</v>
      </c>
      <c r="AC21" s="7" t="s">
        <v>2517</v>
      </c>
      <c r="AD21" s="22" t="s">
        <v>197</v>
      </c>
      <c r="AE21" s="22" t="s">
        <v>197</v>
      </c>
      <c r="AF21" s="22" t="s">
        <v>197</v>
      </c>
      <c r="AG21" s="22" t="s">
        <v>197</v>
      </c>
      <c r="AH21" s="22" t="s">
        <v>197</v>
      </c>
      <c r="AI21" s="22" t="s">
        <v>197</v>
      </c>
      <c r="AJ21" s="22" t="n">
        <v>41</v>
      </c>
      <c r="AK21" s="22" t="s">
        <v>197</v>
      </c>
      <c r="AL21" s="22" t="s">
        <v>197</v>
      </c>
      <c r="AM21" s="22" t="s">
        <v>197</v>
      </c>
      <c r="AN21" s="7" t="s">
        <v>2518</v>
      </c>
      <c r="AO21" s="22" t="s">
        <v>197</v>
      </c>
      <c r="AP21" s="22" t="n">
        <v>2.5</v>
      </c>
      <c r="AQ21" s="22" t="n">
        <v>6</v>
      </c>
    </row>
    <row r="22" customFormat="false" ht="21.75" hidden="false" customHeight="true" outlineLevel="0" collapsed="false">
      <c r="B22" s="15" t="n">
        <v>18</v>
      </c>
      <c r="C22" s="9" t="s">
        <v>78</v>
      </c>
      <c r="D22" s="9" t="s">
        <v>20</v>
      </c>
      <c r="E22" s="9" t="s">
        <v>116</v>
      </c>
      <c r="F22" s="9" t="s">
        <v>98</v>
      </c>
      <c r="G22" s="9" t="s">
        <v>2543</v>
      </c>
      <c r="H22" s="9" t="s">
        <v>2544</v>
      </c>
      <c r="I22" s="9" t="s">
        <v>2545</v>
      </c>
      <c r="J22" s="9" t="s">
        <v>2546</v>
      </c>
      <c r="K22" s="9" t="s">
        <v>2513</v>
      </c>
      <c r="L22" s="9" t="s">
        <v>2494</v>
      </c>
      <c r="M22" s="9" t="s">
        <v>2514</v>
      </c>
      <c r="N22" s="9" t="s">
        <v>189</v>
      </c>
      <c r="O22" s="9" t="s">
        <v>189</v>
      </c>
      <c r="P22" s="9" t="s">
        <v>190</v>
      </c>
      <c r="Q22" s="9" t="s">
        <v>2515</v>
      </c>
      <c r="R22" s="9" t="s">
        <v>2547</v>
      </c>
      <c r="S22" s="9" t="s">
        <v>2499</v>
      </c>
      <c r="T22" s="9" t="s">
        <v>2548</v>
      </c>
      <c r="U22" s="19" t="n">
        <v>55</v>
      </c>
      <c r="V22" s="9"/>
      <c r="W22" s="9"/>
      <c r="X22" s="9" t="s">
        <v>195</v>
      </c>
      <c r="Y22" s="23" t="n">
        <v>0.00011664</v>
      </c>
      <c r="Z22" s="23" t="n">
        <v>0.005</v>
      </c>
      <c r="AA22" s="23" t="n">
        <v>24</v>
      </c>
      <c r="AB22" s="9" t="s">
        <v>2494</v>
      </c>
      <c r="AC22" s="9" t="s">
        <v>2517</v>
      </c>
      <c r="AD22" s="23" t="s">
        <v>197</v>
      </c>
      <c r="AE22" s="23" t="s">
        <v>197</v>
      </c>
      <c r="AF22" s="23" t="s">
        <v>197</v>
      </c>
      <c r="AG22" s="23" t="s">
        <v>197</v>
      </c>
      <c r="AH22" s="23" t="s">
        <v>197</v>
      </c>
      <c r="AI22" s="23" t="s">
        <v>197</v>
      </c>
      <c r="AJ22" s="23" t="n">
        <v>101</v>
      </c>
      <c r="AK22" s="23" t="s">
        <v>197</v>
      </c>
      <c r="AL22" s="23" t="s">
        <v>197</v>
      </c>
      <c r="AM22" s="23" t="s">
        <v>197</v>
      </c>
      <c r="AN22" s="9" t="s">
        <v>2549</v>
      </c>
      <c r="AO22" s="23" t="s">
        <v>197</v>
      </c>
      <c r="AP22" s="23" t="n">
        <v>2.5</v>
      </c>
      <c r="AQ22" s="23" t="n">
        <v>6</v>
      </c>
    </row>
    <row r="23" customFormat="false" ht="21.75" hidden="false" customHeight="true" outlineLevel="0" collapsed="false">
      <c r="B23" s="14" t="n">
        <v>19</v>
      </c>
      <c r="C23" s="7" t="s">
        <v>78</v>
      </c>
      <c r="D23" s="7" t="s">
        <v>20</v>
      </c>
      <c r="E23" s="7" t="s">
        <v>116</v>
      </c>
      <c r="F23" s="7" t="s">
        <v>98</v>
      </c>
      <c r="G23" s="7" t="s">
        <v>2550</v>
      </c>
      <c r="H23" s="7" t="s">
        <v>2551</v>
      </c>
      <c r="I23" s="7" t="s">
        <v>2545</v>
      </c>
      <c r="J23" s="7" t="s">
        <v>2546</v>
      </c>
      <c r="K23" s="7" t="s">
        <v>2513</v>
      </c>
      <c r="L23" s="7" t="s">
        <v>2494</v>
      </c>
      <c r="M23" s="7" t="s">
        <v>2514</v>
      </c>
      <c r="N23" s="7" t="s">
        <v>189</v>
      </c>
      <c r="O23" s="7" t="s">
        <v>189</v>
      </c>
      <c r="P23" s="7" t="s">
        <v>190</v>
      </c>
      <c r="Q23" s="7" t="s">
        <v>2515</v>
      </c>
      <c r="R23" s="7" t="s">
        <v>2547</v>
      </c>
      <c r="S23" s="7" t="s">
        <v>2499</v>
      </c>
      <c r="T23" s="7" t="s">
        <v>2548</v>
      </c>
      <c r="U23" s="18" t="n">
        <v>85</v>
      </c>
      <c r="V23" s="7"/>
      <c r="W23" s="7"/>
      <c r="X23" s="7" t="s">
        <v>199</v>
      </c>
      <c r="Y23" s="22" t="n">
        <v>0.00010981</v>
      </c>
      <c r="Z23" s="22" t="n">
        <v>0.004</v>
      </c>
      <c r="AA23" s="22" t="n">
        <v>24</v>
      </c>
      <c r="AB23" s="7" t="s">
        <v>2494</v>
      </c>
      <c r="AC23" s="7" t="s">
        <v>2517</v>
      </c>
      <c r="AD23" s="22" t="s">
        <v>197</v>
      </c>
      <c r="AE23" s="22" t="s">
        <v>197</v>
      </c>
      <c r="AF23" s="22" t="s">
        <v>197</v>
      </c>
      <c r="AG23" s="22" t="s">
        <v>197</v>
      </c>
      <c r="AH23" s="22" t="s">
        <v>197</v>
      </c>
      <c r="AI23" s="22" t="s">
        <v>197</v>
      </c>
      <c r="AJ23" s="22" t="n">
        <v>97</v>
      </c>
      <c r="AK23" s="22" t="s">
        <v>197</v>
      </c>
      <c r="AL23" s="22" t="s">
        <v>197</v>
      </c>
      <c r="AM23" s="22" t="s">
        <v>197</v>
      </c>
      <c r="AN23" s="7" t="s">
        <v>2549</v>
      </c>
      <c r="AO23" s="22" t="s">
        <v>197</v>
      </c>
      <c r="AP23" s="22" t="n">
        <v>2.5</v>
      </c>
      <c r="AQ23" s="22" t="n">
        <v>6</v>
      </c>
    </row>
    <row r="24" customFormat="false" ht="21.75" hidden="false" customHeight="true" outlineLevel="0" collapsed="false">
      <c r="B24" s="15" t="n">
        <v>20</v>
      </c>
      <c r="C24" s="9" t="s">
        <v>78</v>
      </c>
      <c r="D24" s="9" t="s">
        <v>20</v>
      </c>
      <c r="E24" s="9" t="s">
        <v>116</v>
      </c>
      <c r="F24" s="9" t="s">
        <v>98</v>
      </c>
      <c r="G24" s="9" t="s">
        <v>2552</v>
      </c>
      <c r="H24" s="9" t="s">
        <v>2553</v>
      </c>
      <c r="I24" s="9" t="s">
        <v>2545</v>
      </c>
      <c r="J24" s="9" t="s">
        <v>2546</v>
      </c>
      <c r="K24" s="9" t="s">
        <v>2513</v>
      </c>
      <c r="L24" s="9" t="s">
        <v>2494</v>
      </c>
      <c r="M24" s="9" t="s">
        <v>2514</v>
      </c>
      <c r="N24" s="9" t="s">
        <v>189</v>
      </c>
      <c r="O24" s="9" t="s">
        <v>189</v>
      </c>
      <c r="P24" s="9" t="s">
        <v>190</v>
      </c>
      <c r="Q24" s="9" t="s">
        <v>2515</v>
      </c>
      <c r="R24" s="9" t="s">
        <v>2547</v>
      </c>
      <c r="S24" s="9" t="s">
        <v>2499</v>
      </c>
      <c r="T24" s="9" t="s">
        <v>2548</v>
      </c>
      <c r="U24" s="19" t="n">
        <v>115</v>
      </c>
      <c r="V24" s="9"/>
      <c r="W24" s="9"/>
      <c r="X24" s="9" t="s">
        <v>2554</v>
      </c>
      <c r="Y24" s="23" t="n">
        <v>0.00010048</v>
      </c>
      <c r="Z24" s="23" t="n">
        <v>0.004</v>
      </c>
      <c r="AA24" s="23" t="n">
        <v>24</v>
      </c>
      <c r="AB24" s="9" t="s">
        <v>2494</v>
      </c>
      <c r="AC24" s="9" t="s">
        <v>2517</v>
      </c>
      <c r="AD24" s="23" t="s">
        <v>197</v>
      </c>
      <c r="AE24" s="23" t="s">
        <v>197</v>
      </c>
      <c r="AF24" s="23" t="s">
        <v>197</v>
      </c>
      <c r="AG24" s="23" t="s">
        <v>197</v>
      </c>
      <c r="AH24" s="23" t="s">
        <v>197</v>
      </c>
      <c r="AI24" s="23" t="s">
        <v>197</v>
      </c>
      <c r="AJ24" s="23" t="n">
        <v>92</v>
      </c>
      <c r="AK24" s="23" t="s">
        <v>197</v>
      </c>
      <c r="AL24" s="23" t="s">
        <v>197</v>
      </c>
      <c r="AM24" s="23" t="s">
        <v>197</v>
      </c>
      <c r="AN24" s="9" t="s">
        <v>2549</v>
      </c>
      <c r="AO24" s="23" t="s">
        <v>197</v>
      </c>
      <c r="AP24" s="23" t="n">
        <v>2.5</v>
      </c>
      <c r="AQ24" s="23" t="n">
        <v>6</v>
      </c>
    </row>
    <row r="25" customFormat="false" ht="21.75" hidden="false" customHeight="true" outlineLevel="0" collapsed="false">
      <c r="B25" s="14" t="n">
        <v>21</v>
      </c>
      <c r="C25" s="7" t="s">
        <v>78</v>
      </c>
      <c r="D25" s="7" t="s">
        <v>20</v>
      </c>
      <c r="E25" s="7" t="s">
        <v>116</v>
      </c>
      <c r="F25" s="7" t="s">
        <v>98</v>
      </c>
      <c r="G25" s="7" t="s">
        <v>2555</v>
      </c>
      <c r="H25" s="7" t="s">
        <v>2556</v>
      </c>
      <c r="I25" s="7" t="s">
        <v>2545</v>
      </c>
      <c r="J25" s="7" t="s">
        <v>2546</v>
      </c>
      <c r="K25" s="7" t="s">
        <v>2513</v>
      </c>
      <c r="L25" s="7" t="s">
        <v>2494</v>
      </c>
      <c r="M25" s="7" t="s">
        <v>2514</v>
      </c>
      <c r="N25" s="7" t="s">
        <v>189</v>
      </c>
      <c r="O25" s="7" t="s">
        <v>189</v>
      </c>
      <c r="P25" s="7" t="s">
        <v>190</v>
      </c>
      <c r="Q25" s="7" t="s">
        <v>2515</v>
      </c>
      <c r="R25" s="7" t="s">
        <v>2547</v>
      </c>
      <c r="S25" s="7" t="s">
        <v>2499</v>
      </c>
      <c r="T25" s="7" t="s">
        <v>2548</v>
      </c>
      <c r="U25" s="18" t="n">
        <v>175</v>
      </c>
      <c r="V25" s="7"/>
      <c r="W25" s="7"/>
      <c r="X25" s="7" t="s">
        <v>203</v>
      </c>
      <c r="Y25" s="22" t="n">
        <v>8.461E-005</v>
      </c>
      <c r="Z25" s="22" t="n">
        <v>0.003</v>
      </c>
      <c r="AA25" s="22" t="n">
        <v>24</v>
      </c>
      <c r="AB25" s="7" t="s">
        <v>2494</v>
      </c>
      <c r="AC25" s="7" t="s">
        <v>2517</v>
      </c>
      <c r="AD25" s="22" t="s">
        <v>197</v>
      </c>
      <c r="AE25" s="22" t="s">
        <v>197</v>
      </c>
      <c r="AF25" s="22" t="s">
        <v>197</v>
      </c>
      <c r="AG25" s="22" t="s">
        <v>197</v>
      </c>
      <c r="AH25" s="22" t="s">
        <v>197</v>
      </c>
      <c r="AI25" s="22" t="s">
        <v>197</v>
      </c>
      <c r="AJ25" s="22" t="n">
        <v>83</v>
      </c>
      <c r="AK25" s="22" t="s">
        <v>197</v>
      </c>
      <c r="AL25" s="22" t="s">
        <v>197</v>
      </c>
      <c r="AM25" s="22" t="s">
        <v>197</v>
      </c>
      <c r="AN25" s="7" t="s">
        <v>2549</v>
      </c>
      <c r="AO25" s="22" t="s">
        <v>197</v>
      </c>
      <c r="AP25" s="22" t="n">
        <v>2.5</v>
      </c>
      <c r="AQ25" s="22" t="n">
        <v>6</v>
      </c>
    </row>
    <row r="26" customFormat="false" ht="21.75" hidden="false" customHeight="true" outlineLevel="0" collapsed="false">
      <c r="B26" s="15" t="n">
        <v>22</v>
      </c>
      <c r="C26" s="9" t="s">
        <v>78</v>
      </c>
      <c r="D26" s="9" t="s">
        <v>20</v>
      </c>
      <c r="E26" s="9" t="s">
        <v>116</v>
      </c>
      <c r="F26" s="9" t="s">
        <v>98</v>
      </c>
      <c r="G26" s="9" t="s">
        <v>2557</v>
      </c>
      <c r="H26" s="9" t="s">
        <v>2558</v>
      </c>
      <c r="I26" s="9" t="s">
        <v>2545</v>
      </c>
      <c r="J26" s="9" t="s">
        <v>2546</v>
      </c>
      <c r="K26" s="9" t="s">
        <v>2513</v>
      </c>
      <c r="L26" s="9" t="s">
        <v>2494</v>
      </c>
      <c r="M26" s="9" t="s">
        <v>2514</v>
      </c>
      <c r="N26" s="9" t="s">
        <v>189</v>
      </c>
      <c r="O26" s="9" t="s">
        <v>189</v>
      </c>
      <c r="P26" s="9" t="s">
        <v>190</v>
      </c>
      <c r="Q26" s="9" t="s">
        <v>2515</v>
      </c>
      <c r="R26" s="9" t="s">
        <v>2547</v>
      </c>
      <c r="S26" s="9" t="s">
        <v>2499</v>
      </c>
      <c r="T26" s="9" t="s">
        <v>2548</v>
      </c>
      <c r="U26" s="19" t="n">
        <v>255</v>
      </c>
      <c r="V26" s="9"/>
      <c r="W26" s="9"/>
      <c r="X26" s="9" t="s">
        <v>205</v>
      </c>
      <c r="Y26" s="23" t="n">
        <v>8.202E-005</v>
      </c>
      <c r="Z26" s="23" t="n">
        <v>0.003</v>
      </c>
      <c r="AA26" s="23" t="n">
        <v>24</v>
      </c>
      <c r="AB26" s="9" t="s">
        <v>2494</v>
      </c>
      <c r="AC26" s="9" t="s">
        <v>2517</v>
      </c>
      <c r="AD26" s="23" t="s">
        <v>197</v>
      </c>
      <c r="AE26" s="23" t="s">
        <v>197</v>
      </c>
      <c r="AF26" s="23" t="s">
        <v>197</v>
      </c>
      <c r="AG26" s="23" t="s">
        <v>197</v>
      </c>
      <c r="AH26" s="23" t="s">
        <v>197</v>
      </c>
      <c r="AI26" s="23" t="s">
        <v>197</v>
      </c>
      <c r="AJ26" s="23" t="n">
        <v>81</v>
      </c>
      <c r="AK26" s="23" t="s">
        <v>197</v>
      </c>
      <c r="AL26" s="23" t="s">
        <v>197</v>
      </c>
      <c r="AM26" s="23" t="s">
        <v>197</v>
      </c>
      <c r="AN26" s="9" t="s">
        <v>2549</v>
      </c>
      <c r="AO26" s="23" t="s">
        <v>197</v>
      </c>
      <c r="AP26" s="23" t="n">
        <v>2.5</v>
      </c>
      <c r="AQ26" s="23" t="n">
        <v>6</v>
      </c>
    </row>
    <row r="27" customFormat="false" ht="21.75" hidden="false" customHeight="true" outlineLevel="0" collapsed="false">
      <c r="B27" s="14" t="n">
        <v>23</v>
      </c>
      <c r="C27" s="7" t="s">
        <v>78</v>
      </c>
      <c r="D27" s="7" t="s">
        <v>20</v>
      </c>
      <c r="E27" s="7" t="s">
        <v>116</v>
      </c>
      <c r="F27" s="7" t="s">
        <v>99</v>
      </c>
      <c r="G27" s="7" t="s">
        <v>391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18"/>
      <c r="V27" s="7"/>
      <c r="W27" s="7"/>
      <c r="X27" s="7" t="s">
        <v>2559</v>
      </c>
      <c r="Y27" s="22" t="s">
        <v>197</v>
      </c>
      <c r="Z27" s="22" t="s">
        <v>197</v>
      </c>
      <c r="AA27" s="22" t="s">
        <v>197</v>
      </c>
      <c r="AB27" s="7" t="s">
        <v>197</v>
      </c>
      <c r="AC27" s="7" t="s">
        <v>197</v>
      </c>
      <c r="AD27" s="22" t="s">
        <v>197</v>
      </c>
      <c r="AE27" s="22" t="s">
        <v>197</v>
      </c>
      <c r="AF27" s="22" t="s">
        <v>197</v>
      </c>
      <c r="AG27" s="22" t="s">
        <v>197</v>
      </c>
      <c r="AH27" s="22" t="s">
        <v>197</v>
      </c>
      <c r="AI27" s="22" t="s">
        <v>197</v>
      </c>
      <c r="AJ27" s="22" t="s">
        <v>197</v>
      </c>
      <c r="AK27" s="22" t="s">
        <v>197</v>
      </c>
      <c r="AL27" s="22" t="s">
        <v>197</v>
      </c>
      <c r="AM27" s="22" t="s">
        <v>197</v>
      </c>
      <c r="AN27" s="7" t="s">
        <v>197</v>
      </c>
      <c r="AO27" s="22" t="s">
        <v>197</v>
      </c>
      <c r="AP27" s="22" t="s">
        <v>197</v>
      </c>
      <c r="AQ27" s="22" t="s">
        <v>197</v>
      </c>
    </row>
    <row r="28" customFormat="false" ht="21.75" hidden="false" customHeight="true" outlineLevel="0" collapsed="false">
      <c r="B28" s="15" t="n">
        <v>24</v>
      </c>
      <c r="C28" s="9" t="s">
        <v>78</v>
      </c>
      <c r="D28" s="9" t="s">
        <v>20</v>
      </c>
      <c r="E28" s="9" t="s">
        <v>116</v>
      </c>
      <c r="F28" s="9" t="s">
        <v>100</v>
      </c>
      <c r="G28" s="9" t="s">
        <v>2560</v>
      </c>
      <c r="H28" s="9" t="s">
        <v>2561</v>
      </c>
      <c r="I28" s="9" t="s">
        <v>2562</v>
      </c>
      <c r="J28" s="9" t="s">
        <v>2563</v>
      </c>
      <c r="K28" s="9" t="s">
        <v>2564</v>
      </c>
      <c r="L28" s="9" t="s">
        <v>2494</v>
      </c>
      <c r="M28" s="9" t="s">
        <v>2565</v>
      </c>
      <c r="N28" s="9" t="s">
        <v>2566</v>
      </c>
      <c r="O28" s="9" t="s">
        <v>2567</v>
      </c>
      <c r="P28" s="9" t="s">
        <v>190</v>
      </c>
      <c r="Q28" s="9" t="s">
        <v>2568</v>
      </c>
      <c r="R28" s="9" t="s">
        <v>2569</v>
      </c>
      <c r="S28" s="9" t="s">
        <v>2499</v>
      </c>
      <c r="T28" s="9" t="s">
        <v>2570</v>
      </c>
      <c r="U28" s="19" t="n">
        <v>1925</v>
      </c>
      <c r="V28" s="9"/>
      <c r="W28" s="9"/>
      <c r="X28" s="9" t="s">
        <v>195</v>
      </c>
      <c r="Y28" s="23" t="n">
        <v>1.294</v>
      </c>
      <c r="Z28" s="23" t="n">
        <v>1.991</v>
      </c>
      <c r="AA28" s="23" t="n">
        <v>24</v>
      </c>
      <c r="AB28" s="9" t="s">
        <v>2494</v>
      </c>
      <c r="AC28" s="9" t="s">
        <v>2571</v>
      </c>
      <c r="AD28" s="23" t="s">
        <v>197</v>
      </c>
      <c r="AE28" s="23" t="s">
        <v>197</v>
      </c>
      <c r="AF28" s="23" t="s">
        <v>197</v>
      </c>
      <c r="AG28" s="23" t="s">
        <v>197</v>
      </c>
      <c r="AH28" s="23" t="s">
        <v>197</v>
      </c>
      <c r="AI28" s="23" t="s">
        <v>197</v>
      </c>
      <c r="AJ28" s="23" t="n">
        <v>800</v>
      </c>
      <c r="AK28" s="23" t="s">
        <v>197</v>
      </c>
      <c r="AL28" s="23" t="s">
        <v>197</v>
      </c>
      <c r="AM28" s="23" t="s">
        <v>197</v>
      </c>
      <c r="AN28" s="9" t="s">
        <v>2572</v>
      </c>
      <c r="AO28" s="23" t="s">
        <v>197</v>
      </c>
      <c r="AP28" s="23" t="n">
        <v>2.5</v>
      </c>
      <c r="AQ28" s="23" t="n">
        <v>25</v>
      </c>
    </row>
    <row r="29" customFormat="false" ht="21.75" hidden="false" customHeight="true" outlineLevel="0" collapsed="false">
      <c r="B29" s="14" t="n">
        <v>25</v>
      </c>
      <c r="C29" s="7" t="s">
        <v>78</v>
      </c>
      <c r="D29" s="7" t="s">
        <v>20</v>
      </c>
      <c r="E29" s="7" t="s">
        <v>116</v>
      </c>
      <c r="F29" s="7" t="s">
        <v>100</v>
      </c>
      <c r="G29" s="7" t="s">
        <v>2573</v>
      </c>
      <c r="H29" s="7" t="s">
        <v>2574</v>
      </c>
      <c r="I29" s="7" t="s">
        <v>2562</v>
      </c>
      <c r="J29" s="7" t="s">
        <v>2563</v>
      </c>
      <c r="K29" s="7" t="s">
        <v>2564</v>
      </c>
      <c r="L29" s="7" t="s">
        <v>2494</v>
      </c>
      <c r="M29" s="7" t="s">
        <v>2565</v>
      </c>
      <c r="N29" s="7" t="s">
        <v>2566</v>
      </c>
      <c r="O29" s="7" t="s">
        <v>2567</v>
      </c>
      <c r="P29" s="7" t="s">
        <v>190</v>
      </c>
      <c r="Q29" s="7" t="s">
        <v>2568</v>
      </c>
      <c r="R29" s="7" t="s">
        <v>2569</v>
      </c>
      <c r="S29" s="7" t="s">
        <v>2499</v>
      </c>
      <c r="T29" s="7" t="s">
        <v>2570</v>
      </c>
      <c r="U29" s="18" t="n">
        <v>2885</v>
      </c>
      <c r="V29" s="7"/>
      <c r="W29" s="7"/>
      <c r="X29" s="7" t="s">
        <v>199</v>
      </c>
      <c r="Y29" s="22" t="n">
        <v>1.192</v>
      </c>
      <c r="Z29" s="22" t="n">
        <v>1.827</v>
      </c>
      <c r="AA29" s="22" t="n">
        <v>24</v>
      </c>
      <c r="AB29" s="7" t="s">
        <v>2494</v>
      </c>
      <c r="AC29" s="7" t="s">
        <v>2571</v>
      </c>
      <c r="AD29" s="22" t="s">
        <v>197</v>
      </c>
      <c r="AE29" s="22" t="s">
        <v>197</v>
      </c>
      <c r="AF29" s="22" t="s">
        <v>197</v>
      </c>
      <c r="AG29" s="22" t="s">
        <v>197</v>
      </c>
      <c r="AH29" s="22" t="s">
        <v>197</v>
      </c>
      <c r="AI29" s="22" t="s">
        <v>197</v>
      </c>
      <c r="AJ29" s="22" t="n">
        <v>1000</v>
      </c>
      <c r="AK29" s="22" t="s">
        <v>197</v>
      </c>
      <c r="AL29" s="22" t="s">
        <v>197</v>
      </c>
      <c r="AM29" s="22" t="s">
        <v>197</v>
      </c>
      <c r="AN29" s="7" t="s">
        <v>2572</v>
      </c>
      <c r="AO29" s="22" t="s">
        <v>197</v>
      </c>
      <c r="AP29" s="22" t="n">
        <v>2.5</v>
      </c>
      <c r="AQ29" s="22" t="n">
        <v>25</v>
      </c>
    </row>
    <row r="30" customFormat="false" ht="21.75" hidden="false" customHeight="true" outlineLevel="0" collapsed="false">
      <c r="B30" s="15" t="n">
        <v>26</v>
      </c>
      <c r="C30" s="9" t="s">
        <v>78</v>
      </c>
      <c r="D30" s="9" t="s">
        <v>20</v>
      </c>
      <c r="E30" s="9" t="s">
        <v>116</v>
      </c>
      <c r="F30" s="9" t="s">
        <v>100</v>
      </c>
      <c r="G30" s="9" t="s">
        <v>2575</v>
      </c>
      <c r="H30" s="9" t="s">
        <v>2576</v>
      </c>
      <c r="I30" s="9" t="s">
        <v>2562</v>
      </c>
      <c r="J30" s="9" t="s">
        <v>2563</v>
      </c>
      <c r="K30" s="9" t="s">
        <v>2564</v>
      </c>
      <c r="L30" s="9" t="s">
        <v>2494</v>
      </c>
      <c r="M30" s="9" t="s">
        <v>2565</v>
      </c>
      <c r="N30" s="9" t="s">
        <v>2566</v>
      </c>
      <c r="O30" s="9" t="s">
        <v>2567</v>
      </c>
      <c r="P30" s="9" t="s">
        <v>190</v>
      </c>
      <c r="Q30" s="9" t="s">
        <v>2568</v>
      </c>
      <c r="R30" s="9" t="s">
        <v>2569</v>
      </c>
      <c r="S30" s="9" t="s">
        <v>2499</v>
      </c>
      <c r="T30" s="9" t="s">
        <v>2570</v>
      </c>
      <c r="U30" s="19" t="n">
        <v>3850</v>
      </c>
      <c r="V30" s="9"/>
      <c r="W30" s="9"/>
      <c r="X30" s="9" t="s">
        <v>2577</v>
      </c>
      <c r="Y30" s="23" t="n">
        <v>1.241</v>
      </c>
      <c r="Z30" s="23" t="n">
        <v>1.906</v>
      </c>
      <c r="AA30" s="23" t="n">
        <v>24</v>
      </c>
      <c r="AB30" s="9" t="s">
        <v>2494</v>
      </c>
      <c r="AC30" s="9" t="s">
        <v>2571</v>
      </c>
      <c r="AD30" s="23" t="s">
        <v>197</v>
      </c>
      <c r="AE30" s="23" t="s">
        <v>197</v>
      </c>
      <c r="AF30" s="23" t="s">
        <v>197</v>
      </c>
      <c r="AG30" s="23" t="s">
        <v>197</v>
      </c>
      <c r="AH30" s="23" t="s">
        <v>197</v>
      </c>
      <c r="AI30" s="23" t="s">
        <v>197</v>
      </c>
      <c r="AJ30" s="23" t="n">
        <v>1600</v>
      </c>
      <c r="AK30" s="23" t="s">
        <v>197</v>
      </c>
      <c r="AL30" s="23" t="s">
        <v>197</v>
      </c>
      <c r="AM30" s="23" t="s">
        <v>197</v>
      </c>
      <c r="AN30" s="9" t="s">
        <v>2572</v>
      </c>
      <c r="AO30" s="23" t="s">
        <v>197</v>
      </c>
      <c r="AP30" s="23" t="n">
        <v>2.5</v>
      </c>
      <c r="AQ30" s="23" t="n">
        <v>25</v>
      </c>
    </row>
    <row r="31" customFormat="false" ht="21.75" hidden="false" customHeight="true" outlineLevel="0" collapsed="false">
      <c r="B31" s="14" t="n">
        <v>27</v>
      </c>
      <c r="C31" s="7" t="s">
        <v>78</v>
      </c>
      <c r="D31" s="7" t="s">
        <v>20</v>
      </c>
      <c r="E31" s="7" t="s">
        <v>116</v>
      </c>
      <c r="F31" s="7" t="s">
        <v>100</v>
      </c>
      <c r="G31" s="7" t="s">
        <v>2578</v>
      </c>
      <c r="H31" s="7" t="s">
        <v>2579</v>
      </c>
      <c r="I31" s="7" t="s">
        <v>2562</v>
      </c>
      <c r="J31" s="7" t="s">
        <v>2563</v>
      </c>
      <c r="K31" s="7" t="s">
        <v>2564</v>
      </c>
      <c r="L31" s="7" t="s">
        <v>2494</v>
      </c>
      <c r="M31" s="7" t="s">
        <v>2565</v>
      </c>
      <c r="N31" s="7" t="s">
        <v>2566</v>
      </c>
      <c r="O31" s="7" t="s">
        <v>2567</v>
      </c>
      <c r="P31" s="7" t="s">
        <v>190</v>
      </c>
      <c r="Q31" s="7" t="s">
        <v>2568</v>
      </c>
      <c r="R31" s="7" t="s">
        <v>2569</v>
      </c>
      <c r="S31" s="7" t="s">
        <v>2499</v>
      </c>
      <c r="T31" s="7" t="s">
        <v>2570</v>
      </c>
      <c r="U31" s="18" t="n">
        <v>5775</v>
      </c>
      <c r="V31" s="7"/>
      <c r="W31" s="7"/>
      <c r="X31" s="7" t="s">
        <v>203</v>
      </c>
      <c r="Y31" s="22" t="n">
        <v>0.909</v>
      </c>
      <c r="Z31" s="22" t="n">
        <v>1.374</v>
      </c>
      <c r="AA31" s="22" t="n">
        <v>24</v>
      </c>
      <c r="AB31" s="7" t="s">
        <v>2494</v>
      </c>
      <c r="AC31" s="7" t="s">
        <v>2571</v>
      </c>
      <c r="AD31" s="22" t="s">
        <v>197</v>
      </c>
      <c r="AE31" s="22" t="s">
        <v>197</v>
      </c>
      <c r="AF31" s="22" t="s">
        <v>197</v>
      </c>
      <c r="AG31" s="22" t="s">
        <v>197</v>
      </c>
      <c r="AH31" s="22" t="s">
        <v>197</v>
      </c>
      <c r="AI31" s="22" t="s">
        <v>197</v>
      </c>
      <c r="AJ31" s="22" t="n">
        <v>2000</v>
      </c>
      <c r="AK31" s="22" t="s">
        <v>197</v>
      </c>
      <c r="AL31" s="22" t="s">
        <v>197</v>
      </c>
      <c r="AM31" s="22" t="s">
        <v>197</v>
      </c>
      <c r="AN31" s="7" t="s">
        <v>2572</v>
      </c>
      <c r="AO31" s="22" t="s">
        <v>197</v>
      </c>
      <c r="AP31" s="22" t="n">
        <v>2.5</v>
      </c>
      <c r="AQ31" s="22" t="n">
        <v>25</v>
      </c>
    </row>
    <row r="32" customFormat="false" ht="21.75" hidden="false" customHeight="true" outlineLevel="0" collapsed="false">
      <c r="B32" s="15" t="n">
        <v>28</v>
      </c>
      <c r="C32" s="9" t="s">
        <v>78</v>
      </c>
      <c r="D32" s="9" t="s">
        <v>20</v>
      </c>
      <c r="E32" s="9" t="s">
        <v>116</v>
      </c>
      <c r="F32" s="9" t="s">
        <v>100</v>
      </c>
      <c r="G32" s="9" t="s">
        <v>2580</v>
      </c>
      <c r="H32" s="9" t="s">
        <v>2581</v>
      </c>
      <c r="I32" s="9" t="s">
        <v>2562</v>
      </c>
      <c r="J32" s="9" t="s">
        <v>2563</v>
      </c>
      <c r="K32" s="9" t="s">
        <v>2564</v>
      </c>
      <c r="L32" s="9" t="s">
        <v>2494</v>
      </c>
      <c r="M32" s="9" t="s">
        <v>2565</v>
      </c>
      <c r="N32" s="9" t="s">
        <v>2566</v>
      </c>
      <c r="O32" s="9" t="s">
        <v>2567</v>
      </c>
      <c r="P32" s="9" t="s">
        <v>190</v>
      </c>
      <c r="Q32" s="9" t="s">
        <v>2568</v>
      </c>
      <c r="R32" s="9" t="s">
        <v>2569</v>
      </c>
      <c r="S32" s="9" t="s">
        <v>2499</v>
      </c>
      <c r="T32" s="9" t="s">
        <v>2570</v>
      </c>
      <c r="U32" s="19" t="n">
        <v>8470</v>
      </c>
      <c r="V32" s="9"/>
      <c r="W32" s="9"/>
      <c r="X32" s="9" t="s">
        <v>205</v>
      </c>
      <c r="Y32" s="23" t="n">
        <v>1.274</v>
      </c>
      <c r="Z32" s="23" t="n">
        <v>1.959</v>
      </c>
      <c r="AA32" s="23" t="n">
        <v>24</v>
      </c>
      <c r="AB32" s="9" t="s">
        <v>2494</v>
      </c>
      <c r="AC32" s="9" t="s">
        <v>2571</v>
      </c>
      <c r="AD32" s="23" t="s">
        <v>197</v>
      </c>
      <c r="AE32" s="23" t="s">
        <v>197</v>
      </c>
      <c r="AF32" s="23" t="s">
        <v>197</v>
      </c>
      <c r="AG32" s="23" t="s">
        <v>197</v>
      </c>
      <c r="AH32" s="23" t="s">
        <v>197</v>
      </c>
      <c r="AI32" s="23" t="s">
        <v>197</v>
      </c>
      <c r="AJ32" s="23" t="n">
        <v>2500</v>
      </c>
      <c r="AK32" s="23" t="s">
        <v>197</v>
      </c>
      <c r="AL32" s="23" t="s">
        <v>197</v>
      </c>
      <c r="AM32" s="23" t="s">
        <v>197</v>
      </c>
      <c r="AN32" s="9" t="s">
        <v>2572</v>
      </c>
      <c r="AO32" s="23" t="s">
        <v>197</v>
      </c>
      <c r="AP32" s="23" t="n">
        <v>2.5</v>
      </c>
      <c r="AQ32" s="23" t="n">
        <v>25</v>
      </c>
    </row>
    <row r="33" customFormat="false" ht="21.75" hidden="false" customHeight="true" outlineLevel="0" collapsed="false">
      <c r="B33" s="14" t="n">
        <v>29</v>
      </c>
      <c r="C33" s="7" t="s">
        <v>78</v>
      </c>
      <c r="D33" s="7" t="s">
        <v>20</v>
      </c>
      <c r="E33" s="7" t="s">
        <v>116</v>
      </c>
      <c r="F33" s="7" t="s">
        <v>101</v>
      </c>
      <c r="G33" s="7" t="s">
        <v>2582</v>
      </c>
      <c r="H33" s="7" t="s">
        <v>2583</v>
      </c>
      <c r="I33" s="7" t="s">
        <v>2584</v>
      </c>
      <c r="J33" s="7" t="s">
        <v>2585</v>
      </c>
      <c r="K33" s="7" t="s">
        <v>2513</v>
      </c>
      <c r="L33" s="7" t="s">
        <v>2494</v>
      </c>
      <c r="M33" s="7" t="s">
        <v>2514</v>
      </c>
      <c r="N33" s="7" t="s">
        <v>189</v>
      </c>
      <c r="O33" s="7" t="s">
        <v>189</v>
      </c>
      <c r="P33" s="7" t="s">
        <v>190</v>
      </c>
      <c r="Q33" s="7" t="s">
        <v>2586</v>
      </c>
      <c r="R33" s="7" t="s">
        <v>2587</v>
      </c>
      <c r="S33" s="7" t="s">
        <v>2499</v>
      </c>
      <c r="T33" s="7" t="s">
        <v>2588</v>
      </c>
      <c r="U33" s="18" t="n">
        <v>490</v>
      </c>
      <c r="V33" s="7"/>
      <c r="W33" s="7"/>
      <c r="X33" s="7" t="s">
        <v>195</v>
      </c>
      <c r="Y33" s="22" t="n">
        <v>0.053</v>
      </c>
      <c r="Z33" s="22" t="n">
        <v>0.073</v>
      </c>
      <c r="AA33" s="22" t="n">
        <v>24</v>
      </c>
      <c r="AB33" s="7" t="s">
        <v>2494</v>
      </c>
      <c r="AC33" s="7" t="s">
        <v>2589</v>
      </c>
      <c r="AD33" s="22" t="s">
        <v>197</v>
      </c>
      <c r="AE33" s="22" t="s">
        <v>197</v>
      </c>
      <c r="AF33" s="22" t="s">
        <v>197</v>
      </c>
      <c r="AG33" s="22" t="s">
        <v>197</v>
      </c>
      <c r="AH33" s="22" t="s">
        <v>197</v>
      </c>
      <c r="AI33" s="22" t="s">
        <v>197</v>
      </c>
      <c r="AJ33" s="22" t="n">
        <v>650</v>
      </c>
      <c r="AK33" s="22" t="s">
        <v>197</v>
      </c>
      <c r="AL33" s="22" t="n">
        <v>50</v>
      </c>
      <c r="AM33" s="22" t="s">
        <v>197</v>
      </c>
      <c r="AN33" s="7" t="s">
        <v>2590</v>
      </c>
      <c r="AO33" s="22" t="s">
        <v>197</v>
      </c>
      <c r="AP33" s="22" t="n">
        <v>6</v>
      </c>
      <c r="AQ33" s="22" t="n">
        <v>50</v>
      </c>
    </row>
    <row r="34" customFormat="false" ht="21.75" hidden="false" customHeight="true" outlineLevel="0" collapsed="false">
      <c r="B34" s="15" t="n">
        <v>30</v>
      </c>
      <c r="C34" s="9" t="s">
        <v>78</v>
      </c>
      <c r="D34" s="9" t="s">
        <v>20</v>
      </c>
      <c r="E34" s="9" t="s">
        <v>116</v>
      </c>
      <c r="F34" s="9" t="s">
        <v>101</v>
      </c>
      <c r="G34" s="9" t="s">
        <v>2591</v>
      </c>
      <c r="H34" s="9" t="s">
        <v>2592</v>
      </c>
      <c r="I34" s="9" t="s">
        <v>2584</v>
      </c>
      <c r="J34" s="9" t="s">
        <v>2585</v>
      </c>
      <c r="K34" s="9" t="s">
        <v>2513</v>
      </c>
      <c r="L34" s="9" t="s">
        <v>2494</v>
      </c>
      <c r="M34" s="9" t="s">
        <v>2514</v>
      </c>
      <c r="N34" s="9" t="s">
        <v>189</v>
      </c>
      <c r="O34" s="9" t="s">
        <v>189</v>
      </c>
      <c r="P34" s="9" t="s">
        <v>190</v>
      </c>
      <c r="Q34" s="9" t="s">
        <v>2586</v>
      </c>
      <c r="R34" s="9" t="s">
        <v>2587</v>
      </c>
      <c r="S34" s="9" t="s">
        <v>2499</v>
      </c>
      <c r="T34" s="9" t="s">
        <v>2588</v>
      </c>
      <c r="U34" s="19" t="n">
        <v>735</v>
      </c>
      <c r="V34" s="9"/>
      <c r="W34" s="9"/>
      <c r="X34" s="9" t="s">
        <v>199</v>
      </c>
      <c r="Y34" s="23" t="n">
        <v>0.054</v>
      </c>
      <c r="Z34" s="23" t="n">
        <v>0.074</v>
      </c>
      <c r="AA34" s="23" t="n">
        <v>24</v>
      </c>
      <c r="AB34" s="9" t="s">
        <v>2494</v>
      </c>
      <c r="AC34" s="9" t="s">
        <v>2589</v>
      </c>
      <c r="AD34" s="23" t="s">
        <v>197</v>
      </c>
      <c r="AE34" s="23" t="s">
        <v>197</v>
      </c>
      <c r="AF34" s="23" t="s">
        <v>197</v>
      </c>
      <c r="AG34" s="23" t="s">
        <v>197</v>
      </c>
      <c r="AH34" s="23" t="s">
        <v>197</v>
      </c>
      <c r="AI34" s="23" t="s">
        <v>197</v>
      </c>
      <c r="AJ34" s="23" t="n">
        <v>910</v>
      </c>
      <c r="AK34" s="23" t="s">
        <v>197</v>
      </c>
      <c r="AL34" s="23" t="n">
        <v>70</v>
      </c>
      <c r="AM34" s="23" t="s">
        <v>197</v>
      </c>
      <c r="AN34" s="9" t="s">
        <v>2590</v>
      </c>
      <c r="AO34" s="23" t="s">
        <v>197</v>
      </c>
      <c r="AP34" s="23" t="n">
        <v>6</v>
      </c>
      <c r="AQ34" s="23" t="n">
        <v>70</v>
      </c>
    </row>
    <row r="35" customFormat="false" ht="21.75" hidden="false" customHeight="true" outlineLevel="0" collapsed="false">
      <c r="B35" s="14" t="n">
        <v>31</v>
      </c>
      <c r="C35" s="7" t="s">
        <v>78</v>
      </c>
      <c r="D35" s="7" t="s">
        <v>20</v>
      </c>
      <c r="E35" s="7" t="s">
        <v>116</v>
      </c>
      <c r="F35" s="7" t="s">
        <v>101</v>
      </c>
      <c r="G35" s="7" t="s">
        <v>2593</v>
      </c>
      <c r="H35" s="7" t="s">
        <v>2594</v>
      </c>
      <c r="I35" s="7" t="s">
        <v>2584</v>
      </c>
      <c r="J35" s="7" t="s">
        <v>2585</v>
      </c>
      <c r="K35" s="7" t="s">
        <v>2513</v>
      </c>
      <c r="L35" s="7" t="s">
        <v>2494</v>
      </c>
      <c r="M35" s="7" t="s">
        <v>2514</v>
      </c>
      <c r="N35" s="7" t="s">
        <v>189</v>
      </c>
      <c r="O35" s="7" t="s">
        <v>189</v>
      </c>
      <c r="P35" s="7" t="s">
        <v>190</v>
      </c>
      <c r="Q35" s="7" t="s">
        <v>2586</v>
      </c>
      <c r="R35" s="7" t="s">
        <v>2587</v>
      </c>
      <c r="S35" s="7" t="s">
        <v>2499</v>
      </c>
      <c r="T35" s="7" t="s">
        <v>2588</v>
      </c>
      <c r="U35" s="18" t="n">
        <v>985</v>
      </c>
      <c r="V35" s="7"/>
      <c r="W35" s="7"/>
      <c r="X35" s="7" t="s">
        <v>2595</v>
      </c>
      <c r="Y35" s="22" t="n">
        <v>0.048</v>
      </c>
      <c r="Z35" s="22" t="n">
        <v>0.068</v>
      </c>
      <c r="AA35" s="22" t="n">
        <v>24</v>
      </c>
      <c r="AB35" s="7" t="s">
        <v>2494</v>
      </c>
      <c r="AC35" s="7" t="s">
        <v>2589</v>
      </c>
      <c r="AD35" s="22" t="s">
        <v>197</v>
      </c>
      <c r="AE35" s="22" t="s">
        <v>197</v>
      </c>
      <c r="AF35" s="22" t="s">
        <v>197</v>
      </c>
      <c r="AG35" s="22" t="s">
        <v>197</v>
      </c>
      <c r="AH35" s="22" t="s">
        <v>197</v>
      </c>
      <c r="AI35" s="22" t="s">
        <v>197</v>
      </c>
      <c r="AJ35" s="22" t="n">
        <v>1200</v>
      </c>
      <c r="AK35" s="22" t="s">
        <v>197</v>
      </c>
      <c r="AL35" s="22" t="n">
        <v>100</v>
      </c>
      <c r="AM35" s="22" t="s">
        <v>197</v>
      </c>
      <c r="AN35" s="7" t="s">
        <v>2590</v>
      </c>
      <c r="AO35" s="22" t="s">
        <v>197</v>
      </c>
      <c r="AP35" s="22" t="n">
        <v>6</v>
      </c>
      <c r="AQ35" s="22" t="n">
        <v>100</v>
      </c>
    </row>
    <row r="36" customFormat="false" ht="21.75" hidden="false" customHeight="true" outlineLevel="0" collapsed="false">
      <c r="B36" s="15" t="n">
        <v>32</v>
      </c>
      <c r="C36" s="9" t="s">
        <v>78</v>
      </c>
      <c r="D36" s="9" t="s">
        <v>20</v>
      </c>
      <c r="E36" s="9" t="s">
        <v>116</v>
      </c>
      <c r="F36" s="9" t="s">
        <v>101</v>
      </c>
      <c r="G36" s="9" t="s">
        <v>2596</v>
      </c>
      <c r="H36" s="9" t="s">
        <v>2597</v>
      </c>
      <c r="I36" s="9" t="s">
        <v>2584</v>
      </c>
      <c r="J36" s="9" t="s">
        <v>2585</v>
      </c>
      <c r="K36" s="9" t="s">
        <v>2513</v>
      </c>
      <c r="L36" s="9" t="s">
        <v>2494</v>
      </c>
      <c r="M36" s="9" t="s">
        <v>2514</v>
      </c>
      <c r="N36" s="9" t="s">
        <v>189</v>
      </c>
      <c r="O36" s="9" t="s">
        <v>189</v>
      </c>
      <c r="P36" s="9" t="s">
        <v>190</v>
      </c>
      <c r="Q36" s="9" t="s">
        <v>2586</v>
      </c>
      <c r="R36" s="9" t="s">
        <v>2587</v>
      </c>
      <c r="S36" s="9" t="s">
        <v>2499</v>
      </c>
      <c r="T36" s="9" t="s">
        <v>2588</v>
      </c>
      <c r="U36" s="19" t="n">
        <v>1475</v>
      </c>
      <c r="V36" s="9"/>
      <c r="W36" s="9"/>
      <c r="X36" s="9" t="s">
        <v>203</v>
      </c>
      <c r="Y36" s="23" t="n">
        <v>0.04</v>
      </c>
      <c r="Z36" s="23" t="n">
        <v>0.06</v>
      </c>
      <c r="AA36" s="23" t="n">
        <v>24</v>
      </c>
      <c r="AB36" s="9" t="s">
        <v>2494</v>
      </c>
      <c r="AC36" s="9" t="s">
        <v>2589</v>
      </c>
      <c r="AD36" s="23" t="s">
        <v>197</v>
      </c>
      <c r="AE36" s="23" t="s">
        <v>197</v>
      </c>
      <c r="AF36" s="23" t="s">
        <v>197</v>
      </c>
      <c r="AG36" s="23" t="s">
        <v>197</v>
      </c>
      <c r="AH36" s="23" t="s">
        <v>197</v>
      </c>
      <c r="AI36" s="23" t="s">
        <v>197</v>
      </c>
      <c r="AJ36" s="23" t="n">
        <v>1000</v>
      </c>
      <c r="AK36" s="23" t="s">
        <v>197</v>
      </c>
      <c r="AL36" s="23" t="n">
        <v>100</v>
      </c>
      <c r="AM36" s="23" t="s">
        <v>197</v>
      </c>
      <c r="AN36" s="9" t="s">
        <v>2590</v>
      </c>
      <c r="AO36" s="23" t="s">
        <v>197</v>
      </c>
      <c r="AP36" s="23" t="n">
        <v>6</v>
      </c>
      <c r="AQ36" s="23" t="n">
        <v>100</v>
      </c>
    </row>
    <row r="37" customFormat="false" ht="21.75" hidden="false" customHeight="true" outlineLevel="0" collapsed="false">
      <c r="B37" s="14" t="n">
        <v>33</v>
      </c>
      <c r="C37" s="7" t="s">
        <v>78</v>
      </c>
      <c r="D37" s="7" t="s">
        <v>20</v>
      </c>
      <c r="E37" s="7" t="s">
        <v>116</v>
      </c>
      <c r="F37" s="7" t="s">
        <v>101</v>
      </c>
      <c r="G37" s="7" t="s">
        <v>2598</v>
      </c>
      <c r="H37" s="7" t="s">
        <v>2599</v>
      </c>
      <c r="I37" s="7" t="s">
        <v>2584</v>
      </c>
      <c r="J37" s="7" t="s">
        <v>2585</v>
      </c>
      <c r="K37" s="7" t="s">
        <v>2513</v>
      </c>
      <c r="L37" s="7" t="s">
        <v>2494</v>
      </c>
      <c r="M37" s="7" t="s">
        <v>2514</v>
      </c>
      <c r="N37" s="7" t="s">
        <v>189</v>
      </c>
      <c r="O37" s="7" t="s">
        <v>189</v>
      </c>
      <c r="P37" s="7" t="s">
        <v>190</v>
      </c>
      <c r="Q37" s="7" t="s">
        <v>2586</v>
      </c>
      <c r="R37" s="7" t="s">
        <v>2587</v>
      </c>
      <c r="S37" s="7" t="s">
        <v>2499</v>
      </c>
      <c r="T37" s="7" t="s">
        <v>2588</v>
      </c>
      <c r="U37" s="18" t="n">
        <v>2165</v>
      </c>
      <c r="V37" s="7"/>
      <c r="W37" s="7"/>
      <c r="X37" s="7" t="s">
        <v>205</v>
      </c>
      <c r="Y37" s="22" t="n">
        <v>0.047</v>
      </c>
      <c r="Z37" s="22" t="n">
        <v>0.067</v>
      </c>
      <c r="AA37" s="22" t="n">
        <v>24</v>
      </c>
      <c r="AB37" s="7" t="s">
        <v>2494</v>
      </c>
      <c r="AC37" s="7" t="s">
        <v>2589</v>
      </c>
      <c r="AD37" s="22" t="s">
        <v>197</v>
      </c>
      <c r="AE37" s="22" t="s">
        <v>197</v>
      </c>
      <c r="AF37" s="22" t="s">
        <v>197</v>
      </c>
      <c r="AG37" s="22" t="s">
        <v>197</v>
      </c>
      <c r="AH37" s="22" t="s">
        <v>197</v>
      </c>
      <c r="AI37" s="22" t="s">
        <v>197</v>
      </c>
      <c r="AJ37" s="22" t="n">
        <v>1650</v>
      </c>
      <c r="AK37" s="22" t="s">
        <v>197</v>
      </c>
      <c r="AL37" s="22" t="n">
        <v>150</v>
      </c>
      <c r="AM37" s="22" t="s">
        <v>197</v>
      </c>
      <c r="AN37" s="7" t="s">
        <v>2590</v>
      </c>
      <c r="AO37" s="22" t="s">
        <v>197</v>
      </c>
      <c r="AP37" s="22" t="n">
        <v>6</v>
      </c>
      <c r="AQ37" s="22" t="n">
        <v>150</v>
      </c>
    </row>
    <row r="38" customFormat="false" ht="21.75" hidden="false" customHeight="true" outlineLevel="0" collapsed="false">
      <c r="B38" s="15" t="n">
        <v>34</v>
      </c>
      <c r="C38" s="9" t="s">
        <v>78</v>
      </c>
      <c r="D38" s="9" t="s">
        <v>20</v>
      </c>
      <c r="E38" s="9" t="s">
        <v>116</v>
      </c>
      <c r="F38" s="9" t="s">
        <v>102</v>
      </c>
      <c r="G38" s="9" t="s">
        <v>2600</v>
      </c>
      <c r="H38" s="9" t="s">
        <v>2601</v>
      </c>
      <c r="I38" s="9" t="s">
        <v>2602</v>
      </c>
      <c r="J38" s="9" t="s">
        <v>2603</v>
      </c>
      <c r="K38" s="9" t="s">
        <v>2513</v>
      </c>
      <c r="L38" s="9" t="s">
        <v>2494</v>
      </c>
      <c r="M38" s="9" t="s">
        <v>2514</v>
      </c>
      <c r="N38" s="9" t="s">
        <v>189</v>
      </c>
      <c r="O38" s="9" t="s">
        <v>189</v>
      </c>
      <c r="P38" s="9" t="s">
        <v>190</v>
      </c>
      <c r="Q38" s="9" t="s">
        <v>2604</v>
      </c>
      <c r="R38" s="9" t="s">
        <v>838</v>
      </c>
      <c r="S38" s="9" t="s">
        <v>2499</v>
      </c>
      <c r="T38" s="9" t="s">
        <v>2605</v>
      </c>
      <c r="U38" s="19" t="n">
        <v>30</v>
      </c>
      <c r="V38" s="9"/>
      <c r="W38" s="9"/>
      <c r="X38" s="9" t="s">
        <v>195</v>
      </c>
      <c r="Y38" s="23" t="n">
        <v>0.00020742</v>
      </c>
      <c r="Z38" s="23" t="n">
        <v>0.003</v>
      </c>
      <c r="AA38" s="23" t="n">
        <v>24</v>
      </c>
      <c r="AB38" s="9" t="s">
        <v>2494</v>
      </c>
      <c r="AC38" s="9" t="s">
        <v>2517</v>
      </c>
      <c r="AD38" s="23" t="s">
        <v>197</v>
      </c>
      <c r="AE38" s="23" t="s">
        <v>197</v>
      </c>
      <c r="AF38" s="23" t="s">
        <v>197</v>
      </c>
      <c r="AG38" s="23" t="s">
        <v>197</v>
      </c>
      <c r="AH38" s="23" t="s">
        <v>197</v>
      </c>
      <c r="AI38" s="23" t="s">
        <v>197</v>
      </c>
      <c r="AJ38" s="23" t="s">
        <v>197</v>
      </c>
      <c r="AK38" s="23" t="s">
        <v>197</v>
      </c>
      <c r="AL38" s="23" t="s">
        <v>197</v>
      </c>
      <c r="AM38" s="23" t="s">
        <v>197</v>
      </c>
      <c r="AN38" s="9" t="s">
        <v>197</v>
      </c>
      <c r="AO38" s="23" t="s">
        <v>197</v>
      </c>
      <c r="AP38" s="23" t="n">
        <v>1.05</v>
      </c>
      <c r="AQ38" s="23" t="n">
        <v>1.4</v>
      </c>
    </row>
    <row r="39" customFormat="false" ht="21.75" hidden="false" customHeight="true" outlineLevel="0" collapsed="false">
      <c r="B39" s="14" t="n">
        <v>35</v>
      </c>
      <c r="C39" s="7" t="s">
        <v>78</v>
      </c>
      <c r="D39" s="7" t="s">
        <v>20</v>
      </c>
      <c r="E39" s="7" t="s">
        <v>116</v>
      </c>
      <c r="F39" s="7" t="s">
        <v>102</v>
      </c>
      <c r="G39" s="7" t="s">
        <v>2606</v>
      </c>
      <c r="H39" s="7" t="s">
        <v>2607</v>
      </c>
      <c r="I39" s="7" t="s">
        <v>2602</v>
      </c>
      <c r="J39" s="7" t="s">
        <v>2603</v>
      </c>
      <c r="K39" s="7" t="s">
        <v>2513</v>
      </c>
      <c r="L39" s="7" t="s">
        <v>2494</v>
      </c>
      <c r="M39" s="7" t="s">
        <v>2514</v>
      </c>
      <c r="N39" s="7" t="s">
        <v>189</v>
      </c>
      <c r="O39" s="7" t="s">
        <v>189</v>
      </c>
      <c r="P39" s="7" t="s">
        <v>190</v>
      </c>
      <c r="Q39" s="7" t="s">
        <v>2604</v>
      </c>
      <c r="R39" s="7" t="s">
        <v>838</v>
      </c>
      <c r="S39" s="7" t="s">
        <v>2499</v>
      </c>
      <c r="T39" s="7" t="s">
        <v>2605</v>
      </c>
      <c r="U39" s="18" t="n">
        <v>50</v>
      </c>
      <c r="V39" s="7"/>
      <c r="W39" s="7"/>
      <c r="X39" s="7" t="s">
        <v>199</v>
      </c>
      <c r="Y39" s="22" t="n">
        <v>0.0003278</v>
      </c>
      <c r="Z39" s="22" t="n">
        <v>0.004</v>
      </c>
      <c r="AA39" s="22" t="n">
        <v>24</v>
      </c>
      <c r="AB39" s="7" t="s">
        <v>2494</v>
      </c>
      <c r="AC39" s="7" t="s">
        <v>2517</v>
      </c>
      <c r="AD39" s="22" t="s">
        <v>197</v>
      </c>
      <c r="AE39" s="22" t="s">
        <v>197</v>
      </c>
      <c r="AF39" s="22" t="s">
        <v>197</v>
      </c>
      <c r="AG39" s="22" t="s">
        <v>197</v>
      </c>
      <c r="AH39" s="22" t="s">
        <v>197</v>
      </c>
      <c r="AI39" s="22" t="s">
        <v>197</v>
      </c>
      <c r="AJ39" s="22" t="s">
        <v>197</v>
      </c>
      <c r="AK39" s="22" t="s">
        <v>197</v>
      </c>
      <c r="AL39" s="22" t="s">
        <v>197</v>
      </c>
      <c r="AM39" s="22" t="s">
        <v>197</v>
      </c>
      <c r="AN39" s="7" t="s">
        <v>197</v>
      </c>
      <c r="AO39" s="22" t="s">
        <v>197</v>
      </c>
      <c r="AP39" s="22" t="n">
        <v>1.05</v>
      </c>
      <c r="AQ39" s="22" t="n">
        <v>1.4</v>
      </c>
    </row>
    <row r="40" customFormat="false" ht="21.75" hidden="false" customHeight="true" outlineLevel="0" collapsed="false">
      <c r="B40" s="15" t="n">
        <v>36</v>
      </c>
      <c r="C40" s="9" t="s">
        <v>78</v>
      </c>
      <c r="D40" s="9" t="s">
        <v>20</v>
      </c>
      <c r="E40" s="9" t="s">
        <v>116</v>
      </c>
      <c r="F40" s="9" t="s">
        <v>102</v>
      </c>
      <c r="G40" s="9" t="s">
        <v>2608</v>
      </c>
      <c r="H40" s="9" t="s">
        <v>2609</v>
      </c>
      <c r="I40" s="9" t="s">
        <v>2602</v>
      </c>
      <c r="J40" s="9" t="s">
        <v>2603</v>
      </c>
      <c r="K40" s="9" t="s">
        <v>2513</v>
      </c>
      <c r="L40" s="9" t="s">
        <v>2494</v>
      </c>
      <c r="M40" s="9" t="s">
        <v>2514</v>
      </c>
      <c r="N40" s="9" t="s">
        <v>189</v>
      </c>
      <c r="O40" s="9" t="s">
        <v>189</v>
      </c>
      <c r="P40" s="9" t="s">
        <v>190</v>
      </c>
      <c r="Q40" s="9" t="s">
        <v>2604</v>
      </c>
      <c r="R40" s="9" t="s">
        <v>838</v>
      </c>
      <c r="S40" s="9" t="s">
        <v>2499</v>
      </c>
      <c r="T40" s="9" t="s">
        <v>2605</v>
      </c>
      <c r="U40" s="19" t="n">
        <v>65</v>
      </c>
      <c r="V40" s="9"/>
      <c r="W40" s="9"/>
      <c r="X40" s="9" t="s">
        <v>2610</v>
      </c>
      <c r="Y40" s="23" t="n">
        <v>0.00034486</v>
      </c>
      <c r="Z40" s="23" t="n">
        <v>0.004</v>
      </c>
      <c r="AA40" s="23" t="n">
        <v>24</v>
      </c>
      <c r="AB40" s="9" t="s">
        <v>2494</v>
      </c>
      <c r="AC40" s="9" t="s">
        <v>2517</v>
      </c>
      <c r="AD40" s="23" t="s">
        <v>197</v>
      </c>
      <c r="AE40" s="23" t="s">
        <v>197</v>
      </c>
      <c r="AF40" s="23" t="s">
        <v>197</v>
      </c>
      <c r="AG40" s="23" t="s">
        <v>197</v>
      </c>
      <c r="AH40" s="23" t="s">
        <v>197</v>
      </c>
      <c r="AI40" s="23" t="s">
        <v>197</v>
      </c>
      <c r="AJ40" s="23" t="s">
        <v>197</v>
      </c>
      <c r="AK40" s="23" t="s">
        <v>197</v>
      </c>
      <c r="AL40" s="23" t="s">
        <v>197</v>
      </c>
      <c r="AM40" s="23" t="s">
        <v>197</v>
      </c>
      <c r="AN40" s="9" t="s">
        <v>197</v>
      </c>
      <c r="AO40" s="23" t="s">
        <v>197</v>
      </c>
      <c r="AP40" s="23" t="n">
        <v>1.05</v>
      </c>
      <c r="AQ40" s="23" t="n">
        <v>1.4</v>
      </c>
    </row>
    <row r="41" customFormat="false" ht="21.75" hidden="false" customHeight="true" outlineLevel="0" collapsed="false">
      <c r="B41" s="14" t="n">
        <v>37</v>
      </c>
      <c r="C41" s="7" t="s">
        <v>78</v>
      </c>
      <c r="D41" s="7" t="s">
        <v>20</v>
      </c>
      <c r="E41" s="7" t="s">
        <v>116</v>
      </c>
      <c r="F41" s="7" t="s">
        <v>102</v>
      </c>
      <c r="G41" s="7" t="s">
        <v>2611</v>
      </c>
      <c r="H41" s="7" t="s">
        <v>2612</v>
      </c>
      <c r="I41" s="7" t="s">
        <v>2602</v>
      </c>
      <c r="J41" s="7" t="s">
        <v>2603</v>
      </c>
      <c r="K41" s="7" t="s">
        <v>2513</v>
      </c>
      <c r="L41" s="7" t="s">
        <v>2494</v>
      </c>
      <c r="M41" s="7" t="s">
        <v>2514</v>
      </c>
      <c r="N41" s="7" t="s">
        <v>189</v>
      </c>
      <c r="O41" s="7" t="s">
        <v>189</v>
      </c>
      <c r="P41" s="7" t="s">
        <v>190</v>
      </c>
      <c r="Q41" s="7" t="s">
        <v>2604</v>
      </c>
      <c r="R41" s="7" t="s">
        <v>838</v>
      </c>
      <c r="S41" s="7" t="s">
        <v>2499</v>
      </c>
      <c r="T41" s="7" t="s">
        <v>2605</v>
      </c>
      <c r="U41" s="18" t="n">
        <v>100</v>
      </c>
      <c r="V41" s="7"/>
      <c r="W41" s="7"/>
      <c r="X41" s="7" t="s">
        <v>203</v>
      </c>
      <c r="Y41" s="22" t="n">
        <v>0.0003554</v>
      </c>
      <c r="Z41" s="22" t="n">
        <v>0.005</v>
      </c>
      <c r="AA41" s="22" t="n">
        <v>24</v>
      </c>
      <c r="AB41" s="7" t="s">
        <v>2494</v>
      </c>
      <c r="AC41" s="7" t="s">
        <v>2517</v>
      </c>
      <c r="AD41" s="22" t="s">
        <v>197</v>
      </c>
      <c r="AE41" s="22" t="s">
        <v>197</v>
      </c>
      <c r="AF41" s="22" t="s">
        <v>197</v>
      </c>
      <c r="AG41" s="22" t="s">
        <v>197</v>
      </c>
      <c r="AH41" s="22" t="s">
        <v>197</v>
      </c>
      <c r="AI41" s="22" t="s">
        <v>197</v>
      </c>
      <c r="AJ41" s="22" t="s">
        <v>197</v>
      </c>
      <c r="AK41" s="22" t="s">
        <v>197</v>
      </c>
      <c r="AL41" s="22" t="s">
        <v>197</v>
      </c>
      <c r="AM41" s="22" t="s">
        <v>197</v>
      </c>
      <c r="AN41" s="7" t="s">
        <v>197</v>
      </c>
      <c r="AO41" s="22" t="s">
        <v>197</v>
      </c>
      <c r="AP41" s="22" t="n">
        <v>1.05</v>
      </c>
      <c r="AQ41" s="22" t="n">
        <v>1.4</v>
      </c>
    </row>
    <row r="42" customFormat="false" ht="21.75" hidden="false" customHeight="true" outlineLevel="0" collapsed="false">
      <c r="B42" s="15" t="n">
        <v>38</v>
      </c>
      <c r="C42" s="9" t="s">
        <v>78</v>
      </c>
      <c r="D42" s="9" t="s">
        <v>20</v>
      </c>
      <c r="E42" s="9" t="s">
        <v>116</v>
      </c>
      <c r="F42" s="9" t="s">
        <v>102</v>
      </c>
      <c r="G42" s="9" t="s">
        <v>2613</v>
      </c>
      <c r="H42" s="9" t="s">
        <v>2614</v>
      </c>
      <c r="I42" s="9" t="s">
        <v>2602</v>
      </c>
      <c r="J42" s="9" t="s">
        <v>2603</v>
      </c>
      <c r="K42" s="9" t="s">
        <v>2513</v>
      </c>
      <c r="L42" s="9" t="s">
        <v>2494</v>
      </c>
      <c r="M42" s="9" t="s">
        <v>2514</v>
      </c>
      <c r="N42" s="9" t="s">
        <v>189</v>
      </c>
      <c r="O42" s="9" t="s">
        <v>189</v>
      </c>
      <c r="P42" s="9" t="s">
        <v>190</v>
      </c>
      <c r="Q42" s="9" t="s">
        <v>2604</v>
      </c>
      <c r="R42" s="9" t="s">
        <v>838</v>
      </c>
      <c r="S42" s="9" t="s">
        <v>2499</v>
      </c>
      <c r="T42" s="9" t="s">
        <v>2605</v>
      </c>
      <c r="U42" s="19" t="n">
        <v>145</v>
      </c>
      <c r="V42" s="9"/>
      <c r="W42" s="9"/>
      <c r="X42" s="9" t="s">
        <v>205</v>
      </c>
      <c r="Y42" s="23" t="n">
        <v>0.00020136</v>
      </c>
      <c r="Z42" s="23" t="n">
        <v>0.003</v>
      </c>
      <c r="AA42" s="23" t="n">
        <v>24</v>
      </c>
      <c r="AB42" s="9" t="s">
        <v>2494</v>
      </c>
      <c r="AC42" s="9" t="s">
        <v>2517</v>
      </c>
      <c r="AD42" s="23" t="s">
        <v>197</v>
      </c>
      <c r="AE42" s="23" t="s">
        <v>197</v>
      </c>
      <c r="AF42" s="23" t="s">
        <v>197</v>
      </c>
      <c r="AG42" s="23" t="s">
        <v>197</v>
      </c>
      <c r="AH42" s="23" t="s">
        <v>197</v>
      </c>
      <c r="AI42" s="23" t="s">
        <v>197</v>
      </c>
      <c r="AJ42" s="23" t="s">
        <v>197</v>
      </c>
      <c r="AK42" s="23" t="s">
        <v>197</v>
      </c>
      <c r="AL42" s="23" t="s">
        <v>197</v>
      </c>
      <c r="AM42" s="23" t="s">
        <v>197</v>
      </c>
      <c r="AN42" s="9" t="s">
        <v>197</v>
      </c>
      <c r="AO42" s="23" t="s">
        <v>197</v>
      </c>
      <c r="AP42" s="23" t="n">
        <v>1.05</v>
      </c>
      <c r="AQ42" s="23" t="n">
        <v>1.4</v>
      </c>
    </row>
    <row r="43" customFormat="false" ht="21.75" hidden="false" customHeight="true" outlineLevel="0" collapsed="false">
      <c r="B43" s="14" t="n">
        <v>39</v>
      </c>
      <c r="C43" s="7" t="s">
        <v>78</v>
      </c>
      <c r="D43" s="7" t="s">
        <v>20</v>
      </c>
      <c r="E43" s="7" t="s">
        <v>116</v>
      </c>
      <c r="F43" s="7" t="s">
        <v>103</v>
      </c>
      <c r="G43" s="7" t="s">
        <v>391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18"/>
      <c r="V43" s="7"/>
      <c r="W43" s="7"/>
      <c r="X43" s="7" t="s">
        <v>2615</v>
      </c>
      <c r="Y43" s="22" t="s">
        <v>197</v>
      </c>
      <c r="Z43" s="22" t="s">
        <v>197</v>
      </c>
      <c r="AA43" s="22" t="s">
        <v>197</v>
      </c>
      <c r="AB43" s="7" t="s">
        <v>197</v>
      </c>
      <c r="AC43" s="7" t="s">
        <v>197</v>
      </c>
      <c r="AD43" s="22" t="s">
        <v>197</v>
      </c>
      <c r="AE43" s="22" t="s">
        <v>197</v>
      </c>
      <c r="AF43" s="22" t="s">
        <v>197</v>
      </c>
      <c r="AG43" s="22" t="s">
        <v>197</v>
      </c>
      <c r="AH43" s="22" t="s">
        <v>197</v>
      </c>
      <c r="AI43" s="22" t="s">
        <v>197</v>
      </c>
      <c r="AJ43" s="22" t="s">
        <v>197</v>
      </c>
      <c r="AK43" s="22" t="s">
        <v>197</v>
      </c>
      <c r="AL43" s="22" t="s">
        <v>197</v>
      </c>
      <c r="AM43" s="22" t="s">
        <v>197</v>
      </c>
      <c r="AN43" s="7" t="s">
        <v>197</v>
      </c>
      <c r="AO43" s="22" t="s">
        <v>197</v>
      </c>
      <c r="AP43" s="22" t="s">
        <v>197</v>
      </c>
      <c r="AQ43" s="22" t="s">
        <v>197</v>
      </c>
    </row>
    <row r="44" customFormat="false" ht="21.75" hidden="false" customHeight="true" outlineLevel="0" collapsed="false">
      <c r="B44" s="15" t="n">
        <v>40</v>
      </c>
      <c r="C44" s="9" t="s">
        <v>78</v>
      </c>
      <c r="D44" s="9" t="s">
        <v>20</v>
      </c>
      <c r="E44" s="9" t="s">
        <v>116</v>
      </c>
      <c r="F44" s="9" t="s">
        <v>104</v>
      </c>
      <c r="G44" s="9" t="s">
        <v>2616</v>
      </c>
      <c r="H44" s="9" t="s">
        <v>2617</v>
      </c>
      <c r="I44" s="9" t="s">
        <v>2618</v>
      </c>
      <c r="J44" s="9" t="s">
        <v>2619</v>
      </c>
      <c r="K44" s="9" t="s">
        <v>2513</v>
      </c>
      <c r="L44" s="9" t="s">
        <v>2494</v>
      </c>
      <c r="M44" s="9" t="s">
        <v>2514</v>
      </c>
      <c r="N44" s="9" t="s">
        <v>189</v>
      </c>
      <c r="O44" s="9" t="s">
        <v>189</v>
      </c>
      <c r="P44" s="9" t="s">
        <v>190</v>
      </c>
      <c r="Q44" s="9" t="s">
        <v>2620</v>
      </c>
      <c r="R44" s="9" t="s">
        <v>1048</v>
      </c>
      <c r="S44" s="9" t="s">
        <v>2499</v>
      </c>
      <c r="T44" s="9" t="s">
        <v>2621</v>
      </c>
      <c r="U44" s="19" t="n">
        <v>30</v>
      </c>
      <c r="V44" s="9"/>
      <c r="W44" s="9"/>
      <c r="X44" s="9" t="s">
        <v>195</v>
      </c>
      <c r="Y44" s="23" t="n">
        <v>0.00048252</v>
      </c>
      <c r="Z44" s="23" t="n">
        <v>0.006</v>
      </c>
      <c r="AA44" s="23" t="n">
        <v>24</v>
      </c>
      <c r="AB44" s="9" t="s">
        <v>2494</v>
      </c>
      <c r="AC44" s="9" t="s">
        <v>2517</v>
      </c>
      <c r="AD44" s="23" t="s">
        <v>197</v>
      </c>
      <c r="AE44" s="23" t="s">
        <v>197</v>
      </c>
      <c r="AF44" s="23" t="s">
        <v>197</v>
      </c>
      <c r="AG44" s="23" t="s">
        <v>197</v>
      </c>
      <c r="AH44" s="23" t="s">
        <v>197</v>
      </c>
      <c r="AI44" s="23" t="s">
        <v>197</v>
      </c>
      <c r="AJ44" s="23" t="s">
        <v>197</v>
      </c>
      <c r="AK44" s="23" t="s">
        <v>197</v>
      </c>
      <c r="AL44" s="23" t="s">
        <v>197</v>
      </c>
      <c r="AM44" s="23" t="s">
        <v>197</v>
      </c>
      <c r="AN44" s="9" t="s">
        <v>197</v>
      </c>
      <c r="AO44" s="23" t="s">
        <v>197</v>
      </c>
      <c r="AP44" s="23" t="s">
        <v>197</v>
      </c>
      <c r="AQ44" s="23" t="s">
        <v>197</v>
      </c>
    </row>
    <row r="45" customFormat="false" ht="21.75" hidden="false" customHeight="true" outlineLevel="0" collapsed="false">
      <c r="B45" s="14" t="n">
        <v>41</v>
      </c>
      <c r="C45" s="7" t="s">
        <v>78</v>
      </c>
      <c r="D45" s="7" t="s">
        <v>20</v>
      </c>
      <c r="E45" s="7" t="s">
        <v>116</v>
      </c>
      <c r="F45" s="7" t="s">
        <v>104</v>
      </c>
      <c r="G45" s="7" t="s">
        <v>2622</v>
      </c>
      <c r="H45" s="7" t="s">
        <v>2623</v>
      </c>
      <c r="I45" s="7" t="s">
        <v>2618</v>
      </c>
      <c r="J45" s="7" t="s">
        <v>2619</v>
      </c>
      <c r="K45" s="7" t="s">
        <v>2513</v>
      </c>
      <c r="L45" s="7" t="s">
        <v>2494</v>
      </c>
      <c r="M45" s="7" t="s">
        <v>2514</v>
      </c>
      <c r="N45" s="7" t="s">
        <v>189</v>
      </c>
      <c r="O45" s="7" t="s">
        <v>189</v>
      </c>
      <c r="P45" s="7" t="s">
        <v>190</v>
      </c>
      <c r="Q45" s="7" t="s">
        <v>2620</v>
      </c>
      <c r="R45" s="7" t="s">
        <v>1048</v>
      </c>
      <c r="S45" s="7" t="s">
        <v>2499</v>
      </c>
      <c r="T45" s="7" t="s">
        <v>2621</v>
      </c>
      <c r="U45" s="18" t="n">
        <v>45</v>
      </c>
      <c r="V45" s="7"/>
      <c r="W45" s="7"/>
      <c r="X45" s="7" t="s">
        <v>199</v>
      </c>
      <c r="Y45" s="22" t="n">
        <v>0.00052816</v>
      </c>
      <c r="Z45" s="22" t="n">
        <v>0.007</v>
      </c>
      <c r="AA45" s="22" t="n">
        <v>24</v>
      </c>
      <c r="AB45" s="7" t="s">
        <v>2494</v>
      </c>
      <c r="AC45" s="7" t="s">
        <v>2517</v>
      </c>
      <c r="AD45" s="22" t="s">
        <v>197</v>
      </c>
      <c r="AE45" s="22" t="s">
        <v>197</v>
      </c>
      <c r="AF45" s="22" t="s">
        <v>197</v>
      </c>
      <c r="AG45" s="22" t="s">
        <v>197</v>
      </c>
      <c r="AH45" s="22" t="s">
        <v>197</v>
      </c>
      <c r="AI45" s="22" t="s">
        <v>197</v>
      </c>
      <c r="AJ45" s="22" t="s">
        <v>197</v>
      </c>
      <c r="AK45" s="22" t="s">
        <v>197</v>
      </c>
      <c r="AL45" s="22" t="s">
        <v>197</v>
      </c>
      <c r="AM45" s="22" t="s">
        <v>197</v>
      </c>
      <c r="AN45" s="7" t="s">
        <v>197</v>
      </c>
      <c r="AO45" s="22" t="s">
        <v>197</v>
      </c>
      <c r="AP45" s="22" t="s">
        <v>197</v>
      </c>
      <c r="AQ45" s="22" t="s">
        <v>197</v>
      </c>
    </row>
    <row r="46" customFormat="false" ht="21.75" hidden="false" customHeight="true" outlineLevel="0" collapsed="false">
      <c r="B46" s="15" t="n">
        <v>42</v>
      </c>
      <c r="C46" s="9" t="s">
        <v>78</v>
      </c>
      <c r="D46" s="9" t="s">
        <v>20</v>
      </c>
      <c r="E46" s="9" t="s">
        <v>116</v>
      </c>
      <c r="F46" s="9" t="s">
        <v>104</v>
      </c>
      <c r="G46" s="9" t="s">
        <v>2624</v>
      </c>
      <c r="H46" s="9" t="s">
        <v>2625</v>
      </c>
      <c r="I46" s="9" t="s">
        <v>2618</v>
      </c>
      <c r="J46" s="9" t="s">
        <v>2619</v>
      </c>
      <c r="K46" s="9" t="s">
        <v>2513</v>
      </c>
      <c r="L46" s="9" t="s">
        <v>2494</v>
      </c>
      <c r="M46" s="9" t="s">
        <v>2514</v>
      </c>
      <c r="N46" s="9" t="s">
        <v>189</v>
      </c>
      <c r="O46" s="9" t="s">
        <v>189</v>
      </c>
      <c r="P46" s="9" t="s">
        <v>190</v>
      </c>
      <c r="Q46" s="9" t="s">
        <v>2620</v>
      </c>
      <c r="R46" s="9" t="s">
        <v>1048</v>
      </c>
      <c r="S46" s="9" t="s">
        <v>2499</v>
      </c>
      <c r="T46" s="9" t="s">
        <v>2621</v>
      </c>
      <c r="U46" s="19" t="n">
        <v>60</v>
      </c>
      <c r="V46" s="9"/>
      <c r="W46" s="9"/>
      <c r="X46" s="9" t="s">
        <v>2626</v>
      </c>
      <c r="Y46" s="23" t="n">
        <v>0.00043928</v>
      </c>
      <c r="Z46" s="23" t="n">
        <v>0.006</v>
      </c>
      <c r="AA46" s="23" t="n">
        <v>24</v>
      </c>
      <c r="AB46" s="9" t="s">
        <v>2494</v>
      </c>
      <c r="AC46" s="9" t="s">
        <v>2517</v>
      </c>
      <c r="AD46" s="23" t="s">
        <v>197</v>
      </c>
      <c r="AE46" s="23" t="s">
        <v>197</v>
      </c>
      <c r="AF46" s="23" t="s">
        <v>197</v>
      </c>
      <c r="AG46" s="23" t="s">
        <v>197</v>
      </c>
      <c r="AH46" s="23" t="s">
        <v>197</v>
      </c>
      <c r="AI46" s="23" t="s">
        <v>197</v>
      </c>
      <c r="AJ46" s="23" t="s">
        <v>197</v>
      </c>
      <c r="AK46" s="23" t="s">
        <v>197</v>
      </c>
      <c r="AL46" s="23" t="s">
        <v>197</v>
      </c>
      <c r="AM46" s="23" t="s">
        <v>197</v>
      </c>
      <c r="AN46" s="9" t="s">
        <v>197</v>
      </c>
      <c r="AO46" s="23" t="s">
        <v>197</v>
      </c>
      <c r="AP46" s="23" t="s">
        <v>197</v>
      </c>
      <c r="AQ46" s="23" t="s">
        <v>197</v>
      </c>
    </row>
    <row r="47" customFormat="false" ht="21.75" hidden="false" customHeight="true" outlineLevel="0" collapsed="false">
      <c r="B47" s="14" t="n">
        <v>43</v>
      </c>
      <c r="C47" s="7" t="s">
        <v>78</v>
      </c>
      <c r="D47" s="7" t="s">
        <v>20</v>
      </c>
      <c r="E47" s="7" t="s">
        <v>116</v>
      </c>
      <c r="F47" s="7" t="s">
        <v>104</v>
      </c>
      <c r="G47" s="7" t="s">
        <v>2627</v>
      </c>
      <c r="H47" s="7" t="s">
        <v>2628</v>
      </c>
      <c r="I47" s="7" t="s">
        <v>2618</v>
      </c>
      <c r="J47" s="7" t="s">
        <v>2619</v>
      </c>
      <c r="K47" s="7" t="s">
        <v>2513</v>
      </c>
      <c r="L47" s="7" t="s">
        <v>2494</v>
      </c>
      <c r="M47" s="7" t="s">
        <v>2514</v>
      </c>
      <c r="N47" s="7" t="s">
        <v>189</v>
      </c>
      <c r="O47" s="7" t="s">
        <v>189</v>
      </c>
      <c r="P47" s="7" t="s">
        <v>190</v>
      </c>
      <c r="Q47" s="7" t="s">
        <v>2620</v>
      </c>
      <c r="R47" s="7" t="s">
        <v>1048</v>
      </c>
      <c r="S47" s="7" t="s">
        <v>2499</v>
      </c>
      <c r="T47" s="7" t="s">
        <v>2621</v>
      </c>
      <c r="U47" s="18" t="n">
        <v>90</v>
      </c>
      <c r="V47" s="7"/>
      <c r="W47" s="7"/>
      <c r="X47" s="7" t="s">
        <v>203</v>
      </c>
      <c r="Y47" s="22" t="n">
        <v>0.00059636</v>
      </c>
      <c r="Z47" s="22" t="n">
        <v>0.008</v>
      </c>
      <c r="AA47" s="22" t="n">
        <v>24</v>
      </c>
      <c r="AB47" s="7" t="s">
        <v>2494</v>
      </c>
      <c r="AC47" s="7" t="s">
        <v>2517</v>
      </c>
      <c r="AD47" s="22" t="s">
        <v>197</v>
      </c>
      <c r="AE47" s="22" t="s">
        <v>197</v>
      </c>
      <c r="AF47" s="22" t="s">
        <v>197</v>
      </c>
      <c r="AG47" s="22" t="s">
        <v>197</v>
      </c>
      <c r="AH47" s="22" t="s">
        <v>197</v>
      </c>
      <c r="AI47" s="22" t="s">
        <v>197</v>
      </c>
      <c r="AJ47" s="22" t="s">
        <v>197</v>
      </c>
      <c r="AK47" s="22" t="s">
        <v>197</v>
      </c>
      <c r="AL47" s="22" t="s">
        <v>197</v>
      </c>
      <c r="AM47" s="22" t="s">
        <v>197</v>
      </c>
      <c r="AN47" s="7" t="s">
        <v>197</v>
      </c>
      <c r="AO47" s="22" t="s">
        <v>197</v>
      </c>
      <c r="AP47" s="22" t="s">
        <v>197</v>
      </c>
      <c r="AQ47" s="22" t="s">
        <v>197</v>
      </c>
    </row>
    <row r="48" customFormat="false" ht="21.75" hidden="false" customHeight="true" outlineLevel="0" collapsed="false">
      <c r="B48" s="15" t="n">
        <v>44</v>
      </c>
      <c r="C48" s="9" t="s">
        <v>78</v>
      </c>
      <c r="D48" s="9" t="s">
        <v>20</v>
      </c>
      <c r="E48" s="9" t="s">
        <v>116</v>
      </c>
      <c r="F48" s="9" t="s">
        <v>104</v>
      </c>
      <c r="G48" s="9" t="s">
        <v>2629</v>
      </c>
      <c r="H48" s="9" t="s">
        <v>2630</v>
      </c>
      <c r="I48" s="9" t="s">
        <v>2618</v>
      </c>
      <c r="J48" s="9" t="s">
        <v>2619</v>
      </c>
      <c r="K48" s="9" t="s">
        <v>2513</v>
      </c>
      <c r="L48" s="9" t="s">
        <v>2494</v>
      </c>
      <c r="M48" s="9" t="s">
        <v>2514</v>
      </c>
      <c r="N48" s="9" t="s">
        <v>189</v>
      </c>
      <c r="O48" s="9" t="s">
        <v>189</v>
      </c>
      <c r="P48" s="9" t="s">
        <v>190</v>
      </c>
      <c r="Q48" s="9" t="s">
        <v>2620</v>
      </c>
      <c r="R48" s="9" t="s">
        <v>1048</v>
      </c>
      <c r="S48" s="9" t="s">
        <v>2499</v>
      </c>
      <c r="T48" s="9" t="s">
        <v>2621</v>
      </c>
      <c r="U48" s="19" t="n">
        <v>130</v>
      </c>
      <c r="V48" s="9"/>
      <c r="W48" s="9"/>
      <c r="X48" s="9" t="s">
        <v>205</v>
      </c>
      <c r="Y48" s="23" t="n">
        <v>0.0004044</v>
      </c>
      <c r="Z48" s="23" t="n">
        <v>0.005</v>
      </c>
      <c r="AA48" s="23" t="n">
        <v>24</v>
      </c>
      <c r="AB48" s="9" t="s">
        <v>2494</v>
      </c>
      <c r="AC48" s="9" t="s">
        <v>2517</v>
      </c>
      <c r="AD48" s="23" t="s">
        <v>197</v>
      </c>
      <c r="AE48" s="23" t="s">
        <v>197</v>
      </c>
      <c r="AF48" s="23" t="s">
        <v>197</v>
      </c>
      <c r="AG48" s="23" t="s">
        <v>197</v>
      </c>
      <c r="AH48" s="23" t="s">
        <v>197</v>
      </c>
      <c r="AI48" s="23" t="s">
        <v>197</v>
      </c>
      <c r="AJ48" s="23" t="s">
        <v>197</v>
      </c>
      <c r="AK48" s="23" t="s">
        <v>197</v>
      </c>
      <c r="AL48" s="23" t="s">
        <v>197</v>
      </c>
      <c r="AM48" s="23" t="s">
        <v>197</v>
      </c>
      <c r="AN48" s="9" t="s">
        <v>197</v>
      </c>
      <c r="AO48" s="23" t="s">
        <v>197</v>
      </c>
      <c r="AP48" s="23" t="s">
        <v>197</v>
      </c>
      <c r="AQ48" s="23" t="s">
        <v>197</v>
      </c>
    </row>
    <row r="49" customFormat="false" ht="21.75" hidden="false" customHeight="true" outlineLevel="0" collapsed="false">
      <c r="B49" s="14" t="n">
        <v>45</v>
      </c>
      <c r="C49" s="7" t="s">
        <v>78</v>
      </c>
      <c r="D49" s="7" t="s">
        <v>20</v>
      </c>
      <c r="E49" s="7" t="s">
        <v>116</v>
      </c>
      <c r="F49" s="7" t="s">
        <v>105</v>
      </c>
      <c r="G49" s="7" t="s">
        <v>2631</v>
      </c>
      <c r="H49" s="7" t="s">
        <v>2632</v>
      </c>
      <c r="I49" s="7" t="s">
        <v>2633</v>
      </c>
      <c r="J49" s="7" t="s">
        <v>2634</v>
      </c>
      <c r="K49" s="7" t="s">
        <v>2513</v>
      </c>
      <c r="L49" s="7" t="s">
        <v>2494</v>
      </c>
      <c r="M49" s="7" t="s">
        <v>2514</v>
      </c>
      <c r="N49" s="7" t="s">
        <v>189</v>
      </c>
      <c r="O49" s="7" t="s">
        <v>189</v>
      </c>
      <c r="P49" s="7" t="s">
        <v>190</v>
      </c>
      <c r="Q49" s="7" t="s">
        <v>2620</v>
      </c>
      <c r="R49" s="7" t="s">
        <v>1048</v>
      </c>
      <c r="S49" s="7" t="s">
        <v>2499</v>
      </c>
      <c r="T49" s="7" t="s">
        <v>2635</v>
      </c>
      <c r="U49" s="18" t="n">
        <v>30</v>
      </c>
      <c r="V49" s="7"/>
      <c r="W49" s="7"/>
      <c r="X49" s="7" t="s">
        <v>195</v>
      </c>
      <c r="Y49" s="22" t="n">
        <v>0.00087548</v>
      </c>
      <c r="Z49" s="22" t="n">
        <v>0.058</v>
      </c>
      <c r="AA49" s="22" t="n">
        <v>24</v>
      </c>
      <c r="AB49" s="7" t="s">
        <v>2494</v>
      </c>
      <c r="AC49" s="7" t="s">
        <v>2517</v>
      </c>
      <c r="AD49" s="22" t="s">
        <v>197</v>
      </c>
      <c r="AE49" s="22" t="s">
        <v>197</v>
      </c>
      <c r="AF49" s="22" t="s">
        <v>197</v>
      </c>
      <c r="AG49" s="22" t="s">
        <v>197</v>
      </c>
      <c r="AH49" s="22" t="s">
        <v>197</v>
      </c>
      <c r="AI49" s="22" t="s">
        <v>197</v>
      </c>
      <c r="AJ49" s="22" t="s">
        <v>197</v>
      </c>
      <c r="AK49" s="22" t="s">
        <v>197</v>
      </c>
      <c r="AL49" s="22" t="s">
        <v>197</v>
      </c>
      <c r="AM49" s="22" t="s">
        <v>197</v>
      </c>
      <c r="AN49" s="7" t="s">
        <v>197</v>
      </c>
      <c r="AO49" s="22" t="s">
        <v>197</v>
      </c>
      <c r="AP49" s="22" t="s">
        <v>197</v>
      </c>
      <c r="AQ49" s="22" t="s">
        <v>197</v>
      </c>
    </row>
    <row r="50" customFormat="false" ht="21.75" hidden="false" customHeight="true" outlineLevel="0" collapsed="false">
      <c r="B50" s="15" t="n">
        <v>46</v>
      </c>
      <c r="C50" s="9" t="s">
        <v>78</v>
      </c>
      <c r="D50" s="9" t="s">
        <v>20</v>
      </c>
      <c r="E50" s="9" t="s">
        <v>116</v>
      </c>
      <c r="F50" s="9" t="s">
        <v>105</v>
      </c>
      <c r="G50" s="9" t="s">
        <v>2636</v>
      </c>
      <c r="H50" s="9" t="s">
        <v>2637</v>
      </c>
      <c r="I50" s="9" t="s">
        <v>2633</v>
      </c>
      <c r="J50" s="9" t="s">
        <v>2634</v>
      </c>
      <c r="K50" s="9" t="s">
        <v>2513</v>
      </c>
      <c r="L50" s="9" t="s">
        <v>2494</v>
      </c>
      <c r="M50" s="9" t="s">
        <v>2514</v>
      </c>
      <c r="N50" s="9" t="s">
        <v>189</v>
      </c>
      <c r="O50" s="9" t="s">
        <v>189</v>
      </c>
      <c r="P50" s="9" t="s">
        <v>190</v>
      </c>
      <c r="Q50" s="9" t="s">
        <v>2620</v>
      </c>
      <c r="R50" s="9" t="s">
        <v>1048</v>
      </c>
      <c r="S50" s="9" t="s">
        <v>2499</v>
      </c>
      <c r="T50" s="9" t="s">
        <v>2635</v>
      </c>
      <c r="U50" s="19" t="n">
        <v>50</v>
      </c>
      <c r="V50" s="9"/>
      <c r="W50" s="9"/>
      <c r="X50" s="9" t="s">
        <v>199</v>
      </c>
      <c r="Y50" s="23" t="n">
        <v>0.00070708</v>
      </c>
      <c r="Z50" s="23" t="n">
        <v>0.041</v>
      </c>
      <c r="AA50" s="23" t="n">
        <v>24</v>
      </c>
      <c r="AB50" s="9" t="s">
        <v>2494</v>
      </c>
      <c r="AC50" s="9" t="s">
        <v>2517</v>
      </c>
      <c r="AD50" s="23" t="s">
        <v>197</v>
      </c>
      <c r="AE50" s="23" t="s">
        <v>197</v>
      </c>
      <c r="AF50" s="23" t="s">
        <v>197</v>
      </c>
      <c r="AG50" s="23" t="s">
        <v>197</v>
      </c>
      <c r="AH50" s="23" t="s">
        <v>197</v>
      </c>
      <c r="AI50" s="23" t="s">
        <v>197</v>
      </c>
      <c r="AJ50" s="23" t="s">
        <v>197</v>
      </c>
      <c r="AK50" s="23" t="s">
        <v>197</v>
      </c>
      <c r="AL50" s="23" t="s">
        <v>197</v>
      </c>
      <c r="AM50" s="23" t="s">
        <v>197</v>
      </c>
      <c r="AN50" s="9" t="s">
        <v>197</v>
      </c>
      <c r="AO50" s="23" t="s">
        <v>197</v>
      </c>
      <c r="AP50" s="23" t="s">
        <v>197</v>
      </c>
      <c r="AQ50" s="23" t="s">
        <v>197</v>
      </c>
    </row>
    <row r="51" customFormat="false" ht="21.75" hidden="false" customHeight="true" outlineLevel="0" collapsed="false">
      <c r="B51" s="14" t="n">
        <v>47</v>
      </c>
      <c r="C51" s="7" t="s">
        <v>78</v>
      </c>
      <c r="D51" s="7" t="s">
        <v>20</v>
      </c>
      <c r="E51" s="7" t="s">
        <v>116</v>
      </c>
      <c r="F51" s="7" t="s">
        <v>105</v>
      </c>
      <c r="G51" s="7" t="s">
        <v>2638</v>
      </c>
      <c r="H51" s="7" t="s">
        <v>2639</v>
      </c>
      <c r="I51" s="7" t="s">
        <v>2633</v>
      </c>
      <c r="J51" s="7" t="s">
        <v>2634</v>
      </c>
      <c r="K51" s="7" t="s">
        <v>2513</v>
      </c>
      <c r="L51" s="7" t="s">
        <v>2494</v>
      </c>
      <c r="M51" s="7" t="s">
        <v>2514</v>
      </c>
      <c r="N51" s="7" t="s">
        <v>189</v>
      </c>
      <c r="O51" s="7" t="s">
        <v>189</v>
      </c>
      <c r="P51" s="7" t="s">
        <v>190</v>
      </c>
      <c r="Q51" s="7" t="s">
        <v>2620</v>
      </c>
      <c r="R51" s="7" t="s">
        <v>1048</v>
      </c>
      <c r="S51" s="7" t="s">
        <v>2499</v>
      </c>
      <c r="T51" s="7" t="s">
        <v>2635</v>
      </c>
      <c r="U51" s="18" t="n">
        <v>65</v>
      </c>
      <c r="V51" s="7"/>
      <c r="W51" s="7"/>
      <c r="X51" s="7" t="s">
        <v>2640</v>
      </c>
      <c r="Y51" s="22" t="n">
        <v>0.0005046</v>
      </c>
      <c r="Z51" s="22" t="n">
        <v>0.02</v>
      </c>
      <c r="AA51" s="22" t="n">
        <v>24</v>
      </c>
      <c r="AB51" s="7" t="s">
        <v>2494</v>
      </c>
      <c r="AC51" s="7" t="s">
        <v>2517</v>
      </c>
      <c r="AD51" s="22" t="s">
        <v>197</v>
      </c>
      <c r="AE51" s="22" t="s">
        <v>197</v>
      </c>
      <c r="AF51" s="22" t="s">
        <v>197</v>
      </c>
      <c r="AG51" s="22" t="s">
        <v>197</v>
      </c>
      <c r="AH51" s="22" t="s">
        <v>197</v>
      </c>
      <c r="AI51" s="22" t="s">
        <v>197</v>
      </c>
      <c r="AJ51" s="22" t="s">
        <v>197</v>
      </c>
      <c r="AK51" s="22" t="s">
        <v>197</v>
      </c>
      <c r="AL51" s="22" t="s">
        <v>197</v>
      </c>
      <c r="AM51" s="22" t="s">
        <v>197</v>
      </c>
      <c r="AN51" s="7" t="s">
        <v>197</v>
      </c>
      <c r="AO51" s="22" t="s">
        <v>197</v>
      </c>
      <c r="AP51" s="22" t="s">
        <v>197</v>
      </c>
      <c r="AQ51" s="22" t="s">
        <v>197</v>
      </c>
    </row>
    <row r="52" customFormat="false" ht="21.75" hidden="false" customHeight="true" outlineLevel="0" collapsed="false">
      <c r="B52" s="15" t="n">
        <v>48</v>
      </c>
      <c r="C52" s="9" t="s">
        <v>78</v>
      </c>
      <c r="D52" s="9" t="s">
        <v>20</v>
      </c>
      <c r="E52" s="9" t="s">
        <v>116</v>
      </c>
      <c r="F52" s="9" t="s">
        <v>105</v>
      </c>
      <c r="G52" s="9" t="s">
        <v>2641</v>
      </c>
      <c r="H52" s="9" t="s">
        <v>2642</v>
      </c>
      <c r="I52" s="9" t="s">
        <v>2633</v>
      </c>
      <c r="J52" s="9" t="s">
        <v>2634</v>
      </c>
      <c r="K52" s="9" t="s">
        <v>2513</v>
      </c>
      <c r="L52" s="9" t="s">
        <v>2494</v>
      </c>
      <c r="M52" s="9" t="s">
        <v>2514</v>
      </c>
      <c r="N52" s="9" t="s">
        <v>189</v>
      </c>
      <c r="O52" s="9" t="s">
        <v>189</v>
      </c>
      <c r="P52" s="9" t="s">
        <v>190</v>
      </c>
      <c r="Q52" s="9" t="s">
        <v>2620</v>
      </c>
      <c r="R52" s="9" t="s">
        <v>1048</v>
      </c>
      <c r="S52" s="9" t="s">
        <v>2499</v>
      </c>
      <c r="T52" s="9" t="s">
        <v>2635</v>
      </c>
      <c r="U52" s="19" t="n">
        <v>100</v>
      </c>
      <c r="V52" s="9"/>
      <c r="W52" s="9"/>
      <c r="X52" s="9" t="s">
        <v>203</v>
      </c>
      <c r="Y52" s="23" t="n">
        <v>0.00078468</v>
      </c>
      <c r="Z52" s="23" t="n">
        <v>0.048</v>
      </c>
      <c r="AA52" s="23" t="n">
        <v>24</v>
      </c>
      <c r="AB52" s="9" t="s">
        <v>2494</v>
      </c>
      <c r="AC52" s="9" t="s">
        <v>2517</v>
      </c>
      <c r="AD52" s="23" t="s">
        <v>197</v>
      </c>
      <c r="AE52" s="23" t="s">
        <v>197</v>
      </c>
      <c r="AF52" s="23" t="s">
        <v>197</v>
      </c>
      <c r="AG52" s="23" t="s">
        <v>197</v>
      </c>
      <c r="AH52" s="23" t="s">
        <v>197</v>
      </c>
      <c r="AI52" s="23" t="s">
        <v>197</v>
      </c>
      <c r="AJ52" s="23" t="s">
        <v>197</v>
      </c>
      <c r="AK52" s="23" t="s">
        <v>197</v>
      </c>
      <c r="AL52" s="23" t="s">
        <v>197</v>
      </c>
      <c r="AM52" s="23" t="s">
        <v>197</v>
      </c>
      <c r="AN52" s="9" t="s">
        <v>197</v>
      </c>
      <c r="AO52" s="23" t="s">
        <v>197</v>
      </c>
      <c r="AP52" s="23" t="s">
        <v>197</v>
      </c>
      <c r="AQ52" s="23" t="s">
        <v>197</v>
      </c>
    </row>
    <row r="53" customFormat="false" ht="21.75" hidden="false" customHeight="true" outlineLevel="0" collapsed="false">
      <c r="B53" s="14" t="n">
        <v>49</v>
      </c>
      <c r="C53" s="7" t="s">
        <v>78</v>
      </c>
      <c r="D53" s="7" t="s">
        <v>20</v>
      </c>
      <c r="E53" s="7" t="s">
        <v>116</v>
      </c>
      <c r="F53" s="7" t="s">
        <v>105</v>
      </c>
      <c r="G53" s="7" t="s">
        <v>2643</v>
      </c>
      <c r="H53" s="7" t="s">
        <v>2644</v>
      </c>
      <c r="I53" s="7" t="s">
        <v>2633</v>
      </c>
      <c r="J53" s="7" t="s">
        <v>2634</v>
      </c>
      <c r="K53" s="7" t="s">
        <v>2513</v>
      </c>
      <c r="L53" s="7" t="s">
        <v>2494</v>
      </c>
      <c r="M53" s="7" t="s">
        <v>2514</v>
      </c>
      <c r="N53" s="7" t="s">
        <v>189</v>
      </c>
      <c r="O53" s="7" t="s">
        <v>189</v>
      </c>
      <c r="P53" s="7" t="s">
        <v>190</v>
      </c>
      <c r="Q53" s="7" t="s">
        <v>2620</v>
      </c>
      <c r="R53" s="7" t="s">
        <v>1048</v>
      </c>
      <c r="S53" s="7" t="s">
        <v>2499</v>
      </c>
      <c r="T53" s="7" t="s">
        <v>2635</v>
      </c>
      <c r="U53" s="18" t="n">
        <v>145</v>
      </c>
      <c r="V53" s="7"/>
      <c r="W53" s="7"/>
      <c r="X53" s="7" t="s">
        <v>205</v>
      </c>
      <c r="Y53" s="22" t="n">
        <v>0.0006084</v>
      </c>
      <c r="Z53" s="22" t="n">
        <v>0.031</v>
      </c>
      <c r="AA53" s="22" t="n">
        <v>24</v>
      </c>
      <c r="AB53" s="7" t="s">
        <v>2494</v>
      </c>
      <c r="AC53" s="7" t="s">
        <v>2517</v>
      </c>
      <c r="AD53" s="22" t="s">
        <v>197</v>
      </c>
      <c r="AE53" s="22" t="s">
        <v>197</v>
      </c>
      <c r="AF53" s="22" t="s">
        <v>197</v>
      </c>
      <c r="AG53" s="22" t="s">
        <v>197</v>
      </c>
      <c r="AH53" s="22" t="s">
        <v>197</v>
      </c>
      <c r="AI53" s="22" t="s">
        <v>197</v>
      </c>
      <c r="AJ53" s="22" t="s">
        <v>197</v>
      </c>
      <c r="AK53" s="22" t="s">
        <v>197</v>
      </c>
      <c r="AL53" s="22" t="s">
        <v>197</v>
      </c>
      <c r="AM53" s="22" t="s">
        <v>197</v>
      </c>
      <c r="AN53" s="7" t="s">
        <v>197</v>
      </c>
      <c r="AO53" s="22" t="s">
        <v>197</v>
      </c>
      <c r="AP53" s="22" t="s">
        <v>197</v>
      </c>
      <c r="AQ53" s="22" t="s">
        <v>197</v>
      </c>
    </row>
    <row r="54" customFormat="false" ht="21.75" hidden="false" customHeight="true" outlineLevel="0" collapsed="false">
      <c r="B54" s="15" t="n">
        <v>50</v>
      </c>
      <c r="C54" s="9" t="s">
        <v>78</v>
      </c>
      <c r="D54" s="9" t="s">
        <v>20</v>
      </c>
      <c r="E54" s="9" t="s">
        <v>116</v>
      </c>
      <c r="F54" s="9" t="s">
        <v>106</v>
      </c>
      <c r="G54" s="9" t="s">
        <v>2645</v>
      </c>
      <c r="H54" s="9" t="s">
        <v>2646</v>
      </c>
      <c r="I54" s="9" t="s">
        <v>2647</v>
      </c>
      <c r="J54" s="9" t="s">
        <v>2648</v>
      </c>
      <c r="K54" s="9" t="s">
        <v>2649</v>
      </c>
      <c r="L54" s="9" t="s">
        <v>2494</v>
      </c>
      <c r="M54" s="9" t="s">
        <v>2650</v>
      </c>
      <c r="N54" s="9" t="s">
        <v>1332</v>
      </c>
      <c r="O54" s="9" t="s">
        <v>189</v>
      </c>
      <c r="P54" s="9" t="s">
        <v>190</v>
      </c>
      <c r="Q54" s="9" t="s">
        <v>2651</v>
      </c>
      <c r="R54" s="9" t="s">
        <v>2081</v>
      </c>
      <c r="S54" s="9" t="s">
        <v>2499</v>
      </c>
      <c r="T54" s="9" t="s">
        <v>2652</v>
      </c>
      <c r="U54" s="19" t="n">
        <v>160</v>
      </c>
      <c r="V54" s="9"/>
      <c r="W54" s="9"/>
      <c r="X54" s="9" t="s">
        <v>195</v>
      </c>
      <c r="Y54" s="23" t="n">
        <v>0.085</v>
      </c>
      <c r="Z54" s="23" t="n">
        <v>0.243</v>
      </c>
      <c r="AA54" s="23" t="n">
        <v>24</v>
      </c>
      <c r="AB54" s="9" t="s">
        <v>2494</v>
      </c>
      <c r="AC54" s="9" t="s">
        <v>2653</v>
      </c>
      <c r="AD54" s="23" t="n">
        <v>0.085</v>
      </c>
      <c r="AE54" s="23" t="n">
        <v>0.243</v>
      </c>
      <c r="AF54" s="23" t="s">
        <v>197</v>
      </c>
      <c r="AG54" s="23" t="s">
        <v>197</v>
      </c>
      <c r="AH54" s="23" t="s">
        <v>197</v>
      </c>
      <c r="AI54" s="23" t="s">
        <v>197</v>
      </c>
      <c r="AJ54" s="23" t="s">
        <v>197</v>
      </c>
      <c r="AK54" s="23" t="s">
        <v>197</v>
      </c>
      <c r="AL54" s="23" t="s">
        <v>197</v>
      </c>
      <c r="AM54" s="23" t="s">
        <v>197</v>
      </c>
      <c r="AN54" s="9" t="s">
        <v>197</v>
      </c>
      <c r="AO54" s="23" t="s">
        <v>197</v>
      </c>
      <c r="AP54" s="23" t="n">
        <v>1.2</v>
      </c>
      <c r="AQ54" s="23" t="n">
        <v>1.7</v>
      </c>
    </row>
    <row r="55" customFormat="false" ht="21.75" hidden="false" customHeight="true" outlineLevel="0" collapsed="false">
      <c r="B55" s="14" t="n">
        <v>51</v>
      </c>
      <c r="C55" s="7" t="s">
        <v>78</v>
      </c>
      <c r="D55" s="7" t="s">
        <v>20</v>
      </c>
      <c r="E55" s="7" t="s">
        <v>116</v>
      </c>
      <c r="F55" s="7" t="s">
        <v>106</v>
      </c>
      <c r="G55" s="7" t="s">
        <v>2654</v>
      </c>
      <c r="H55" s="7" t="s">
        <v>2646</v>
      </c>
      <c r="I55" s="7" t="s">
        <v>2647</v>
      </c>
      <c r="J55" s="7" t="s">
        <v>2648</v>
      </c>
      <c r="K55" s="7" t="s">
        <v>2649</v>
      </c>
      <c r="L55" s="7" t="s">
        <v>2494</v>
      </c>
      <c r="M55" s="7" t="s">
        <v>2650</v>
      </c>
      <c r="N55" s="7" t="s">
        <v>1332</v>
      </c>
      <c r="O55" s="7" t="s">
        <v>189</v>
      </c>
      <c r="P55" s="7" t="s">
        <v>190</v>
      </c>
      <c r="Q55" s="7" t="s">
        <v>2651</v>
      </c>
      <c r="R55" s="7" t="s">
        <v>2081</v>
      </c>
      <c r="S55" s="7" t="s">
        <v>2499</v>
      </c>
      <c r="T55" s="7" t="s">
        <v>2652</v>
      </c>
      <c r="U55" s="18" t="n">
        <v>240</v>
      </c>
      <c r="V55" s="7"/>
      <c r="W55" s="7"/>
      <c r="X55" s="7" t="s">
        <v>199</v>
      </c>
      <c r="Y55" s="22" t="n">
        <v>0.085</v>
      </c>
      <c r="Z55" s="22" t="n">
        <v>0.295</v>
      </c>
      <c r="AA55" s="22" t="n">
        <v>24</v>
      </c>
      <c r="AB55" s="7" t="s">
        <v>2494</v>
      </c>
      <c r="AC55" s="7" t="s">
        <v>2653</v>
      </c>
      <c r="AD55" s="22" t="n">
        <v>0.085</v>
      </c>
      <c r="AE55" s="22" t="n">
        <v>0.295</v>
      </c>
      <c r="AF55" s="22" t="s">
        <v>197</v>
      </c>
      <c r="AG55" s="22" t="s">
        <v>197</v>
      </c>
      <c r="AH55" s="22" t="s">
        <v>197</v>
      </c>
      <c r="AI55" s="22" t="s">
        <v>197</v>
      </c>
      <c r="AJ55" s="22" t="s">
        <v>197</v>
      </c>
      <c r="AK55" s="22" t="s">
        <v>197</v>
      </c>
      <c r="AL55" s="22" t="s">
        <v>197</v>
      </c>
      <c r="AM55" s="22" t="s">
        <v>197</v>
      </c>
      <c r="AN55" s="7" t="s">
        <v>197</v>
      </c>
      <c r="AO55" s="22" t="s">
        <v>197</v>
      </c>
      <c r="AP55" s="22" t="n">
        <v>1.2</v>
      </c>
      <c r="AQ55" s="22" t="n">
        <v>1.7</v>
      </c>
    </row>
    <row r="56" customFormat="false" ht="21.75" hidden="false" customHeight="true" outlineLevel="0" collapsed="false">
      <c r="B56" s="15" t="n">
        <v>52</v>
      </c>
      <c r="C56" s="9" t="s">
        <v>78</v>
      </c>
      <c r="D56" s="9" t="s">
        <v>20</v>
      </c>
      <c r="E56" s="9" t="s">
        <v>116</v>
      </c>
      <c r="F56" s="9" t="s">
        <v>106</v>
      </c>
      <c r="G56" s="9" t="s">
        <v>2655</v>
      </c>
      <c r="H56" s="9" t="s">
        <v>2646</v>
      </c>
      <c r="I56" s="9" t="s">
        <v>2647</v>
      </c>
      <c r="J56" s="9" t="s">
        <v>2648</v>
      </c>
      <c r="K56" s="9" t="s">
        <v>2649</v>
      </c>
      <c r="L56" s="9" t="s">
        <v>2494</v>
      </c>
      <c r="M56" s="9" t="s">
        <v>2650</v>
      </c>
      <c r="N56" s="9" t="s">
        <v>1332</v>
      </c>
      <c r="O56" s="9" t="s">
        <v>189</v>
      </c>
      <c r="P56" s="9" t="s">
        <v>190</v>
      </c>
      <c r="Q56" s="9" t="s">
        <v>2651</v>
      </c>
      <c r="R56" s="9" t="s">
        <v>2081</v>
      </c>
      <c r="S56" s="9" t="s">
        <v>2499</v>
      </c>
      <c r="T56" s="9" t="s">
        <v>2652</v>
      </c>
      <c r="U56" s="19" t="n">
        <v>320</v>
      </c>
      <c r="V56" s="9"/>
      <c r="W56" s="9"/>
      <c r="X56" s="9" t="s">
        <v>2656</v>
      </c>
      <c r="Y56" s="23" t="n">
        <v>0.085</v>
      </c>
      <c r="Z56" s="23" t="n">
        <v>0.178</v>
      </c>
      <c r="AA56" s="23" t="n">
        <v>24</v>
      </c>
      <c r="AB56" s="9" t="s">
        <v>2494</v>
      </c>
      <c r="AC56" s="9" t="s">
        <v>2653</v>
      </c>
      <c r="AD56" s="23" t="n">
        <v>0.085</v>
      </c>
      <c r="AE56" s="23" t="n">
        <v>0.178</v>
      </c>
      <c r="AF56" s="23" t="s">
        <v>197</v>
      </c>
      <c r="AG56" s="23" t="s">
        <v>197</v>
      </c>
      <c r="AH56" s="23" t="s">
        <v>197</v>
      </c>
      <c r="AI56" s="23" t="s">
        <v>197</v>
      </c>
      <c r="AJ56" s="23" t="s">
        <v>197</v>
      </c>
      <c r="AK56" s="23" t="s">
        <v>197</v>
      </c>
      <c r="AL56" s="23" t="s">
        <v>197</v>
      </c>
      <c r="AM56" s="23" t="s">
        <v>197</v>
      </c>
      <c r="AN56" s="9" t="s">
        <v>197</v>
      </c>
      <c r="AO56" s="23" t="s">
        <v>197</v>
      </c>
      <c r="AP56" s="23" t="n">
        <v>1.2</v>
      </c>
      <c r="AQ56" s="23" t="n">
        <v>1.7</v>
      </c>
    </row>
    <row r="57" customFormat="false" ht="21.75" hidden="false" customHeight="true" outlineLevel="0" collapsed="false">
      <c r="B57" s="14" t="n">
        <v>53</v>
      </c>
      <c r="C57" s="7" t="s">
        <v>78</v>
      </c>
      <c r="D57" s="7" t="s">
        <v>20</v>
      </c>
      <c r="E57" s="7" t="s">
        <v>116</v>
      </c>
      <c r="F57" s="7" t="s">
        <v>106</v>
      </c>
      <c r="G57" s="7" t="s">
        <v>2657</v>
      </c>
      <c r="H57" s="7" t="s">
        <v>2646</v>
      </c>
      <c r="I57" s="7" t="s">
        <v>2647</v>
      </c>
      <c r="J57" s="7" t="s">
        <v>2648</v>
      </c>
      <c r="K57" s="7" t="s">
        <v>2649</v>
      </c>
      <c r="L57" s="7" t="s">
        <v>2494</v>
      </c>
      <c r="M57" s="7" t="s">
        <v>2650</v>
      </c>
      <c r="N57" s="7" t="s">
        <v>1332</v>
      </c>
      <c r="O57" s="7" t="s">
        <v>189</v>
      </c>
      <c r="P57" s="7" t="s">
        <v>190</v>
      </c>
      <c r="Q57" s="7" t="s">
        <v>2651</v>
      </c>
      <c r="R57" s="7" t="s">
        <v>2081</v>
      </c>
      <c r="S57" s="7" t="s">
        <v>2499</v>
      </c>
      <c r="T57" s="7" t="s">
        <v>2652</v>
      </c>
      <c r="U57" s="18" t="n">
        <v>480</v>
      </c>
      <c r="V57" s="7"/>
      <c r="W57" s="7"/>
      <c r="X57" s="7" t="s">
        <v>203</v>
      </c>
      <c r="Y57" s="22" t="n">
        <v>0.085</v>
      </c>
      <c r="Z57" s="22" t="n">
        <v>0.298</v>
      </c>
      <c r="AA57" s="22" t="n">
        <v>24</v>
      </c>
      <c r="AB57" s="7" t="s">
        <v>2494</v>
      </c>
      <c r="AC57" s="7" t="s">
        <v>2653</v>
      </c>
      <c r="AD57" s="22" t="n">
        <v>0.085</v>
      </c>
      <c r="AE57" s="22" t="n">
        <v>0.298</v>
      </c>
      <c r="AF57" s="22" t="s">
        <v>197</v>
      </c>
      <c r="AG57" s="22" t="s">
        <v>197</v>
      </c>
      <c r="AH57" s="22" t="s">
        <v>197</v>
      </c>
      <c r="AI57" s="22" t="s">
        <v>197</v>
      </c>
      <c r="AJ57" s="22" t="s">
        <v>197</v>
      </c>
      <c r="AK57" s="22" t="s">
        <v>197</v>
      </c>
      <c r="AL57" s="22" t="s">
        <v>197</v>
      </c>
      <c r="AM57" s="22" t="s">
        <v>197</v>
      </c>
      <c r="AN57" s="7" t="s">
        <v>197</v>
      </c>
      <c r="AO57" s="22" t="s">
        <v>197</v>
      </c>
      <c r="AP57" s="22" t="n">
        <v>1.2</v>
      </c>
      <c r="AQ57" s="22" t="n">
        <v>1.7</v>
      </c>
    </row>
    <row r="58" customFormat="false" ht="21.75" hidden="false" customHeight="true" outlineLevel="0" collapsed="false">
      <c r="B58" s="15" t="n">
        <v>54</v>
      </c>
      <c r="C58" s="9" t="s">
        <v>78</v>
      </c>
      <c r="D58" s="9" t="s">
        <v>20</v>
      </c>
      <c r="E58" s="9" t="s">
        <v>116</v>
      </c>
      <c r="F58" s="9" t="s">
        <v>106</v>
      </c>
      <c r="G58" s="9" t="s">
        <v>2658</v>
      </c>
      <c r="H58" s="9" t="s">
        <v>2646</v>
      </c>
      <c r="I58" s="9" t="s">
        <v>2647</v>
      </c>
      <c r="J58" s="9" t="s">
        <v>2648</v>
      </c>
      <c r="K58" s="9" t="s">
        <v>2649</v>
      </c>
      <c r="L58" s="9" t="s">
        <v>2494</v>
      </c>
      <c r="M58" s="9" t="s">
        <v>2650</v>
      </c>
      <c r="N58" s="9" t="s">
        <v>1332</v>
      </c>
      <c r="O58" s="9" t="s">
        <v>189</v>
      </c>
      <c r="P58" s="9" t="s">
        <v>190</v>
      </c>
      <c r="Q58" s="9" t="s">
        <v>2651</v>
      </c>
      <c r="R58" s="9" t="s">
        <v>2081</v>
      </c>
      <c r="S58" s="9" t="s">
        <v>2499</v>
      </c>
      <c r="T58" s="9" t="s">
        <v>2652</v>
      </c>
      <c r="U58" s="19" t="n">
        <v>700</v>
      </c>
      <c r="V58" s="9"/>
      <c r="W58" s="9"/>
      <c r="X58" s="9" t="s">
        <v>205</v>
      </c>
      <c r="Y58" s="23" t="n">
        <v>0.085</v>
      </c>
      <c r="Z58" s="23" t="n">
        <v>0.172</v>
      </c>
      <c r="AA58" s="23" t="n">
        <v>24</v>
      </c>
      <c r="AB58" s="9" t="s">
        <v>2494</v>
      </c>
      <c r="AC58" s="9" t="s">
        <v>2653</v>
      </c>
      <c r="AD58" s="23" t="n">
        <v>0.085</v>
      </c>
      <c r="AE58" s="23" t="n">
        <v>0.172</v>
      </c>
      <c r="AF58" s="23" t="s">
        <v>197</v>
      </c>
      <c r="AG58" s="23" t="s">
        <v>197</v>
      </c>
      <c r="AH58" s="23" t="s">
        <v>197</v>
      </c>
      <c r="AI58" s="23" t="s">
        <v>197</v>
      </c>
      <c r="AJ58" s="23" t="s">
        <v>197</v>
      </c>
      <c r="AK58" s="23" t="s">
        <v>197</v>
      </c>
      <c r="AL58" s="23" t="s">
        <v>197</v>
      </c>
      <c r="AM58" s="23" t="s">
        <v>197</v>
      </c>
      <c r="AN58" s="9" t="s">
        <v>197</v>
      </c>
      <c r="AO58" s="23" t="s">
        <v>197</v>
      </c>
      <c r="AP58" s="23" t="n">
        <v>1.2</v>
      </c>
      <c r="AQ58" s="23" t="n">
        <v>1.7</v>
      </c>
    </row>
    <row r="59" customFormat="false" ht="21.75" hidden="false" customHeight="true" outlineLevel="0" collapsed="false">
      <c r="B59" s="14" t="n">
        <v>55</v>
      </c>
      <c r="C59" s="7" t="s">
        <v>78</v>
      </c>
      <c r="D59" s="7" t="s">
        <v>20</v>
      </c>
      <c r="E59" s="7" t="s">
        <v>116</v>
      </c>
      <c r="F59" s="7" t="s">
        <v>107</v>
      </c>
      <c r="G59" s="7" t="s">
        <v>391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18"/>
      <c r="V59" s="7"/>
      <c r="W59" s="7"/>
      <c r="X59" s="7" t="s">
        <v>2659</v>
      </c>
      <c r="Y59" s="22" t="s">
        <v>197</v>
      </c>
      <c r="Z59" s="22" t="s">
        <v>197</v>
      </c>
      <c r="AA59" s="22" t="s">
        <v>197</v>
      </c>
      <c r="AB59" s="7" t="s">
        <v>197</v>
      </c>
      <c r="AC59" s="7" t="s">
        <v>197</v>
      </c>
      <c r="AD59" s="22" t="s">
        <v>197</v>
      </c>
      <c r="AE59" s="22" t="s">
        <v>197</v>
      </c>
      <c r="AF59" s="22" t="s">
        <v>197</v>
      </c>
      <c r="AG59" s="22" t="s">
        <v>197</v>
      </c>
      <c r="AH59" s="22" t="s">
        <v>197</v>
      </c>
      <c r="AI59" s="22" t="s">
        <v>197</v>
      </c>
      <c r="AJ59" s="22" t="s">
        <v>197</v>
      </c>
      <c r="AK59" s="22" t="s">
        <v>197</v>
      </c>
      <c r="AL59" s="22" t="s">
        <v>197</v>
      </c>
      <c r="AM59" s="22" t="s">
        <v>197</v>
      </c>
      <c r="AN59" s="7" t="s">
        <v>197</v>
      </c>
      <c r="AO59" s="22" t="s">
        <v>197</v>
      </c>
      <c r="AP59" s="22" t="s">
        <v>197</v>
      </c>
      <c r="AQ59" s="22" t="s">
        <v>197</v>
      </c>
    </row>
    <row r="60" customFormat="false" ht="21.75" hidden="false" customHeight="true" outlineLevel="0" collapsed="false">
      <c r="B60" s="15" t="n">
        <v>56</v>
      </c>
      <c r="C60" s="9" t="s">
        <v>78</v>
      </c>
      <c r="D60" s="9" t="s">
        <v>20</v>
      </c>
      <c r="E60" s="9" t="s">
        <v>116</v>
      </c>
      <c r="F60" s="9" t="s">
        <v>108</v>
      </c>
      <c r="G60" s="9" t="s">
        <v>2660</v>
      </c>
      <c r="H60" s="9" t="s">
        <v>2661</v>
      </c>
      <c r="I60" s="9" t="s">
        <v>2662</v>
      </c>
      <c r="J60" s="9" t="s">
        <v>2663</v>
      </c>
      <c r="K60" s="9" t="s">
        <v>2513</v>
      </c>
      <c r="L60" s="9" t="s">
        <v>2494</v>
      </c>
      <c r="M60" s="9" t="s">
        <v>2514</v>
      </c>
      <c r="N60" s="9" t="s">
        <v>189</v>
      </c>
      <c r="O60" s="9" t="s">
        <v>189</v>
      </c>
      <c r="P60" s="9" t="s">
        <v>190</v>
      </c>
      <c r="Q60" s="9" t="s">
        <v>2620</v>
      </c>
      <c r="R60" s="9" t="s">
        <v>1048</v>
      </c>
      <c r="S60" s="9" t="s">
        <v>2499</v>
      </c>
      <c r="T60" s="9" t="s">
        <v>2664</v>
      </c>
      <c r="U60" s="19" t="n">
        <v>19</v>
      </c>
      <c r="V60" s="9"/>
      <c r="W60" s="9"/>
      <c r="X60" s="9" t="s">
        <v>195</v>
      </c>
      <c r="Y60" s="23" t="n">
        <v>0.00032116</v>
      </c>
      <c r="Z60" s="23" t="n">
        <v>0.002</v>
      </c>
      <c r="AA60" s="23" t="n">
        <v>24</v>
      </c>
      <c r="AB60" s="9" t="s">
        <v>2494</v>
      </c>
      <c r="AC60" s="9" t="s">
        <v>2665</v>
      </c>
      <c r="AD60" s="23" t="s">
        <v>197</v>
      </c>
      <c r="AE60" s="23" t="s">
        <v>197</v>
      </c>
      <c r="AF60" s="23" t="s">
        <v>197</v>
      </c>
      <c r="AG60" s="23" t="s">
        <v>197</v>
      </c>
      <c r="AH60" s="23" t="s">
        <v>197</v>
      </c>
      <c r="AI60" s="23" t="s">
        <v>197</v>
      </c>
      <c r="AJ60" s="23" t="s">
        <v>197</v>
      </c>
      <c r="AK60" s="23" t="s">
        <v>197</v>
      </c>
      <c r="AL60" s="23" t="s">
        <v>197</v>
      </c>
      <c r="AM60" s="23" t="s">
        <v>197</v>
      </c>
      <c r="AN60" s="9" t="s">
        <v>197</v>
      </c>
      <c r="AO60" s="23" t="s">
        <v>197</v>
      </c>
      <c r="AP60" s="23" t="s">
        <v>197</v>
      </c>
      <c r="AQ60" s="23" t="s">
        <v>197</v>
      </c>
    </row>
    <row r="61" customFormat="false" ht="21.75" hidden="false" customHeight="true" outlineLevel="0" collapsed="false">
      <c r="B61" s="14" t="n">
        <v>57</v>
      </c>
      <c r="C61" s="7" t="s">
        <v>78</v>
      </c>
      <c r="D61" s="7" t="s">
        <v>20</v>
      </c>
      <c r="E61" s="7" t="s">
        <v>116</v>
      </c>
      <c r="F61" s="7" t="s">
        <v>108</v>
      </c>
      <c r="G61" s="7" t="s">
        <v>2666</v>
      </c>
      <c r="H61" s="7" t="s">
        <v>2667</v>
      </c>
      <c r="I61" s="7" t="s">
        <v>2662</v>
      </c>
      <c r="J61" s="7" t="s">
        <v>2663</v>
      </c>
      <c r="K61" s="7" t="s">
        <v>2513</v>
      </c>
      <c r="L61" s="7" t="s">
        <v>2494</v>
      </c>
      <c r="M61" s="7" t="s">
        <v>2514</v>
      </c>
      <c r="N61" s="7" t="s">
        <v>189</v>
      </c>
      <c r="O61" s="7" t="s">
        <v>189</v>
      </c>
      <c r="P61" s="7" t="s">
        <v>190</v>
      </c>
      <c r="Q61" s="7" t="s">
        <v>2620</v>
      </c>
      <c r="R61" s="7" t="s">
        <v>1048</v>
      </c>
      <c r="S61" s="7" t="s">
        <v>2499</v>
      </c>
      <c r="T61" s="7" t="s">
        <v>2664</v>
      </c>
      <c r="U61" s="18" t="n">
        <v>25</v>
      </c>
      <c r="V61" s="7"/>
      <c r="W61" s="7"/>
      <c r="X61" s="7" t="s">
        <v>199</v>
      </c>
      <c r="Y61" s="22" t="n">
        <v>0.00035348</v>
      </c>
      <c r="Z61" s="22" t="n">
        <v>0.002</v>
      </c>
      <c r="AA61" s="22" t="n">
        <v>24</v>
      </c>
      <c r="AB61" s="7" t="s">
        <v>2494</v>
      </c>
      <c r="AC61" s="7" t="s">
        <v>2665</v>
      </c>
      <c r="AD61" s="22" t="s">
        <v>197</v>
      </c>
      <c r="AE61" s="22" t="s">
        <v>197</v>
      </c>
      <c r="AF61" s="22" t="s">
        <v>197</v>
      </c>
      <c r="AG61" s="22" t="s">
        <v>197</v>
      </c>
      <c r="AH61" s="22" t="s">
        <v>197</v>
      </c>
      <c r="AI61" s="22" t="s">
        <v>197</v>
      </c>
      <c r="AJ61" s="22" t="s">
        <v>197</v>
      </c>
      <c r="AK61" s="22" t="s">
        <v>197</v>
      </c>
      <c r="AL61" s="22" t="s">
        <v>197</v>
      </c>
      <c r="AM61" s="22" t="s">
        <v>197</v>
      </c>
      <c r="AN61" s="7" t="s">
        <v>197</v>
      </c>
      <c r="AO61" s="22" t="s">
        <v>197</v>
      </c>
      <c r="AP61" s="22" t="s">
        <v>197</v>
      </c>
      <c r="AQ61" s="22" t="s">
        <v>197</v>
      </c>
    </row>
    <row r="62" customFormat="false" ht="21.75" hidden="false" customHeight="true" outlineLevel="0" collapsed="false">
      <c r="B62" s="15" t="n">
        <v>58</v>
      </c>
      <c r="C62" s="9" t="s">
        <v>78</v>
      </c>
      <c r="D62" s="9" t="s">
        <v>20</v>
      </c>
      <c r="E62" s="9" t="s">
        <v>116</v>
      </c>
      <c r="F62" s="9" t="s">
        <v>108</v>
      </c>
      <c r="G62" s="9" t="s">
        <v>2668</v>
      </c>
      <c r="H62" s="9" t="s">
        <v>2669</v>
      </c>
      <c r="I62" s="9" t="s">
        <v>2662</v>
      </c>
      <c r="J62" s="9" t="s">
        <v>2663</v>
      </c>
      <c r="K62" s="9" t="s">
        <v>2513</v>
      </c>
      <c r="L62" s="9" t="s">
        <v>2494</v>
      </c>
      <c r="M62" s="9" t="s">
        <v>2514</v>
      </c>
      <c r="N62" s="9" t="s">
        <v>189</v>
      </c>
      <c r="O62" s="9" t="s">
        <v>189</v>
      </c>
      <c r="P62" s="9" t="s">
        <v>190</v>
      </c>
      <c r="Q62" s="9" t="s">
        <v>2620</v>
      </c>
      <c r="R62" s="9" t="s">
        <v>1048</v>
      </c>
      <c r="S62" s="9" t="s">
        <v>2499</v>
      </c>
      <c r="T62" s="9" t="s">
        <v>2664</v>
      </c>
      <c r="U62" s="19" t="n">
        <v>35</v>
      </c>
      <c r="V62" s="9"/>
      <c r="W62" s="9"/>
      <c r="X62" s="9" t="s">
        <v>2670</v>
      </c>
      <c r="Y62" s="23" t="n">
        <v>0.00039888</v>
      </c>
      <c r="Z62" s="23" t="n">
        <v>0.002</v>
      </c>
      <c r="AA62" s="23" t="n">
        <v>24</v>
      </c>
      <c r="AB62" s="9" t="s">
        <v>2494</v>
      </c>
      <c r="AC62" s="9" t="s">
        <v>2665</v>
      </c>
      <c r="AD62" s="23" t="s">
        <v>197</v>
      </c>
      <c r="AE62" s="23" t="s">
        <v>197</v>
      </c>
      <c r="AF62" s="23" t="s">
        <v>197</v>
      </c>
      <c r="AG62" s="23" t="s">
        <v>197</v>
      </c>
      <c r="AH62" s="23" t="s">
        <v>197</v>
      </c>
      <c r="AI62" s="23" t="s">
        <v>197</v>
      </c>
      <c r="AJ62" s="23" t="s">
        <v>197</v>
      </c>
      <c r="AK62" s="23" t="s">
        <v>197</v>
      </c>
      <c r="AL62" s="23" t="s">
        <v>197</v>
      </c>
      <c r="AM62" s="23" t="s">
        <v>197</v>
      </c>
      <c r="AN62" s="9" t="s">
        <v>197</v>
      </c>
      <c r="AO62" s="23" t="s">
        <v>197</v>
      </c>
      <c r="AP62" s="23" t="s">
        <v>197</v>
      </c>
      <c r="AQ62" s="23" t="s">
        <v>197</v>
      </c>
    </row>
    <row r="63" customFormat="false" ht="21.75" hidden="false" customHeight="true" outlineLevel="0" collapsed="false">
      <c r="B63" s="14" t="n">
        <v>59</v>
      </c>
      <c r="C63" s="7" t="s">
        <v>78</v>
      </c>
      <c r="D63" s="7" t="s">
        <v>20</v>
      </c>
      <c r="E63" s="7" t="s">
        <v>116</v>
      </c>
      <c r="F63" s="7" t="s">
        <v>108</v>
      </c>
      <c r="G63" s="7" t="s">
        <v>2671</v>
      </c>
      <c r="H63" s="7" t="s">
        <v>2672</v>
      </c>
      <c r="I63" s="7" t="s">
        <v>2662</v>
      </c>
      <c r="J63" s="7" t="s">
        <v>2663</v>
      </c>
      <c r="K63" s="7" t="s">
        <v>2513</v>
      </c>
      <c r="L63" s="7" t="s">
        <v>2494</v>
      </c>
      <c r="M63" s="7" t="s">
        <v>2514</v>
      </c>
      <c r="N63" s="7" t="s">
        <v>189</v>
      </c>
      <c r="O63" s="7" t="s">
        <v>189</v>
      </c>
      <c r="P63" s="7" t="s">
        <v>190</v>
      </c>
      <c r="Q63" s="7" t="s">
        <v>2620</v>
      </c>
      <c r="R63" s="7" t="s">
        <v>1048</v>
      </c>
      <c r="S63" s="7" t="s">
        <v>2499</v>
      </c>
      <c r="T63" s="7" t="s">
        <v>2664</v>
      </c>
      <c r="U63" s="18" t="n">
        <v>55</v>
      </c>
      <c r="V63" s="7"/>
      <c r="W63" s="7"/>
      <c r="X63" s="7" t="s">
        <v>203</v>
      </c>
      <c r="Y63" s="22" t="n">
        <v>0.00037688</v>
      </c>
      <c r="Z63" s="22" t="n">
        <v>0.002</v>
      </c>
      <c r="AA63" s="22" t="n">
        <v>24</v>
      </c>
      <c r="AB63" s="7" t="s">
        <v>2494</v>
      </c>
      <c r="AC63" s="7" t="s">
        <v>2665</v>
      </c>
      <c r="AD63" s="22" t="s">
        <v>197</v>
      </c>
      <c r="AE63" s="22" t="s">
        <v>197</v>
      </c>
      <c r="AF63" s="22" t="s">
        <v>197</v>
      </c>
      <c r="AG63" s="22" t="s">
        <v>197</v>
      </c>
      <c r="AH63" s="22" t="s">
        <v>197</v>
      </c>
      <c r="AI63" s="22" t="s">
        <v>197</v>
      </c>
      <c r="AJ63" s="22" t="s">
        <v>197</v>
      </c>
      <c r="AK63" s="22" t="s">
        <v>197</v>
      </c>
      <c r="AL63" s="22" t="s">
        <v>197</v>
      </c>
      <c r="AM63" s="22" t="s">
        <v>197</v>
      </c>
      <c r="AN63" s="7" t="s">
        <v>197</v>
      </c>
      <c r="AO63" s="22" t="s">
        <v>197</v>
      </c>
      <c r="AP63" s="22" t="s">
        <v>197</v>
      </c>
      <c r="AQ63" s="22" t="s">
        <v>197</v>
      </c>
    </row>
    <row r="64" customFormat="false" ht="21.75" hidden="false" customHeight="true" outlineLevel="0" collapsed="false">
      <c r="B64" s="15" t="n">
        <v>60</v>
      </c>
      <c r="C64" s="9" t="s">
        <v>78</v>
      </c>
      <c r="D64" s="9" t="s">
        <v>20</v>
      </c>
      <c r="E64" s="9" t="s">
        <v>116</v>
      </c>
      <c r="F64" s="9" t="s">
        <v>108</v>
      </c>
      <c r="G64" s="9" t="s">
        <v>2673</v>
      </c>
      <c r="H64" s="9" t="s">
        <v>2674</v>
      </c>
      <c r="I64" s="9" t="s">
        <v>2662</v>
      </c>
      <c r="J64" s="9" t="s">
        <v>2663</v>
      </c>
      <c r="K64" s="9" t="s">
        <v>2513</v>
      </c>
      <c r="L64" s="9" t="s">
        <v>2494</v>
      </c>
      <c r="M64" s="9" t="s">
        <v>2514</v>
      </c>
      <c r="N64" s="9" t="s">
        <v>189</v>
      </c>
      <c r="O64" s="9" t="s">
        <v>189</v>
      </c>
      <c r="P64" s="9" t="s">
        <v>190</v>
      </c>
      <c r="Q64" s="9" t="s">
        <v>2620</v>
      </c>
      <c r="R64" s="9" t="s">
        <v>1048</v>
      </c>
      <c r="S64" s="9" t="s">
        <v>2499</v>
      </c>
      <c r="T64" s="9" t="s">
        <v>2664</v>
      </c>
      <c r="U64" s="19" t="n">
        <v>80</v>
      </c>
      <c r="V64" s="9"/>
      <c r="W64" s="9"/>
      <c r="X64" s="9" t="s">
        <v>205</v>
      </c>
      <c r="Y64" s="23" t="n">
        <v>0.00040856</v>
      </c>
      <c r="Z64" s="23" t="n">
        <v>0.002</v>
      </c>
      <c r="AA64" s="23" t="n">
        <v>24</v>
      </c>
      <c r="AB64" s="9" t="s">
        <v>2494</v>
      </c>
      <c r="AC64" s="9" t="s">
        <v>2665</v>
      </c>
      <c r="AD64" s="23" t="s">
        <v>197</v>
      </c>
      <c r="AE64" s="23" t="s">
        <v>197</v>
      </c>
      <c r="AF64" s="23" t="s">
        <v>197</v>
      </c>
      <c r="AG64" s="23" t="s">
        <v>197</v>
      </c>
      <c r="AH64" s="23" t="s">
        <v>197</v>
      </c>
      <c r="AI64" s="23" t="s">
        <v>197</v>
      </c>
      <c r="AJ64" s="23" t="s">
        <v>197</v>
      </c>
      <c r="AK64" s="23" t="s">
        <v>197</v>
      </c>
      <c r="AL64" s="23" t="s">
        <v>197</v>
      </c>
      <c r="AM64" s="23" t="s">
        <v>197</v>
      </c>
      <c r="AN64" s="9" t="s">
        <v>197</v>
      </c>
      <c r="AO64" s="23" t="s">
        <v>197</v>
      </c>
      <c r="AP64" s="23" t="s">
        <v>197</v>
      </c>
      <c r="AQ64" s="23" t="s">
        <v>197</v>
      </c>
    </row>
    <row r="65" customFormat="false" ht="21.75" hidden="false" customHeight="true" outlineLevel="0" collapsed="false">
      <c r="B65" s="14" t="n">
        <v>61</v>
      </c>
      <c r="C65" s="7" t="s">
        <v>58</v>
      </c>
      <c r="D65" s="7" t="s">
        <v>20</v>
      </c>
      <c r="E65" s="7" t="s">
        <v>118</v>
      </c>
      <c r="F65" s="7" t="s">
        <v>93</v>
      </c>
      <c r="G65" s="7" t="s">
        <v>2675</v>
      </c>
      <c r="H65" s="7" t="s">
        <v>2676</v>
      </c>
      <c r="I65" s="7" t="s">
        <v>2677</v>
      </c>
      <c r="J65" s="7" t="s">
        <v>2678</v>
      </c>
      <c r="K65" s="7" t="s">
        <v>2679</v>
      </c>
      <c r="L65" s="7" t="s">
        <v>2680</v>
      </c>
      <c r="M65" s="7" t="s">
        <v>2681</v>
      </c>
      <c r="N65" s="7" t="s">
        <v>2682</v>
      </c>
      <c r="O65" s="7" t="s">
        <v>189</v>
      </c>
      <c r="P65" s="7" t="s">
        <v>640</v>
      </c>
      <c r="Q65" s="7" t="s">
        <v>2683</v>
      </c>
      <c r="R65" s="7" t="s">
        <v>2684</v>
      </c>
      <c r="S65" s="7" t="s">
        <v>2685</v>
      </c>
      <c r="T65" s="7" t="s">
        <v>2686</v>
      </c>
      <c r="U65" s="18" t="n">
        <v>725</v>
      </c>
      <c r="V65" s="7"/>
      <c r="W65" s="7"/>
      <c r="X65" s="7" t="s">
        <v>195</v>
      </c>
      <c r="Y65" s="22" t="n">
        <v>0.45</v>
      </c>
      <c r="Z65" s="22" t="n">
        <v>3.308</v>
      </c>
      <c r="AA65" s="22" t="n">
        <v>24</v>
      </c>
      <c r="AB65" s="7" t="s">
        <v>2680</v>
      </c>
      <c r="AC65" s="7" t="s">
        <v>2687</v>
      </c>
      <c r="AD65" s="22" t="n">
        <v>0.45</v>
      </c>
      <c r="AE65" s="22" t="n">
        <v>3.308</v>
      </c>
      <c r="AF65" s="22" t="n">
        <v>8</v>
      </c>
      <c r="AG65" s="22" t="s">
        <v>197</v>
      </c>
      <c r="AH65" s="22" t="n">
        <v>4</v>
      </c>
      <c r="AI65" s="22" t="n">
        <v>252</v>
      </c>
      <c r="AJ65" s="22" t="s">
        <v>197</v>
      </c>
      <c r="AK65" s="22" t="s">
        <v>197</v>
      </c>
      <c r="AL65" s="22" t="s">
        <v>197</v>
      </c>
      <c r="AM65" s="22" t="s">
        <v>197</v>
      </c>
      <c r="AN65" s="7" t="s">
        <v>197</v>
      </c>
      <c r="AO65" s="22" t="s">
        <v>197</v>
      </c>
      <c r="AP65" s="22" t="s">
        <v>197</v>
      </c>
      <c r="AQ65" s="22" t="s">
        <v>197</v>
      </c>
    </row>
    <row r="66" customFormat="false" ht="21.75" hidden="false" customHeight="true" outlineLevel="0" collapsed="false">
      <c r="B66" s="15" t="n">
        <v>62</v>
      </c>
      <c r="C66" s="9" t="s">
        <v>58</v>
      </c>
      <c r="D66" s="9" t="s">
        <v>20</v>
      </c>
      <c r="E66" s="9" t="s">
        <v>118</v>
      </c>
      <c r="F66" s="9" t="s">
        <v>93</v>
      </c>
      <c r="G66" s="9" t="s">
        <v>2688</v>
      </c>
      <c r="H66" s="9" t="s">
        <v>2676</v>
      </c>
      <c r="I66" s="9" t="s">
        <v>2677</v>
      </c>
      <c r="J66" s="9" t="s">
        <v>2678</v>
      </c>
      <c r="K66" s="9" t="s">
        <v>2679</v>
      </c>
      <c r="L66" s="9" t="s">
        <v>2680</v>
      </c>
      <c r="M66" s="9" t="s">
        <v>2681</v>
      </c>
      <c r="N66" s="9" t="s">
        <v>2682</v>
      </c>
      <c r="O66" s="9" t="s">
        <v>189</v>
      </c>
      <c r="P66" s="9" t="s">
        <v>640</v>
      </c>
      <c r="Q66" s="9" t="s">
        <v>2683</v>
      </c>
      <c r="R66" s="9" t="s">
        <v>2684</v>
      </c>
      <c r="S66" s="9" t="s">
        <v>2685</v>
      </c>
      <c r="T66" s="9" t="s">
        <v>2686</v>
      </c>
      <c r="U66" s="19" t="n">
        <v>1085</v>
      </c>
      <c r="V66" s="9"/>
      <c r="W66" s="9"/>
      <c r="X66" s="9" t="s">
        <v>199</v>
      </c>
      <c r="Y66" s="23" t="n">
        <v>0.45</v>
      </c>
      <c r="Z66" s="23" t="n">
        <v>1.298</v>
      </c>
      <c r="AA66" s="23" t="n">
        <v>24</v>
      </c>
      <c r="AB66" s="9" t="s">
        <v>2680</v>
      </c>
      <c r="AC66" s="9" t="s">
        <v>2687</v>
      </c>
      <c r="AD66" s="23" t="n">
        <v>0.45</v>
      </c>
      <c r="AE66" s="23" t="n">
        <v>1.298</v>
      </c>
      <c r="AF66" s="23" t="n">
        <v>5.25</v>
      </c>
      <c r="AG66" s="23" t="s">
        <v>197</v>
      </c>
      <c r="AH66" s="23" t="n">
        <v>4</v>
      </c>
      <c r="AI66" s="23" t="n">
        <v>252</v>
      </c>
      <c r="AJ66" s="23" t="s">
        <v>197</v>
      </c>
      <c r="AK66" s="23" t="s">
        <v>197</v>
      </c>
      <c r="AL66" s="23" t="s">
        <v>197</v>
      </c>
      <c r="AM66" s="23" t="s">
        <v>197</v>
      </c>
      <c r="AN66" s="9" t="s">
        <v>197</v>
      </c>
      <c r="AO66" s="23" t="s">
        <v>197</v>
      </c>
      <c r="AP66" s="23" t="s">
        <v>197</v>
      </c>
      <c r="AQ66" s="23" t="s">
        <v>197</v>
      </c>
    </row>
    <row r="67" customFormat="false" ht="21.75" hidden="false" customHeight="true" outlineLevel="0" collapsed="false">
      <c r="B67" s="14" t="n">
        <v>63</v>
      </c>
      <c r="C67" s="7" t="s">
        <v>58</v>
      </c>
      <c r="D67" s="7" t="s">
        <v>20</v>
      </c>
      <c r="E67" s="7" t="s">
        <v>118</v>
      </c>
      <c r="F67" s="7" t="s">
        <v>93</v>
      </c>
      <c r="G67" s="7" t="s">
        <v>2689</v>
      </c>
      <c r="H67" s="7" t="s">
        <v>2676</v>
      </c>
      <c r="I67" s="7" t="s">
        <v>2677</v>
      </c>
      <c r="J67" s="7" t="s">
        <v>2678</v>
      </c>
      <c r="K67" s="7" t="s">
        <v>2679</v>
      </c>
      <c r="L67" s="7" t="s">
        <v>2680</v>
      </c>
      <c r="M67" s="7" t="s">
        <v>2681</v>
      </c>
      <c r="N67" s="7" t="s">
        <v>2682</v>
      </c>
      <c r="O67" s="7" t="s">
        <v>189</v>
      </c>
      <c r="P67" s="7" t="s">
        <v>640</v>
      </c>
      <c r="Q67" s="7" t="s">
        <v>2683</v>
      </c>
      <c r="R67" s="7" t="s">
        <v>2684</v>
      </c>
      <c r="S67" s="7" t="s">
        <v>2685</v>
      </c>
      <c r="T67" s="7" t="s">
        <v>2686</v>
      </c>
      <c r="U67" s="18" t="n">
        <v>1450</v>
      </c>
      <c r="V67" s="7"/>
      <c r="W67" s="7"/>
      <c r="X67" s="7" t="s">
        <v>2690</v>
      </c>
      <c r="Y67" s="22" t="n">
        <v>0.45</v>
      </c>
      <c r="Z67" s="22" t="n">
        <v>1.914</v>
      </c>
      <c r="AA67" s="22" t="n">
        <v>24</v>
      </c>
      <c r="AB67" s="7" t="s">
        <v>2680</v>
      </c>
      <c r="AC67" s="7" t="s">
        <v>2687</v>
      </c>
      <c r="AD67" s="22" t="n">
        <v>0.45</v>
      </c>
      <c r="AE67" s="22" t="n">
        <v>1.914</v>
      </c>
      <c r="AF67" s="22" t="n">
        <v>8</v>
      </c>
      <c r="AG67" s="22" t="s">
        <v>197</v>
      </c>
      <c r="AH67" s="22" t="n">
        <v>4</v>
      </c>
      <c r="AI67" s="22" t="n">
        <v>252</v>
      </c>
      <c r="AJ67" s="22" t="s">
        <v>197</v>
      </c>
      <c r="AK67" s="22" t="s">
        <v>197</v>
      </c>
      <c r="AL67" s="22" t="s">
        <v>197</v>
      </c>
      <c r="AM67" s="22" t="s">
        <v>197</v>
      </c>
      <c r="AN67" s="7" t="s">
        <v>197</v>
      </c>
      <c r="AO67" s="22" t="s">
        <v>197</v>
      </c>
      <c r="AP67" s="22" t="s">
        <v>197</v>
      </c>
      <c r="AQ67" s="22" t="s">
        <v>197</v>
      </c>
    </row>
    <row r="68" customFormat="false" ht="21.75" hidden="false" customHeight="true" outlineLevel="0" collapsed="false">
      <c r="B68" s="15" t="n">
        <v>64</v>
      </c>
      <c r="C68" s="9" t="s">
        <v>58</v>
      </c>
      <c r="D68" s="9" t="s">
        <v>20</v>
      </c>
      <c r="E68" s="9" t="s">
        <v>118</v>
      </c>
      <c r="F68" s="9" t="s">
        <v>93</v>
      </c>
      <c r="G68" s="9" t="s">
        <v>2691</v>
      </c>
      <c r="H68" s="9" t="s">
        <v>2676</v>
      </c>
      <c r="I68" s="9" t="s">
        <v>2677</v>
      </c>
      <c r="J68" s="9" t="s">
        <v>2678</v>
      </c>
      <c r="K68" s="9" t="s">
        <v>2679</v>
      </c>
      <c r="L68" s="9" t="s">
        <v>2680</v>
      </c>
      <c r="M68" s="9" t="s">
        <v>2681</v>
      </c>
      <c r="N68" s="9" t="s">
        <v>2682</v>
      </c>
      <c r="O68" s="9" t="s">
        <v>189</v>
      </c>
      <c r="P68" s="9" t="s">
        <v>640</v>
      </c>
      <c r="Q68" s="9" t="s">
        <v>2683</v>
      </c>
      <c r="R68" s="9" t="s">
        <v>2684</v>
      </c>
      <c r="S68" s="9" t="s">
        <v>2685</v>
      </c>
      <c r="T68" s="9" t="s">
        <v>2686</v>
      </c>
      <c r="U68" s="19" t="n">
        <v>2175</v>
      </c>
      <c r="V68" s="9"/>
      <c r="W68" s="9"/>
      <c r="X68" s="9" t="s">
        <v>203</v>
      </c>
      <c r="Y68" s="23" t="n">
        <v>0.45</v>
      </c>
      <c r="Z68" s="23" t="n">
        <v>1.766</v>
      </c>
      <c r="AA68" s="23" t="n">
        <v>24</v>
      </c>
      <c r="AB68" s="9" t="s">
        <v>2680</v>
      </c>
      <c r="AC68" s="9" t="s">
        <v>2687</v>
      </c>
      <c r="AD68" s="23" t="n">
        <v>0.45</v>
      </c>
      <c r="AE68" s="23" t="n">
        <v>1.766</v>
      </c>
      <c r="AF68" s="23" t="n">
        <v>8</v>
      </c>
      <c r="AG68" s="23" t="s">
        <v>197</v>
      </c>
      <c r="AH68" s="23" t="n">
        <v>4</v>
      </c>
      <c r="AI68" s="23" t="n">
        <v>252</v>
      </c>
      <c r="AJ68" s="23" t="s">
        <v>197</v>
      </c>
      <c r="AK68" s="23" t="s">
        <v>197</v>
      </c>
      <c r="AL68" s="23" t="s">
        <v>197</v>
      </c>
      <c r="AM68" s="23" t="s">
        <v>197</v>
      </c>
      <c r="AN68" s="9" t="s">
        <v>197</v>
      </c>
      <c r="AO68" s="23" t="s">
        <v>197</v>
      </c>
      <c r="AP68" s="23" t="s">
        <v>197</v>
      </c>
      <c r="AQ68" s="23" t="s">
        <v>197</v>
      </c>
    </row>
    <row r="69" customFormat="false" ht="21.75" hidden="false" customHeight="true" outlineLevel="0" collapsed="false">
      <c r="B69" s="14" t="n">
        <v>65</v>
      </c>
      <c r="C69" s="7" t="s">
        <v>58</v>
      </c>
      <c r="D69" s="7" t="s">
        <v>20</v>
      </c>
      <c r="E69" s="7" t="s">
        <v>118</v>
      </c>
      <c r="F69" s="7" t="s">
        <v>93</v>
      </c>
      <c r="G69" s="7" t="s">
        <v>2692</v>
      </c>
      <c r="H69" s="7" t="s">
        <v>2676</v>
      </c>
      <c r="I69" s="7" t="s">
        <v>2677</v>
      </c>
      <c r="J69" s="7" t="s">
        <v>2678</v>
      </c>
      <c r="K69" s="7" t="s">
        <v>2679</v>
      </c>
      <c r="L69" s="7" t="s">
        <v>2680</v>
      </c>
      <c r="M69" s="7" t="s">
        <v>2681</v>
      </c>
      <c r="N69" s="7" t="s">
        <v>2682</v>
      </c>
      <c r="O69" s="7" t="s">
        <v>189</v>
      </c>
      <c r="P69" s="7" t="s">
        <v>640</v>
      </c>
      <c r="Q69" s="7" t="s">
        <v>2683</v>
      </c>
      <c r="R69" s="7" t="s">
        <v>2684</v>
      </c>
      <c r="S69" s="7" t="s">
        <v>2685</v>
      </c>
      <c r="T69" s="7" t="s">
        <v>2686</v>
      </c>
      <c r="U69" s="18" t="n">
        <v>3190</v>
      </c>
      <c r="V69" s="7"/>
      <c r="W69" s="7"/>
      <c r="X69" s="7" t="s">
        <v>205</v>
      </c>
      <c r="Y69" s="22" t="n">
        <v>0.45</v>
      </c>
      <c r="Z69" s="22" t="n">
        <v>1.473</v>
      </c>
      <c r="AA69" s="22" t="n">
        <v>24</v>
      </c>
      <c r="AB69" s="7" t="s">
        <v>2680</v>
      </c>
      <c r="AC69" s="7" t="s">
        <v>2687</v>
      </c>
      <c r="AD69" s="22" t="n">
        <v>0.45</v>
      </c>
      <c r="AE69" s="22" t="n">
        <v>1.473</v>
      </c>
      <c r="AF69" s="22" t="n">
        <v>8</v>
      </c>
      <c r="AG69" s="22" t="s">
        <v>197</v>
      </c>
      <c r="AH69" s="22" t="n">
        <v>4</v>
      </c>
      <c r="AI69" s="22" t="n">
        <v>252</v>
      </c>
      <c r="AJ69" s="22" t="s">
        <v>197</v>
      </c>
      <c r="AK69" s="22" t="s">
        <v>197</v>
      </c>
      <c r="AL69" s="22" t="s">
        <v>197</v>
      </c>
      <c r="AM69" s="22" t="s">
        <v>197</v>
      </c>
      <c r="AN69" s="7" t="s">
        <v>197</v>
      </c>
      <c r="AO69" s="22" t="s">
        <v>197</v>
      </c>
      <c r="AP69" s="22" t="s">
        <v>197</v>
      </c>
      <c r="AQ69" s="22" t="s">
        <v>197</v>
      </c>
    </row>
    <row r="70" customFormat="false" ht="21.75" hidden="false" customHeight="true" outlineLevel="0" collapsed="false">
      <c r="B70" s="15" t="n">
        <v>66</v>
      </c>
      <c r="C70" s="9" t="s">
        <v>58</v>
      </c>
      <c r="D70" s="9" t="s">
        <v>20</v>
      </c>
      <c r="E70" s="9" t="s">
        <v>118</v>
      </c>
      <c r="F70" s="9" t="s">
        <v>94</v>
      </c>
      <c r="G70" s="9" t="s">
        <v>391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19"/>
      <c r="V70" s="9"/>
      <c r="W70" s="9"/>
      <c r="X70" s="9" t="s">
        <v>2693</v>
      </c>
      <c r="Y70" s="23" t="s">
        <v>197</v>
      </c>
      <c r="Z70" s="23" t="s">
        <v>197</v>
      </c>
      <c r="AA70" s="23" t="s">
        <v>197</v>
      </c>
      <c r="AB70" s="9" t="s">
        <v>197</v>
      </c>
      <c r="AC70" s="9" t="s">
        <v>197</v>
      </c>
      <c r="AD70" s="23" t="s">
        <v>197</v>
      </c>
      <c r="AE70" s="23" t="s">
        <v>197</v>
      </c>
      <c r="AF70" s="23" t="s">
        <v>197</v>
      </c>
      <c r="AG70" s="23" t="s">
        <v>197</v>
      </c>
      <c r="AH70" s="23" t="s">
        <v>197</v>
      </c>
      <c r="AI70" s="23" t="s">
        <v>197</v>
      </c>
      <c r="AJ70" s="23" t="s">
        <v>197</v>
      </c>
      <c r="AK70" s="23" t="s">
        <v>197</v>
      </c>
      <c r="AL70" s="23" t="s">
        <v>197</v>
      </c>
      <c r="AM70" s="23" t="s">
        <v>197</v>
      </c>
      <c r="AN70" s="9" t="s">
        <v>197</v>
      </c>
      <c r="AO70" s="23" t="s">
        <v>197</v>
      </c>
      <c r="AP70" s="23" t="s">
        <v>197</v>
      </c>
      <c r="AQ70" s="23" t="s">
        <v>197</v>
      </c>
    </row>
    <row r="71" customFormat="false" ht="21.75" hidden="false" customHeight="true" outlineLevel="0" collapsed="false">
      <c r="B71" s="14" t="n">
        <v>67</v>
      </c>
      <c r="C71" s="7" t="s">
        <v>58</v>
      </c>
      <c r="D71" s="7" t="s">
        <v>20</v>
      </c>
      <c r="E71" s="7" t="s">
        <v>118</v>
      </c>
      <c r="F71" s="7" t="s">
        <v>95</v>
      </c>
      <c r="G71" s="7" t="s">
        <v>2694</v>
      </c>
      <c r="H71" s="7" t="s">
        <v>2510</v>
      </c>
      <c r="I71" s="7" t="s">
        <v>2695</v>
      </c>
      <c r="J71" s="7" t="s">
        <v>2696</v>
      </c>
      <c r="K71" s="7" t="s">
        <v>2697</v>
      </c>
      <c r="L71" s="7" t="s">
        <v>2680</v>
      </c>
      <c r="M71" s="7" t="s">
        <v>2698</v>
      </c>
      <c r="N71" s="7" t="s">
        <v>189</v>
      </c>
      <c r="O71" s="7" t="s">
        <v>189</v>
      </c>
      <c r="P71" s="7" t="s">
        <v>640</v>
      </c>
      <c r="Q71" s="7" t="s">
        <v>2699</v>
      </c>
      <c r="R71" s="7" t="s">
        <v>1486</v>
      </c>
      <c r="S71" s="7" t="s">
        <v>2685</v>
      </c>
      <c r="T71" s="7" t="s">
        <v>2700</v>
      </c>
      <c r="U71" s="18" t="n">
        <v>25</v>
      </c>
      <c r="V71" s="7"/>
      <c r="W71" s="7"/>
      <c r="X71" s="7" t="s">
        <v>195</v>
      </c>
      <c r="Y71" s="22" t="n">
        <v>4.103E-005</v>
      </c>
      <c r="Z71" s="22" t="n">
        <v>0.041</v>
      </c>
      <c r="AA71" s="22" t="n">
        <v>24</v>
      </c>
      <c r="AB71" s="7" t="s">
        <v>2680</v>
      </c>
      <c r="AC71" s="7" t="s">
        <v>2701</v>
      </c>
      <c r="AD71" s="22" t="s">
        <v>197</v>
      </c>
      <c r="AE71" s="22" t="s">
        <v>197</v>
      </c>
      <c r="AF71" s="22" t="s">
        <v>197</v>
      </c>
      <c r="AG71" s="22" t="s">
        <v>197</v>
      </c>
      <c r="AH71" s="22" t="s">
        <v>197</v>
      </c>
      <c r="AI71" s="22" t="s">
        <v>197</v>
      </c>
      <c r="AJ71" s="22" t="n">
        <v>60</v>
      </c>
      <c r="AK71" s="22" t="s">
        <v>197</v>
      </c>
      <c r="AL71" s="22" t="s">
        <v>197</v>
      </c>
      <c r="AM71" s="22" t="s">
        <v>197</v>
      </c>
      <c r="AN71" s="7" t="s">
        <v>2518</v>
      </c>
      <c r="AO71" s="22" t="s">
        <v>197</v>
      </c>
      <c r="AP71" s="22" t="n">
        <v>2.5</v>
      </c>
      <c r="AQ71" s="22" t="n">
        <v>6</v>
      </c>
    </row>
    <row r="72" customFormat="false" ht="21.75" hidden="false" customHeight="true" outlineLevel="0" collapsed="false">
      <c r="B72" s="15" t="n">
        <v>68</v>
      </c>
      <c r="C72" s="9" t="s">
        <v>58</v>
      </c>
      <c r="D72" s="9" t="s">
        <v>20</v>
      </c>
      <c r="E72" s="9" t="s">
        <v>118</v>
      </c>
      <c r="F72" s="9" t="s">
        <v>95</v>
      </c>
      <c r="G72" s="9" t="s">
        <v>2702</v>
      </c>
      <c r="H72" s="9" t="s">
        <v>2520</v>
      </c>
      <c r="I72" s="9" t="s">
        <v>2695</v>
      </c>
      <c r="J72" s="9" t="s">
        <v>2696</v>
      </c>
      <c r="K72" s="9" t="s">
        <v>2697</v>
      </c>
      <c r="L72" s="9" t="s">
        <v>2680</v>
      </c>
      <c r="M72" s="9" t="s">
        <v>2698</v>
      </c>
      <c r="N72" s="9" t="s">
        <v>189</v>
      </c>
      <c r="O72" s="9" t="s">
        <v>189</v>
      </c>
      <c r="P72" s="9" t="s">
        <v>640</v>
      </c>
      <c r="Q72" s="9" t="s">
        <v>2699</v>
      </c>
      <c r="R72" s="9" t="s">
        <v>1486</v>
      </c>
      <c r="S72" s="9" t="s">
        <v>2685</v>
      </c>
      <c r="T72" s="9" t="s">
        <v>2700</v>
      </c>
      <c r="U72" s="19" t="n">
        <v>40</v>
      </c>
      <c r="V72" s="9"/>
      <c r="W72" s="9"/>
      <c r="X72" s="9" t="s">
        <v>199</v>
      </c>
      <c r="Y72" s="23" t="n">
        <v>3.346E-005</v>
      </c>
      <c r="Z72" s="23" t="n">
        <v>0.033</v>
      </c>
      <c r="AA72" s="23" t="n">
        <v>24</v>
      </c>
      <c r="AB72" s="9" t="s">
        <v>2680</v>
      </c>
      <c r="AC72" s="9" t="s">
        <v>2701</v>
      </c>
      <c r="AD72" s="23" t="s">
        <v>197</v>
      </c>
      <c r="AE72" s="23" t="s">
        <v>197</v>
      </c>
      <c r="AF72" s="23" t="s">
        <v>197</v>
      </c>
      <c r="AG72" s="23" t="s">
        <v>197</v>
      </c>
      <c r="AH72" s="23" t="s">
        <v>197</v>
      </c>
      <c r="AI72" s="23" t="s">
        <v>197</v>
      </c>
      <c r="AJ72" s="23" t="n">
        <v>80</v>
      </c>
      <c r="AK72" s="23" t="s">
        <v>197</v>
      </c>
      <c r="AL72" s="23" t="s">
        <v>197</v>
      </c>
      <c r="AM72" s="23" t="s">
        <v>197</v>
      </c>
      <c r="AN72" s="9" t="s">
        <v>2518</v>
      </c>
      <c r="AO72" s="23" t="s">
        <v>197</v>
      </c>
      <c r="AP72" s="23" t="n">
        <v>2.5</v>
      </c>
      <c r="AQ72" s="23" t="n">
        <v>6</v>
      </c>
    </row>
    <row r="73" customFormat="false" ht="21.75" hidden="false" customHeight="true" outlineLevel="0" collapsed="false">
      <c r="B73" s="14" t="n">
        <v>69</v>
      </c>
      <c r="C73" s="7" t="s">
        <v>58</v>
      </c>
      <c r="D73" s="7" t="s">
        <v>20</v>
      </c>
      <c r="E73" s="7" t="s">
        <v>118</v>
      </c>
      <c r="F73" s="7" t="s">
        <v>95</v>
      </c>
      <c r="G73" s="7" t="s">
        <v>2703</v>
      </c>
      <c r="H73" s="7" t="s">
        <v>2522</v>
      </c>
      <c r="I73" s="7" t="s">
        <v>2695</v>
      </c>
      <c r="J73" s="7" t="s">
        <v>2696</v>
      </c>
      <c r="K73" s="7" t="s">
        <v>2697</v>
      </c>
      <c r="L73" s="7" t="s">
        <v>2680</v>
      </c>
      <c r="M73" s="7" t="s">
        <v>2698</v>
      </c>
      <c r="N73" s="7" t="s">
        <v>189</v>
      </c>
      <c r="O73" s="7" t="s">
        <v>189</v>
      </c>
      <c r="P73" s="7" t="s">
        <v>640</v>
      </c>
      <c r="Q73" s="7" t="s">
        <v>2699</v>
      </c>
      <c r="R73" s="7" t="s">
        <v>1486</v>
      </c>
      <c r="S73" s="7" t="s">
        <v>2685</v>
      </c>
      <c r="T73" s="7" t="s">
        <v>2700</v>
      </c>
      <c r="U73" s="18" t="n">
        <v>55</v>
      </c>
      <c r="V73" s="7"/>
      <c r="W73" s="7"/>
      <c r="X73" s="7" t="s">
        <v>2704</v>
      </c>
      <c r="Y73" s="22" t="n">
        <v>5.852E-005</v>
      </c>
      <c r="Z73" s="22" t="n">
        <v>0.059</v>
      </c>
      <c r="AA73" s="22" t="n">
        <v>24</v>
      </c>
      <c r="AB73" s="7" t="s">
        <v>2680</v>
      </c>
      <c r="AC73" s="7" t="s">
        <v>2701</v>
      </c>
      <c r="AD73" s="22" t="s">
        <v>197</v>
      </c>
      <c r="AE73" s="22" t="s">
        <v>197</v>
      </c>
      <c r="AF73" s="22" t="s">
        <v>197</v>
      </c>
      <c r="AG73" s="22" t="s">
        <v>197</v>
      </c>
      <c r="AH73" s="22" t="s">
        <v>197</v>
      </c>
      <c r="AI73" s="22" t="s">
        <v>197</v>
      </c>
      <c r="AJ73" s="22" t="n">
        <v>100</v>
      </c>
      <c r="AK73" s="22" t="s">
        <v>197</v>
      </c>
      <c r="AL73" s="22" t="s">
        <v>197</v>
      </c>
      <c r="AM73" s="22" t="s">
        <v>197</v>
      </c>
      <c r="AN73" s="7" t="s">
        <v>2518</v>
      </c>
      <c r="AO73" s="22" t="s">
        <v>197</v>
      </c>
      <c r="AP73" s="22" t="n">
        <v>2.5</v>
      </c>
      <c r="AQ73" s="22" t="n">
        <v>6</v>
      </c>
    </row>
    <row r="74" customFormat="false" ht="21.75" hidden="false" customHeight="true" outlineLevel="0" collapsed="false">
      <c r="B74" s="15" t="n">
        <v>70</v>
      </c>
      <c r="C74" s="9" t="s">
        <v>58</v>
      </c>
      <c r="D74" s="9" t="s">
        <v>20</v>
      </c>
      <c r="E74" s="9" t="s">
        <v>118</v>
      </c>
      <c r="F74" s="9" t="s">
        <v>95</v>
      </c>
      <c r="G74" s="9" t="s">
        <v>2705</v>
      </c>
      <c r="H74" s="9" t="s">
        <v>2706</v>
      </c>
      <c r="I74" s="9" t="s">
        <v>2695</v>
      </c>
      <c r="J74" s="9" t="s">
        <v>2696</v>
      </c>
      <c r="K74" s="9" t="s">
        <v>2697</v>
      </c>
      <c r="L74" s="9" t="s">
        <v>2680</v>
      </c>
      <c r="M74" s="9" t="s">
        <v>2698</v>
      </c>
      <c r="N74" s="9" t="s">
        <v>189</v>
      </c>
      <c r="O74" s="9" t="s">
        <v>189</v>
      </c>
      <c r="P74" s="9" t="s">
        <v>640</v>
      </c>
      <c r="Q74" s="9" t="s">
        <v>2699</v>
      </c>
      <c r="R74" s="9" t="s">
        <v>1486</v>
      </c>
      <c r="S74" s="9" t="s">
        <v>2685</v>
      </c>
      <c r="T74" s="9" t="s">
        <v>2700</v>
      </c>
      <c r="U74" s="19" t="n">
        <v>85</v>
      </c>
      <c r="V74" s="9"/>
      <c r="W74" s="9"/>
      <c r="X74" s="9" t="s">
        <v>203</v>
      </c>
      <c r="Y74" s="23" t="n">
        <v>4.837E-005</v>
      </c>
      <c r="Z74" s="23" t="n">
        <v>0.048</v>
      </c>
      <c r="AA74" s="23" t="n">
        <v>24</v>
      </c>
      <c r="AB74" s="9" t="s">
        <v>2680</v>
      </c>
      <c r="AC74" s="9" t="s">
        <v>2701</v>
      </c>
      <c r="AD74" s="23" t="s">
        <v>197</v>
      </c>
      <c r="AE74" s="23" t="s">
        <v>197</v>
      </c>
      <c r="AF74" s="23" t="s">
        <v>197</v>
      </c>
      <c r="AG74" s="23" t="s">
        <v>197</v>
      </c>
      <c r="AH74" s="23" t="s">
        <v>197</v>
      </c>
      <c r="AI74" s="23" t="s">
        <v>197</v>
      </c>
      <c r="AJ74" s="23" t="n">
        <v>100</v>
      </c>
      <c r="AK74" s="23" t="s">
        <v>197</v>
      </c>
      <c r="AL74" s="23" t="s">
        <v>197</v>
      </c>
      <c r="AM74" s="23" t="s">
        <v>197</v>
      </c>
      <c r="AN74" s="9" t="s">
        <v>2518</v>
      </c>
      <c r="AO74" s="23" t="s">
        <v>197</v>
      </c>
      <c r="AP74" s="23" t="n">
        <v>2.5</v>
      </c>
      <c r="AQ74" s="23" t="n">
        <v>6</v>
      </c>
    </row>
    <row r="75" customFormat="false" ht="21.75" hidden="false" customHeight="true" outlineLevel="0" collapsed="false">
      <c r="B75" s="14" t="n">
        <v>71</v>
      </c>
      <c r="C75" s="7" t="s">
        <v>58</v>
      </c>
      <c r="D75" s="7" t="s">
        <v>20</v>
      </c>
      <c r="E75" s="7" t="s">
        <v>118</v>
      </c>
      <c r="F75" s="7" t="s">
        <v>95</v>
      </c>
      <c r="G75" s="7" t="s">
        <v>2707</v>
      </c>
      <c r="H75" s="7" t="s">
        <v>2527</v>
      </c>
      <c r="I75" s="7" t="s">
        <v>2695</v>
      </c>
      <c r="J75" s="7" t="s">
        <v>2696</v>
      </c>
      <c r="K75" s="7" t="s">
        <v>2697</v>
      </c>
      <c r="L75" s="7" t="s">
        <v>2680</v>
      </c>
      <c r="M75" s="7" t="s">
        <v>2698</v>
      </c>
      <c r="N75" s="7" t="s">
        <v>189</v>
      </c>
      <c r="O75" s="7" t="s">
        <v>189</v>
      </c>
      <c r="P75" s="7" t="s">
        <v>640</v>
      </c>
      <c r="Q75" s="7" t="s">
        <v>2699</v>
      </c>
      <c r="R75" s="7" t="s">
        <v>1486</v>
      </c>
      <c r="S75" s="7" t="s">
        <v>2685</v>
      </c>
      <c r="T75" s="7" t="s">
        <v>2700</v>
      </c>
      <c r="U75" s="18" t="n">
        <v>125</v>
      </c>
      <c r="V75" s="7"/>
      <c r="W75" s="7"/>
      <c r="X75" s="7" t="s">
        <v>205</v>
      </c>
      <c r="Y75" s="22" t="n">
        <v>5.248E-005</v>
      </c>
      <c r="Z75" s="22" t="n">
        <v>0.052</v>
      </c>
      <c r="AA75" s="22" t="n">
        <v>24</v>
      </c>
      <c r="AB75" s="7" t="s">
        <v>2680</v>
      </c>
      <c r="AC75" s="7" t="s">
        <v>2701</v>
      </c>
      <c r="AD75" s="22" t="s">
        <v>197</v>
      </c>
      <c r="AE75" s="22" t="s">
        <v>197</v>
      </c>
      <c r="AF75" s="22" t="s">
        <v>197</v>
      </c>
      <c r="AG75" s="22" t="s">
        <v>197</v>
      </c>
      <c r="AH75" s="22" t="s">
        <v>197</v>
      </c>
      <c r="AI75" s="22" t="s">
        <v>197</v>
      </c>
      <c r="AJ75" s="22" t="n">
        <v>120</v>
      </c>
      <c r="AK75" s="22" t="s">
        <v>197</v>
      </c>
      <c r="AL75" s="22" t="s">
        <v>197</v>
      </c>
      <c r="AM75" s="22" t="s">
        <v>197</v>
      </c>
      <c r="AN75" s="7" t="s">
        <v>2518</v>
      </c>
      <c r="AO75" s="22" t="s">
        <v>197</v>
      </c>
      <c r="AP75" s="22" t="n">
        <v>2.5</v>
      </c>
      <c r="AQ75" s="22" t="n">
        <v>6</v>
      </c>
    </row>
    <row r="76" customFormat="false" ht="21.75" hidden="false" customHeight="true" outlineLevel="0" collapsed="false">
      <c r="B76" s="15" t="n">
        <v>72</v>
      </c>
      <c r="C76" s="9" t="s">
        <v>58</v>
      </c>
      <c r="D76" s="9" t="s">
        <v>20</v>
      </c>
      <c r="E76" s="9" t="s">
        <v>118</v>
      </c>
      <c r="F76" s="9" t="s">
        <v>96</v>
      </c>
      <c r="G76" s="9" t="s">
        <v>2708</v>
      </c>
      <c r="H76" s="9" t="s">
        <v>2510</v>
      </c>
      <c r="I76" s="9" t="s">
        <v>2709</v>
      </c>
      <c r="J76" s="9" t="s">
        <v>2710</v>
      </c>
      <c r="K76" s="9" t="s">
        <v>2711</v>
      </c>
      <c r="L76" s="9" t="s">
        <v>2680</v>
      </c>
      <c r="M76" s="9" t="s">
        <v>2514</v>
      </c>
      <c r="N76" s="9" t="s">
        <v>189</v>
      </c>
      <c r="O76" s="9" t="s">
        <v>189</v>
      </c>
      <c r="P76" s="9" t="s">
        <v>640</v>
      </c>
      <c r="Q76" s="9" t="s">
        <v>2712</v>
      </c>
      <c r="R76" s="9" t="s">
        <v>849</v>
      </c>
      <c r="S76" s="9" t="s">
        <v>2685</v>
      </c>
      <c r="T76" s="9" t="s">
        <v>2713</v>
      </c>
      <c r="U76" s="19" t="n">
        <v>40</v>
      </c>
      <c r="V76" s="9"/>
      <c r="W76" s="9"/>
      <c r="X76" s="9" t="s">
        <v>195</v>
      </c>
      <c r="Y76" s="23" t="n">
        <v>8.263E-005</v>
      </c>
      <c r="Z76" s="23" t="n">
        <v>0.003</v>
      </c>
      <c r="AA76" s="23" t="n">
        <v>24</v>
      </c>
      <c r="AB76" s="9" t="s">
        <v>2680</v>
      </c>
      <c r="AC76" s="9" t="s">
        <v>2714</v>
      </c>
      <c r="AD76" s="23" t="s">
        <v>197</v>
      </c>
      <c r="AE76" s="23" t="s">
        <v>197</v>
      </c>
      <c r="AF76" s="23" t="s">
        <v>197</v>
      </c>
      <c r="AG76" s="23" t="s">
        <v>197</v>
      </c>
      <c r="AH76" s="23" t="s">
        <v>197</v>
      </c>
      <c r="AI76" s="23" t="s">
        <v>197</v>
      </c>
      <c r="AJ76" s="23" t="n">
        <v>60</v>
      </c>
      <c r="AK76" s="23" t="s">
        <v>197</v>
      </c>
      <c r="AL76" s="23" t="s">
        <v>197</v>
      </c>
      <c r="AM76" s="23" t="s">
        <v>197</v>
      </c>
      <c r="AN76" s="9" t="s">
        <v>2518</v>
      </c>
      <c r="AO76" s="23" t="s">
        <v>197</v>
      </c>
      <c r="AP76" s="23" t="n">
        <v>2.5</v>
      </c>
      <c r="AQ76" s="23" t="n">
        <v>6</v>
      </c>
    </row>
    <row r="77" customFormat="false" ht="21.75" hidden="false" customHeight="true" outlineLevel="0" collapsed="false">
      <c r="B77" s="14" t="n">
        <v>73</v>
      </c>
      <c r="C77" s="7" t="s">
        <v>58</v>
      </c>
      <c r="D77" s="7" t="s">
        <v>20</v>
      </c>
      <c r="E77" s="7" t="s">
        <v>118</v>
      </c>
      <c r="F77" s="7" t="s">
        <v>96</v>
      </c>
      <c r="G77" s="7" t="s">
        <v>2715</v>
      </c>
      <c r="H77" s="7" t="s">
        <v>2520</v>
      </c>
      <c r="I77" s="7" t="s">
        <v>2709</v>
      </c>
      <c r="J77" s="7" t="s">
        <v>2710</v>
      </c>
      <c r="K77" s="7" t="s">
        <v>2711</v>
      </c>
      <c r="L77" s="7" t="s">
        <v>2680</v>
      </c>
      <c r="M77" s="7" t="s">
        <v>2514</v>
      </c>
      <c r="N77" s="7" t="s">
        <v>189</v>
      </c>
      <c r="O77" s="7" t="s">
        <v>189</v>
      </c>
      <c r="P77" s="7" t="s">
        <v>640</v>
      </c>
      <c r="Q77" s="7" t="s">
        <v>2712</v>
      </c>
      <c r="R77" s="7" t="s">
        <v>849</v>
      </c>
      <c r="S77" s="7" t="s">
        <v>2685</v>
      </c>
      <c r="T77" s="7" t="s">
        <v>2713</v>
      </c>
      <c r="U77" s="18" t="n">
        <v>60</v>
      </c>
      <c r="V77" s="7"/>
      <c r="W77" s="7"/>
      <c r="X77" s="7" t="s">
        <v>199</v>
      </c>
      <c r="Y77" s="22" t="n">
        <v>0.00010283</v>
      </c>
      <c r="Z77" s="22" t="n">
        <v>0.004</v>
      </c>
      <c r="AA77" s="22" t="n">
        <v>24</v>
      </c>
      <c r="AB77" s="7" t="s">
        <v>2680</v>
      </c>
      <c r="AC77" s="7" t="s">
        <v>2714</v>
      </c>
      <c r="AD77" s="22" t="s">
        <v>197</v>
      </c>
      <c r="AE77" s="22" t="s">
        <v>197</v>
      </c>
      <c r="AF77" s="22" t="s">
        <v>197</v>
      </c>
      <c r="AG77" s="22" t="s">
        <v>197</v>
      </c>
      <c r="AH77" s="22" t="s">
        <v>197</v>
      </c>
      <c r="AI77" s="22" t="s">
        <v>197</v>
      </c>
      <c r="AJ77" s="22" t="n">
        <v>80</v>
      </c>
      <c r="AK77" s="22" t="s">
        <v>197</v>
      </c>
      <c r="AL77" s="22" t="s">
        <v>197</v>
      </c>
      <c r="AM77" s="22" t="s">
        <v>197</v>
      </c>
      <c r="AN77" s="7" t="s">
        <v>2518</v>
      </c>
      <c r="AO77" s="22" t="s">
        <v>197</v>
      </c>
      <c r="AP77" s="22" t="n">
        <v>2.5</v>
      </c>
      <c r="AQ77" s="22" t="n">
        <v>6</v>
      </c>
    </row>
    <row r="78" customFormat="false" ht="21.75" hidden="false" customHeight="true" outlineLevel="0" collapsed="false">
      <c r="B78" s="15" t="n">
        <v>74</v>
      </c>
      <c r="C78" s="9" t="s">
        <v>58</v>
      </c>
      <c r="D78" s="9" t="s">
        <v>20</v>
      </c>
      <c r="E78" s="9" t="s">
        <v>118</v>
      </c>
      <c r="F78" s="9" t="s">
        <v>96</v>
      </c>
      <c r="G78" s="9" t="s">
        <v>2716</v>
      </c>
      <c r="H78" s="9" t="s">
        <v>2522</v>
      </c>
      <c r="I78" s="9" t="s">
        <v>2709</v>
      </c>
      <c r="J78" s="9" t="s">
        <v>2710</v>
      </c>
      <c r="K78" s="9" t="s">
        <v>2711</v>
      </c>
      <c r="L78" s="9" t="s">
        <v>2680</v>
      </c>
      <c r="M78" s="9" t="s">
        <v>2514</v>
      </c>
      <c r="N78" s="9" t="s">
        <v>189</v>
      </c>
      <c r="O78" s="9" t="s">
        <v>189</v>
      </c>
      <c r="P78" s="9" t="s">
        <v>640</v>
      </c>
      <c r="Q78" s="9" t="s">
        <v>2712</v>
      </c>
      <c r="R78" s="9" t="s">
        <v>849</v>
      </c>
      <c r="S78" s="9" t="s">
        <v>2685</v>
      </c>
      <c r="T78" s="9" t="s">
        <v>2713</v>
      </c>
      <c r="U78" s="19" t="n">
        <v>80</v>
      </c>
      <c r="V78" s="9"/>
      <c r="W78" s="9"/>
      <c r="X78" s="9" t="s">
        <v>2717</v>
      </c>
      <c r="Y78" s="23" t="n">
        <v>8.654E-005</v>
      </c>
      <c r="Z78" s="23" t="n">
        <v>0.003</v>
      </c>
      <c r="AA78" s="23" t="n">
        <v>24</v>
      </c>
      <c r="AB78" s="9" t="s">
        <v>2680</v>
      </c>
      <c r="AC78" s="9" t="s">
        <v>2714</v>
      </c>
      <c r="AD78" s="23" t="s">
        <v>197</v>
      </c>
      <c r="AE78" s="23" t="s">
        <v>197</v>
      </c>
      <c r="AF78" s="23" t="s">
        <v>197</v>
      </c>
      <c r="AG78" s="23" t="s">
        <v>197</v>
      </c>
      <c r="AH78" s="23" t="s">
        <v>197</v>
      </c>
      <c r="AI78" s="23" t="s">
        <v>197</v>
      </c>
      <c r="AJ78" s="23" t="n">
        <v>100</v>
      </c>
      <c r="AK78" s="23" t="s">
        <v>197</v>
      </c>
      <c r="AL78" s="23" t="s">
        <v>197</v>
      </c>
      <c r="AM78" s="23" t="s">
        <v>197</v>
      </c>
      <c r="AN78" s="9" t="s">
        <v>2518</v>
      </c>
      <c r="AO78" s="23" t="s">
        <v>197</v>
      </c>
      <c r="AP78" s="23" t="n">
        <v>2.5</v>
      </c>
      <c r="AQ78" s="23" t="n">
        <v>6</v>
      </c>
    </row>
    <row r="79" customFormat="false" ht="21.75" hidden="false" customHeight="true" outlineLevel="0" collapsed="false">
      <c r="B79" s="14" t="n">
        <v>75</v>
      </c>
      <c r="C79" s="7" t="s">
        <v>58</v>
      </c>
      <c r="D79" s="7" t="s">
        <v>20</v>
      </c>
      <c r="E79" s="7" t="s">
        <v>118</v>
      </c>
      <c r="F79" s="7" t="s">
        <v>96</v>
      </c>
      <c r="G79" s="7" t="s">
        <v>2718</v>
      </c>
      <c r="H79" s="7" t="s">
        <v>2525</v>
      </c>
      <c r="I79" s="7" t="s">
        <v>2709</v>
      </c>
      <c r="J79" s="7" t="s">
        <v>2710</v>
      </c>
      <c r="K79" s="7" t="s">
        <v>2711</v>
      </c>
      <c r="L79" s="7" t="s">
        <v>2680</v>
      </c>
      <c r="M79" s="7" t="s">
        <v>2514</v>
      </c>
      <c r="N79" s="7" t="s">
        <v>189</v>
      </c>
      <c r="O79" s="7" t="s">
        <v>189</v>
      </c>
      <c r="P79" s="7" t="s">
        <v>640</v>
      </c>
      <c r="Q79" s="7" t="s">
        <v>2712</v>
      </c>
      <c r="R79" s="7" t="s">
        <v>849</v>
      </c>
      <c r="S79" s="7" t="s">
        <v>2685</v>
      </c>
      <c r="T79" s="7" t="s">
        <v>2713</v>
      </c>
      <c r="U79" s="18" t="n">
        <v>120</v>
      </c>
      <c r="V79" s="7"/>
      <c r="W79" s="7"/>
      <c r="X79" s="7" t="s">
        <v>203</v>
      </c>
      <c r="Y79" s="22" t="n">
        <v>9.641E-005</v>
      </c>
      <c r="Z79" s="22" t="n">
        <v>0.004</v>
      </c>
      <c r="AA79" s="22" t="n">
        <v>24</v>
      </c>
      <c r="AB79" s="7" t="s">
        <v>2680</v>
      </c>
      <c r="AC79" s="7" t="s">
        <v>2714</v>
      </c>
      <c r="AD79" s="22" t="s">
        <v>197</v>
      </c>
      <c r="AE79" s="22" t="s">
        <v>197</v>
      </c>
      <c r="AF79" s="22" t="s">
        <v>197</v>
      </c>
      <c r="AG79" s="22" t="s">
        <v>197</v>
      </c>
      <c r="AH79" s="22" t="s">
        <v>197</v>
      </c>
      <c r="AI79" s="22" t="s">
        <v>197</v>
      </c>
      <c r="AJ79" s="22" t="n">
        <v>100</v>
      </c>
      <c r="AK79" s="22" t="s">
        <v>197</v>
      </c>
      <c r="AL79" s="22" t="s">
        <v>197</v>
      </c>
      <c r="AM79" s="22" t="s">
        <v>197</v>
      </c>
      <c r="AN79" s="7" t="s">
        <v>2518</v>
      </c>
      <c r="AO79" s="22" t="s">
        <v>197</v>
      </c>
      <c r="AP79" s="22" t="n">
        <v>2.5</v>
      </c>
      <c r="AQ79" s="22" t="n">
        <v>6</v>
      </c>
    </row>
    <row r="80" customFormat="false" ht="21.75" hidden="false" customHeight="true" outlineLevel="0" collapsed="false">
      <c r="B80" s="15" t="n">
        <v>76</v>
      </c>
      <c r="C80" s="9" t="s">
        <v>58</v>
      </c>
      <c r="D80" s="9" t="s">
        <v>20</v>
      </c>
      <c r="E80" s="9" t="s">
        <v>118</v>
      </c>
      <c r="F80" s="9" t="s">
        <v>96</v>
      </c>
      <c r="G80" s="9" t="s">
        <v>2719</v>
      </c>
      <c r="H80" s="9" t="s">
        <v>2527</v>
      </c>
      <c r="I80" s="9" t="s">
        <v>2709</v>
      </c>
      <c r="J80" s="9" t="s">
        <v>2710</v>
      </c>
      <c r="K80" s="9" t="s">
        <v>2711</v>
      </c>
      <c r="L80" s="9" t="s">
        <v>2680</v>
      </c>
      <c r="M80" s="9" t="s">
        <v>2514</v>
      </c>
      <c r="N80" s="9" t="s">
        <v>189</v>
      </c>
      <c r="O80" s="9" t="s">
        <v>189</v>
      </c>
      <c r="P80" s="9" t="s">
        <v>640</v>
      </c>
      <c r="Q80" s="9" t="s">
        <v>2712</v>
      </c>
      <c r="R80" s="9" t="s">
        <v>849</v>
      </c>
      <c r="S80" s="9" t="s">
        <v>2685</v>
      </c>
      <c r="T80" s="9" t="s">
        <v>2713</v>
      </c>
      <c r="U80" s="19" t="n">
        <v>180</v>
      </c>
      <c r="V80" s="9"/>
      <c r="W80" s="9"/>
      <c r="X80" s="9" t="s">
        <v>205</v>
      </c>
      <c r="Y80" s="23" t="n">
        <v>9.181E-005</v>
      </c>
      <c r="Z80" s="23" t="n">
        <v>0.004</v>
      </c>
      <c r="AA80" s="23" t="n">
        <v>24</v>
      </c>
      <c r="AB80" s="9" t="s">
        <v>2680</v>
      </c>
      <c r="AC80" s="9" t="s">
        <v>2714</v>
      </c>
      <c r="AD80" s="23" t="s">
        <v>197</v>
      </c>
      <c r="AE80" s="23" t="s">
        <v>197</v>
      </c>
      <c r="AF80" s="23" t="s">
        <v>197</v>
      </c>
      <c r="AG80" s="23" t="s">
        <v>197</v>
      </c>
      <c r="AH80" s="23" t="s">
        <v>197</v>
      </c>
      <c r="AI80" s="23" t="s">
        <v>197</v>
      </c>
      <c r="AJ80" s="23" t="n">
        <v>120</v>
      </c>
      <c r="AK80" s="23" t="s">
        <v>197</v>
      </c>
      <c r="AL80" s="23" t="s">
        <v>197</v>
      </c>
      <c r="AM80" s="23" t="s">
        <v>197</v>
      </c>
      <c r="AN80" s="9" t="s">
        <v>2518</v>
      </c>
      <c r="AO80" s="23" t="s">
        <v>197</v>
      </c>
      <c r="AP80" s="23" t="n">
        <v>2.5</v>
      </c>
      <c r="AQ80" s="23" t="n">
        <v>6</v>
      </c>
    </row>
    <row r="81" customFormat="false" ht="21.75" hidden="false" customHeight="true" outlineLevel="0" collapsed="false">
      <c r="B81" s="14" t="n">
        <v>77</v>
      </c>
      <c r="C81" s="7" t="s">
        <v>58</v>
      </c>
      <c r="D81" s="7" t="s">
        <v>20</v>
      </c>
      <c r="E81" s="7" t="s">
        <v>118</v>
      </c>
      <c r="F81" s="7" t="s">
        <v>97</v>
      </c>
      <c r="G81" s="7" t="s">
        <v>2720</v>
      </c>
      <c r="H81" s="7" t="s">
        <v>2529</v>
      </c>
      <c r="I81" s="7" t="s">
        <v>2721</v>
      </c>
      <c r="J81" s="7" t="s">
        <v>2722</v>
      </c>
      <c r="K81" s="7" t="s">
        <v>2711</v>
      </c>
      <c r="L81" s="7" t="s">
        <v>2680</v>
      </c>
      <c r="M81" s="7" t="s">
        <v>2514</v>
      </c>
      <c r="N81" s="7" t="s">
        <v>189</v>
      </c>
      <c r="O81" s="7" t="s">
        <v>189</v>
      </c>
      <c r="P81" s="7" t="s">
        <v>640</v>
      </c>
      <c r="Q81" s="7" t="s">
        <v>2712</v>
      </c>
      <c r="R81" s="7" t="s">
        <v>2723</v>
      </c>
      <c r="S81" s="7" t="s">
        <v>2685</v>
      </c>
      <c r="T81" s="7" t="s">
        <v>2724</v>
      </c>
      <c r="U81" s="18" t="n">
        <v>35</v>
      </c>
      <c r="V81" s="7"/>
      <c r="W81" s="7"/>
      <c r="X81" s="7" t="s">
        <v>195</v>
      </c>
      <c r="Y81" s="22" t="n">
        <v>5.178E-005</v>
      </c>
      <c r="Z81" s="22" t="n">
        <v>0.002</v>
      </c>
      <c r="AA81" s="22" t="n">
        <v>24</v>
      </c>
      <c r="AB81" s="7" t="s">
        <v>2680</v>
      </c>
      <c r="AC81" s="7" t="s">
        <v>2714</v>
      </c>
      <c r="AD81" s="22" t="s">
        <v>197</v>
      </c>
      <c r="AE81" s="22" t="s">
        <v>197</v>
      </c>
      <c r="AF81" s="22" t="s">
        <v>197</v>
      </c>
      <c r="AG81" s="22" t="s">
        <v>197</v>
      </c>
      <c r="AH81" s="22" t="s">
        <v>197</v>
      </c>
      <c r="AI81" s="22" t="s">
        <v>197</v>
      </c>
      <c r="AJ81" s="22" t="n">
        <v>41</v>
      </c>
      <c r="AK81" s="22" t="s">
        <v>197</v>
      </c>
      <c r="AL81" s="22" t="s">
        <v>197</v>
      </c>
      <c r="AM81" s="22" t="s">
        <v>197</v>
      </c>
      <c r="AN81" s="7" t="s">
        <v>2518</v>
      </c>
      <c r="AO81" s="22" t="s">
        <v>197</v>
      </c>
      <c r="AP81" s="22" t="n">
        <v>2.5</v>
      </c>
      <c r="AQ81" s="22" t="n">
        <v>6</v>
      </c>
    </row>
    <row r="82" customFormat="false" ht="21.75" hidden="false" customHeight="true" outlineLevel="0" collapsed="false">
      <c r="B82" s="15" t="n">
        <v>78</v>
      </c>
      <c r="C82" s="9" t="s">
        <v>58</v>
      </c>
      <c r="D82" s="9" t="s">
        <v>20</v>
      </c>
      <c r="E82" s="9" t="s">
        <v>118</v>
      </c>
      <c r="F82" s="9" t="s">
        <v>97</v>
      </c>
      <c r="G82" s="9" t="s">
        <v>2725</v>
      </c>
      <c r="H82" s="9" t="s">
        <v>2535</v>
      </c>
      <c r="I82" s="9" t="s">
        <v>2721</v>
      </c>
      <c r="J82" s="9" t="s">
        <v>2722</v>
      </c>
      <c r="K82" s="9" t="s">
        <v>2711</v>
      </c>
      <c r="L82" s="9" t="s">
        <v>2680</v>
      </c>
      <c r="M82" s="9" t="s">
        <v>2514</v>
      </c>
      <c r="N82" s="9" t="s">
        <v>189</v>
      </c>
      <c r="O82" s="9" t="s">
        <v>189</v>
      </c>
      <c r="P82" s="9" t="s">
        <v>640</v>
      </c>
      <c r="Q82" s="9" t="s">
        <v>2712</v>
      </c>
      <c r="R82" s="9" t="s">
        <v>2723</v>
      </c>
      <c r="S82" s="9" t="s">
        <v>2685</v>
      </c>
      <c r="T82" s="9" t="s">
        <v>2724</v>
      </c>
      <c r="U82" s="19" t="n">
        <v>50</v>
      </c>
      <c r="V82" s="9"/>
      <c r="W82" s="9"/>
      <c r="X82" s="9" t="s">
        <v>199</v>
      </c>
      <c r="Y82" s="23" t="n">
        <v>8.281E-005</v>
      </c>
      <c r="Z82" s="23" t="n">
        <v>0.004</v>
      </c>
      <c r="AA82" s="23" t="n">
        <v>24</v>
      </c>
      <c r="AB82" s="9" t="s">
        <v>2680</v>
      </c>
      <c r="AC82" s="9" t="s">
        <v>2714</v>
      </c>
      <c r="AD82" s="23" t="s">
        <v>197</v>
      </c>
      <c r="AE82" s="23" t="s">
        <v>197</v>
      </c>
      <c r="AF82" s="23" t="s">
        <v>197</v>
      </c>
      <c r="AG82" s="23" t="s">
        <v>197</v>
      </c>
      <c r="AH82" s="23" t="s">
        <v>197</v>
      </c>
      <c r="AI82" s="23" t="s">
        <v>197</v>
      </c>
      <c r="AJ82" s="23" t="n">
        <v>51</v>
      </c>
      <c r="AK82" s="23" t="s">
        <v>197</v>
      </c>
      <c r="AL82" s="23" t="s">
        <v>197</v>
      </c>
      <c r="AM82" s="23" t="s">
        <v>197</v>
      </c>
      <c r="AN82" s="9" t="s">
        <v>2518</v>
      </c>
      <c r="AO82" s="23" t="s">
        <v>197</v>
      </c>
      <c r="AP82" s="23" t="n">
        <v>2.5</v>
      </c>
      <c r="AQ82" s="23" t="n">
        <v>6</v>
      </c>
    </row>
    <row r="83" customFormat="false" ht="21.75" hidden="false" customHeight="true" outlineLevel="0" collapsed="false">
      <c r="B83" s="14" t="n">
        <v>79</v>
      </c>
      <c r="C83" s="7" t="s">
        <v>58</v>
      </c>
      <c r="D83" s="7" t="s">
        <v>20</v>
      </c>
      <c r="E83" s="7" t="s">
        <v>118</v>
      </c>
      <c r="F83" s="7" t="s">
        <v>97</v>
      </c>
      <c r="G83" s="7" t="s">
        <v>2726</v>
      </c>
      <c r="H83" s="7" t="s">
        <v>2537</v>
      </c>
      <c r="I83" s="7" t="s">
        <v>2721</v>
      </c>
      <c r="J83" s="7" t="s">
        <v>2722</v>
      </c>
      <c r="K83" s="7" t="s">
        <v>2711</v>
      </c>
      <c r="L83" s="7" t="s">
        <v>2680</v>
      </c>
      <c r="M83" s="7" t="s">
        <v>2514</v>
      </c>
      <c r="N83" s="7" t="s">
        <v>189</v>
      </c>
      <c r="O83" s="7" t="s">
        <v>189</v>
      </c>
      <c r="P83" s="7" t="s">
        <v>640</v>
      </c>
      <c r="Q83" s="7" t="s">
        <v>2712</v>
      </c>
      <c r="R83" s="7" t="s">
        <v>2723</v>
      </c>
      <c r="S83" s="7" t="s">
        <v>2685</v>
      </c>
      <c r="T83" s="7" t="s">
        <v>2724</v>
      </c>
      <c r="U83" s="18" t="n">
        <v>70</v>
      </c>
      <c r="V83" s="7"/>
      <c r="W83" s="7"/>
      <c r="X83" s="7" t="s">
        <v>2727</v>
      </c>
      <c r="Y83" s="22" t="n">
        <v>7.399E-005</v>
      </c>
      <c r="Z83" s="22" t="n">
        <v>0.003</v>
      </c>
      <c r="AA83" s="22" t="n">
        <v>24</v>
      </c>
      <c r="AB83" s="7" t="s">
        <v>2680</v>
      </c>
      <c r="AC83" s="7" t="s">
        <v>2714</v>
      </c>
      <c r="AD83" s="22" t="s">
        <v>197</v>
      </c>
      <c r="AE83" s="22" t="s">
        <v>197</v>
      </c>
      <c r="AF83" s="22" t="s">
        <v>197</v>
      </c>
      <c r="AG83" s="22" t="s">
        <v>197</v>
      </c>
      <c r="AH83" s="22" t="s">
        <v>197</v>
      </c>
      <c r="AI83" s="22" t="s">
        <v>197</v>
      </c>
      <c r="AJ83" s="22" t="n">
        <v>48</v>
      </c>
      <c r="AK83" s="22" t="s">
        <v>197</v>
      </c>
      <c r="AL83" s="22" t="s">
        <v>197</v>
      </c>
      <c r="AM83" s="22" t="s">
        <v>197</v>
      </c>
      <c r="AN83" s="7" t="s">
        <v>2518</v>
      </c>
      <c r="AO83" s="22" t="s">
        <v>197</v>
      </c>
      <c r="AP83" s="22" t="n">
        <v>2.5</v>
      </c>
      <c r="AQ83" s="22" t="n">
        <v>6</v>
      </c>
    </row>
    <row r="84" customFormat="false" ht="21.75" hidden="false" customHeight="true" outlineLevel="0" collapsed="false">
      <c r="B84" s="15" t="n">
        <v>80</v>
      </c>
      <c r="C84" s="9" t="s">
        <v>58</v>
      </c>
      <c r="D84" s="9" t="s">
        <v>20</v>
      </c>
      <c r="E84" s="9" t="s">
        <v>118</v>
      </c>
      <c r="F84" s="9" t="s">
        <v>97</v>
      </c>
      <c r="G84" s="9" t="s">
        <v>2728</v>
      </c>
      <c r="H84" s="9" t="s">
        <v>2540</v>
      </c>
      <c r="I84" s="9" t="s">
        <v>2721</v>
      </c>
      <c r="J84" s="9" t="s">
        <v>2722</v>
      </c>
      <c r="K84" s="9" t="s">
        <v>2711</v>
      </c>
      <c r="L84" s="9" t="s">
        <v>2680</v>
      </c>
      <c r="M84" s="9" t="s">
        <v>2514</v>
      </c>
      <c r="N84" s="9" t="s">
        <v>189</v>
      </c>
      <c r="O84" s="9" t="s">
        <v>189</v>
      </c>
      <c r="P84" s="9" t="s">
        <v>640</v>
      </c>
      <c r="Q84" s="9" t="s">
        <v>2712</v>
      </c>
      <c r="R84" s="9" t="s">
        <v>2723</v>
      </c>
      <c r="S84" s="9" t="s">
        <v>2685</v>
      </c>
      <c r="T84" s="9" t="s">
        <v>2724</v>
      </c>
      <c r="U84" s="19" t="n">
        <v>105</v>
      </c>
      <c r="V84" s="9"/>
      <c r="W84" s="9"/>
      <c r="X84" s="9" t="s">
        <v>203</v>
      </c>
      <c r="Y84" s="23" t="n">
        <v>6.813E-005</v>
      </c>
      <c r="Z84" s="23" t="n">
        <v>0.003</v>
      </c>
      <c r="AA84" s="23" t="n">
        <v>24</v>
      </c>
      <c r="AB84" s="9" t="s">
        <v>2680</v>
      </c>
      <c r="AC84" s="9" t="s">
        <v>2714</v>
      </c>
      <c r="AD84" s="23" t="s">
        <v>197</v>
      </c>
      <c r="AE84" s="23" t="s">
        <v>197</v>
      </c>
      <c r="AF84" s="23" t="s">
        <v>197</v>
      </c>
      <c r="AG84" s="23" t="s">
        <v>197</v>
      </c>
      <c r="AH84" s="23" t="s">
        <v>197</v>
      </c>
      <c r="AI84" s="23" t="s">
        <v>197</v>
      </c>
      <c r="AJ84" s="23" t="n">
        <v>46</v>
      </c>
      <c r="AK84" s="23" t="s">
        <v>197</v>
      </c>
      <c r="AL84" s="23" t="s">
        <v>197</v>
      </c>
      <c r="AM84" s="23" t="s">
        <v>197</v>
      </c>
      <c r="AN84" s="9" t="s">
        <v>2518</v>
      </c>
      <c r="AO84" s="23" t="s">
        <v>197</v>
      </c>
      <c r="AP84" s="23" t="n">
        <v>2.5</v>
      </c>
      <c r="AQ84" s="23" t="n">
        <v>6</v>
      </c>
    </row>
    <row r="85" customFormat="false" ht="21.75" hidden="false" customHeight="true" outlineLevel="0" collapsed="false">
      <c r="B85" s="14" t="n">
        <v>81</v>
      </c>
      <c r="C85" s="7" t="s">
        <v>58</v>
      </c>
      <c r="D85" s="7" t="s">
        <v>20</v>
      </c>
      <c r="E85" s="7" t="s">
        <v>118</v>
      </c>
      <c r="F85" s="7" t="s">
        <v>97</v>
      </c>
      <c r="G85" s="7" t="s">
        <v>2729</v>
      </c>
      <c r="H85" s="7" t="s">
        <v>2542</v>
      </c>
      <c r="I85" s="7" t="s">
        <v>2721</v>
      </c>
      <c r="J85" s="7" t="s">
        <v>2722</v>
      </c>
      <c r="K85" s="7" t="s">
        <v>2711</v>
      </c>
      <c r="L85" s="7" t="s">
        <v>2680</v>
      </c>
      <c r="M85" s="7" t="s">
        <v>2514</v>
      </c>
      <c r="N85" s="7" t="s">
        <v>189</v>
      </c>
      <c r="O85" s="7" t="s">
        <v>189</v>
      </c>
      <c r="P85" s="7" t="s">
        <v>640</v>
      </c>
      <c r="Q85" s="7" t="s">
        <v>2712</v>
      </c>
      <c r="R85" s="7" t="s">
        <v>2723</v>
      </c>
      <c r="S85" s="7" t="s">
        <v>2685</v>
      </c>
      <c r="T85" s="7" t="s">
        <v>2724</v>
      </c>
      <c r="U85" s="18" t="n">
        <v>155</v>
      </c>
      <c r="V85" s="7"/>
      <c r="W85" s="7"/>
      <c r="X85" s="7" t="s">
        <v>205</v>
      </c>
      <c r="Y85" s="22" t="n">
        <v>7.521E-005</v>
      </c>
      <c r="Z85" s="22" t="n">
        <v>0.003</v>
      </c>
      <c r="AA85" s="22" t="n">
        <v>24</v>
      </c>
      <c r="AB85" s="7" t="s">
        <v>2680</v>
      </c>
      <c r="AC85" s="7" t="s">
        <v>2714</v>
      </c>
      <c r="AD85" s="22" t="s">
        <v>197</v>
      </c>
      <c r="AE85" s="22" t="s">
        <v>197</v>
      </c>
      <c r="AF85" s="22" t="s">
        <v>197</v>
      </c>
      <c r="AG85" s="22" t="s">
        <v>197</v>
      </c>
      <c r="AH85" s="22" t="s">
        <v>197</v>
      </c>
      <c r="AI85" s="22" t="s">
        <v>197</v>
      </c>
      <c r="AJ85" s="22" t="n">
        <v>48</v>
      </c>
      <c r="AK85" s="22" t="s">
        <v>197</v>
      </c>
      <c r="AL85" s="22" t="s">
        <v>197</v>
      </c>
      <c r="AM85" s="22" t="s">
        <v>197</v>
      </c>
      <c r="AN85" s="7" t="s">
        <v>2518</v>
      </c>
      <c r="AO85" s="22" t="s">
        <v>197</v>
      </c>
      <c r="AP85" s="22" t="n">
        <v>2.5</v>
      </c>
      <c r="AQ85" s="22" t="n">
        <v>6</v>
      </c>
    </row>
    <row r="86" customFormat="false" ht="21.75" hidden="false" customHeight="true" outlineLevel="0" collapsed="false">
      <c r="B86" s="15" t="n">
        <v>82</v>
      </c>
      <c r="C86" s="9" t="s">
        <v>58</v>
      </c>
      <c r="D86" s="9" t="s">
        <v>20</v>
      </c>
      <c r="E86" s="9" t="s">
        <v>118</v>
      </c>
      <c r="F86" s="9" t="s">
        <v>98</v>
      </c>
      <c r="G86" s="9" t="s">
        <v>391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19"/>
      <c r="V86" s="9"/>
      <c r="W86" s="9"/>
      <c r="X86" s="9" t="s">
        <v>2730</v>
      </c>
      <c r="Y86" s="23" t="s">
        <v>197</v>
      </c>
      <c r="Z86" s="23" t="s">
        <v>197</v>
      </c>
      <c r="AA86" s="23" t="s">
        <v>197</v>
      </c>
      <c r="AB86" s="9" t="s">
        <v>197</v>
      </c>
      <c r="AC86" s="9" t="s">
        <v>197</v>
      </c>
      <c r="AD86" s="23" t="s">
        <v>197</v>
      </c>
      <c r="AE86" s="23" t="s">
        <v>197</v>
      </c>
      <c r="AF86" s="23" t="s">
        <v>197</v>
      </c>
      <c r="AG86" s="23" t="s">
        <v>197</v>
      </c>
      <c r="AH86" s="23" t="s">
        <v>197</v>
      </c>
      <c r="AI86" s="23" t="s">
        <v>197</v>
      </c>
      <c r="AJ86" s="23" t="s">
        <v>197</v>
      </c>
      <c r="AK86" s="23" t="s">
        <v>197</v>
      </c>
      <c r="AL86" s="23" t="s">
        <v>197</v>
      </c>
      <c r="AM86" s="23" t="s">
        <v>197</v>
      </c>
      <c r="AN86" s="9" t="s">
        <v>197</v>
      </c>
      <c r="AO86" s="23" t="s">
        <v>197</v>
      </c>
      <c r="AP86" s="23" t="s">
        <v>197</v>
      </c>
      <c r="AQ86" s="23" t="s">
        <v>197</v>
      </c>
    </row>
    <row r="87" customFormat="false" ht="21.75" hidden="false" customHeight="true" outlineLevel="0" collapsed="false">
      <c r="B87" s="14" t="n">
        <v>83</v>
      </c>
      <c r="C87" s="7" t="s">
        <v>58</v>
      </c>
      <c r="D87" s="7" t="s">
        <v>20</v>
      </c>
      <c r="E87" s="7" t="s">
        <v>118</v>
      </c>
      <c r="F87" s="7" t="s">
        <v>99</v>
      </c>
      <c r="G87" s="7" t="s">
        <v>2731</v>
      </c>
      <c r="H87" s="7" t="s">
        <v>2732</v>
      </c>
      <c r="I87" s="7" t="s">
        <v>2733</v>
      </c>
      <c r="J87" s="7" t="s">
        <v>2734</v>
      </c>
      <c r="K87" s="7" t="s">
        <v>2735</v>
      </c>
      <c r="L87" s="7" t="s">
        <v>2680</v>
      </c>
      <c r="M87" s="7" t="s">
        <v>2514</v>
      </c>
      <c r="N87" s="7" t="s">
        <v>189</v>
      </c>
      <c r="O87" s="7" t="s">
        <v>2344</v>
      </c>
      <c r="P87" s="7" t="s">
        <v>640</v>
      </c>
      <c r="Q87" s="7" t="s">
        <v>2736</v>
      </c>
      <c r="R87" s="7" t="s">
        <v>664</v>
      </c>
      <c r="S87" s="7" t="s">
        <v>2685</v>
      </c>
      <c r="T87" s="7" t="s">
        <v>2737</v>
      </c>
      <c r="U87" s="18" t="n">
        <v>310</v>
      </c>
      <c r="V87" s="7"/>
      <c r="W87" s="7"/>
      <c r="X87" s="7" t="s">
        <v>195</v>
      </c>
      <c r="Y87" s="22" t="n">
        <v>0.068</v>
      </c>
      <c r="Z87" s="22" t="n">
        <v>0.088</v>
      </c>
      <c r="AA87" s="22" t="n">
        <v>24</v>
      </c>
      <c r="AB87" s="7" t="s">
        <v>2680</v>
      </c>
      <c r="AC87" s="7" t="s">
        <v>2738</v>
      </c>
      <c r="AD87" s="22" t="s">
        <v>197</v>
      </c>
      <c r="AE87" s="22" t="s">
        <v>197</v>
      </c>
      <c r="AF87" s="22" t="s">
        <v>197</v>
      </c>
      <c r="AG87" s="22" t="s">
        <v>197</v>
      </c>
      <c r="AH87" s="22" t="s">
        <v>197</v>
      </c>
      <c r="AI87" s="22" t="s">
        <v>197</v>
      </c>
      <c r="AJ87" s="22" t="s">
        <v>197</v>
      </c>
      <c r="AK87" s="22" t="s">
        <v>197</v>
      </c>
      <c r="AL87" s="22" t="n">
        <v>12</v>
      </c>
      <c r="AM87" s="22" t="n">
        <v>119</v>
      </c>
      <c r="AN87" s="7" t="s">
        <v>2739</v>
      </c>
      <c r="AO87" s="22" t="s">
        <v>197</v>
      </c>
      <c r="AP87" s="22" t="s">
        <v>197</v>
      </c>
      <c r="AQ87" s="22" t="s">
        <v>197</v>
      </c>
    </row>
    <row r="88" customFormat="false" ht="21.75" hidden="false" customHeight="true" outlineLevel="0" collapsed="false">
      <c r="B88" s="15" t="n">
        <v>84</v>
      </c>
      <c r="C88" s="9" t="s">
        <v>58</v>
      </c>
      <c r="D88" s="9" t="s">
        <v>20</v>
      </c>
      <c r="E88" s="9" t="s">
        <v>118</v>
      </c>
      <c r="F88" s="9" t="s">
        <v>99</v>
      </c>
      <c r="G88" s="9" t="s">
        <v>2740</v>
      </c>
      <c r="H88" s="9" t="s">
        <v>2741</v>
      </c>
      <c r="I88" s="9" t="s">
        <v>2733</v>
      </c>
      <c r="J88" s="9" t="s">
        <v>2734</v>
      </c>
      <c r="K88" s="9" t="s">
        <v>2735</v>
      </c>
      <c r="L88" s="9" t="s">
        <v>2680</v>
      </c>
      <c r="M88" s="9" t="s">
        <v>2514</v>
      </c>
      <c r="N88" s="9" t="s">
        <v>189</v>
      </c>
      <c r="O88" s="9" t="s">
        <v>2344</v>
      </c>
      <c r="P88" s="9" t="s">
        <v>640</v>
      </c>
      <c r="Q88" s="9" t="s">
        <v>2736</v>
      </c>
      <c r="R88" s="9" t="s">
        <v>664</v>
      </c>
      <c r="S88" s="9" t="s">
        <v>2685</v>
      </c>
      <c r="T88" s="9" t="s">
        <v>2737</v>
      </c>
      <c r="U88" s="19" t="n">
        <v>465</v>
      </c>
      <c r="V88" s="9"/>
      <c r="W88" s="9"/>
      <c r="X88" s="9" t="s">
        <v>199</v>
      </c>
      <c r="Y88" s="23" t="n">
        <v>0.053</v>
      </c>
      <c r="Z88" s="23" t="n">
        <v>0.069</v>
      </c>
      <c r="AA88" s="23" t="n">
        <v>24</v>
      </c>
      <c r="AB88" s="9" t="s">
        <v>2680</v>
      </c>
      <c r="AC88" s="9" t="s">
        <v>2738</v>
      </c>
      <c r="AD88" s="23" t="s">
        <v>197</v>
      </c>
      <c r="AE88" s="23" t="s">
        <v>197</v>
      </c>
      <c r="AF88" s="23" t="s">
        <v>197</v>
      </c>
      <c r="AG88" s="23" t="s">
        <v>197</v>
      </c>
      <c r="AH88" s="23" t="s">
        <v>197</v>
      </c>
      <c r="AI88" s="23" t="s">
        <v>197</v>
      </c>
      <c r="AJ88" s="23" t="s">
        <v>197</v>
      </c>
      <c r="AK88" s="23" t="s">
        <v>197</v>
      </c>
      <c r="AL88" s="23" t="n">
        <v>15</v>
      </c>
      <c r="AM88" s="23" t="n">
        <v>108</v>
      </c>
      <c r="AN88" s="9" t="s">
        <v>2739</v>
      </c>
      <c r="AO88" s="23" t="s">
        <v>197</v>
      </c>
      <c r="AP88" s="23" t="s">
        <v>197</v>
      </c>
      <c r="AQ88" s="23" t="s">
        <v>197</v>
      </c>
    </row>
    <row r="89" customFormat="false" ht="21.75" hidden="false" customHeight="true" outlineLevel="0" collapsed="false">
      <c r="B89" s="14" t="n">
        <v>85</v>
      </c>
      <c r="C89" s="7" t="s">
        <v>58</v>
      </c>
      <c r="D89" s="7" t="s">
        <v>20</v>
      </c>
      <c r="E89" s="7" t="s">
        <v>118</v>
      </c>
      <c r="F89" s="7" t="s">
        <v>99</v>
      </c>
      <c r="G89" s="7" t="s">
        <v>2742</v>
      </c>
      <c r="H89" s="7" t="s">
        <v>2743</v>
      </c>
      <c r="I89" s="7" t="s">
        <v>2733</v>
      </c>
      <c r="J89" s="7" t="s">
        <v>2734</v>
      </c>
      <c r="K89" s="7" t="s">
        <v>2735</v>
      </c>
      <c r="L89" s="7" t="s">
        <v>2680</v>
      </c>
      <c r="M89" s="7" t="s">
        <v>2514</v>
      </c>
      <c r="N89" s="7" t="s">
        <v>189</v>
      </c>
      <c r="O89" s="7" t="s">
        <v>2344</v>
      </c>
      <c r="P89" s="7" t="s">
        <v>640</v>
      </c>
      <c r="Q89" s="7" t="s">
        <v>2736</v>
      </c>
      <c r="R89" s="7" t="s">
        <v>664</v>
      </c>
      <c r="S89" s="7" t="s">
        <v>2685</v>
      </c>
      <c r="T89" s="7" t="s">
        <v>2737</v>
      </c>
      <c r="U89" s="18" t="n">
        <v>620</v>
      </c>
      <c r="V89" s="7"/>
      <c r="W89" s="7"/>
      <c r="X89" s="7" t="s">
        <v>2744</v>
      </c>
      <c r="Y89" s="22" t="n">
        <v>0.04</v>
      </c>
      <c r="Z89" s="22" t="n">
        <v>0.053</v>
      </c>
      <c r="AA89" s="22" t="n">
        <v>24</v>
      </c>
      <c r="AB89" s="7" t="s">
        <v>2680</v>
      </c>
      <c r="AC89" s="7" t="s">
        <v>2738</v>
      </c>
      <c r="AD89" s="22" t="s">
        <v>197</v>
      </c>
      <c r="AE89" s="22" t="s">
        <v>197</v>
      </c>
      <c r="AF89" s="22" t="s">
        <v>197</v>
      </c>
      <c r="AG89" s="22" t="s">
        <v>197</v>
      </c>
      <c r="AH89" s="22" t="s">
        <v>197</v>
      </c>
      <c r="AI89" s="22" t="s">
        <v>197</v>
      </c>
      <c r="AJ89" s="22" t="s">
        <v>197</v>
      </c>
      <c r="AK89" s="22" t="s">
        <v>197</v>
      </c>
      <c r="AL89" s="22" t="n">
        <v>20</v>
      </c>
      <c r="AM89" s="22" t="n">
        <v>98</v>
      </c>
      <c r="AN89" s="7" t="s">
        <v>2739</v>
      </c>
      <c r="AO89" s="22" t="s">
        <v>197</v>
      </c>
      <c r="AP89" s="22" t="s">
        <v>197</v>
      </c>
      <c r="AQ89" s="22" t="s">
        <v>197</v>
      </c>
    </row>
    <row r="90" customFormat="false" ht="21.75" hidden="false" customHeight="true" outlineLevel="0" collapsed="false">
      <c r="B90" s="15" t="n">
        <v>86</v>
      </c>
      <c r="C90" s="9" t="s">
        <v>58</v>
      </c>
      <c r="D90" s="9" t="s">
        <v>20</v>
      </c>
      <c r="E90" s="9" t="s">
        <v>118</v>
      </c>
      <c r="F90" s="9" t="s">
        <v>99</v>
      </c>
      <c r="G90" s="9" t="s">
        <v>2745</v>
      </c>
      <c r="H90" s="9" t="s">
        <v>2746</v>
      </c>
      <c r="I90" s="9" t="s">
        <v>2733</v>
      </c>
      <c r="J90" s="9" t="s">
        <v>2734</v>
      </c>
      <c r="K90" s="9" t="s">
        <v>2735</v>
      </c>
      <c r="L90" s="9" t="s">
        <v>2680</v>
      </c>
      <c r="M90" s="9" t="s">
        <v>2514</v>
      </c>
      <c r="N90" s="9" t="s">
        <v>189</v>
      </c>
      <c r="O90" s="9" t="s">
        <v>2344</v>
      </c>
      <c r="P90" s="9" t="s">
        <v>640</v>
      </c>
      <c r="Q90" s="9" t="s">
        <v>2736</v>
      </c>
      <c r="R90" s="9" t="s">
        <v>664</v>
      </c>
      <c r="S90" s="9" t="s">
        <v>2685</v>
      </c>
      <c r="T90" s="9" t="s">
        <v>2737</v>
      </c>
      <c r="U90" s="19" t="n">
        <v>930</v>
      </c>
      <c r="V90" s="9"/>
      <c r="W90" s="9"/>
      <c r="X90" s="9" t="s">
        <v>203</v>
      </c>
      <c r="Y90" s="23" t="n">
        <v>0.032</v>
      </c>
      <c r="Z90" s="23" t="n">
        <v>0.042</v>
      </c>
      <c r="AA90" s="23" t="n">
        <v>24</v>
      </c>
      <c r="AB90" s="9" t="s">
        <v>2680</v>
      </c>
      <c r="AC90" s="9" t="s">
        <v>2738</v>
      </c>
      <c r="AD90" s="23" t="s">
        <v>197</v>
      </c>
      <c r="AE90" s="23" t="s">
        <v>197</v>
      </c>
      <c r="AF90" s="23" t="s">
        <v>197</v>
      </c>
      <c r="AG90" s="23" t="s">
        <v>197</v>
      </c>
      <c r="AH90" s="23" t="s">
        <v>197</v>
      </c>
      <c r="AI90" s="23" t="s">
        <v>197</v>
      </c>
      <c r="AJ90" s="23" t="s">
        <v>197</v>
      </c>
      <c r="AK90" s="23" t="s">
        <v>197</v>
      </c>
      <c r="AL90" s="23" t="n">
        <v>25</v>
      </c>
      <c r="AM90" s="23" t="n">
        <v>91</v>
      </c>
      <c r="AN90" s="9" t="s">
        <v>2739</v>
      </c>
      <c r="AO90" s="23" t="s">
        <v>197</v>
      </c>
      <c r="AP90" s="23" t="s">
        <v>197</v>
      </c>
      <c r="AQ90" s="23" t="s">
        <v>197</v>
      </c>
    </row>
    <row r="91" customFormat="false" ht="21.75" hidden="false" customHeight="true" outlineLevel="0" collapsed="false">
      <c r="B91" s="14" t="n">
        <v>87</v>
      </c>
      <c r="C91" s="7" t="s">
        <v>58</v>
      </c>
      <c r="D91" s="7" t="s">
        <v>20</v>
      </c>
      <c r="E91" s="7" t="s">
        <v>118</v>
      </c>
      <c r="F91" s="7" t="s">
        <v>99</v>
      </c>
      <c r="G91" s="7" t="s">
        <v>2747</v>
      </c>
      <c r="H91" s="7" t="s">
        <v>2748</v>
      </c>
      <c r="I91" s="7" t="s">
        <v>2733</v>
      </c>
      <c r="J91" s="7" t="s">
        <v>2734</v>
      </c>
      <c r="K91" s="7" t="s">
        <v>2735</v>
      </c>
      <c r="L91" s="7" t="s">
        <v>2680</v>
      </c>
      <c r="M91" s="7" t="s">
        <v>2514</v>
      </c>
      <c r="N91" s="7" t="s">
        <v>189</v>
      </c>
      <c r="O91" s="7" t="s">
        <v>2344</v>
      </c>
      <c r="P91" s="7" t="s">
        <v>640</v>
      </c>
      <c r="Q91" s="7" t="s">
        <v>2736</v>
      </c>
      <c r="R91" s="7" t="s">
        <v>664</v>
      </c>
      <c r="S91" s="7" t="s">
        <v>2685</v>
      </c>
      <c r="T91" s="7" t="s">
        <v>2737</v>
      </c>
      <c r="U91" s="18" t="n">
        <v>1360</v>
      </c>
      <c r="V91" s="7"/>
      <c r="W91" s="7"/>
      <c r="X91" s="7" t="s">
        <v>205</v>
      </c>
      <c r="Y91" s="22" t="n">
        <v>0.033</v>
      </c>
      <c r="Z91" s="22" t="n">
        <v>0.043</v>
      </c>
      <c r="AA91" s="22" t="n">
        <v>24</v>
      </c>
      <c r="AB91" s="7" t="s">
        <v>2680</v>
      </c>
      <c r="AC91" s="7" t="s">
        <v>2738</v>
      </c>
      <c r="AD91" s="22" t="s">
        <v>197</v>
      </c>
      <c r="AE91" s="22" t="s">
        <v>197</v>
      </c>
      <c r="AF91" s="22" t="s">
        <v>197</v>
      </c>
      <c r="AG91" s="22" t="s">
        <v>197</v>
      </c>
      <c r="AH91" s="22" t="s">
        <v>197</v>
      </c>
      <c r="AI91" s="22" t="s">
        <v>197</v>
      </c>
      <c r="AJ91" s="22" t="s">
        <v>197</v>
      </c>
      <c r="AK91" s="22" t="s">
        <v>197</v>
      </c>
      <c r="AL91" s="22" t="n">
        <v>30</v>
      </c>
      <c r="AM91" s="22" t="n">
        <v>92</v>
      </c>
      <c r="AN91" s="7" t="s">
        <v>2739</v>
      </c>
      <c r="AO91" s="22" t="s">
        <v>197</v>
      </c>
      <c r="AP91" s="22" t="s">
        <v>197</v>
      </c>
      <c r="AQ91" s="22" t="s">
        <v>197</v>
      </c>
    </row>
    <row r="92" customFormat="false" ht="21.75" hidden="false" customHeight="true" outlineLevel="0" collapsed="false">
      <c r="B92" s="15" t="n">
        <v>88</v>
      </c>
      <c r="C92" s="9" t="s">
        <v>58</v>
      </c>
      <c r="D92" s="9" t="s">
        <v>20</v>
      </c>
      <c r="E92" s="9" t="s">
        <v>118</v>
      </c>
      <c r="F92" s="9" t="s">
        <v>100</v>
      </c>
      <c r="G92" s="9" t="s">
        <v>391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19"/>
      <c r="V92" s="9"/>
      <c r="W92" s="9"/>
      <c r="X92" s="9" t="s">
        <v>2749</v>
      </c>
      <c r="Y92" s="23" t="s">
        <v>197</v>
      </c>
      <c r="Z92" s="23" t="s">
        <v>197</v>
      </c>
      <c r="AA92" s="23" t="s">
        <v>197</v>
      </c>
      <c r="AB92" s="9" t="s">
        <v>197</v>
      </c>
      <c r="AC92" s="9" t="s">
        <v>197</v>
      </c>
      <c r="AD92" s="23" t="s">
        <v>197</v>
      </c>
      <c r="AE92" s="23" t="s">
        <v>197</v>
      </c>
      <c r="AF92" s="23" t="s">
        <v>197</v>
      </c>
      <c r="AG92" s="23" t="s">
        <v>197</v>
      </c>
      <c r="AH92" s="23" t="s">
        <v>197</v>
      </c>
      <c r="AI92" s="23" t="s">
        <v>197</v>
      </c>
      <c r="AJ92" s="23" t="s">
        <v>197</v>
      </c>
      <c r="AK92" s="23" t="s">
        <v>197</v>
      </c>
      <c r="AL92" s="23" t="s">
        <v>197</v>
      </c>
      <c r="AM92" s="23" t="s">
        <v>197</v>
      </c>
      <c r="AN92" s="9" t="s">
        <v>197</v>
      </c>
      <c r="AO92" s="23" t="s">
        <v>197</v>
      </c>
      <c r="AP92" s="23" t="s">
        <v>197</v>
      </c>
      <c r="AQ92" s="23" t="s">
        <v>197</v>
      </c>
    </row>
    <row r="93" customFormat="false" ht="21.75" hidden="false" customHeight="true" outlineLevel="0" collapsed="false">
      <c r="B93" s="14" t="n">
        <v>89</v>
      </c>
      <c r="C93" s="7" t="s">
        <v>58</v>
      </c>
      <c r="D93" s="7" t="s">
        <v>20</v>
      </c>
      <c r="E93" s="7" t="s">
        <v>118</v>
      </c>
      <c r="F93" s="7" t="s">
        <v>101</v>
      </c>
      <c r="G93" s="7" t="s">
        <v>391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18"/>
      <c r="V93" s="7"/>
      <c r="W93" s="7"/>
      <c r="X93" s="7" t="s">
        <v>2750</v>
      </c>
      <c r="Y93" s="22" t="s">
        <v>197</v>
      </c>
      <c r="Z93" s="22" t="s">
        <v>197</v>
      </c>
      <c r="AA93" s="22" t="s">
        <v>197</v>
      </c>
      <c r="AB93" s="7" t="s">
        <v>197</v>
      </c>
      <c r="AC93" s="7" t="s">
        <v>197</v>
      </c>
      <c r="AD93" s="22" t="s">
        <v>197</v>
      </c>
      <c r="AE93" s="22" t="s">
        <v>197</v>
      </c>
      <c r="AF93" s="22" t="s">
        <v>197</v>
      </c>
      <c r="AG93" s="22" t="s">
        <v>197</v>
      </c>
      <c r="AH93" s="22" t="s">
        <v>197</v>
      </c>
      <c r="AI93" s="22" t="s">
        <v>197</v>
      </c>
      <c r="AJ93" s="22" t="s">
        <v>197</v>
      </c>
      <c r="AK93" s="22" t="s">
        <v>197</v>
      </c>
      <c r="AL93" s="22" t="s">
        <v>197</v>
      </c>
      <c r="AM93" s="22" t="s">
        <v>197</v>
      </c>
      <c r="AN93" s="7" t="s">
        <v>197</v>
      </c>
      <c r="AO93" s="22" t="s">
        <v>197</v>
      </c>
      <c r="AP93" s="22" t="s">
        <v>197</v>
      </c>
      <c r="AQ93" s="22" t="s">
        <v>197</v>
      </c>
    </row>
    <row r="94" customFormat="false" ht="21.75" hidden="false" customHeight="true" outlineLevel="0" collapsed="false">
      <c r="B94" s="15" t="n">
        <v>90</v>
      </c>
      <c r="C94" s="9" t="s">
        <v>58</v>
      </c>
      <c r="D94" s="9" t="s">
        <v>20</v>
      </c>
      <c r="E94" s="9" t="s">
        <v>118</v>
      </c>
      <c r="F94" s="9" t="s">
        <v>102</v>
      </c>
      <c r="G94" s="9" t="s">
        <v>2751</v>
      </c>
      <c r="H94" s="9" t="s">
        <v>2601</v>
      </c>
      <c r="I94" s="9" t="s">
        <v>2752</v>
      </c>
      <c r="J94" s="9" t="s">
        <v>2753</v>
      </c>
      <c r="K94" s="9" t="s">
        <v>2711</v>
      </c>
      <c r="L94" s="9" t="s">
        <v>2680</v>
      </c>
      <c r="M94" s="9" t="s">
        <v>2514</v>
      </c>
      <c r="N94" s="9" t="s">
        <v>189</v>
      </c>
      <c r="O94" s="9" t="s">
        <v>189</v>
      </c>
      <c r="P94" s="9" t="s">
        <v>640</v>
      </c>
      <c r="Q94" s="9" t="s">
        <v>2754</v>
      </c>
      <c r="R94" s="9" t="s">
        <v>849</v>
      </c>
      <c r="S94" s="9" t="s">
        <v>2685</v>
      </c>
      <c r="T94" s="9" t="s">
        <v>2755</v>
      </c>
      <c r="U94" s="19" t="n">
        <v>25</v>
      </c>
      <c r="V94" s="9"/>
      <c r="W94" s="9"/>
      <c r="X94" s="9" t="s">
        <v>195</v>
      </c>
      <c r="Y94" s="23" t="n">
        <v>0.00024682</v>
      </c>
      <c r="Z94" s="23" t="n">
        <v>0.003</v>
      </c>
      <c r="AA94" s="23" t="n">
        <v>24</v>
      </c>
      <c r="AB94" s="9" t="s">
        <v>2680</v>
      </c>
      <c r="AC94" s="9" t="s">
        <v>2714</v>
      </c>
      <c r="AD94" s="23" t="s">
        <v>197</v>
      </c>
      <c r="AE94" s="23" t="s">
        <v>197</v>
      </c>
      <c r="AF94" s="23" t="s">
        <v>197</v>
      </c>
      <c r="AG94" s="23" t="s">
        <v>197</v>
      </c>
      <c r="AH94" s="23" t="s">
        <v>197</v>
      </c>
      <c r="AI94" s="23" t="s">
        <v>197</v>
      </c>
      <c r="AJ94" s="23" t="s">
        <v>197</v>
      </c>
      <c r="AK94" s="23" t="s">
        <v>197</v>
      </c>
      <c r="AL94" s="23" t="s">
        <v>197</v>
      </c>
      <c r="AM94" s="23" t="s">
        <v>197</v>
      </c>
      <c r="AN94" s="9" t="s">
        <v>197</v>
      </c>
      <c r="AO94" s="23" t="s">
        <v>197</v>
      </c>
      <c r="AP94" s="23" t="n">
        <v>1.05</v>
      </c>
      <c r="AQ94" s="23" t="n">
        <v>1.4</v>
      </c>
    </row>
    <row r="95" customFormat="false" ht="21.75" hidden="false" customHeight="true" outlineLevel="0" collapsed="false">
      <c r="B95" s="14" t="n">
        <v>91</v>
      </c>
      <c r="C95" s="7" t="s">
        <v>58</v>
      </c>
      <c r="D95" s="7" t="s">
        <v>20</v>
      </c>
      <c r="E95" s="7" t="s">
        <v>118</v>
      </c>
      <c r="F95" s="7" t="s">
        <v>102</v>
      </c>
      <c r="G95" s="7" t="s">
        <v>2756</v>
      </c>
      <c r="H95" s="7" t="s">
        <v>2607</v>
      </c>
      <c r="I95" s="7" t="s">
        <v>2752</v>
      </c>
      <c r="J95" s="7" t="s">
        <v>2753</v>
      </c>
      <c r="K95" s="7" t="s">
        <v>2711</v>
      </c>
      <c r="L95" s="7" t="s">
        <v>2680</v>
      </c>
      <c r="M95" s="7" t="s">
        <v>2514</v>
      </c>
      <c r="N95" s="7" t="s">
        <v>189</v>
      </c>
      <c r="O95" s="7" t="s">
        <v>189</v>
      </c>
      <c r="P95" s="7" t="s">
        <v>640</v>
      </c>
      <c r="Q95" s="7" t="s">
        <v>2754</v>
      </c>
      <c r="R95" s="7" t="s">
        <v>849</v>
      </c>
      <c r="S95" s="7" t="s">
        <v>2685</v>
      </c>
      <c r="T95" s="7" t="s">
        <v>2755</v>
      </c>
      <c r="U95" s="18" t="n">
        <v>40</v>
      </c>
      <c r="V95" s="7"/>
      <c r="W95" s="7"/>
      <c r="X95" s="7" t="s">
        <v>199</v>
      </c>
      <c r="Y95" s="22" t="n">
        <v>0.00024728</v>
      </c>
      <c r="Z95" s="22" t="n">
        <v>0.003</v>
      </c>
      <c r="AA95" s="22" t="n">
        <v>24</v>
      </c>
      <c r="AB95" s="7" t="s">
        <v>2680</v>
      </c>
      <c r="AC95" s="7" t="s">
        <v>2714</v>
      </c>
      <c r="AD95" s="22" t="s">
        <v>197</v>
      </c>
      <c r="AE95" s="22" t="s">
        <v>197</v>
      </c>
      <c r="AF95" s="22" t="s">
        <v>197</v>
      </c>
      <c r="AG95" s="22" t="s">
        <v>197</v>
      </c>
      <c r="AH95" s="22" t="s">
        <v>197</v>
      </c>
      <c r="AI95" s="22" t="s">
        <v>197</v>
      </c>
      <c r="AJ95" s="22" t="s">
        <v>197</v>
      </c>
      <c r="AK95" s="22" t="s">
        <v>197</v>
      </c>
      <c r="AL95" s="22" t="s">
        <v>197</v>
      </c>
      <c r="AM95" s="22" t="s">
        <v>197</v>
      </c>
      <c r="AN95" s="7" t="s">
        <v>197</v>
      </c>
      <c r="AO95" s="22" t="s">
        <v>197</v>
      </c>
      <c r="AP95" s="22" t="n">
        <v>1.05</v>
      </c>
      <c r="AQ95" s="22" t="n">
        <v>1.4</v>
      </c>
    </row>
    <row r="96" customFormat="false" ht="21.75" hidden="false" customHeight="true" outlineLevel="0" collapsed="false">
      <c r="B96" s="15" t="n">
        <v>92</v>
      </c>
      <c r="C96" s="9" t="s">
        <v>58</v>
      </c>
      <c r="D96" s="9" t="s">
        <v>20</v>
      </c>
      <c r="E96" s="9" t="s">
        <v>118</v>
      </c>
      <c r="F96" s="9" t="s">
        <v>102</v>
      </c>
      <c r="G96" s="9" t="s">
        <v>2757</v>
      </c>
      <c r="H96" s="9" t="s">
        <v>2609</v>
      </c>
      <c r="I96" s="9" t="s">
        <v>2752</v>
      </c>
      <c r="J96" s="9" t="s">
        <v>2753</v>
      </c>
      <c r="K96" s="9" t="s">
        <v>2711</v>
      </c>
      <c r="L96" s="9" t="s">
        <v>2680</v>
      </c>
      <c r="M96" s="9" t="s">
        <v>2514</v>
      </c>
      <c r="N96" s="9" t="s">
        <v>189</v>
      </c>
      <c r="O96" s="9" t="s">
        <v>189</v>
      </c>
      <c r="P96" s="9" t="s">
        <v>640</v>
      </c>
      <c r="Q96" s="9" t="s">
        <v>2754</v>
      </c>
      <c r="R96" s="9" t="s">
        <v>849</v>
      </c>
      <c r="S96" s="9" t="s">
        <v>2685</v>
      </c>
      <c r="T96" s="9" t="s">
        <v>2755</v>
      </c>
      <c r="U96" s="19" t="n">
        <v>55</v>
      </c>
      <c r="V96" s="9"/>
      <c r="W96" s="9"/>
      <c r="X96" s="9" t="s">
        <v>2758</v>
      </c>
      <c r="Y96" s="23" t="n">
        <v>0.00037436</v>
      </c>
      <c r="Z96" s="23" t="n">
        <v>0.005</v>
      </c>
      <c r="AA96" s="23" t="n">
        <v>24</v>
      </c>
      <c r="AB96" s="9" t="s">
        <v>2680</v>
      </c>
      <c r="AC96" s="9" t="s">
        <v>2714</v>
      </c>
      <c r="AD96" s="23" t="s">
        <v>197</v>
      </c>
      <c r="AE96" s="23" t="s">
        <v>197</v>
      </c>
      <c r="AF96" s="23" t="s">
        <v>197</v>
      </c>
      <c r="AG96" s="23" t="s">
        <v>197</v>
      </c>
      <c r="AH96" s="23" t="s">
        <v>197</v>
      </c>
      <c r="AI96" s="23" t="s">
        <v>197</v>
      </c>
      <c r="AJ96" s="23" t="s">
        <v>197</v>
      </c>
      <c r="AK96" s="23" t="s">
        <v>197</v>
      </c>
      <c r="AL96" s="23" t="s">
        <v>197</v>
      </c>
      <c r="AM96" s="23" t="s">
        <v>197</v>
      </c>
      <c r="AN96" s="9" t="s">
        <v>197</v>
      </c>
      <c r="AO96" s="23" t="s">
        <v>197</v>
      </c>
      <c r="AP96" s="23" t="n">
        <v>1.05</v>
      </c>
      <c r="AQ96" s="23" t="n">
        <v>1.4</v>
      </c>
    </row>
    <row r="97" customFormat="false" ht="21.75" hidden="false" customHeight="true" outlineLevel="0" collapsed="false">
      <c r="B97" s="14" t="n">
        <v>93</v>
      </c>
      <c r="C97" s="7" t="s">
        <v>58</v>
      </c>
      <c r="D97" s="7" t="s">
        <v>20</v>
      </c>
      <c r="E97" s="7" t="s">
        <v>118</v>
      </c>
      <c r="F97" s="7" t="s">
        <v>102</v>
      </c>
      <c r="G97" s="7" t="s">
        <v>2759</v>
      </c>
      <c r="H97" s="7" t="s">
        <v>2612</v>
      </c>
      <c r="I97" s="7" t="s">
        <v>2752</v>
      </c>
      <c r="J97" s="7" t="s">
        <v>2753</v>
      </c>
      <c r="K97" s="7" t="s">
        <v>2711</v>
      </c>
      <c r="L97" s="7" t="s">
        <v>2680</v>
      </c>
      <c r="M97" s="7" t="s">
        <v>2514</v>
      </c>
      <c r="N97" s="7" t="s">
        <v>189</v>
      </c>
      <c r="O97" s="7" t="s">
        <v>189</v>
      </c>
      <c r="P97" s="7" t="s">
        <v>640</v>
      </c>
      <c r="Q97" s="7" t="s">
        <v>2754</v>
      </c>
      <c r="R97" s="7" t="s">
        <v>849</v>
      </c>
      <c r="S97" s="7" t="s">
        <v>2685</v>
      </c>
      <c r="T97" s="7" t="s">
        <v>2755</v>
      </c>
      <c r="U97" s="18" t="n">
        <v>80</v>
      </c>
      <c r="V97" s="7"/>
      <c r="W97" s="7"/>
      <c r="X97" s="7" t="s">
        <v>203</v>
      </c>
      <c r="Y97" s="22" t="n">
        <v>0.00036586</v>
      </c>
      <c r="Z97" s="22" t="n">
        <v>0.005</v>
      </c>
      <c r="AA97" s="22" t="n">
        <v>24</v>
      </c>
      <c r="AB97" s="7" t="s">
        <v>2680</v>
      </c>
      <c r="AC97" s="7" t="s">
        <v>2714</v>
      </c>
      <c r="AD97" s="22" t="s">
        <v>197</v>
      </c>
      <c r="AE97" s="22" t="s">
        <v>197</v>
      </c>
      <c r="AF97" s="22" t="s">
        <v>197</v>
      </c>
      <c r="AG97" s="22" t="s">
        <v>197</v>
      </c>
      <c r="AH97" s="22" t="s">
        <v>197</v>
      </c>
      <c r="AI97" s="22" t="s">
        <v>197</v>
      </c>
      <c r="AJ97" s="22" t="s">
        <v>197</v>
      </c>
      <c r="AK97" s="22" t="s">
        <v>197</v>
      </c>
      <c r="AL97" s="22" t="s">
        <v>197</v>
      </c>
      <c r="AM97" s="22" t="s">
        <v>197</v>
      </c>
      <c r="AN97" s="7" t="s">
        <v>197</v>
      </c>
      <c r="AO97" s="22" t="s">
        <v>197</v>
      </c>
      <c r="AP97" s="22" t="n">
        <v>1.05</v>
      </c>
      <c r="AQ97" s="22" t="n">
        <v>1.4</v>
      </c>
    </row>
    <row r="98" customFormat="false" ht="21.75" hidden="false" customHeight="true" outlineLevel="0" collapsed="false">
      <c r="B98" s="15" t="n">
        <v>94</v>
      </c>
      <c r="C98" s="9" t="s">
        <v>58</v>
      </c>
      <c r="D98" s="9" t="s">
        <v>20</v>
      </c>
      <c r="E98" s="9" t="s">
        <v>118</v>
      </c>
      <c r="F98" s="9" t="s">
        <v>102</v>
      </c>
      <c r="G98" s="9" t="s">
        <v>2760</v>
      </c>
      <c r="H98" s="9" t="s">
        <v>2614</v>
      </c>
      <c r="I98" s="9" t="s">
        <v>2752</v>
      </c>
      <c r="J98" s="9" t="s">
        <v>2753</v>
      </c>
      <c r="K98" s="9" t="s">
        <v>2711</v>
      </c>
      <c r="L98" s="9" t="s">
        <v>2680</v>
      </c>
      <c r="M98" s="9" t="s">
        <v>2514</v>
      </c>
      <c r="N98" s="9" t="s">
        <v>189</v>
      </c>
      <c r="O98" s="9" t="s">
        <v>189</v>
      </c>
      <c r="P98" s="9" t="s">
        <v>640</v>
      </c>
      <c r="Q98" s="9" t="s">
        <v>2754</v>
      </c>
      <c r="R98" s="9" t="s">
        <v>849</v>
      </c>
      <c r="S98" s="9" t="s">
        <v>2685</v>
      </c>
      <c r="T98" s="9" t="s">
        <v>2755</v>
      </c>
      <c r="U98" s="19" t="n">
        <v>120</v>
      </c>
      <c r="V98" s="9"/>
      <c r="W98" s="9"/>
      <c r="X98" s="9" t="s">
        <v>205</v>
      </c>
      <c r="Y98" s="23" t="n">
        <v>0.00037354</v>
      </c>
      <c r="Z98" s="23" t="n">
        <v>0.005</v>
      </c>
      <c r="AA98" s="23" t="n">
        <v>24</v>
      </c>
      <c r="AB98" s="9" t="s">
        <v>2680</v>
      </c>
      <c r="AC98" s="9" t="s">
        <v>2714</v>
      </c>
      <c r="AD98" s="23" t="s">
        <v>197</v>
      </c>
      <c r="AE98" s="23" t="s">
        <v>197</v>
      </c>
      <c r="AF98" s="23" t="s">
        <v>197</v>
      </c>
      <c r="AG98" s="23" t="s">
        <v>197</v>
      </c>
      <c r="AH98" s="23" t="s">
        <v>197</v>
      </c>
      <c r="AI98" s="23" t="s">
        <v>197</v>
      </c>
      <c r="AJ98" s="23" t="s">
        <v>197</v>
      </c>
      <c r="AK98" s="23" t="s">
        <v>197</v>
      </c>
      <c r="AL98" s="23" t="s">
        <v>197</v>
      </c>
      <c r="AM98" s="23" t="s">
        <v>197</v>
      </c>
      <c r="AN98" s="9" t="s">
        <v>197</v>
      </c>
      <c r="AO98" s="23" t="s">
        <v>197</v>
      </c>
      <c r="AP98" s="23" t="n">
        <v>1.05</v>
      </c>
      <c r="AQ98" s="23" t="n">
        <v>1.4</v>
      </c>
    </row>
    <row r="99" customFormat="false" ht="21.75" hidden="false" customHeight="true" outlineLevel="0" collapsed="false">
      <c r="B99" s="14" t="n">
        <v>95</v>
      </c>
      <c r="C99" s="7" t="s">
        <v>58</v>
      </c>
      <c r="D99" s="7" t="s">
        <v>20</v>
      </c>
      <c r="E99" s="7" t="s">
        <v>118</v>
      </c>
      <c r="F99" s="7" t="s">
        <v>103</v>
      </c>
      <c r="G99" s="7" t="s">
        <v>391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18"/>
      <c r="V99" s="7"/>
      <c r="W99" s="7"/>
      <c r="X99" s="7" t="s">
        <v>2761</v>
      </c>
      <c r="Y99" s="22" t="s">
        <v>197</v>
      </c>
      <c r="Z99" s="22" t="s">
        <v>197</v>
      </c>
      <c r="AA99" s="22" t="s">
        <v>197</v>
      </c>
      <c r="AB99" s="7" t="s">
        <v>197</v>
      </c>
      <c r="AC99" s="7" t="s">
        <v>197</v>
      </c>
      <c r="AD99" s="22" t="s">
        <v>197</v>
      </c>
      <c r="AE99" s="22" t="s">
        <v>197</v>
      </c>
      <c r="AF99" s="22" t="s">
        <v>197</v>
      </c>
      <c r="AG99" s="22" t="s">
        <v>197</v>
      </c>
      <c r="AH99" s="22" t="s">
        <v>197</v>
      </c>
      <c r="AI99" s="22" t="s">
        <v>197</v>
      </c>
      <c r="AJ99" s="22" t="s">
        <v>197</v>
      </c>
      <c r="AK99" s="22" t="s">
        <v>197</v>
      </c>
      <c r="AL99" s="22" t="s">
        <v>197</v>
      </c>
      <c r="AM99" s="22" t="s">
        <v>197</v>
      </c>
      <c r="AN99" s="7" t="s">
        <v>197</v>
      </c>
      <c r="AO99" s="22" t="s">
        <v>197</v>
      </c>
      <c r="AP99" s="22" t="s">
        <v>197</v>
      </c>
      <c r="AQ99" s="22" t="s">
        <v>197</v>
      </c>
    </row>
    <row r="100" customFormat="false" ht="21.75" hidden="false" customHeight="true" outlineLevel="0" collapsed="false">
      <c r="B100" s="15" t="n">
        <v>96</v>
      </c>
      <c r="C100" s="9" t="s">
        <v>58</v>
      </c>
      <c r="D100" s="9" t="s">
        <v>20</v>
      </c>
      <c r="E100" s="9" t="s">
        <v>118</v>
      </c>
      <c r="F100" s="9" t="s">
        <v>104</v>
      </c>
      <c r="G100" s="9" t="s">
        <v>2762</v>
      </c>
      <c r="H100" s="9" t="s">
        <v>2617</v>
      </c>
      <c r="I100" s="9" t="s">
        <v>2763</v>
      </c>
      <c r="J100" s="9" t="s">
        <v>2764</v>
      </c>
      <c r="K100" s="9" t="s">
        <v>2711</v>
      </c>
      <c r="L100" s="9" t="s">
        <v>2680</v>
      </c>
      <c r="M100" s="9" t="s">
        <v>2514</v>
      </c>
      <c r="N100" s="9" t="s">
        <v>189</v>
      </c>
      <c r="O100" s="9" t="s">
        <v>189</v>
      </c>
      <c r="P100" s="9" t="s">
        <v>640</v>
      </c>
      <c r="Q100" s="9" t="s">
        <v>2765</v>
      </c>
      <c r="R100" s="9" t="s">
        <v>604</v>
      </c>
      <c r="S100" s="9" t="s">
        <v>2685</v>
      </c>
      <c r="T100" s="9" t="s">
        <v>2766</v>
      </c>
      <c r="U100" s="19" t="n">
        <v>40</v>
      </c>
      <c r="V100" s="9"/>
      <c r="W100" s="9"/>
      <c r="X100" s="9" t="s">
        <v>195</v>
      </c>
      <c r="Y100" s="23" t="n">
        <v>0.00042932</v>
      </c>
      <c r="Z100" s="23" t="n">
        <v>0.006</v>
      </c>
      <c r="AA100" s="23" t="n">
        <v>24</v>
      </c>
      <c r="AB100" s="9" t="s">
        <v>2680</v>
      </c>
      <c r="AC100" s="9" t="s">
        <v>2714</v>
      </c>
      <c r="AD100" s="23" t="s">
        <v>197</v>
      </c>
      <c r="AE100" s="23" t="s">
        <v>197</v>
      </c>
      <c r="AF100" s="23" t="s">
        <v>197</v>
      </c>
      <c r="AG100" s="23" t="s">
        <v>197</v>
      </c>
      <c r="AH100" s="23" t="s">
        <v>197</v>
      </c>
      <c r="AI100" s="23" t="s">
        <v>197</v>
      </c>
      <c r="AJ100" s="23" t="s">
        <v>197</v>
      </c>
      <c r="AK100" s="23" t="s">
        <v>197</v>
      </c>
      <c r="AL100" s="23" t="s">
        <v>197</v>
      </c>
      <c r="AM100" s="23" t="s">
        <v>197</v>
      </c>
      <c r="AN100" s="9" t="s">
        <v>197</v>
      </c>
      <c r="AO100" s="23" t="s">
        <v>197</v>
      </c>
      <c r="AP100" s="23" t="s">
        <v>197</v>
      </c>
      <c r="AQ100" s="23" t="s">
        <v>197</v>
      </c>
    </row>
    <row r="101" customFormat="false" ht="21.75" hidden="false" customHeight="true" outlineLevel="0" collapsed="false">
      <c r="B101" s="14" t="n">
        <v>97</v>
      </c>
      <c r="C101" s="7" t="s">
        <v>58</v>
      </c>
      <c r="D101" s="7" t="s">
        <v>20</v>
      </c>
      <c r="E101" s="7" t="s">
        <v>118</v>
      </c>
      <c r="F101" s="7" t="s">
        <v>104</v>
      </c>
      <c r="G101" s="7" t="s">
        <v>2767</v>
      </c>
      <c r="H101" s="7" t="s">
        <v>2623</v>
      </c>
      <c r="I101" s="7" t="s">
        <v>2763</v>
      </c>
      <c r="J101" s="7" t="s">
        <v>2764</v>
      </c>
      <c r="K101" s="7" t="s">
        <v>2711</v>
      </c>
      <c r="L101" s="7" t="s">
        <v>2680</v>
      </c>
      <c r="M101" s="7" t="s">
        <v>2514</v>
      </c>
      <c r="N101" s="7" t="s">
        <v>189</v>
      </c>
      <c r="O101" s="7" t="s">
        <v>189</v>
      </c>
      <c r="P101" s="7" t="s">
        <v>640</v>
      </c>
      <c r="Q101" s="7" t="s">
        <v>2765</v>
      </c>
      <c r="R101" s="7" t="s">
        <v>604</v>
      </c>
      <c r="S101" s="7" t="s">
        <v>2685</v>
      </c>
      <c r="T101" s="7" t="s">
        <v>2766</v>
      </c>
      <c r="U101" s="18" t="n">
        <v>65</v>
      </c>
      <c r="V101" s="7"/>
      <c r="W101" s="7"/>
      <c r="X101" s="7" t="s">
        <v>199</v>
      </c>
      <c r="Y101" s="22" t="n">
        <v>0.00074168</v>
      </c>
      <c r="Z101" s="22" t="n">
        <v>0.011</v>
      </c>
      <c r="AA101" s="22" t="n">
        <v>24</v>
      </c>
      <c r="AB101" s="7" t="s">
        <v>2680</v>
      </c>
      <c r="AC101" s="7" t="s">
        <v>2714</v>
      </c>
      <c r="AD101" s="22" t="s">
        <v>197</v>
      </c>
      <c r="AE101" s="22" t="s">
        <v>197</v>
      </c>
      <c r="AF101" s="22" t="s">
        <v>197</v>
      </c>
      <c r="AG101" s="22" t="s">
        <v>197</v>
      </c>
      <c r="AH101" s="22" t="s">
        <v>197</v>
      </c>
      <c r="AI101" s="22" t="s">
        <v>197</v>
      </c>
      <c r="AJ101" s="22" t="s">
        <v>197</v>
      </c>
      <c r="AK101" s="22" t="s">
        <v>197</v>
      </c>
      <c r="AL101" s="22" t="s">
        <v>197</v>
      </c>
      <c r="AM101" s="22" t="s">
        <v>197</v>
      </c>
      <c r="AN101" s="7" t="s">
        <v>197</v>
      </c>
      <c r="AO101" s="22" t="s">
        <v>197</v>
      </c>
      <c r="AP101" s="22" t="s">
        <v>197</v>
      </c>
      <c r="AQ101" s="22" t="s">
        <v>197</v>
      </c>
    </row>
    <row r="102" customFormat="false" ht="21.75" hidden="false" customHeight="true" outlineLevel="0" collapsed="false">
      <c r="B102" s="15" t="n">
        <v>98</v>
      </c>
      <c r="C102" s="9" t="s">
        <v>58</v>
      </c>
      <c r="D102" s="9" t="s">
        <v>20</v>
      </c>
      <c r="E102" s="9" t="s">
        <v>118</v>
      </c>
      <c r="F102" s="9" t="s">
        <v>104</v>
      </c>
      <c r="G102" s="9" t="s">
        <v>2768</v>
      </c>
      <c r="H102" s="9" t="s">
        <v>2625</v>
      </c>
      <c r="I102" s="9" t="s">
        <v>2763</v>
      </c>
      <c r="J102" s="9" t="s">
        <v>2764</v>
      </c>
      <c r="K102" s="9" t="s">
        <v>2711</v>
      </c>
      <c r="L102" s="9" t="s">
        <v>2680</v>
      </c>
      <c r="M102" s="9" t="s">
        <v>2514</v>
      </c>
      <c r="N102" s="9" t="s">
        <v>189</v>
      </c>
      <c r="O102" s="9" t="s">
        <v>189</v>
      </c>
      <c r="P102" s="9" t="s">
        <v>640</v>
      </c>
      <c r="Q102" s="9" t="s">
        <v>2765</v>
      </c>
      <c r="R102" s="9" t="s">
        <v>604</v>
      </c>
      <c r="S102" s="9" t="s">
        <v>2685</v>
      </c>
      <c r="T102" s="9" t="s">
        <v>2766</v>
      </c>
      <c r="U102" s="19" t="n">
        <v>85</v>
      </c>
      <c r="V102" s="9"/>
      <c r="W102" s="9"/>
      <c r="X102" s="9" t="s">
        <v>2769</v>
      </c>
      <c r="Y102" s="23" t="n">
        <v>0.00051672</v>
      </c>
      <c r="Z102" s="23" t="n">
        <v>0.007</v>
      </c>
      <c r="AA102" s="23" t="n">
        <v>24</v>
      </c>
      <c r="AB102" s="9" t="s">
        <v>2680</v>
      </c>
      <c r="AC102" s="9" t="s">
        <v>2714</v>
      </c>
      <c r="AD102" s="23" t="s">
        <v>197</v>
      </c>
      <c r="AE102" s="23" t="s">
        <v>197</v>
      </c>
      <c r="AF102" s="23" t="s">
        <v>197</v>
      </c>
      <c r="AG102" s="23" t="s">
        <v>197</v>
      </c>
      <c r="AH102" s="23" t="s">
        <v>197</v>
      </c>
      <c r="AI102" s="23" t="s">
        <v>197</v>
      </c>
      <c r="AJ102" s="23" t="s">
        <v>197</v>
      </c>
      <c r="AK102" s="23" t="s">
        <v>197</v>
      </c>
      <c r="AL102" s="23" t="s">
        <v>197</v>
      </c>
      <c r="AM102" s="23" t="s">
        <v>197</v>
      </c>
      <c r="AN102" s="9" t="s">
        <v>197</v>
      </c>
      <c r="AO102" s="23" t="s">
        <v>197</v>
      </c>
      <c r="AP102" s="23" t="s">
        <v>197</v>
      </c>
      <c r="AQ102" s="23" t="s">
        <v>197</v>
      </c>
    </row>
    <row r="103" customFormat="false" ht="21.75" hidden="false" customHeight="true" outlineLevel="0" collapsed="false">
      <c r="B103" s="14" t="n">
        <v>99</v>
      </c>
      <c r="C103" s="7" t="s">
        <v>58</v>
      </c>
      <c r="D103" s="7" t="s">
        <v>20</v>
      </c>
      <c r="E103" s="7" t="s">
        <v>118</v>
      </c>
      <c r="F103" s="7" t="s">
        <v>104</v>
      </c>
      <c r="G103" s="7" t="s">
        <v>2770</v>
      </c>
      <c r="H103" s="7" t="s">
        <v>2628</v>
      </c>
      <c r="I103" s="7" t="s">
        <v>2763</v>
      </c>
      <c r="J103" s="7" t="s">
        <v>2764</v>
      </c>
      <c r="K103" s="7" t="s">
        <v>2711</v>
      </c>
      <c r="L103" s="7" t="s">
        <v>2680</v>
      </c>
      <c r="M103" s="7" t="s">
        <v>2514</v>
      </c>
      <c r="N103" s="7" t="s">
        <v>189</v>
      </c>
      <c r="O103" s="7" t="s">
        <v>189</v>
      </c>
      <c r="P103" s="7" t="s">
        <v>640</v>
      </c>
      <c r="Q103" s="7" t="s">
        <v>2765</v>
      </c>
      <c r="R103" s="7" t="s">
        <v>604</v>
      </c>
      <c r="S103" s="7" t="s">
        <v>2685</v>
      </c>
      <c r="T103" s="7" t="s">
        <v>2766</v>
      </c>
      <c r="U103" s="18" t="n">
        <v>130</v>
      </c>
      <c r="V103" s="7"/>
      <c r="W103" s="7"/>
      <c r="X103" s="7" t="s">
        <v>203</v>
      </c>
      <c r="Y103" s="22" t="n">
        <v>0.00071332</v>
      </c>
      <c r="Z103" s="22" t="n">
        <v>0.01</v>
      </c>
      <c r="AA103" s="22" t="n">
        <v>24</v>
      </c>
      <c r="AB103" s="7" t="s">
        <v>2680</v>
      </c>
      <c r="AC103" s="7" t="s">
        <v>2714</v>
      </c>
      <c r="AD103" s="22" t="s">
        <v>197</v>
      </c>
      <c r="AE103" s="22" t="s">
        <v>197</v>
      </c>
      <c r="AF103" s="22" t="s">
        <v>197</v>
      </c>
      <c r="AG103" s="22" t="s">
        <v>197</v>
      </c>
      <c r="AH103" s="22" t="s">
        <v>197</v>
      </c>
      <c r="AI103" s="22" t="s">
        <v>197</v>
      </c>
      <c r="AJ103" s="22" t="s">
        <v>197</v>
      </c>
      <c r="AK103" s="22" t="s">
        <v>197</v>
      </c>
      <c r="AL103" s="22" t="s">
        <v>197</v>
      </c>
      <c r="AM103" s="22" t="s">
        <v>197</v>
      </c>
      <c r="AN103" s="7" t="s">
        <v>197</v>
      </c>
      <c r="AO103" s="22" t="s">
        <v>197</v>
      </c>
      <c r="AP103" s="22" t="s">
        <v>197</v>
      </c>
      <c r="AQ103" s="22" t="s">
        <v>197</v>
      </c>
    </row>
    <row r="104" customFormat="false" ht="21.75" hidden="false" customHeight="true" outlineLevel="0" collapsed="false">
      <c r="B104" s="15" t="n">
        <v>100</v>
      </c>
      <c r="C104" s="9" t="s">
        <v>58</v>
      </c>
      <c r="D104" s="9" t="s">
        <v>20</v>
      </c>
      <c r="E104" s="9" t="s">
        <v>118</v>
      </c>
      <c r="F104" s="9" t="s">
        <v>104</v>
      </c>
      <c r="G104" s="9" t="s">
        <v>2771</v>
      </c>
      <c r="H104" s="9" t="s">
        <v>2630</v>
      </c>
      <c r="I104" s="9" t="s">
        <v>2763</v>
      </c>
      <c r="J104" s="9" t="s">
        <v>2764</v>
      </c>
      <c r="K104" s="9" t="s">
        <v>2711</v>
      </c>
      <c r="L104" s="9" t="s">
        <v>2680</v>
      </c>
      <c r="M104" s="9" t="s">
        <v>2514</v>
      </c>
      <c r="N104" s="9" t="s">
        <v>189</v>
      </c>
      <c r="O104" s="9" t="s">
        <v>189</v>
      </c>
      <c r="P104" s="9" t="s">
        <v>640</v>
      </c>
      <c r="Q104" s="9" t="s">
        <v>2765</v>
      </c>
      <c r="R104" s="9" t="s">
        <v>604</v>
      </c>
      <c r="S104" s="9" t="s">
        <v>2685</v>
      </c>
      <c r="T104" s="9" t="s">
        <v>2766</v>
      </c>
      <c r="U104" s="19" t="n">
        <v>190</v>
      </c>
      <c r="V104" s="9"/>
      <c r="W104" s="9"/>
      <c r="X104" s="9" t="s">
        <v>205</v>
      </c>
      <c r="Y104" s="23" t="n">
        <v>0.000448</v>
      </c>
      <c r="Z104" s="23" t="n">
        <v>0.006</v>
      </c>
      <c r="AA104" s="23" t="n">
        <v>24</v>
      </c>
      <c r="AB104" s="9" t="s">
        <v>2680</v>
      </c>
      <c r="AC104" s="9" t="s">
        <v>2714</v>
      </c>
      <c r="AD104" s="23" t="s">
        <v>197</v>
      </c>
      <c r="AE104" s="23" t="s">
        <v>197</v>
      </c>
      <c r="AF104" s="23" t="s">
        <v>197</v>
      </c>
      <c r="AG104" s="23" t="s">
        <v>197</v>
      </c>
      <c r="AH104" s="23" t="s">
        <v>197</v>
      </c>
      <c r="AI104" s="23" t="s">
        <v>197</v>
      </c>
      <c r="AJ104" s="23" t="s">
        <v>197</v>
      </c>
      <c r="AK104" s="23" t="s">
        <v>197</v>
      </c>
      <c r="AL104" s="23" t="s">
        <v>197</v>
      </c>
      <c r="AM104" s="23" t="s">
        <v>197</v>
      </c>
      <c r="AN104" s="9" t="s">
        <v>197</v>
      </c>
      <c r="AO104" s="23" t="s">
        <v>197</v>
      </c>
      <c r="AP104" s="23" t="s">
        <v>197</v>
      </c>
      <c r="AQ104" s="23" t="s">
        <v>197</v>
      </c>
    </row>
    <row r="105" customFormat="false" ht="21.75" hidden="false" customHeight="true" outlineLevel="0" collapsed="false">
      <c r="B105" s="14" t="n">
        <v>101</v>
      </c>
      <c r="C105" s="7" t="s">
        <v>58</v>
      </c>
      <c r="D105" s="7" t="s">
        <v>20</v>
      </c>
      <c r="E105" s="7" t="s">
        <v>118</v>
      </c>
      <c r="F105" s="7" t="s">
        <v>105</v>
      </c>
      <c r="G105" s="7" t="s">
        <v>2772</v>
      </c>
      <c r="H105" s="7" t="s">
        <v>2632</v>
      </c>
      <c r="I105" s="7" t="s">
        <v>2773</v>
      </c>
      <c r="J105" s="7" t="s">
        <v>2774</v>
      </c>
      <c r="K105" s="7" t="s">
        <v>2711</v>
      </c>
      <c r="L105" s="7" t="s">
        <v>2680</v>
      </c>
      <c r="M105" s="7" t="s">
        <v>2514</v>
      </c>
      <c r="N105" s="7" t="s">
        <v>189</v>
      </c>
      <c r="O105" s="7" t="s">
        <v>189</v>
      </c>
      <c r="P105" s="7" t="s">
        <v>640</v>
      </c>
      <c r="Q105" s="7" t="s">
        <v>2765</v>
      </c>
      <c r="R105" s="7" t="s">
        <v>2775</v>
      </c>
      <c r="S105" s="7" t="s">
        <v>2685</v>
      </c>
      <c r="T105" s="7" t="s">
        <v>2776</v>
      </c>
      <c r="U105" s="18" t="n">
        <v>55</v>
      </c>
      <c r="V105" s="7"/>
      <c r="W105" s="7"/>
      <c r="X105" s="7" t="s">
        <v>195</v>
      </c>
      <c r="Y105" s="22" t="n">
        <v>0.00072244</v>
      </c>
      <c r="Z105" s="22" t="n">
        <v>0.042</v>
      </c>
      <c r="AA105" s="22" t="n">
        <v>24</v>
      </c>
      <c r="AB105" s="7" t="s">
        <v>2680</v>
      </c>
      <c r="AC105" s="7" t="s">
        <v>2714</v>
      </c>
      <c r="AD105" s="22" t="s">
        <v>197</v>
      </c>
      <c r="AE105" s="22" t="s">
        <v>197</v>
      </c>
      <c r="AF105" s="22" t="s">
        <v>197</v>
      </c>
      <c r="AG105" s="22" t="s">
        <v>197</v>
      </c>
      <c r="AH105" s="22" t="s">
        <v>197</v>
      </c>
      <c r="AI105" s="22" t="s">
        <v>197</v>
      </c>
      <c r="AJ105" s="22" t="s">
        <v>197</v>
      </c>
      <c r="AK105" s="22" t="s">
        <v>197</v>
      </c>
      <c r="AL105" s="22" t="s">
        <v>197</v>
      </c>
      <c r="AM105" s="22" t="s">
        <v>197</v>
      </c>
      <c r="AN105" s="7" t="s">
        <v>197</v>
      </c>
      <c r="AO105" s="22" t="s">
        <v>197</v>
      </c>
      <c r="AP105" s="22" t="s">
        <v>197</v>
      </c>
      <c r="AQ105" s="22" t="s">
        <v>197</v>
      </c>
    </row>
    <row r="106" customFormat="false" ht="21.75" hidden="false" customHeight="true" outlineLevel="0" collapsed="false">
      <c r="B106" s="15" t="n">
        <v>102</v>
      </c>
      <c r="C106" s="9" t="s">
        <v>58</v>
      </c>
      <c r="D106" s="9" t="s">
        <v>20</v>
      </c>
      <c r="E106" s="9" t="s">
        <v>118</v>
      </c>
      <c r="F106" s="9" t="s">
        <v>105</v>
      </c>
      <c r="G106" s="9" t="s">
        <v>2777</v>
      </c>
      <c r="H106" s="9" t="s">
        <v>2637</v>
      </c>
      <c r="I106" s="9" t="s">
        <v>2773</v>
      </c>
      <c r="J106" s="9" t="s">
        <v>2774</v>
      </c>
      <c r="K106" s="9" t="s">
        <v>2711</v>
      </c>
      <c r="L106" s="9" t="s">
        <v>2680</v>
      </c>
      <c r="M106" s="9" t="s">
        <v>2514</v>
      </c>
      <c r="N106" s="9" t="s">
        <v>189</v>
      </c>
      <c r="O106" s="9" t="s">
        <v>189</v>
      </c>
      <c r="P106" s="9" t="s">
        <v>640</v>
      </c>
      <c r="Q106" s="9" t="s">
        <v>2765</v>
      </c>
      <c r="R106" s="9" t="s">
        <v>2775</v>
      </c>
      <c r="S106" s="9" t="s">
        <v>2685</v>
      </c>
      <c r="T106" s="9" t="s">
        <v>2776</v>
      </c>
      <c r="U106" s="19" t="n">
        <v>80</v>
      </c>
      <c r="V106" s="9"/>
      <c r="W106" s="9"/>
      <c r="X106" s="9" t="s">
        <v>199</v>
      </c>
      <c r="Y106" s="23" t="n">
        <v>0.0008228</v>
      </c>
      <c r="Z106" s="23" t="n">
        <v>0.052</v>
      </c>
      <c r="AA106" s="23" t="n">
        <v>24</v>
      </c>
      <c r="AB106" s="9" t="s">
        <v>2680</v>
      </c>
      <c r="AC106" s="9" t="s">
        <v>2714</v>
      </c>
      <c r="AD106" s="23" t="s">
        <v>197</v>
      </c>
      <c r="AE106" s="23" t="s">
        <v>197</v>
      </c>
      <c r="AF106" s="23" t="s">
        <v>197</v>
      </c>
      <c r="AG106" s="23" t="s">
        <v>197</v>
      </c>
      <c r="AH106" s="23" t="s">
        <v>197</v>
      </c>
      <c r="AI106" s="23" t="s">
        <v>197</v>
      </c>
      <c r="AJ106" s="23" t="s">
        <v>197</v>
      </c>
      <c r="AK106" s="23" t="s">
        <v>197</v>
      </c>
      <c r="AL106" s="23" t="s">
        <v>197</v>
      </c>
      <c r="AM106" s="23" t="s">
        <v>197</v>
      </c>
      <c r="AN106" s="9" t="s">
        <v>197</v>
      </c>
      <c r="AO106" s="23" t="s">
        <v>197</v>
      </c>
      <c r="AP106" s="23" t="s">
        <v>197</v>
      </c>
      <c r="AQ106" s="23" t="s">
        <v>197</v>
      </c>
    </row>
    <row r="107" customFormat="false" ht="21.75" hidden="false" customHeight="true" outlineLevel="0" collapsed="false">
      <c r="B107" s="14" t="n">
        <v>103</v>
      </c>
      <c r="C107" s="7" t="s">
        <v>58</v>
      </c>
      <c r="D107" s="7" t="s">
        <v>20</v>
      </c>
      <c r="E107" s="7" t="s">
        <v>118</v>
      </c>
      <c r="F107" s="7" t="s">
        <v>105</v>
      </c>
      <c r="G107" s="7" t="s">
        <v>2778</v>
      </c>
      <c r="H107" s="7" t="s">
        <v>2639</v>
      </c>
      <c r="I107" s="7" t="s">
        <v>2773</v>
      </c>
      <c r="J107" s="7" t="s">
        <v>2774</v>
      </c>
      <c r="K107" s="7" t="s">
        <v>2711</v>
      </c>
      <c r="L107" s="7" t="s">
        <v>2680</v>
      </c>
      <c r="M107" s="7" t="s">
        <v>2514</v>
      </c>
      <c r="N107" s="7" t="s">
        <v>189</v>
      </c>
      <c r="O107" s="7" t="s">
        <v>189</v>
      </c>
      <c r="P107" s="7" t="s">
        <v>640</v>
      </c>
      <c r="Q107" s="7" t="s">
        <v>2765</v>
      </c>
      <c r="R107" s="7" t="s">
        <v>2775</v>
      </c>
      <c r="S107" s="7" t="s">
        <v>2685</v>
      </c>
      <c r="T107" s="7" t="s">
        <v>2776</v>
      </c>
      <c r="U107" s="18" t="n">
        <v>110</v>
      </c>
      <c r="V107" s="7"/>
      <c r="W107" s="7"/>
      <c r="X107" s="7" t="s">
        <v>2779</v>
      </c>
      <c r="Y107" s="22" t="n">
        <v>0.0006502</v>
      </c>
      <c r="Z107" s="22" t="n">
        <v>0.035</v>
      </c>
      <c r="AA107" s="22" t="n">
        <v>24</v>
      </c>
      <c r="AB107" s="7" t="s">
        <v>2680</v>
      </c>
      <c r="AC107" s="7" t="s">
        <v>2714</v>
      </c>
      <c r="AD107" s="22" t="s">
        <v>197</v>
      </c>
      <c r="AE107" s="22" t="s">
        <v>197</v>
      </c>
      <c r="AF107" s="22" t="s">
        <v>197</v>
      </c>
      <c r="AG107" s="22" t="s">
        <v>197</v>
      </c>
      <c r="AH107" s="22" t="s">
        <v>197</v>
      </c>
      <c r="AI107" s="22" t="s">
        <v>197</v>
      </c>
      <c r="AJ107" s="22" t="s">
        <v>197</v>
      </c>
      <c r="AK107" s="22" t="s">
        <v>197</v>
      </c>
      <c r="AL107" s="22" t="s">
        <v>197</v>
      </c>
      <c r="AM107" s="22" t="s">
        <v>197</v>
      </c>
      <c r="AN107" s="7" t="s">
        <v>197</v>
      </c>
      <c r="AO107" s="22" t="s">
        <v>197</v>
      </c>
      <c r="AP107" s="22" t="s">
        <v>197</v>
      </c>
      <c r="AQ107" s="22" t="s">
        <v>197</v>
      </c>
    </row>
    <row r="108" customFormat="false" ht="21.75" hidden="false" customHeight="true" outlineLevel="0" collapsed="false">
      <c r="B108" s="15" t="n">
        <v>104</v>
      </c>
      <c r="C108" s="9" t="s">
        <v>58</v>
      </c>
      <c r="D108" s="9" t="s">
        <v>20</v>
      </c>
      <c r="E108" s="9" t="s">
        <v>118</v>
      </c>
      <c r="F108" s="9" t="s">
        <v>105</v>
      </c>
      <c r="G108" s="9" t="s">
        <v>2780</v>
      </c>
      <c r="H108" s="9" t="s">
        <v>2642</v>
      </c>
      <c r="I108" s="9" t="s">
        <v>2773</v>
      </c>
      <c r="J108" s="9" t="s">
        <v>2774</v>
      </c>
      <c r="K108" s="9" t="s">
        <v>2711</v>
      </c>
      <c r="L108" s="9" t="s">
        <v>2680</v>
      </c>
      <c r="M108" s="9" t="s">
        <v>2514</v>
      </c>
      <c r="N108" s="9" t="s">
        <v>189</v>
      </c>
      <c r="O108" s="9" t="s">
        <v>189</v>
      </c>
      <c r="P108" s="9" t="s">
        <v>640</v>
      </c>
      <c r="Q108" s="9" t="s">
        <v>2765</v>
      </c>
      <c r="R108" s="9" t="s">
        <v>2775</v>
      </c>
      <c r="S108" s="9" t="s">
        <v>2685</v>
      </c>
      <c r="T108" s="9" t="s">
        <v>2776</v>
      </c>
      <c r="U108" s="19" t="n">
        <v>165</v>
      </c>
      <c r="V108" s="9"/>
      <c r="W108" s="9"/>
      <c r="X108" s="9" t="s">
        <v>203</v>
      </c>
      <c r="Y108" s="23" t="n">
        <v>0.0008498</v>
      </c>
      <c r="Z108" s="23" t="n">
        <v>0.055</v>
      </c>
      <c r="AA108" s="23" t="n">
        <v>24</v>
      </c>
      <c r="AB108" s="9" t="s">
        <v>2680</v>
      </c>
      <c r="AC108" s="9" t="s">
        <v>2714</v>
      </c>
      <c r="AD108" s="23" t="s">
        <v>197</v>
      </c>
      <c r="AE108" s="23" t="s">
        <v>197</v>
      </c>
      <c r="AF108" s="23" t="s">
        <v>197</v>
      </c>
      <c r="AG108" s="23" t="s">
        <v>197</v>
      </c>
      <c r="AH108" s="23" t="s">
        <v>197</v>
      </c>
      <c r="AI108" s="23" t="s">
        <v>197</v>
      </c>
      <c r="AJ108" s="23" t="s">
        <v>197</v>
      </c>
      <c r="AK108" s="23" t="s">
        <v>197</v>
      </c>
      <c r="AL108" s="23" t="s">
        <v>197</v>
      </c>
      <c r="AM108" s="23" t="s">
        <v>197</v>
      </c>
      <c r="AN108" s="9" t="s">
        <v>197</v>
      </c>
      <c r="AO108" s="23" t="s">
        <v>197</v>
      </c>
      <c r="AP108" s="23" t="s">
        <v>197</v>
      </c>
      <c r="AQ108" s="23" t="s">
        <v>197</v>
      </c>
    </row>
    <row r="109" customFormat="false" ht="21.75" hidden="false" customHeight="true" outlineLevel="0" collapsed="false">
      <c r="B109" s="14" t="n">
        <v>105</v>
      </c>
      <c r="C109" s="7" t="s">
        <v>58</v>
      </c>
      <c r="D109" s="7" t="s">
        <v>20</v>
      </c>
      <c r="E109" s="7" t="s">
        <v>118</v>
      </c>
      <c r="F109" s="7" t="s">
        <v>105</v>
      </c>
      <c r="G109" s="7" t="s">
        <v>2781</v>
      </c>
      <c r="H109" s="7" t="s">
        <v>2644</v>
      </c>
      <c r="I109" s="7" t="s">
        <v>2773</v>
      </c>
      <c r="J109" s="7" t="s">
        <v>2774</v>
      </c>
      <c r="K109" s="7" t="s">
        <v>2711</v>
      </c>
      <c r="L109" s="7" t="s">
        <v>2680</v>
      </c>
      <c r="M109" s="7" t="s">
        <v>2514</v>
      </c>
      <c r="N109" s="7" t="s">
        <v>189</v>
      </c>
      <c r="O109" s="7" t="s">
        <v>189</v>
      </c>
      <c r="P109" s="7" t="s">
        <v>640</v>
      </c>
      <c r="Q109" s="7" t="s">
        <v>2765</v>
      </c>
      <c r="R109" s="7" t="s">
        <v>2775</v>
      </c>
      <c r="S109" s="7" t="s">
        <v>2685</v>
      </c>
      <c r="T109" s="7" t="s">
        <v>2776</v>
      </c>
      <c r="U109" s="18" t="n">
        <v>240</v>
      </c>
      <c r="V109" s="7"/>
      <c r="W109" s="7"/>
      <c r="X109" s="7" t="s">
        <v>205</v>
      </c>
      <c r="Y109" s="22" t="n">
        <v>0.000516</v>
      </c>
      <c r="Z109" s="22" t="n">
        <v>0.022</v>
      </c>
      <c r="AA109" s="22" t="n">
        <v>24</v>
      </c>
      <c r="AB109" s="7" t="s">
        <v>2680</v>
      </c>
      <c r="AC109" s="7" t="s">
        <v>2714</v>
      </c>
      <c r="AD109" s="22" t="s">
        <v>197</v>
      </c>
      <c r="AE109" s="22" t="s">
        <v>197</v>
      </c>
      <c r="AF109" s="22" t="s">
        <v>197</v>
      </c>
      <c r="AG109" s="22" t="s">
        <v>197</v>
      </c>
      <c r="AH109" s="22" t="s">
        <v>197</v>
      </c>
      <c r="AI109" s="22" t="s">
        <v>197</v>
      </c>
      <c r="AJ109" s="22" t="s">
        <v>197</v>
      </c>
      <c r="AK109" s="22" t="s">
        <v>197</v>
      </c>
      <c r="AL109" s="22" t="s">
        <v>197</v>
      </c>
      <c r="AM109" s="22" t="s">
        <v>197</v>
      </c>
      <c r="AN109" s="7" t="s">
        <v>197</v>
      </c>
      <c r="AO109" s="22" t="s">
        <v>197</v>
      </c>
      <c r="AP109" s="22" t="s">
        <v>197</v>
      </c>
      <c r="AQ109" s="22" t="s">
        <v>197</v>
      </c>
    </row>
    <row r="110" customFormat="false" ht="21.75" hidden="false" customHeight="true" outlineLevel="0" collapsed="false">
      <c r="B110" s="15" t="n">
        <v>106</v>
      </c>
      <c r="C110" s="9" t="s">
        <v>58</v>
      </c>
      <c r="D110" s="9" t="s">
        <v>20</v>
      </c>
      <c r="E110" s="9" t="s">
        <v>118</v>
      </c>
      <c r="F110" s="9" t="s">
        <v>106</v>
      </c>
      <c r="G110" s="9" t="s">
        <v>2782</v>
      </c>
      <c r="H110" s="9" t="s">
        <v>2783</v>
      </c>
      <c r="I110" s="9" t="s">
        <v>2784</v>
      </c>
      <c r="J110" s="9" t="s">
        <v>2785</v>
      </c>
      <c r="K110" s="9" t="s">
        <v>2786</v>
      </c>
      <c r="L110" s="9" t="s">
        <v>2680</v>
      </c>
      <c r="M110" s="9" t="s">
        <v>2650</v>
      </c>
      <c r="N110" s="9" t="s">
        <v>189</v>
      </c>
      <c r="O110" s="9" t="s">
        <v>189</v>
      </c>
      <c r="P110" s="9" t="s">
        <v>640</v>
      </c>
      <c r="Q110" s="9" t="s">
        <v>1096</v>
      </c>
      <c r="R110" s="9" t="s">
        <v>2787</v>
      </c>
      <c r="S110" s="9" t="s">
        <v>2685</v>
      </c>
      <c r="T110" s="9" t="s">
        <v>2788</v>
      </c>
      <c r="U110" s="19" t="n">
        <v>500</v>
      </c>
      <c r="V110" s="9"/>
      <c r="W110" s="9"/>
      <c r="X110" s="9" t="s">
        <v>195</v>
      </c>
      <c r="Y110" s="23" t="n">
        <v>0.268</v>
      </c>
      <c r="Z110" s="23" t="n">
        <v>0.262</v>
      </c>
      <c r="AA110" s="23" t="n">
        <v>24</v>
      </c>
      <c r="AB110" s="9" t="s">
        <v>2680</v>
      </c>
      <c r="AC110" s="9" t="s">
        <v>2789</v>
      </c>
      <c r="AD110" s="23" t="n">
        <v>0.268</v>
      </c>
      <c r="AE110" s="23" t="n">
        <v>0.262</v>
      </c>
      <c r="AF110" s="23" t="s">
        <v>197</v>
      </c>
      <c r="AG110" s="23" t="s">
        <v>197</v>
      </c>
      <c r="AH110" s="23" t="s">
        <v>197</v>
      </c>
      <c r="AI110" s="23" t="s">
        <v>197</v>
      </c>
      <c r="AJ110" s="23" t="s">
        <v>197</v>
      </c>
      <c r="AK110" s="23" t="s">
        <v>197</v>
      </c>
      <c r="AL110" s="23" t="s">
        <v>197</v>
      </c>
      <c r="AM110" s="23" t="s">
        <v>197</v>
      </c>
      <c r="AN110" s="9" t="s">
        <v>197</v>
      </c>
      <c r="AO110" s="23" t="s">
        <v>197</v>
      </c>
      <c r="AP110" s="23" t="n">
        <v>1.2</v>
      </c>
      <c r="AQ110" s="23" t="n">
        <v>1.7</v>
      </c>
    </row>
    <row r="111" customFormat="false" ht="21.75" hidden="false" customHeight="true" outlineLevel="0" collapsed="false">
      <c r="B111" s="14" t="n">
        <v>107</v>
      </c>
      <c r="C111" s="7" t="s">
        <v>58</v>
      </c>
      <c r="D111" s="7" t="s">
        <v>20</v>
      </c>
      <c r="E111" s="7" t="s">
        <v>118</v>
      </c>
      <c r="F111" s="7" t="s">
        <v>106</v>
      </c>
      <c r="G111" s="7" t="s">
        <v>2790</v>
      </c>
      <c r="H111" s="7" t="s">
        <v>2783</v>
      </c>
      <c r="I111" s="7" t="s">
        <v>2784</v>
      </c>
      <c r="J111" s="7" t="s">
        <v>2785</v>
      </c>
      <c r="K111" s="7" t="s">
        <v>2786</v>
      </c>
      <c r="L111" s="7" t="s">
        <v>2680</v>
      </c>
      <c r="M111" s="7" t="s">
        <v>2650</v>
      </c>
      <c r="N111" s="7" t="s">
        <v>189</v>
      </c>
      <c r="O111" s="7" t="s">
        <v>189</v>
      </c>
      <c r="P111" s="7" t="s">
        <v>640</v>
      </c>
      <c r="Q111" s="7" t="s">
        <v>1096</v>
      </c>
      <c r="R111" s="7" t="s">
        <v>2787</v>
      </c>
      <c r="S111" s="7" t="s">
        <v>2685</v>
      </c>
      <c r="T111" s="7" t="s">
        <v>2788</v>
      </c>
      <c r="U111" s="18" t="n">
        <v>750</v>
      </c>
      <c r="V111" s="7"/>
      <c r="W111" s="7"/>
      <c r="X111" s="7" t="s">
        <v>199</v>
      </c>
      <c r="Y111" s="22" t="n">
        <v>0.168</v>
      </c>
      <c r="Z111" s="22" t="n">
        <v>0.195</v>
      </c>
      <c r="AA111" s="22" t="n">
        <v>24</v>
      </c>
      <c r="AB111" s="7" t="s">
        <v>2680</v>
      </c>
      <c r="AC111" s="7" t="s">
        <v>2789</v>
      </c>
      <c r="AD111" s="22" t="n">
        <v>0.168</v>
      </c>
      <c r="AE111" s="22" t="n">
        <v>0.195</v>
      </c>
      <c r="AF111" s="22" t="s">
        <v>197</v>
      </c>
      <c r="AG111" s="22" t="s">
        <v>197</v>
      </c>
      <c r="AH111" s="22" t="s">
        <v>197</v>
      </c>
      <c r="AI111" s="22" t="s">
        <v>197</v>
      </c>
      <c r="AJ111" s="22" t="s">
        <v>197</v>
      </c>
      <c r="AK111" s="22" t="s">
        <v>197</v>
      </c>
      <c r="AL111" s="22" t="s">
        <v>197</v>
      </c>
      <c r="AM111" s="22" t="s">
        <v>197</v>
      </c>
      <c r="AN111" s="7" t="s">
        <v>197</v>
      </c>
      <c r="AO111" s="22" t="s">
        <v>197</v>
      </c>
      <c r="AP111" s="22" t="n">
        <v>1.2</v>
      </c>
      <c r="AQ111" s="22" t="n">
        <v>1.7</v>
      </c>
    </row>
    <row r="112" customFormat="false" ht="21.75" hidden="false" customHeight="true" outlineLevel="0" collapsed="false">
      <c r="B112" s="15" t="n">
        <v>108</v>
      </c>
      <c r="C112" s="9" t="s">
        <v>58</v>
      </c>
      <c r="D112" s="9" t="s">
        <v>20</v>
      </c>
      <c r="E112" s="9" t="s">
        <v>118</v>
      </c>
      <c r="F112" s="9" t="s">
        <v>106</v>
      </c>
      <c r="G112" s="9" t="s">
        <v>2791</v>
      </c>
      <c r="H112" s="9" t="s">
        <v>2783</v>
      </c>
      <c r="I112" s="9" t="s">
        <v>2784</v>
      </c>
      <c r="J112" s="9" t="s">
        <v>2785</v>
      </c>
      <c r="K112" s="9" t="s">
        <v>2786</v>
      </c>
      <c r="L112" s="9" t="s">
        <v>2680</v>
      </c>
      <c r="M112" s="9" t="s">
        <v>2650</v>
      </c>
      <c r="N112" s="9" t="s">
        <v>189</v>
      </c>
      <c r="O112" s="9" t="s">
        <v>189</v>
      </c>
      <c r="P112" s="9" t="s">
        <v>640</v>
      </c>
      <c r="Q112" s="9" t="s">
        <v>1096</v>
      </c>
      <c r="R112" s="9" t="s">
        <v>2787</v>
      </c>
      <c r="S112" s="9" t="s">
        <v>2685</v>
      </c>
      <c r="T112" s="9" t="s">
        <v>2788</v>
      </c>
      <c r="U112" s="19" t="n">
        <v>1000</v>
      </c>
      <c r="V112" s="9"/>
      <c r="W112" s="9"/>
      <c r="X112" s="9" t="s">
        <v>2792</v>
      </c>
      <c r="Y112" s="23" t="n">
        <v>0.371</v>
      </c>
      <c r="Z112" s="23" t="n">
        <v>0.331</v>
      </c>
      <c r="AA112" s="23" t="n">
        <v>24</v>
      </c>
      <c r="AB112" s="9" t="s">
        <v>2680</v>
      </c>
      <c r="AC112" s="9" t="s">
        <v>2789</v>
      </c>
      <c r="AD112" s="23" t="n">
        <v>0.371</v>
      </c>
      <c r="AE112" s="23" t="n">
        <v>0.331</v>
      </c>
      <c r="AF112" s="23" t="s">
        <v>197</v>
      </c>
      <c r="AG112" s="23" t="s">
        <v>197</v>
      </c>
      <c r="AH112" s="23" t="s">
        <v>197</v>
      </c>
      <c r="AI112" s="23" t="s">
        <v>197</v>
      </c>
      <c r="AJ112" s="23" t="s">
        <v>197</v>
      </c>
      <c r="AK112" s="23" t="s">
        <v>197</v>
      </c>
      <c r="AL112" s="23" t="s">
        <v>197</v>
      </c>
      <c r="AM112" s="23" t="s">
        <v>197</v>
      </c>
      <c r="AN112" s="9" t="s">
        <v>197</v>
      </c>
      <c r="AO112" s="23" t="s">
        <v>197</v>
      </c>
      <c r="AP112" s="23" t="n">
        <v>1.2</v>
      </c>
      <c r="AQ112" s="23" t="n">
        <v>1.7</v>
      </c>
    </row>
    <row r="113" customFormat="false" ht="21.75" hidden="false" customHeight="true" outlineLevel="0" collapsed="false">
      <c r="B113" s="14" t="n">
        <v>109</v>
      </c>
      <c r="C113" s="7" t="s">
        <v>58</v>
      </c>
      <c r="D113" s="7" t="s">
        <v>20</v>
      </c>
      <c r="E113" s="7" t="s">
        <v>118</v>
      </c>
      <c r="F113" s="7" t="s">
        <v>106</v>
      </c>
      <c r="G113" s="7" t="s">
        <v>2793</v>
      </c>
      <c r="H113" s="7" t="s">
        <v>2783</v>
      </c>
      <c r="I113" s="7" t="s">
        <v>2784</v>
      </c>
      <c r="J113" s="7" t="s">
        <v>2785</v>
      </c>
      <c r="K113" s="7" t="s">
        <v>2786</v>
      </c>
      <c r="L113" s="7" t="s">
        <v>2680</v>
      </c>
      <c r="M113" s="7" t="s">
        <v>2650</v>
      </c>
      <c r="N113" s="7" t="s">
        <v>189</v>
      </c>
      <c r="O113" s="7" t="s">
        <v>189</v>
      </c>
      <c r="P113" s="7" t="s">
        <v>640</v>
      </c>
      <c r="Q113" s="7" t="s">
        <v>1096</v>
      </c>
      <c r="R113" s="7" t="s">
        <v>2787</v>
      </c>
      <c r="S113" s="7" t="s">
        <v>2685</v>
      </c>
      <c r="T113" s="7" t="s">
        <v>2788</v>
      </c>
      <c r="U113" s="18" t="n">
        <v>1500</v>
      </c>
      <c r="V113" s="7"/>
      <c r="W113" s="7"/>
      <c r="X113" s="7" t="s">
        <v>203</v>
      </c>
      <c r="Y113" s="22" t="n">
        <v>0.239</v>
      </c>
      <c r="Z113" s="22" t="n">
        <v>0.242</v>
      </c>
      <c r="AA113" s="22" t="n">
        <v>24</v>
      </c>
      <c r="AB113" s="7" t="s">
        <v>2680</v>
      </c>
      <c r="AC113" s="7" t="s">
        <v>2789</v>
      </c>
      <c r="AD113" s="22" t="n">
        <v>0.239</v>
      </c>
      <c r="AE113" s="22" t="n">
        <v>0.242</v>
      </c>
      <c r="AF113" s="22" t="s">
        <v>197</v>
      </c>
      <c r="AG113" s="22" t="s">
        <v>197</v>
      </c>
      <c r="AH113" s="22" t="s">
        <v>197</v>
      </c>
      <c r="AI113" s="22" t="s">
        <v>197</v>
      </c>
      <c r="AJ113" s="22" t="s">
        <v>197</v>
      </c>
      <c r="AK113" s="22" t="s">
        <v>197</v>
      </c>
      <c r="AL113" s="22" t="s">
        <v>197</v>
      </c>
      <c r="AM113" s="22" t="s">
        <v>197</v>
      </c>
      <c r="AN113" s="7" t="s">
        <v>197</v>
      </c>
      <c r="AO113" s="22" t="s">
        <v>197</v>
      </c>
      <c r="AP113" s="22" t="n">
        <v>1.2</v>
      </c>
      <c r="AQ113" s="22" t="n">
        <v>1.7</v>
      </c>
    </row>
    <row r="114" customFormat="false" ht="21.75" hidden="false" customHeight="true" outlineLevel="0" collapsed="false">
      <c r="B114" s="15" t="n">
        <v>110</v>
      </c>
      <c r="C114" s="9" t="s">
        <v>58</v>
      </c>
      <c r="D114" s="9" t="s">
        <v>20</v>
      </c>
      <c r="E114" s="9" t="s">
        <v>118</v>
      </c>
      <c r="F114" s="9" t="s">
        <v>106</v>
      </c>
      <c r="G114" s="9" t="s">
        <v>2794</v>
      </c>
      <c r="H114" s="9" t="s">
        <v>2783</v>
      </c>
      <c r="I114" s="9" t="s">
        <v>2784</v>
      </c>
      <c r="J114" s="9" t="s">
        <v>2785</v>
      </c>
      <c r="K114" s="9" t="s">
        <v>2786</v>
      </c>
      <c r="L114" s="9" t="s">
        <v>2680</v>
      </c>
      <c r="M114" s="9" t="s">
        <v>2650</v>
      </c>
      <c r="N114" s="9" t="s">
        <v>189</v>
      </c>
      <c r="O114" s="9" t="s">
        <v>189</v>
      </c>
      <c r="P114" s="9" t="s">
        <v>640</v>
      </c>
      <c r="Q114" s="9" t="s">
        <v>1096</v>
      </c>
      <c r="R114" s="9" t="s">
        <v>2787</v>
      </c>
      <c r="S114" s="9" t="s">
        <v>2685</v>
      </c>
      <c r="T114" s="9" t="s">
        <v>2788</v>
      </c>
      <c r="U114" s="19" t="n">
        <v>2200</v>
      </c>
      <c r="V114" s="9"/>
      <c r="W114" s="9"/>
      <c r="X114" s="9" t="s">
        <v>205</v>
      </c>
      <c r="Y114" s="23" t="n">
        <v>0.223</v>
      </c>
      <c r="Z114" s="23" t="n">
        <v>0.232</v>
      </c>
      <c r="AA114" s="23" t="n">
        <v>24</v>
      </c>
      <c r="AB114" s="9" t="s">
        <v>2680</v>
      </c>
      <c r="AC114" s="9" t="s">
        <v>2789</v>
      </c>
      <c r="AD114" s="23" t="n">
        <v>0.223</v>
      </c>
      <c r="AE114" s="23" t="n">
        <v>0.232</v>
      </c>
      <c r="AF114" s="23" t="s">
        <v>197</v>
      </c>
      <c r="AG114" s="23" t="s">
        <v>197</v>
      </c>
      <c r="AH114" s="23" t="s">
        <v>197</v>
      </c>
      <c r="AI114" s="23" t="s">
        <v>197</v>
      </c>
      <c r="AJ114" s="23" t="s">
        <v>197</v>
      </c>
      <c r="AK114" s="23" t="s">
        <v>197</v>
      </c>
      <c r="AL114" s="23" t="s">
        <v>197</v>
      </c>
      <c r="AM114" s="23" t="s">
        <v>197</v>
      </c>
      <c r="AN114" s="9" t="s">
        <v>197</v>
      </c>
      <c r="AO114" s="23" t="s">
        <v>197</v>
      </c>
      <c r="AP114" s="23" t="n">
        <v>1.2</v>
      </c>
      <c r="AQ114" s="23" t="n">
        <v>1.7</v>
      </c>
    </row>
    <row r="115" customFormat="false" ht="21.75" hidden="false" customHeight="true" outlineLevel="0" collapsed="false">
      <c r="B115" s="14" t="n">
        <v>111</v>
      </c>
      <c r="C115" s="7" t="s">
        <v>58</v>
      </c>
      <c r="D115" s="7" t="s">
        <v>20</v>
      </c>
      <c r="E115" s="7" t="s">
        <v>118</v>
      </c>
      <c r="F115" s="7" t="s">
        <v>107</v>
      </c>
      <c r="G115" s="7" t="s">
        <v>2795</v>
      </c>
      <c r="H115" s="7" t="s">
        <v>2796</v>
      </c>
      <c r="I115" s="7" t="s">
        <v>2797</v>
      </c>
      <c r="J115" s="7" t="s">
        <v>2798</v>
      </c>
      <c r="K115" s="7" t="s">
        <v>2711</v>
      </c>
      <c r="L115" s="7" t="s">
        <v>2680</v>
      </c>
      <c r="M115" s="7" t="s">
        <v>2514</v>
      </c>
      <c r="N115" s="7" t="s">
        <v>189</v>
      </c>
      <c r="O115" s="7" t="s">
        <v>189</v>
      </c>
      <c r="P115" s="7" t="s">
        <v>640</v>
      </c>
      <c r="Q115" s="7" t="s">
        <v>2799</v>
      </c>
      <c r="R115" s="7" t="s">
        <v>347</v>
      </c>
      <c r="S115" s="7" t="s">
        <v>2685</v>
      </c>
      <c r="T115" s="7" t="s">
        <v>2800</v>
      </c>
      <c r="U115" s="18" t="n">
        <v>95</v>
      </c>
      <c r="V115" s="7"/>
      <c r="W115" s="7"/>
      <c r="X115" s="7" t="s">
        <v>195</v>
      </c>
      <c r="Y115" s="22" t="n">
        <v>0.049</v>
      </c>
      <c r="Z115" s="22" t="n">
        <v>0.073</v>
      </c>
      <c r="AA115" s="22" t="n">
        <v>24</v>
      </c>
      <c r="AB115" s="7" t="s">
        <v>2680</v>
      </c>
      <c r="AC115" s="7" t="s">
        <v>2801</v>
      </c>
      <c r="AD115" s="22" t="s">
        <v>197</v>
      </c>
      <c r="AE115" s="22" t="s">
        <v>197</v>
      </c>
      <c r="AF115" s="22" t="s">
        <v>197</v>
      </c>
      <c r="AG115" s="22" t="s">
        <v>197</v>
      </c>
      <c r="AH115" s="22" t="s">
        <v>197</v>
      </c>
      <c r="AI115" s="22" t="s">
        <v>197</v>
      </c>
      <c r="AJ115" s="22" t="s">
        <v>197</v>
      </c>
      <c r="AK115" s="22" t="s">
        <v>197</v>
      </c>
      <c r="AL115" s="22" t="s">
        <v>197</v>
      </c>
      <c r="AM115" s="22" t="s">
        <v>197</v>
      </c>
      <c r="AN115" s="7" t="s">
        <v>2802</v>
      </c>
      <c r="AO115" s="22" t="s">
        <v>197</v>
      </c>
      <c r="AP115" s="22" t="s">
        <v>197</v>
      </c>
      <c r="AQ115" s="22" t="s">
        <v>197</v>
      </c>
    </row>
    <row r="116" customFormat="false" ht="21.75" hidden="false" customHeight="true" outlineLevel="0" collapsed="false">
      <c r="B116" s="15" t="n">
        <v>112</v>
      </c>
      <c r="C116" s="9" t="s">
        <v>58</v>
      </c>
      <c r="D116" s="9" t="s">
        <v>20</v>
      </c>
      <c r="E116" s="9" t="s">
        <v>118</v>
      </c>
      <c r="F116" s="9" t="s">
        <v>107</v>
      </c>
      <c r="G116" s="9" t="s">
        <v>2803</v>
      </c>
      <c r="H116" s="9" t="s">
        <v>2804</v>
      </c>
      <c r="I116" s="9" t="s">
        <v>2797</v>
      </c>
      <c r="J116" s="9" t="s">
        <v>2798</v>
      </c>
      <c r="K116" s="9" t="s">
        <v>2711</v>
      </c>
      <c r="L116" s="9" t="s">
        <v>2680</v>
      </c>
      <c r="M116" s="9" t="s">
        <v>2514</v>
      </c>
      <c r="N116" s="9" t="s">
        <v>189</v>
      </c>
      <c r="O116" s="9" t="s">
        <v>189</v>
      </c>
      <c r="P116" s="9" t="s">
        <v>640</v>
      </c>
      <c r="Q116" s="9" t="s">
        <v>2799</v>
      </c>
      <c r="R116" s="9" t="s">
        <v>347</v>
      </c>
      <c r="S116" s="9" t="s">
        <v>2685</v>
      </c>
      <c r="T116" s="9" t="s">
        <v>2800</v>
      </c>
      <c r="U116" s="19" t="n">
        <v>145</v>
      </c>
      <c r="V116" s="9"/>
      <c r="W116" s="9"/>
      <c r="X116" s="9" t="s">
        <v>199</v>
      </c>
      <c r="Y116" s="23" t="n">
        <v>0.054</v>
      </c>
      <c r="Z116" s="23" t="n">
        <v>0.081</v>
      </c>
      <c r="AA116" s="23" t="n">
        <v>24</v>
      </c>
      <c r="AB116" s="9" t="s">
        <v>2680</v>
      </c>
      <c r="AC116" s="9" t="s">
        <v>2801</v>
      </c>
      <c r="AD116" s="23" t="s">
        <v>197</v>
      </c>
      <c r="AE116" s="23" t="s">
        <v>197</v>
      </c>
      <c r="AF116" s="23" t="s">
        <v>197</v>
      </c>
      <c r="AG116" s="23" t="s">
        <v>197</v>
      </c>
      <c r="AH116" s="23" t="s">
        <v>197</v>
      </c>
      <c r="AI116" s="23" t="s">
        <v>197</v>
      </c>
      <c r="AJ116" s="23" t="s">
        <v>197</v>
      </c>
      <c r="AK116" s="23" t="s">
        <v>197</v>
      </c>
      <c r="AL116" s="23" t="s">
        <v>197</v>
      </c>
      <c r="AM116" s="23" t="s">
        <v>197</v>
      </c>
      <c r="AN116" s="9" t="s">
        <v>2802</v>
      </c>
      <c r="AO116" s="23" t="s">
        <v>197</v>
      </c>
      <c r="AP116" s="23" t="s">
        <v>197</v>
      </c>
      <c r="AQ116" s="23" t="s">
        <v>197</v>
      </c>
    </row>
    <row r="117" customFormat="false" ht="21.75" hidden="false" customHeight="true" outlineLevel="0" collapsed="false">
      <c r="B117" s="14" t="n">
        <v>113</v>
      </c>
      <c r="C117" s="7" t="s">
        <v>58</v>
      </c>
      <c r="D117" s="7" t="s">
        <v>20</v>
      </c>
      <c r="E117" s="7" t="s">
        <v>118</v>
      </c>
      <c r="F117" s="7" t="s">
        <v>107</v>
      </c>
      <c r="G117" s="7" t="s">
        <v>2805</v>
      </c>
      <c r="H117" s="7" t="s">
        <v>2806</v>
      </c>
      <c r="I117" s="7" t="s">
        <v>2797</v>
      </c>
      <c r="J117" s="7" t="s">
        <v>2798</v>
      </c>
      <c r="K117" s="7" t="s">
        <v>2711</v>
      </c>
      <c r="L117" s="7" t="s">
        <v>2680</v>
      </c>
      <c r="M117" s="7" t="s">
        <v>2514</v>
      </c>
      <c r="N117" s="7" t="s">
        <v>189</v>
      </c>
      <c r="O117" s="7" t="s">
        <v>189</v>
      </c>
      <c r="P117" s="7" t="s">
        <v>640</v>
      </c>
      <c r="Q117" s="7" t="s">
        <v>2799</v>
      </c>
      <c r="R117" s="7" t="s">
        <v>347</v>
      </c>
      <c r="S117" s="7" t="s">
        <v>2685</v>
      </c>
      <c r="T117" s="7" t="s">
        <v>2800</v>
      </c>
      <c r="U117" s="18" t="n">
        <v>195</v>
      </c>
      <c r="V117" s="7"/>
      <c r="W117" s="7"/>
      <c r="X117" s="7" t="s">
        <v>2807</v>
      </c>
      <c r="Y117" s="22" t="n">
        <v>0.063</v>
      </c>
      <c r="Z117" s="22" t="n">
        <v>0.095</v>
      </c>
      <c r="AA117" s="22" t="n">
        <v>24</v>
      </c>
      <c r="AB117" s="7" t="s">
        <v>2680</v>
      </c>
      <c r="AC117" s="7" t="s">
        <v>2801</v>
      </c>
      <c r="AD117" s="22" t="s">
        <v>197</v>
      </c>
      <c r="AE117" s="22" t="s">
        <v>197</v>
      </c>
      <c r="AF117" s="22" t="s">
        <v>197</v>
      </c>
      <c r="AG117" s="22" t="s">
        <v>197</v>
      </c>
      <c r="AH117" s="22" t="s">
        <v>197</v>
      </c>
      <c r="AI117" s="22" t="s">
        <v>197</v>
      </c>
      <c r="AJ117" s="22" t="s">
        <v>197</v>
      </c>
      <c r="AK117" s="22" t="s">
        <v>197</v>
      </c>
      <c r="AL117" s="22" t="s">
        <v>197</v>
      </c>
      <c r="AM117" s="22" t="s">
        <v>197</v>
      </c>
      <c r="AN117" s="7" t="s">
        <v>2802</v>
      </c>
      <c r="AO117" s="22" t="s">
        <v>197</v>
      </c>
      <c r="AP117" s="22" t="s">
        <v>197</v>
      </c>
      <c r="AQ117" s="22" t="s">
        <v>197</v>
      </c>
    </row>
    <row r="118" customFormat="false" ht="21.75" hidden="false" customHeight="true" outlineLevel="0" collapsed="false">
      <c r="B118" s="15" t="n">
        <v>114</v>
      </c>
      <c r="C118" s="9" t="s">
        <v>58</v>
      </c>
      <c r="D118" s="9" t="s">
        <v>20</v>
      </c>
      <c r="E118" s="9" t="s">
        <v>118</v>
      </c>
      <c r="F118" s="9" t="s">
        <v>107</v>
      </c>
      <c r="G118" s="9" t="s">
        <v>2808</v>
      </c>
      <c r="H118" s="9" t="s">
        <v>2809</v>
      </c>
      <c r="I118" s="9" t="s">
        <v>2797</v>
      </c>
      <c r="J118" s="9" t="s">
        <v>2798</v>
      </c>
      <c r="K118" s="9" t="s">
        <v>2711</v>
      </c>
      <c r="L118" s="9" t="s">
        <v>2680</v>
      </c>
      <c r="M118" s="9" t="s">
        <v>2514</v>
      </c>
      <c r="N118" s="9" t="s">
        <v>189</v>
      </c>
      <c r="O118" s="9" t="s">
        <v>189</v>
      </c>
      <c r="P118" s="9" t="s">
        <v>640</v>
      </c>
      <c r="Q118" s="9" t="s">
        <v>2799</v>
      </c>
      <c r="R118" s="9" t="s">
        <v>347</v>
      </c>
      <c r="S118" s="9" t="s">
        <v>2685</v>
      </c>
      <c r="T118" s="9" t="s">
        <v>2800</v>
      </c>
      <c r="U118" s="19" t="n">
        <v>290</v>
      </c>
      <c r="V118" s="9"/>
      <c r="W118" s="9"/>
      <c r="X118" s="9" t="s">
        <v>203</v>
      </c>
      <c r="Y118" s="23" t="n">
        <v>0.07</v>
      </c>
      <c r="Z118" s="23" t="n">
        <v>0.105</v>
      </c>
      <c r="AA118" s="23" t="n">
        <v>24</v>
      </c>
      <c r="AB118" s="9" t="s">
        <v>2680</v>
      </c>
      <c r="AC118" s="9" t="s">
        <v>2801</v>
      </c>
      <c r="AD118" s="23" t="s">
        <v>197</v>
      </c>
      <c r="AE118" s="23" t="s">
        <v>197</v>
      </c>
      <c r="AF118" s="23" t="s">
        <v>197</v>
      </c>
      <c r="AG118" s="23" t="s">
        <v>197</v>
      </c>
      <c r="AH118" s="23" t="s">
        <v>197</v>
      </c>
      <c r="AI118" s="23" t="s">
        <v>197</v>
      </c>
      <c r="AJ118" s="23" t="s">
        <v>197</v>
      </c>
      <c r="AK118" s="23" t="s">
        <v>197</v>
      </c>
      <c r="AL118" s="23" t="s">
        <v>197</v>
      </c>
      <c r="AM118" s="23" t="s">
        <v>197</v>
      </c>
      <c r="AN118" s="9" t="s">
        <v>2802</v>
      </c>
      <c r="AO118" s="23" t="s">
        <v>197</v>
      </c>
      <c r="AP118" s="23" t="s">
        <v>197</v>
      </c>
      <c r="AQ118" s="23" t="s">
        <v>197</v>
      </c>
    </row>
    <row r="119" customFormat="false" ht="21.75" hidden="false" customHeight="true" outlineLevel="0" collapsed="false">
      <c r="B119" s="14" t="n">
        <v>115</v>
      </c>
      <c r="C119" s="7" t="s">
        <v>58</v>
      </c>
      <c r="D119" s="7" t="s">
        <v>20</v>
      </c>
      <c r="E119" s="7" t="s">
        <v>118</v>
      </c>
      <c r="F119" s="7" t="s">
        <v>107</v>
      </c>
      <c r="G119" s="7" t="s">
        <v>2810</v>
      </c>
      <c r="H119" s="7" t="s">
        <v>2811</v>
      </c>
      <c r="I119" s="7" t="s">
        <v>2797</v>
      </c>
      <c r="J119" s="7" t="s">
        <v>2798</v>
      </c>
      <c r="K119" s="7" t="s">
        <v>2711</v>
      </c>
      <c r="L119" s="7" t="s">
        <v>2680</v>
      </c>
      <c r="M119" s="7" t="s">
        <v>2514</v>
      </c>
      <c r="N119" s="7" t="s">
        <v>189</v>
      </c>
      <c r="O119" s="7" t="s">
        <v>189</v>
      </c>
      <c r="P119" s="7" t="s">
        <v>640</v>
      </c>
      <c r="Q119" s="7" t="s">
        <v>2799</v>
      </c>
      <c r="R119" s="7" t="s">
        <v>347</v>
      </c>
      <c r="S119" s="7" t="s">
        <v>2685</v>
      </c>
      <c r="T119" s="7" t="s">
        <v>2800</v>
      </c>
      <c r="U119" s="18" t="n">
        <v>425</v>
      </c>
      <c r="V119" s="7"/>
      <c r="W119" s="7"/>
      <c r="X119" s="7" t="s">
        <v>205</v>
      </c>
      <c r="Y119" s="22" t="n">
        <v>0.066</v>
      </c>
      <c r="Z119" s="22" t="n">
        <v>0.098</v>
      </c>
      <c r="AA119" s="22" t="n">
        <v>24</v>
      </c>
      <c r="AB119" s="7" t="s">
        <v>2680</v>
      </c>
      <c r="AC119" s="7" t="s">
        <v>2801</v>
      </c>
      <c r="AD119" s="22" t="s">
        <v>197</v>
      </c>
      <c r="AE119" s="22" t="s">
        <v>197</v>
      </c>
      <c r="AF119" s="22" t="s">
        <v>197</v>
      </c>
      <c r="AG119" s="22" t="s">
        <v>197</v>
      </c>
      <c r="AH119" s="22" t="s">
        <v>197</v>
      </c>
      <c r="AI119" s="22" t="s">
        <v>197</v>
      </c>
      <c r="AJ119" s="22" t="s">
        <v>197</v>
      </c>
      <c r="AK119" s="22" t="s">
        <v>197</v>
      </c>
      <c r="AL119" s="22" t="s">
        <v>197</v>
      </c>
      <c r="AM119" s="22" t="s">
        <v>197</v>
      </c>
      <c r="AN119" s="7" t="s">
        <v>2802</v>
      </c>
      <c r="AO119" s="22" t="s">
        <v>197</v>
      </c>
      <c r="AP119" s="22" t="s">
        <v>197</v>
      </c>
      <c r="AQ119" s="22" t="s">
        <v>197</v>
      </c>
    </row>
    <row r="120" customFormat="false" ht="21.75" hidden="false" customHeight="true" outlineLevel="0" collapsed="false">
      <c r="B120" s="15" t="n">
        <v>116</v>
      </c>
      <c r="C120" s="9" t="s">
        <v>58</v>
      </c>
      <c r="D120" s="9" t="s">
        <v>20</v>
      </c>
      <c r="E120" s="9" t="s">
        <v>118</v>
      </c>
      <c r="F120" s="9" t="s">
        <v>108</v>
      </c>
      <c r="G120" s="9" t="s">
        <v>2812</v>
      </c>
      <c r="H120" s="9" t="s">
        <v>2661</v>
      </c>
      <c r="I120" s="9" t="s">
        <v>2813</v>
      </c>
      <c r="J120" s="9" t="s">
        <v>2814</v>
      </c>
      <c r="K120" s="9" t="s">
        <v>2711</v>
      </c>
      <c r="L120" s="9" t="s">
        <v>2680</v>
      </c>
      <c r="M120" s="9" t="s">
        <v>2514</v>
      </c>
      <c r="N120" s="9" t="s">
        <v>189</v>
      </c>
      <c r="O120" s="9" t="s">
        <v>189</v>
      </c>
      <c r="P120" s="9" t="s">
        <v>640</v>
      </c>
      <c r="Q120" s="9" t="s">
        <v>2815</v>
      </c>
      <c r="R120" s="9" t="s">
        <v>506</v>
      </c>
      <c r="S120" s="9" t="s">
        <v>2685</v>
      </c>
      <c r="T120" s="9" t="s">
        <v>2816</v>
      </c>
      <c r="U120" s="19" t="n">
        <v>9</v>
      </c>
      <c r="V120" s="9"/>
      <c r="W120" s="9"/>
      <c r="X120" s="9" t="s">
        <v>195</v>
      </c>
      <c r="Y120" s="23" t="n">
        <v>0.00023592</v>
      </c>
      <c r="Z120" s="23" t="n">
        <v>0.001</v>
      </c>
      <c r="AA120" s="23" t="n">
        <v>24</v>
      </c>
      <c r="AB120" s="9" t="s">
        <v>2680</v>
      </c>
      <c r="AC120" s="9" t="s">
        <v>2817</v>
      </c>
      <c r="AD120" s="23" t="s">
        <v>197</v>
      </c>
      <c r="AE120" s="23" t="s">
        <v>197</v>
      </c>
      <c r="AF120" s="23" t="s">
        <v>197</v>
      </c>
      <c r="AG120" s="23" t="s">
        <v>197</v>
      </c>
      <c r="AH120" s="23" t="s">
        <v>197</v>
      </c>
      <c r="AI120" s="23" t="s">
        <v>197</v>
      </c>
      <c r="AJ120" s="23" t="s">
        <v>197</v>
      </c>
      <c r="AK120" s="23" t="s">
        <v>197</v>
      </c>
      <c r="AL120" s="23" t="s">
        <v>197</v>
      </c>
      <c r="AM120" s="23" t="s">
        <v>197</v>
      </c>
      <c r="AN120" s="9" t="s">
        <v>197</v>
      </c>
      <c r="AO120" s="23" t="s">
        <v>197</v>
      </c>
      <c r="AP120" s="23" t="s">
        <v>197</v>
      </c>
      <c r="AQ120" s="23" t="s">
        <v>197</v>
      </c>
    </row>
    <row r="121" customFormat="false" ht="21.75" hidden="false" customHeight="true" outlineLevel="0" collapsed="false">
      <c r="B121" s="14" t="n">
        <v>117</v>
      </c>
      <c r="C121" s="7" t="s">
        <v>58</v>
      </c>
      <c r="D121" s="7" t="s">
        <v>20</v>
      </c>
      <c r="E121" s="7" t="s">
        <v>118</v>
      </c>
      <c r="F121" s="7" t="s">
        <v>108</v>
      </c>
      <c r="G121" s="7" t="s">
        <v>2818</v>
      </c>
      <c r="H121" s="7" t="s">
        <v>2667</v>
      </c>
      <c r="I121" s="7" t="s">
        <v>2813</v>
      </c>
      <c r="J121" s="7" t="s">
        <v>2814</v>
      </c>
      <c r="K121" s="7" t="s">
        <v>2711</v>
      </c>
      <c r="L121" s="7" t="s">
        <v>2680</v>
      </c>
      <c r="M121" s="7" t="s">
        <v>2514</v>
      </c>
      <c r="N121" s="7" t="s">
        <v>189</v>
      </c>
      <c r="O121" s="7" t="s">
        <v>189</v>
      </c>
      <c r="P121" s="7" t="s">
        <v>640</v>
      </c>
      <c r="Q121" s="7" t="s">
        <v>2815</v>
      </c>
      <c r="R121" s="7" t="s">
        <v>506</v>
      </c>
      <c r="S121" s="7" t="s">
        <v>2685</v>
      </c>
      <c r="T121" s="7" t="s">
        <v>2816</v>
      </c>
      <c r="U121" s="18" t="n">
        <v>14</v>
      </c>
      <c r="V121" s="7"/>
      <c r="W121" s="7"/>
      <c r="X121" s="7" t="s">
        <v>199</v>
      </c>
      <c r="Y121" s="22" t="n">
        <v>0.000338</v>
      </c>
      <c r="Z121" s="22" t="n">
        <v>0.002</v>
      </c>
      <c r="AA121" s="22" t="n">
        <v>24</v>
      </c>
      <c r="AB121" s="7" t="s">
        <v>2680</v>
      </c>
      <c r="AC121" s="7" t="s">
        <v>2817</v>
      </c>
      <c r="AD121" s="22" t="s">
        <v>197</v>
      </c>
      <c r="AE121" s="22" t="s">
        <v>197</v>
      </c>
      <c r="AF121" s="22" t="s">
        <v>197</v>
      </c>
      <c r="AG121" s="22" t="s">
        <v>197</v>
      </c>
      <c r="AH121" s="22" t="s">
        <v>197</v>
      </c>
      <c r="AI121" s="22" t="s">
        <v>197</v>
      </c>
      <c r="AJ121" s="22" t="s">
        <v>197</v>
      </c>
      <c r="AK121" s="22" t="s">
        <v>197</v>
      </c>
      <c r="AL121" s="22" t="s">
        <v>197</v>
      </c>
      <c r="AM121" s="22" t="s">
        <v>197</v>
      </c>
      <c r="AN121" s="7" t="s">
        <v>197</v>
      </c>
      <c r="AO121" s="22" t="s">
        <v>197</v>
      </c>
      <c r="AP121" s="22" t="s">
        <v>197</v>
      </c>
      <c r="AQ121" s="22" t="s">
        <v>197</v>
      </c>
    </row>
    <row r="122" customFormat="false" ht="21.75" hidden="false" customHeight="true" outlineLevel="0" collapsed="false">
      <c r="B122" s="15" t="n">
        <v>118</v>
      </c>
      <c r="C122" s="9" t="s">
        <v>58</v>
      </c>
      <c r="D122" s="9" t="s">
        <v>20</v>
      </c>
      <c r="E122" s="9" t="s">
        <v>118</v>
      </c>
      <c r="F122" s="9" t="s">
        <v>108</v>
      </c>
      <c r="G122" s="9" t="s">
        <v>2819</v>
      </c>
      <c r="H122" s="9" t="s">
        <v>2669</v>
      </c>
      <c r="I122" s="9" t="s">
        <v>2813</v>
      </c>
      <c r="J122" s="9" t="s">
        <v>2814</v>
      </c>
      <c r="K122" s="9" t="s">
        <v>2711</v>
      </c>
      <c r="L122" s="9" t="s">
        <v>2680</v>
      </c>
      <c r="M122" s="9" t="s">
        <v>2514</v>
      </c>
      <c r="N122" s="9" t="s">
        <v>189</v>
      </c>
      <c r="O122" s="9" t="s">
        <v>189</v>
      </c>
      <c r="P122" s="9" t="s">
        <v>640</v>
      </c>
      <c r="Q122" s="9" t="s">
        <v>2815</v>
      </c>
      <c r="R122" s="9" t="s">
        <v>506</v>
      </c>
      <c r="S122" s="9" t="s">
        <v>2685</v>
      </c>
      <c r="T122" s="9" t="s">
        <v>2816</v>
      </c>
      <c r="U122" s="19" t="n">
        <v>18</v>
      </c>
      <c r="V122" s="9"/>
      <c r="W122" s="9"/>
      <c r="X122" s="9" t="s">
        <v>2820</v>
      </c>
      <c r="Y122" s="23" t="n">
        <v>0.00040992</v>
      </c>
      <c r="Z122" s="23" t="n">
        <v>0.002</v>
      </c>
      <c r="AA122" s="23" t="n">
        <v>24</v>
      </c>
      <c r="AB122" s="9" t="s">
        <v>2680</v>
      </c>
      <c r="AC122" s="9" t="s">
        <v>2817</v>
      </c>
      <c r="AD122" s="23" t="s">
        <v>197</v>
      </c>
      <c r="AE122" s="23" t="s">
        <v>197</v>
      </c>
      <c r="AF122" s="23" t="s">
        <v>197</v>
      </c>
      <c r="AG122" s="23" t="s">
        <v>197</v>
      </c>
      <c r="AH122" s="23" t="s">
        <v>197</v>
      </c>
      <c r="AI122" s="23" t="s">
        <v>197</v>
      </c>
      <c r="AJ122" s="23" t="s">
        <v>197</v>
      </c>
      <c r="AK122" s="23" t="s">
        <v>197</v>
      </c>
      <c r="AL122" s="23" t="s">
        <v>197</v>
      </c>
      <c r="AM122" s="23" t="s">
        <v>197</v>
      </c>
      <c r="AN122" s="9" t="s">
        <v>197</v>
      </c>
      <c r="AO122" s="23" t="s">
        <v>197</v>
      </c>
      <c r="AP122" s="23" t="s">
        <v>197</v>
      </c>
      <c r="AQ122" s="23" t="s">
        <v>197</v>
      </c>
    </row>
    <row r="123" customFormat="false" ht="21.75" hidden="false" customHeight="true" outlineLevel="0" collapsed="false">
      <c r="B123" s="14" t="n">
        <v>119</v>
      </c>
      <c r="C123" s="7" t="s">
        <v>58</v>
      </c>
      <c r="D123" s="7" t="s">
        <v>20</v>
      </c>
      <c r="E123" s="7" t="s">
        <v>118</v>
      </c>
      <c r="F123" s="7" t="s">
        <v>108</v>
      </c>
      <c r="G123" s="7" t="s">
        <v>2821</v>
      </c>
      <c r="H123" s="7" t="s">
        <v>2672</v>
      </c>
      <c r="I123" s="7" t="s">
        <v>2813</v>
      </c>
      <c r="J123" s="7" t="s">
        <v>2814</v>
      </c>
      <c r="K123" s="7" t="s">
        <v>2711</v>
      </c>
      <c r="L123" s="7" t="s">
        <v>2680</v>
      </c>
      <c r="M123" s="7" t="s">
        <v>2514</v>
      </c>
      <c r="N123" s="7" t="s">
        <v>189</v>
      </c>
      <c r="O123" s="7" t="s">
        <v>189</v>
      </c>
      <c r="P123" s="7" t="s">
        <v>640</v>
      </c>
      <c r="Q123" s="7" t="s">
        <v>2815</v>
      </c>
      <c r="R123" s="7" t="s">
        <v>506</v>
      </c>
      <c r="S123" s="7" t="s">
        <v>2685</v>
      </c>
      <c r="T123" s="7" t="s">
        <v>2816</v>
      </c>
      <c r="U123" s="18" t="n">
        <v>25</v>
      </c>
      <c r="V123" s="7"/>
      <c r="W123" s="7"/>
      <c r="X123" s="7" t="s">
        <v>203</v>
      </c>
      <c r="Y123" s="22" t="n">
        <v>0.000257</v>
      </c>
      <c r="Z123" s="22" t="n">
        <v>0.001</v>
      </c>
      <c r="AA123" s="22" t="n">
        <v>24</v>
      </c>
      <c r="AB123" s="7" t="s">
        <v>2680</v>
      </c>
      <c r="AC123" s="7" t="s">
        <v>2817</v>
      </c>
      <c r="AD123" s="22" t="s">
        <v>197</v>
      </c>
      <c r="AE123" s="22" t="s">
        <v>197</v>
      </c>
      <c r="AF123" s="22" t="s">
        <v>197</v>
      </c>
      <c r="AG123" s="22" t="s">
        <v>197</v>
      </c>
      <c r="AH123" s="22" t="s">
        <v>197</v>
      </c>
      <c r="AI123" s="22" t="s">
        <v>197</v>
      </c>
      <c r="AJ123" s="22" t="s">
        <v>197</v>
      </c>
      <c r="AK123" s="22" t="s">
        <v>197</v>
      </c>
      <c r="AL123" s="22" t="s">
        <v>197</v>
      </c>
      <c r="AM123" s="22" t="s">
        <v>197</v>
      </c>
      <c r="AN123" s="7" t="s">
        <v>197</v>
      </c>
      <c r="AO123" s="22" t="s">
        <v>197</v>
      </c>
      <c r="AP123" s="22" t="s">
        <v>197</v>
      </c>
      <c r="AQ123" s="22" t="s">
        <v>197</v>
      </c>
    </row>
    <row r="124" customFormat="false" ht="21.75" hidden="false" customHeight="true" outlineLevel="0" collapsed="false">
      <c r="B124" s="15" t="n">
        <v>120</v>
      </c>
      <c r="C124" s="9" t="s">
        <v>58</v>
      </c>
      <c r="D124" s="9" t="s">
        <v>20</v>
      </c>
      <c r="E124" s="9" t="s">
        <v>118</v>
      </c>
      <c r="F124" s="9" t="s">
        <v>108</v>
      </c>
      <c r="G124" s="9" t="s">
        <v>2822</v>
      </c>
      <c r="H124" s="9" t="s">
        <v>2674</v>
      </c>
      <c r="I124" s="9" t="s">
        <v>2813</v>
      </c>
      <c r="J124" s="9" t="s">
        <v>2814</v>
      </c>
      <c r="K124" s="9" t="s">
        <v>2711</v>
      </c>
      <c r="L124" s="9" t="s">
        <v>2680</v>
      </c>
      <c r="M124" s="9" t="s">
        <v>2514</v>
      </c>
      <c r="N124" s="9" t="s">
        <v>189</v>
      </c>
      <c r="O124" s="9" t="s">
        <v>189</v>
      </c>
      <c r="P124" s="9" t="s">
        <v>640</v>
      </c>
      <c r="Q124" s="9" t="s">
        <v>2815</v>
      </c>
      <c r="R124" s="9" t="s">
        <v>506</v>
      </c>
      <c r="S124" s="9" t="s">
        <v>2685</v>
      </c>
      <c r="T124" s="9" t="s">
        <v>2816</v>
      </c>
      <c r="U124" s="19" t="n">
        <v>35</v>
      </c>
      <c r="V124" s="9"/>
      <c r="W124" s="9"/>
      <c r="X124" s="9" t="s">
        <v>205</v>
      </c>
      <c r="Y124" s="23" t="n">
        <v>0.00043776</v>
      </c>
      <c r="Z124" s="23" t="n">
        <v>0.002</v>
      </c>
      <c r="AA124" s="23" t="n">
        <v>24</v>
      </c>
      <c r="AB124" s="9" t="s">
        <v>2680</v>
      </c>
      <c r="AC124" s="9" t="s">
        <v>2817</v>
      </c>
      <c r="AD124" s="23" t="s">
        <v>197</v>
      </c>
      <c r="AE124" s="23" t="s">
        <v>197</v>
      </c>
      <c r="AF124" s="23" t="s">
        <v>197</v>
      </c>
      <c r="AG124" s="23" t="s">
        <v>197</v>
      </c>
      <c r="AH124" s="23" t="s">
        <v>197</v>
      </c>
      <c r="AI124" s="23" t="s">
        <v>197</v>
      </c>
      <c r="AJ124" s="23" t="s">
        <v>197</v>
      </c>
      <c r="AK124" s="23" t="s">
        <v>197</v>
      </c>
      <c r="AL124" s="23" t="s">
        <v>197</v>
      </c>
      <c r="AM124" s="23" t="s">
        <v>197</v>
      </c>
      <c r="AN124" s="9" t="s">
        <v>197</v>
      </c>
      <c r="AO124" s="23" t="s">
        <v>197</v>
      </c>
      <c r="AP124" s="23" t="s">
        <v>197</v>
      </c>
      <c r="AQ124" s="23" t="s">
        <v>197</v>
      </c>
    </row>
    <row r="125" customFormat="false" ht="21.75" hidden="false" customHeight="true" outlineLevel="0" collapsed="false">
      <c r="B125" s="14" t="n">
        <v>121</v>
      </c>
      <c r="C125" s="7" t="s">
        <v>79</v>
      </c>
      <c r="D125" s="7" t="s">
        <v>20</v>
      </c>
      <c r="E125" s="7" t="s">
        <v>118</v>
      </c>
      <c r="F125" s="7" t="s">
        <v>93</v>
      </c>
      <c r="G125" s="7" t="s">
        <v>2823</v>
      </c>
      <c r="H125" s="7" t="s">
        <v>2824</v>
      </c>
      <c r="I125" s="7" t="s">
        <v>2825</v>
      </c>
      <c r="J125" s="7" t="s">
        <v>2826</v>
      </c>
      <c r="K125" s="7" t="s">
        <v>2827</v>
      </c>
      <c r="L125" s="7" t="s">
        <v>2828</v>
      </c>
      <c r="M125" s="7" t="s">
        <v>2495</v>
      </c>
      <c r="N125" s="7" t="s">
        <v>2829</v>
      </c>
      <c r="O125" s="7" t="s">
        <v>189</v>
      </c>
      <c r="P125" s="7" t="s">
        <v>190</v>
      </c>
      <c r="Q125" s="7" t="s">
        <v>2830</v>
      </c>
      <c r="R125" s="7" t="s">
        <v>2831</v>
      </c>
      <c r="S125" s="7" t="s">
        <v>2832</v>
      </c>
      <c r="T125" s="7" t="s">
        <v>2500</v>
      </c>
      <c r="U125" s="18" t="n">
        <v>725</v>
      </c>
      <c r="V125" s="7"/>
      <c r="W125" s="7"/>
      <c r="X125" s="7" t="s">
        <v>195</v>
      </c>
      <c r="Y125" s="22" t="n">
        <v>0.55</v>
      </c>
      <c r="Z125" s="22" t="n">
        <v>2.728</v>
      </c>
      <c r="AA125" s="22" t="n">
        <v>24</v>
      </c>
      <c r="AB125" s="7" t="s">
        <v>2828</v>
      </c>
      <c r="AC125" s="7" t="s">
        <v>2833</v>
      </c>
      <c r="AD125" s="22" t="n">
        <v>0.55</v>
      </c>
      <c r="AE125" s="22" t="n">
        <v>2.728</v>
      </c>
      <c r="AF125" s="22" t="n">
        <v>6</v>
      </c>
      <c r="AG125" s="22" t="s">
        <v>197</v>
      </c>
      <c r="AH125" s="22" t="n">
        <v>2</v>
      </c>
      <c r="AI125" s="22" t="n">
        <v>508</v>
      </c>
      <c r="AJ125" s="22" t="s">
        <v>197</v>
      </c>
      <c r="AK125" s="22" t="s">
        <v>197</v>
      </c>
      <c r="AL125" s="22" t="s">
        <v>197</v>
      </c>
      <c r="AM125" s="22" t="s">
        <v>197</v>
      </c>
      <c r="AN125" s="7" t="s">
        <v>197</v>
      </c>
      <c r="AO125" s="22" t="s">
        <v>197</v>
      </c>
      <c r="AP125" s="22" t="s">
        <v>197</v>
      </c>
      <c r="AQ125" s="22" t="s">
        <v>197</v>
      </c>
    </row>
    <row r="126" customFormat="false" ht="21.75" hidden="false" customHeight="true" outlineLevel="0" collapsed="false">
      <c r="B126" s="15" t="n">
        <v>122</v>
      </c>
      <c r="C126" s="9" t="s">
        <v>79</v>
      </c>
      <c r="D126" s="9" t="s">
        <v>20</v>
      </c>
      <c r="E126" s="9" t="s">
        <v>118</v>
      </c>
      <c r="F126" s="9" t="s">
        <v>93</v>
      </c>
      <c r="G126" s="9" t="s">
        <v>2834</v>
      </c>
      <c r="H126" s="9" t="s">
        <v>2824</v>
      </c>
      <c r="I126" s="9" t="s">
        <v>2825</v>
      </c>
      <c r="J126" s="9" t="s">
        <v>2826</v>
      </c>
      <c r="K126" s="9" t="s">
        <v>2827</v>
      </c>
      <c r="L126" s="9" t="s">
        <v>2828</v>
      </c>
      <c r="M126" s="9" t="s">
        <v>2495</v>
      </c>
      <c r="N126" s="9" t="s">
        <v>2829</v>
      </c>
      <c r="O126" s="9" t="s">
        <v>189</v>
      </c>
      <c r="P126" s="9" t="s">
        <v>190</v>
      </c>
      <c r="Q126" s="9" t="s">
        <v>2830</v>
      </c>
      <c r="R126" s="9" t="s">
        <v>2831</v>
      </c>
      <c r="S126" s="9" t="s">
        <v>2832</v>
      </c>
      <c r="T126" s="9" t="s">
        <v>2500</v>
      </c>
      <c r="U126" s="19" t="n">
        <v>1085</v>
      </c>
      <c r="V126" s="9"/>
      <c r="W126" s="9"/>
      <c r="X126" s="9" t="s">
        <v>199</v>
      </c>
      <c r="Y126" s="23" t="n">
        <v>0.55</v>
      </c>
      <c r="Z126" s="23" t="n">
        <v>1.552</v>
      </c>
      <c r="AA126" s="23" t="n">
        <v>24</v>
      </c>
      <c r="AB126" s="9" t="s">
        <v>2828</v>
      </c>
      <c r="AC126" s="9" t="s">
        <v>2833</v>
      </c>
      <c r="AD126" s="23" t="n">
        <v>0.55</v>
      </c>
      <c r="AE126" s="23" t="n">
        <v>1.552</v>
      </c>
      <c r="AF126" s="23" t="n">
        <v>6</v>
      </c>
      <c r="AG126" s="23" t="s">
        <v>197</v>
      </c>
      <c r="AH126" s="23" t="n">
        <v>2</v>
      </c>
      <c r="AI126" s="23" t="n">
        <v>508</v>
      </c>
      <c r="AJ126" s="23" t="s">
        <v>197</v>
      </c>
      <c r="AK126" s="23" t="s">
        <v>197</v>
      </c>
      <c r="AL126" s="23" t="s">
        <v>197</v>
      </c>
      <c r="AM126" s="23" t="s">
        <v>197</v>
      </c>
      <c r="AN126" s="9" t="s">
        <v>197</v>
      </c>
      <c r="AO126" s="23" t="s">
        <v>197</v>
      </c>
      <c r="AP126" s="23" t="s">
        <v>197</v>
      </c>
      <c r="AQ126" s="23" t="s">
        <v>197</v>
      </c>
    </row>
    <row r="127" customFormat="false" ht="21.75" hidden="false" customHeight="true" outlineLevel="0" collapsed="false">
      <c r="B127" s="14" t="n">
        <v>123</v>
      </c>
      <c r="C127" s="7" t="s">
        <v>79</v>
      </c>
      <c r="D127" s="7" t="s">
        <v>20</v>
      </c>
      <c r="E127" s="7" t="s">
        <v>118</v>
      </c>
      <c r="F127" s="7" t="s">
        <v>93</v>
      </c>
      <c r="G127" s="7" t="s">
        <v>2835</v>
      </c>
      <c r="H127" s="7" t="s">
        <v>2824</v>
      </c>
      <c r="I127" s="7" t="s">
        <v>2825</v>
      </c>
      <c r="J127" s="7" t="s">
        <v>2826</v>
      </c>
      <c r="K127" s="7" t="s">
        <v>2827</v>
      </c>
      <c r="L127" s="7" t="s">
        <v>2828</v>
      </c>
      <c r="M127" s="7" t="s">
        <v>2495</v>
      </c>
      <c r="N127" s="7" t="s">
        <v>2829</v>
      </c>
      <c r="O127" s="7" t="s">
        <v>189</v>
      </c>
      <c r="P127" s="7" t="s">
        <v>190</v>
      </c>
      <c r="Q127" s="7" t="s">
        <v>2830</v>
      </c>
      <c r="R127" s="7" t="s">
        <v>2831</v>
      </c>
      <c r="S127" s="7" t="s">
        <v>2832</v>
      </c>
      <c r="T127" s="7" t="s">
        <v>2500</v>
      </c>
      <c r="U127" s="18" t="n">
        <v>1450</v>
      </c>
      <c r="V127" s="7"/>
      <c r="W127" s="7"/>
      <c r="X127" s="7" t="s">
        <v>2836</v>
      </c>
      <c r="Y127" s="22" t="n">
        <v>0.55</v>
      </c>
      <c r="Z127" s="22" t="n">
        <v>1.387</v>
      </c>
      <c r="AA127" s="22" t="n">
        <v>24</v>
      </c>
      <c r="AB127" s="7" t="s">
        <v>2828</v>
      </c>
      <c r="AC127" s="7" t="s">
        <v>2833</v>
      </c>
      <c r="AD127" s="22" t="n">
        <v>0.55</v>
      </c>
      <c r="AE127" s="22" t="n">
        <v>1.387</v>
      </c>
      <c r="AF127" s="22" t="n">
        <v>6</v>
      </c>
      <c r="AG127" s="22" t="s">
        <v>197</v>
      </c>
      <c r="AH127" s="22" t="n">
        <v>2</v>
      </c>
      <c r="AI127" s="22" t="n">
        <v>508</v>
      </c>
      <c r="AJ127" s="22" t="s">
        <v>197</v>
      </c>
      <c r="AK127" s="22" t="s">
        <v>197</v>
      </c>
      <c r="AL127" s="22" t="s">
        <v>197</v>
      </c>
      <c r="AM127" s="22" t="s">
        <v>197</v>
      </c>
      <c r="AN127" s="7" t="s">
        <v>197</v>
      </c>
      <c r="AO127" s="22" t="s">
        <v>197</v>
      </c>
      <c r="AP127" s="22" t="s">
        <v>197</v>
      </c>
      <c r="AQ127" s="22" t="s">
        <v>197</v>
      </c>
    </row>
    <row r="128" customFormat="false" ht="21.75" hidden="false" customHeight="true" outlineLevel="0" collapsed="false">
      <c r="B128" s="15" t="n">
        <v>124</v>
      </c>
      <c r="C128" s="9" t="s">
        <v>79</v>
      </c>
      <c r="D128" s="9" t="s">
        <v>20</v>
      </c>
      <c r="E128" s="9" t="s">
        <v>118</v>
      </c>
      <c r="F128" s="9" t="s">
        <v>93</v>
      </c>
      <c r="G128" s="9" t="s">
        <v>2837</v>
      </c>
      <c r="H128" s="9" t="s">
        <v>2824</v>
      </c>
      <c r="I128" s="9" t="s">
        <v>2825</v>
      </c>
      <c r="J128" s="9" t="s">
        <v>2826</v>
      </c>
      <c r="K128" s="9" t="s">
        <v>2827</v>
      </c>
      <c r="L128" s="9" t="s">
        <v>2828</v>
      </c>
      <c r="M128" s="9" t="s">
        <v>2495</v>
      </c>
      <c r="N128" s="9" t="s">
        <v>2829</v>
      </c>
      <c r="O128" s="9" t="s">
        <v>189</v>
      </c>
      <c r="P128" s="9" t="s">
        <v>190</v>
      </c>
      <c r="Q128" s="9" t="s">
        <v>2830</v>
      </c>
      <c r="R128" s="9" t="s">
        <v>2831</v>
      </c>
      <c r="S128" s="9" t="s">
        <v>2832</v>
      </c>
      <c r="T128" s="9" t="s">
        <v>2500</v>
      </c>
      <c r="U128" s="19" t="n">
        <v>2175</v>
      </c>
      <c r="V128" s="9"/>
      <c r="W128" s="9"/>
      <c r="X128" s="9" t="s">
        <v>203</v>
      </c>
      <c r="Y128" s="23" t="n">
        <v>0.55</v>
      </c>
      <c r="Z128" s="23" t="n">
        <v>2.526</v>
      </c>
      <c r="AA128" s="23" t="n">
        <v>24</v>
      </c>
      <c r="AB128" s="9" t="s">
        <v>2828</v>
      </c>
      <c r="AC128" s="9" t="s">
        <v>2833</v>
      </c>
      <c r="AD128" s="23" t="n">
        <v>0.55</v>
      </c>
      <c r="AE128" s="23" t="n">
        <v>2.526</v>
      </c>
      <c r="AF128" s="23" t="n">
        <v>6</v>
      </c>
      <c r="AG128" s="23" t="s">
        <v>197</v>
      </c>
      <c r="AH128" s="23" t="n">
        <v>2</v>
      </c>
      <c r="AI128" s="23" t="n">
        <v>508</v>
      </c>
      <c r="AJ128" s="23" t="s">
        <v>197</v>
      </c>
      <c r="AK128" s="23" t="s">
        <v>197</v>
      </c>
      <c r="AL128" s="23" t="s">
        <v>197</v>
      </c>
      <c r="AM128" s="23" t="s">
        <v>197</v>
      </c>
      <c r="AN128" s="9" t="s">
        <v>197</v>
      </c>
      <c r="AO128" s="23" t="s">
        <v>197</v>
      </c>
      <c r="AP128" s="23" t="s">
        <v>197</v>
      </c>
      <c r="AQ128" s="23" t="s">
        <v>197</v>
      </c>
    </row>
    <row r="129" customFormat="false" ht="21.75" hidden="false" customHeight="true" outlineLevel="0" collapsed="false">
      <c r="B129" s="14" t="n">
        <v>125</v>
      </c>
      <c r="C129" s="7" t="s">
        <v>79</v>
      </c>
      <c r="D129" s="7" t="s">
        <v>20</v>
      </c>
      <c r="E129" s="7" t="s">
        <v>118</v>
      </c>
      <c r="F129" s="7" t="s">
        <v>93</v>
      </c>
      <c r="G129" s="7" t="s">
        <v>2838</v>
      </c>
      <c r="H129" s="7" t="s">
        <v>2824</v>
      </c>
      <c r="I129" s="7" t="s">
        <v>2825</v>
      </c>
      <c r="J129" s="7" t="s">
        <v>2826</v>
      </c>
      <c r="K129" s="7" t="s">
        <v>2827</v>
      </c>
      <c r="L129" s="7" t="s">
        <v>2828</v>
      </c>
      <c r="M129" s="7" t="s">
        <v>2495</v>
      </c>
      <c r="N129" s="7" t="s">
        <v>2829</v>
      </c>
      <c r="O129" s="7" t="s">
        <v>189</v>
      </c>
      <c r="P129" s="7" t="s">
        <v>190</v>
      </c>
      <c r="Q129" s="7" t="s">
        <v>2830</v>
      </c>
      <c r="R129" s="7" t="s">
        <v>2831</v>
      </c>
      <c r="S129" s="7" t="s">
        <v>2832</v>
      </c>
      <c r="T129" s="7" t="s">
        <v>2500</v>
      </c>
      <c r="U129" s="18" t="n">
        <v>3190</v>
      </c>
      <c r="V129" s="7"/>
      <c r="W129" s="7"/>
      <c r="X129" s="7" t="s">
        <v>205</v>
      </c>
      <c r="Y129" s="22" t="n">
        <v>0.55</v>
      </c>
      <c r="Z129" s="22" t="n">
        <v>1.796</v>
      </c>
      <c r="AA129" s="22" t="n">
        <v>24</v>
      </c>
      <c r="AB129" s="7" t="s">
        <v>2828</v>
      </c>
      <c r="AC129" s="7" t="s">
        <v>2833</v>
      </c>
      <c r="AD129" s="22" t="n">
        <v>0.55</v>
      </c>
      <c r="AE129" s="22" t="n">
        <v>1.796</v>
      </c>
      <c r="AF129" s="22" t="n">
        <v>6</v>
      </c>
      <c r="AG129" s="22" t="s">
        <v>197</v>
      </c>
      <c r="AH129" s="22" t="n">
        <v>2</v>
      </c>
      <c r="AI129" s="22" t="n">
        <v>508</v>
      </c>
      <c r="AJ129" s="22" t="s">
        <v>197</v>
      </c>
      <c r="AK129" s="22" t="s">
        <v>197</v>
      </c>
      <c r="AL129" s="22" t="s">
        <v>197</v>
      </c>
      <c r="AM129" s="22" t="s">
        <v>197</v>
      </c>
      <c r="AN129" s="7" t="s">
        <v>197</v>
      </c>
      <c r="AO129" s="22" t="s">
        <v>197</v>
      </c>
      <c r="AP129" s="22" t="s">
        <v>197</v>
      </c>
      <c r="AQ129" s="22" t="s">
        <v>197</v>
      </c>
    </row>
    <row r="130" customFormat="false" ht="21.75" hidden="false" customHeight="true" outlineLevel="0" collapsed="false">
      <c r="B130" s="15" t="n">
        <v>126</v>
      </c>
      <c r="C130" s="9" t="s">
        <v>79</v>
      </c>
      <c r="D130" s="9" t="s">
        <v>20</v>
      </c>
      <c r="E130" s="9" t="s">
        <v>118</v>
      </c>
      <c r="F130" s="9" t="s">
        <v>94</v>
      </c>
      <c r="G130" s="9" t="s">
        <v>2837</v>
      </c>
      <c r="H130" s="9" t="s">
        <v>2839</v>
      </c>
      <c r="I130" s="9" t="s">
        <v>2840</v>
      </c>
      <c r="J130" s="9" t="s">
        <v>2841</v>
      </c>
      <c r="K130" s="9" t="s">
        <v>189</v>
      </c>
      <c r="L130" s="9" t="s">
        <v>2828</v>
      </c>
      <c r="M130" s="9" t="s">
        <v>2842</v>
      </c>
      <c r="N130" s="9" t="s">
        <v>2843</v>
      </c>
      <c r="O130" s="9" t="s">
        <v>189</v>
      </c>
      <c r="P130" s="9" t="s">
        <v>190</v>
      </c>
      <c r="Q130" s="9" t="s">
        <v>2844</v>
      </c>
      <c r="R130" s="9" t="s">
        <v>2845</v>
      </c>
      <c r="S130" s="9" t="s">
        <v>2832</v>
      </c>
      <c r="T130" s="9" t="s">
        <v>2846</v>
      </c>
      <c r="U130" s="19" t="n">
        <v>290</v>
      </c>
      <c r="V130" s="9"/>
      <c r="W130" s="9"/>
      <c r="X130" s="9" t="s">
        <v>195</v>
      </c>
      <c r="Y130" s="23" t="n">
        <v>0.3</v>
      </c>
      <c r="Z130" s="23" t="n">
        <v>2.526</v>
      </c>
      <c r="AA130" s="23" t="n">
        <v>24</v>
      </c>
      <c r="AB130" s="9" t="s">
        <v>2828</v>
      </c>
      <c r="AC130" s="9" t="s">
        <v>2833</v>
      </c>
      <c r="AD130" s="23" t="n">
        <v>0.3</v>
      </c>
      <c r="AE130" s="23" t="n">
        <v>2.526</v>
      </c>
      <c r="AF130" s="23" t="n">
        <v>2.5</v>
      </c>
      <c r="AG130" s="23" t="n">
        <v>2</v>
      </c>
      <c r="AH130" s="23" t="s">
        <v>197</v>
      </c>
      <c r="AI130" s="23" t="s">
        <v>197</v>
      </c>
      <c r="AJ130" s="23" t="s">
        <v>197</v>
      </c>
      <c r="AK130" s="23" t="s">
        <v>197</v>
      </c>
      <c r="AL130" s="23" t="s">
        <v>197</v>
      </c>
      <c r="AM130" s="23" t="s">
        <v>197</v>
      </c>
      <c r="AN130" s="9" t="s">
        <v>197</v>
      </c>
      <c r="AO130" s="23" t="s">
        <v>197</v>
      </c>
      <c r="AP130" s="23" t="s">
        <v>197</v>
      </c>
      <c r="AQ130" s="23" t="s">
        <v>197</v>
      </c>
    </row>
    <row r="131" customFormat="false" ht="21.75" hidden="false" customHeight="true" outlineLevel="0" collapsed="false">
      <c r="B131" s="14" t="n">
        <v>127</v>
      </c>
      <c r="C131" s="7" t="s">
        <v>79</v>
      </c>
      <c r="D131" s="7" t="s">
        <v>20</v>
      </c>
      <c r="E131" s="7" t="s">
        <v>118</v>
      </c>
      <c r="F131" s="7" t="s">
        <v>94</v>
      </c>
      <c r="G131" s="7" t="s">
        <v>2847</v>
      </c>
      <c r="H131" s="7" t="s">
        <v>2839</v>
      </c>
      <c r="I131" s="7" t="s">
        <v>2840</v>
      </c>
      <c r="J131" s="7" t="s">
        <v>2841</v>
      </c>
      <c r="K131" s="7" t="s">
        <v>189</v>
      </c>
      <c r="L131" s="7" t="s">
        <v>2828</v>
      </c>
      <c r="M131" s="7" t="s">
        <v>2842</v>
      </c>
      <c r="N131" s="7" t="s">
        <v>2843</v>
      </c>
      <c r="O131" s="7" t="s">
        <v>189</v>
      </c>
      <c r="P131" s="7" t="s">
        <v>190</v>
      </c>
      <c r="Q131" s="7" t="s">
        <v>2844</v>
      </c>
      <c r="R131" s="7" t="s">
        <v>2845</v>
      </c>
      <c r="S131" s="7" t="s">
        <v>2832</v>
      </c>
      <c r="T131" s="7" t="s">
        <v>2846</v>
      </c>
      <c r="U131" s="18" t="n">
        <v>435</v>
      </c>
      <c r="V131" s="7"/>
      <c r="W131" s="7"/>
      <c r="X131" s="7" t="s">
        <v>199</v>
      </c>
      <c r="Y131" s="22" t="n">
        <v>0.3</v>
      </c>
      <c r="Z131" s="22" t="n">
        <v>1.74</v>
      </c>
      <c r="AA131" s="22" t="n">
        <v>24</v>
      </c>
      <c r="AB131" s="7" t="s">
        <v>2828</v>
      </c>
      <c r="AC131" s="7" t="s">
        <v>2833</v>
      </c>
      <c r="AD131" s="22" t="n">
        <v>0.3</v>
      </c>
      <c r="AE131" s="22" t="n">
        <v>1.74</v>
      </c>
      <c r="AF131" s="22" t="n">
        <v>2.5</v>
      </c>
      <c r="AG131" s="22" t="n">
        <v>2</v>
      </c>
      <c r="AH131" s="22" t="s">
        <v>197</v>
      </c>
      <c r="AI131" s="22" t="s">
        <v>197</v>
      </c>
      <c r="AJ131" s="22" t="s">
        <v>197</v>
      </c>
      <c r="AK131" s="22" t="s">
        <v>197</v>
      </c>
      <c r="AL131" s="22" t="s">
        <v>197</v>
      </c>
      <c r="AM131" s="22" t="s">
        <v>197</v>
      </c>
      <c r="AN131" s="7" t="s">
        <v>197</v>
      </c>
      <c r="AO131" s="22" t="s">
        <v>197</v>
      </c>
      <c r="AP131" s="22" t="s">
        <v>197</v>
      </c>
      <c r="AQ131" s="22" t="s">
        <v>197</v>
      </c>
    </row>
    <row r="132" customFormat="false" ht="21.75" hidden="false" customHeight="true" outlineLevel="0" collapsed="false">
      <c r="B132" s="15" t="n">
        <v>128</v>
      </c>
      <c r="C132" s="9" t="s">
        <v>79</v>
      </c>
      <c r="D132" s="9" t="s">
        <v>20</v>
      </c>
      <c r="E132" s="9" t="s">
        <v>118</v>
      </c>
      <c r="F132" s="9" t="s">
        <v>94</v>
      </c>
      <c r="G132" s="9" t="s">
        <v>2848</v>
      </c>
      <c r="H132" s="9" t="s">
        <v>2839</v>
      </c>
      <c r="I132" s="9" t="s">
        <v>2840</v>
      </c>
      <c r="J132" s="9" t="s">
        <v>2841</v>
      </c>
      <c r="K132" s="9" t="s">
        <v>189</v>
      </c>
      <c r="L132" s="9" t="s">
        <v>2828</v>
      </c>
      <c r="M132" s="9" t="s">
        <v>2842</v>
      </c>
      <c r="N132" s="9" t="s">
        <v>2843</v>
      </c>
      <c r="O132" s="9" t="s">
        <v>189</v>
      </c>
      <c r="P132" s="9" t="s">
        <v>190</v>
      </c>
      <c r="Q132" s="9" t="s">
        <v>2844</v>
      </c>
      <c r="R132" s="9" t="s">
        <v>2845</v>
      </c>
      <c r="S132" s="9" t="s">
        <v>2832</v>
      </c>
      <c r="T132" s="9" t="s">
        <v>2846</v>
      </c>
      <c r="U132" s="19" t="n">
        <v>585</v>
      </c>
      <c r="V132" s="9"/>
      <c r="W132" s="9"/>
      <c r="X132" s="9" t="s">
        <v>2849</v>
      </c>
      <c r="Y132" s="23" t="n">
        <v>0.3</v>
      </c>
      <c r="Z132" s="23" t="n">
        <v>1.971</v>
      </c>
      <c r="AA132" s="23" t="n">
        <v>24</v>
      </c>
      <c r="AB132" s="9" t="s">
        <v>2828</v>
      </c>
      <c r="AC132" s="9" t="s">
        <v>2833</v>
      </c>
      <c r="AD132" s="23" t="n">
        <v>0.3</v>
      </c>
      <c r="AE132" s="23" t="n">
        <v>1.971</v>
      </c>
      <c r="AF132" s="23" t="n">
        <v>2.5</v>
      </c>
      <c r="AG132" s="23" t="n">
        <v>2</v>
      </c>
      <c r="AH132" s="23" t="s">
        <v>197</v>
      </c>
      <c r="AI132" s="23" t="s">
        <v>197</v>
      </c>
      <c r="AJ132" s="23" t="s">
        <v>197</v>
      </c>
      <c r="AK132" s="23" t="s">
        <v>197</v>
      </c>
      <c r="AL132" s="23" t="s">
        <v>197</v>
      </c>
      <c r="AM132" s="23" t="s">
        <v>197</v>
      </c>
      <c r="AN132" s="9" t="s">
        <v>197</v>
      </c>
      <c r="AO132" s="23" t="s">
        <v>197</v>
      </c>
      <c r="AP132" s="23" t="s">
        <v>197</v>
      </c>
      <c r="AQ132" s="23" t="s">
        <v>197</v>
      </c>
    </row>
    <row r="133" customFormat="false" ht="21.75" hidden="false" customHeight="true" outlineLevel="0" collapsed="false">
      <c r="B133" s="14" t="n">
        <v>129</v>
      </c>
      <c r="C133" s="7" t="s">
        <v>79</v>
      </c>
      <c r="D133" s="7" t="s">
        <v>20</v>
      </c>
      <c r="E133" s="7" t="s">
        <v>118</v>
      </c>
      <c r="F133" s="7" t="s">
        <v>94</v>
      </c>
      <c r="G133" s="7" t="s">
        <v>2850</v>
      </c>
      <c r="H133" s="7" t="s">
        <v>2839</v>
      </c>
      <c r="I133" s="7" t="s">
        <v>2840</v>
      </c>
      <c r="J133" s="7" t="s">
        <v>2841</v>
      </c>
      <c r="K133" s="7" t="s">
        <v>189</v>
      </c>
      <c r="L133" s="7" t="s">
        <v>2828</v>
      </c>
      <c r="M133" s="7" t="s">
        <v>2842</v>
      </c>
      <c r="N133" s="7" t="s">
        <v>2843</v>
      </c>
      <c r="O133" s="7" t="s">
        <v>189</v>
      </c>
      <c r="P133" s="7" t="s">
        <v>190</v>
      </c>
      <c r="Q133" s="7" t="s">
        <v>2844</v>
      </c>
      <c r="R133" s="7" t="s">
        <v>2845</v>
      </c>
      <c r="S133" s="7" t="s">
        <v>2832</v>
      </c>
      <c r="T133" s="7" t="s">
        <v>2846</v>
      </c>
      <c r="U133" s="18" t="n">
        <v>875</v>
      </c>
      <c r="V133" s="7"/>
      <c r="W133" s="7"/>
      <c r="X133" s="7" t="s">
        <v>203</v>
      </c>
      <c r="Y133" s="22" t="n">
        <v>0.3</v>
      </c>
      <c r="Z133" s="22" t="n">
        <v>2.652</v>
      </c>
      <c r="AA133" s="22" t="n">
        <v>24</v>
      </c>
      <c r="AB133" s="7" t="s">
        <v>2828</v>
      </c>
      <c r="AC133" s="7" t="s">
        <v>2833</v>
      </c>
      <c r="AD133" s="22" t="n">
        <v>0.3</v>
      </c>
      <c r="AE133" s="22" t="n">
        <v>2.652</v>
      </c>
      <c r="AF133" s="22" t="n">
        <v>2.5</v>
      </c>
      <c r="AG133" s="22" t="n">
        <v>2</v>
      </c>
      <c r="AH133" s="22" t="s">
        <v>197</v>
      </c>
      <c r="AI133" s="22" t="s">
        <v>197</v>
      </c>
      <c r="AJ133" s="22" t="s">
        <v>197</v>
      </c>
      <c r="AK133" s="22" t="s">
        <v>197</v>
      </c>
      <c r="AL133" s="22" t="s">
        <v>197</v>
      </c>
      <c r="AM133" s="22" t="s">
        <v>197</v>
      </c>
      <c r="AN133" s="7" t="s">
        <v>197</v>
      </c>
      <c r="AO133" s="22" t="s">
        <v>197</v>
      </c>
      <c r="AP133" s="22" t="s">
        <v>197</v>
      </c>
      <c r="AQ133" s="22" t="s">
        <v>197</v>
      </c>
    </row>
    <row r="134" customFormat="false" ht="21.75" hidden="false" customHeight="true" outlineLevel="0" collapsed="false">
      <c r="B134" s="15" t="n">
        <v>130</v>
      </c>
      <c r="C134" s="9" t="s">
        <v>79</v>
      </c>
      <c r="D134" s="9" t="s">
        <v>20</v>
      </c>
      <c r="E134" s="9" t="s">
        <v>118</v>
      </c>
      <c r="F134" s="9" t="s">
        <v>94</v>
      </c>
      <c r="G134" s="9" t="s">
        <v>2851</v>
      </c>
      <c r="H134" s="9" t="s">
        <v>2839</v>
      </c>
      <c r="I134" s="9" t="s">
        <v>2840</v>
      </c>
      <c r="J134" s="9" t="s">
        <v>2841</v>
      </c>
      <c r="K134" s="9" t="s">
        <v>189</v>
      </c>
      <c r="L134" s="9" t="s">
        <v>2828</v>
      </c>
      <c r="M134" s="9" t="s">
        <v>2842</v>
      </c>
      <c r="N134" s="9" t="s">
        <v>2843</v>
      </c>
      <c r="O134" s="9" t="s">
        <v>189</v>
      </c>
      <c r="P134" s="9" t="s">
        <v>190</v>
      </c>
      <c r="Q134" s="9" t="s">
        <v>2844</v>
      </c>
      <c r="R134" s="9" t="s">
        <v>2845</v>
      </c>
      <c r="S134" s="9" t="s">
        <v>2832</v>
      </c>
      <c r="T134" s="9" t="s">
        <v>2846</v>
      </c>
      <c r="U134" s="19" t="n">
        <v>1285</v>
      </c>
      <c r="V134" s="9"/>
      <c r="W134" s="9"/>
      <c r="X134" s="9" t="s">
        <v>205</v>
      </c>
      <c r="Y134" s="23" t="n">
        <v>0.3</v>
      </c>
      <c r="Z134" s="23" t="n">
        <v>2.551</v>
      </c>
      <c r="AA134" s="23" t="n">
        <v>24</v>
      </c>
      <c r="AB134" s="9" t="s">
        <v>2828</v>
      </c>
      <c r="AC134" s="9" t="s">
        <v>2833</v>
      </c>
      <c r="AD134" s="23" t="n">
        <v>0.3</v>
      </c>
      <c r="AE134" s="23" t="n">
        <v>2.551</v>
      </c>
      <c r="AF134" s="23" t="n">
        <v>2.5</v>
      </c>
      <c r="AG134" s="23" t="n">
        <v>2</v>
      </c>
      <c r="AH134" s="23" t="s">
        <v>197</v>
      </c>
      <c r="AI134" s="23" t="s">
        <v>197</v>
      </c>
      <c r="AJ134" s="23" t="s">
        <v>197</v>
      </c>
      <c r="AK134" s="23" t="s">
        <v>197</v>
      </c>
      <c r="AL134" s="23" t="s">
        <v>197</v>
      </c>
      <c r="AM134" s="23" t="s">
        <v>197</v>
      </c>
      <c r="AN134" s="9" t="s">
        <v>197</v>
      </c>
      <c r="AO134" s="23" t="s">
        <v>197</v>
      </c>
      <c r="AP134" s="23" t="s">
        <v>197</v>
      </c>
      <c r="AQ134" s="23" t="s">
        <v>197</v>
      </c>
    </row>
    <row r="135" customFormat="false" ht="21.75" hidden="false" customHeight="true" outlineLevel="0" collapsed="false">
      <c r="B135" s="14" t="n">
        <v>131</v>
      </c>
      <c r="C135" s="7" t="s">
        <v>79</v>
      </c>
      <c r="D135" s="7" t="s">
        <v>20</v>
      </c>
      <c r="E135" s="7" t="s">
        <v>118</v>
      </c>
      <c r="F135" s="7" t="s">
        <v>95</v>
      </c>
      <c r="G135" s="7" t="s">
        <v>2852</v>
      </c>
      <c r="H135" s="7" t="s">
        <v>2510</v>
      </c>
      <c r="I135" s="7" t="s">
        <v>2695</v>
      </c>
      <c r="J135" s="7" t="s">
        <v>2853</v>
      </c>
      <c r="K135" s="7" t="s">
        <v>2697</v>
      </c>
      <c r="L135" s="7" t="s">
        <v>2828</v>
      </c>
      <c r="M135" s="7" t="s">
        <v>2698</v>
      </c>
      <c r="N135" s="7" t="s">
        <v>189</v>
      </c>
      <c r="O135" s="7" t="s">
        <v>189</v>
      </c>
      <c r="P135" s="7" t="s">
        <v>190</v>
      </c>
      <c r="Q135" s="7" t="s">
        <v>2854</v>
      </c>
      <c r="R135" s="7" t="s">
        <v>780</v>
      </c>
      <c r="S135" s="7" t="s">
        <v>2832</v>
      </c>
      <c r="T135" s="7" t="s">
        <v>2855</v>
      </c>
      <c r="U135" s="18" t="n">
        <v>16</v>
      </c>
      <c r="V135" s="7"/>
      <c r="W135" s="7"/>
      <c r="X135" s="7" t="s">
        <v>195</v>
      </c>
      <c r="Y135" s="22" t="n">
        <v>5.203E-005</v>
      </c>
      <c r="Z135" s="22" t="n">
        <v>0.052</v>
      </c>
      <c r="AA135" s="22" t="n">
        <v>24</v>
      </c>
      <c r="AB135" s="7" t="s">
        <v>2828</v>
      </c>
      <c r="AC135" s="7" t="s">
        <v>2701</v>
      </c>
      <c r="AD135" s="22" t="s">
        <v>197</v>
      </c>
      <c r="AE135" s="22" t="s">
        <v>197</v>
      </c>
      <c r="AF135" s="22" t="s">
        <v>197</v>
      </c>
      <c r="AG135" s="22" t="s">
        <v>197</v>
      </c>
      <c r="AH135" s="22" t="s">
        <v>197</v>
      </c>
      <c r="AI135" s="22" t="s">
        <v>197</v>
      </c>
      <c r="AJ135" s="22" t="n">
        <v>60</v>
      </c>
      <c r="AK135" s="22" t="s">
        <v>197</v>
      </c>
      <c r="AL135" s="22" t="s">
        <v>197</v>
      </c>
      <c r="AM135" s="22" t="s">
        <v>197</v>
      </c>
      <c r="AN135" s="7" t="s">
        <v>2518</v>
      </c>
      <c r="AO135" s="22" t="s">
        <v>197</v>
      </c>
      <c r="AP135" s="22" t="n">
        <v>2.5</v>
      </c>
      <c r="AQ135" s="22" t="n">
        <v>6</v>
      </c>
    </row>
    <row r="136" customFormat="false" ht="21.75" hidden="false" customHeight="true" outlineLevel="0" collapsed="false">
      <c r="B136" s="15" t="n">
        <v>132</v>
      </c>
      <c r="C136" s="9" t="s">
        <v>79</v>
      </c>
      <c r="D136" s="9" t="s">
        <v>20</v>
      </c>
      <c r="E136" s="9" t="s">
        <v>118</v>
      </c>
      <c r="F136" s="9" t="s">
        <v>95</v>
      </c>
      <c r="G136" s="9" t="s">
        <v>2856</v>
      </c>
      <c r="H136" s="9" t="s">
        <v>2520</v>
      </c>
      <c r="I136" s="9" t="s">
        <v>2695</v>
      </c>
      <c r="J136" s="9" t="s">
        <v>2853</v>
      </c>
      <c r="K136" s="9" t="s">
        <v>2697</v>
      </c>
      <c r="L136" s="9" t="s">
        <v>2828</v>
      </c>
      <c r="M136" s="9" t="s">
        <v>2698</v>
      </c>
      <c r="N136" s="9" t="s">
        <v>189</v>
      </c>
      <c r="O136" s="9" t="s">
        <v>189</v>
      </c>
      <c r="P136" s="9" t="s">
        <v>190</v>
      </c>
      <c r="Q136" s="9" t="s">
        <v>2854</v>
      </c>
      <c r="R136" s="9" t="s">
        <v>780</v>
      </c>
      <c r="S136" s="9" t="s">
        <v>2832</v>
      </c>
      <c r="T136" s="9" t="s">
        <v>2855</v>
      </c>
      <c r="U136" s="19" t="n">
        <v>20</v>
      </c>
      <c r="V136" s="9"/>
      <c r="W136" s="9"/>
      <c r="X136" s="9" t="s">
        <v>199</v>
      </c>
      <c r="Y136" s="23" t="n">
        <v>5.753E-005</v>
      </c>
      <c r="Z136" s="23" t="n">
        <v>0.058</v>
      </c>
      <c r="AA136" s="23" t="n">
        <v>24</v>
      </c>
      <c r="AB136" s="9" t="s">
        <v>2828</v>
      </c>
      <c r="AC136" s="9" t="s">
        <v>2701</v>
      </c>
      <c r="AD136" s="23" t="s">
        <v>197</v>
      </c>
      <c r="AE136" s="23" t="s">
        <v>197</v>
      </c>
      <c r="AF136" s="23" t="s">
        <v>197</v>
      </c>
      <c r="AG136" s="23" t="s">
        <v>197</v>
      </c>
      <c r="AH136" s="23" t="s">
        <v>197</v>
      </c>
      <c r="AI136" s="23" t="s">
        <v>197</v>
      </c>
      <c r="AJ136" s="23" t="n">
        <v>80</v>
      </c>
      <c r="AK136" s="23" t="s">
        <v>197</v>
      </c>
      <c r="AL136" s="23" t="s">
        <v>197</v>
      </c>
      <c r="AM136" s="23" t="s">
        <v>197</v>
      </c>
      <c r="AN136" s="9" t="s">
        <v>2518</v>
      </c>
      <c r="AO136" s="23" t="s">
        <v>197</v>
      </c>
      <c r="AP136" s="23" t="n">
        <v>2.5</v>
      </c>
      <c r="AQ136" s="23" t="n">
        <v>6</v>
      </c>
    </row>
    <row r="137" customFormat="false" ht="21.75" hidden="false" customHeight="true" outlineLevel="0" collapsed="false">
      <c r="B137" s="14" t="n">
        <v>133</v>
      </c>
      <c r="C137" s="7" t="s">
        <v>79</v>
      </c>
      <c r="D137" s="7" t="s">
        <v>20</v>
      </c>
      <c r="E137" s="7" t="s">
        <v>118</v>
      </c>
      <c r="F137" s="7" t="s">
        <v>95</v>
      </c>
      <c r="G137" s="7" t="s">
        <v>2857</v>
      </c>
      <c r="H137" s="7" t="s">
        <v>2522</v>
      </c>
      <c r="I137" s="7" t="s">
        <v>2695</v>
      </c>
      <c r="J137" s="7" t="s">
        <v>2853</v>
      </c>
      <c r="K137" s="7" t="s">
        <v>2697</v>
      </c>
      <c r="L137" s="7" t="s">
        <v>2828</v>
      </c>
      <c r="M137" s="7" t="s">
        <v>2698</v>
      </c>
      <c r="N137" s="7" t="s">
        <v>189</v>
      </c>
      <c r="O137" s="7" t="s">
        <v>189</v>
      </c>
      <c r="P137" s="7" t="s">
        <v>190</v>
      </c>
      <c r="Q137" s="7" t="s">
        <v>2854</v>
      </c>
      <c r="R137" s="7" t="s">
        <v>780</v>
      </c>
      <c r="S137" s="7" t="s">
        <v>2832</v>
      </c>
      <c r="T137" s="7" t="s">
        <v>2855</v>
      </c>
      <c r="U137" s="18" t="n">
        <v>30</v>
      </c>
      <c r="V137" s="7"/>
      <c r="W137" s="7"/>
      <c r="X137" s="7" t="s">
        <v>2858</v>
      </c>
      <c r="Y137" s="22" t="n">
        <v>3.104E-005</v>
      </c>
      <c r="Z137" s="22" t="n">
        <v>0.031</v>
      </c>
      <c r="AA137" s="22" t="n">
        <v>24</v>
      </c>
      <c r="AB137" s="7" t="s">
        <v>2828</v>
      </c>
      <c r="AC137" s="7" t="s">
        <v>2701</v>
      </c>
      <c r="AD137" s="22" t="s">
        <v>197</v>
      </c>
      <c r="AE137" s="22" t="s">
        <v>197</v>
      </c>
      <c r="AF137" s="22" t="s">
        <v>197</v>
      </c>
      <c r="AG137" s="22" t="s">
        <v>197</v>
      </c>
      <c r="AH137" s="22" t="s">
        <v>197</v>
      </c>
      <c r="AI137" s="22" t="s">
        <v>197</v>
      </c>
      <c r="AJ137" s="22" t="n">
        <v>100</v>
      </c>
      <c r="AK137" s="22" t="s">
        <v>197</v>
      </c>
      <c r="AL137" s="22" t="s">
        <v>197</v>
      </c>
      <c r="AM137" s="22" t="s">
        <v>197</v>
      </c>
      <c r="AN137" s="7" t="s">
        <v>2518</v>
      </c>
      <c r="AO137" s="22" t="s">
        <v>197</v>
      </c>
      <c r="AP137" s="22" t="n">
        <v>2.5</v>
      </c>
      <c r="AQ137" s="22" t="n">
        <v>6</v>
      </c>
    </row>
    <row r="138" customFormat="false" ht="21.75" hidden="false" customHeight="true" outlineLevel="0" collapsed="false">
      <c r="B138" s="15" t="n">
        <v>134</v>
      </c>
      <c r="C138" s="9" t="s">
        <v>79</v>
      </c>
      <c r="D138" s="9" t="s">
        <v>20</v>
      </c>
      <c r="E138" s="9" t="s">
        <v>118</v>
      </c>
      <c r="F138" s="9" t="s">
        <v>95</v>
      </c>
      <c r="G138" s="9" t="s">
        <v>2859</v>
      </c>
      <c r="H138" s="9" t="s">
        <v>2706</v>
      </c>
      <c r="I138" s="9" t="s">
        <v>2695</v>
      </c>
      <c r="J138" s="9" t="s">
        <v>2853</v>
      </c>
      <c r="K138" s="9" t="s">
        <v>2697</v>
      </c>
      <c r="L138" s="9" t="s">
        <v>2828</v>
      </c>
      <c r="M138" s="9" t="s">
        <v>2698</v>
      </c>
      <c r="N138" s="9" t="s">
        <v>189</v>
      </c>
      <c r="O138" s="9" t="s">
        <v>189</v>
      </c>
      <c r="P138" s="9" t="s">
        <v>190</v>
      </c>
      <c r="Q138" s="9" t="s">
        <v>2854</v>
      </c>
      <c r="R138" s="9" t="s">
        <v>780</v>
      </c>
      <c r="S138" s="9" t="s">
        <v>2832</v>
      </c>
      <c r="T138" s="9" t="s">
        <v>2855</v>
      </c>
      <c r="U138" s="19" t="n">
        <v>45</v>
      </c>
      <c r="V138" s="9"/>
      <c r="W138" s="9"/>
      <c r="X138" s="9" t="s">
        <v>203</v>
      </c>
      <c r="Y138" s="23" t="n">
        <v>4.57E-005</v>
      </c>
      <c r="Z138" s="23" t="n">
        <v>0.046</v>
      </c>
      <c r="AA138" s="23" t="n">
        <v>24</v>
      </c>
      <c r="AB138" s="9" t="s">
        <v>2828</v>
      </c>
      <c r="AC138" s="9" t="s">
        <v>2701</v>
      </c>
      <c r="AD138" s="23" t="s">
        <v>197</v>
      </c>
      <c r="AE138" s="23" t="s">
        <v>197</v>
      </c>
      <c r="AF138" s="23" t="s">
        <v>197</v>
      </c>
      <c r="AG138" s="23" t="s">
        <v>197</v>
      </c>
      <c r="AH138" s="23" t="s">
        <v>197</v>
      </c>
      <c r="AI138" s="23" t="s">
        <v>197</v>
      </c>
      <c r="AJ138" s="23" t="n">
        <v>100</v>
      </c>
      <c r="AK138" s="23" t="s">
        <v>197</v>
      </c>
      <c r="AL138" s="23" t="s">
        <v>197</v>
      </c>
      <c r="AM138" s="23" t="s">
        <v>197</v>
      </c>
      <c r="AN138" s="9" t="s">
        <v>2518</v>
      </c>
      <c r="AO138" s="23" t="s">
        <v>197</v>
      </c>
      <c r="AP138" s="23" t="n">
        <v>2.5</v>
      </c>
      <c r="AQ138" s="23" t="n">
        <v>6</v>
      </c>
    </row>
    <row r="139" customFormat="false" ht="21.75" hidden="false" customHeight="true" outlineLevel="0" collapsed="false">
      <c r="B139" s="14" t="n">
        <v>135</v>
      </c>
      <c r="C139" s="7" t="s">
        <v>79</v>
      </c>
      <c r="D139" s="7" t="s">
        <v>20</v>
      </c>
      <c r="E139" s="7" t="s">
        <v>118</v>
      </c>
      <c r="F139" s="7" t="s">
        <v>95</v>
      </c>
      <c r="G139" s="7" t="s">
        <v>2860</v>
      </c>
      <c r="H139" s="7" t="s">
        <v>2527</v>
      </c>
      <c r="I139" s="7" t="s">
        <v>2695</v>
      </c>
      <c r="J139" s="7" t="s">
        <v>2853</v>
      </c>
      <c r="K139" s="7" t="s">
        <v>2697</v>
      </c>
      <c r="L139" s="7" t="s">
        <v>2828</v>
      </c>
      <c r="M139" s="7" t="s">
        <v>2698</v>
      </c>
      <c r="N139" s="7" t="s">
        <v>189</v>
      </c>
      <c r="O139" s="7" t="s">
        <v>189</v>
      </c>
      <c r="P139" s="7" t="s">
        <v>190</v>
      </c>
      <c r="Q139" s="7" t="s">
        <v>2854</v>
      </c>
      <c r="R139" s="7" t="s">
        <v>780</v>
      </c>
      <c r="S139" s="7" t="s">
        <v>2832</v>
      </c>
      <c r="T139" s="7" t="s">
        <v>2855</v>
      </c>
      <c r="U139" s="18" t="n">
        <v>70</v>
      </c>
      <c r="V139" s="7"/>
      <c r="W139" s="7"/>
      <c r="X139" s="7" t="s">
        <v>205</v>
      </c>
      <c r="Y139" s="22" t="n">
        <v>4.383E-005</v>
      </c>
      <c r="Z139" s="22" t="n">
        <v>0.044</v>
      </c>
      <c r="AA139" s="22" t="n">
        <v>24</v>
      </c>
      <c r="AB139" s="7" t="s">
        <v>2828</v>
      </c>
      <c r="AC139" s="7" t="s">
        <v>2701</v>
      </c>
      <c r="AD139" s="22" t="s">
        <v>197</v>
      </c>
      <c r="AE139" s="22" t="s">
        <v>197</v>
      </c>
      <c r="AF139" s="22" t="s">
        <v>197</v>
      </c>
      <c r="AG139" s="22" t="s">
        <v>197</v>
      </c>
      <c r="AH139" s="22" t="s">
        <v>197</v>
      </c>
      <c r="AI139" s="22" t="s">
        <v>197</v>
      </c>
      <c r="AJ139" s="22" t="n">
        <v>120</v>
      </c>
      <c r="AK139" s="22" t="s">
        <v>197</v>
      </c>
      <c r="AL139" s="22" t="s">
        <v>197</v>
      </c>
      <c r="AM139" s="22" t="s">
        <v>197</v>
      </c>
      <c r="AN139" s="7" t="s">
        <v>2518</v>
      </c>
      <c r="AO139" s="22" t="s">
        <v>197</v>
      </c>
      <c r="AP139" s="22" t="n">
        <v>2.5</v>
      </c>
      <c r="AQ139" s="22" t="n">
        <v>6</v>
      </c>
    </row>
    <row r="140" customFormat="false" ht="21.75" hidden="false" customHeight="true" outlineLevel="0" collapsed="false">
      <c r="B140" s="15" t="n">
        <v>136</v>
      </c>
      <c r="C140" s="9" t="s">
        <v>79</v>
      </c>
      <c r="D140" s="9" t="s">
        <v>20</v>
      </c>
      <c r="E140" s="9" t="s">
        <v>118</v>
      </c>
      <c r="F140" s="9" t="s">
        <v>96</v>
      </c>
      <c r="G140" s="9" t="s">
        <v>2861</v>
      </c>
      <c r="H140" s="9" t="s">
        <v>2510</v>
      </c>
      <c r="I140" s="9" t="s">
        <v>2862</v>
      </c>
      <c r="J140" s="9" t="s">
        <v>2512</v>
      </c>
      <c r="K140" s="9" t="s">
        <v>2863</v>
      </c>
      <c r="L140" s="9" t="s">
        <v>2828</v>
      </c>
      <c r="M140" s="9" t="s">
        <v>2514</v>
      </c>
      <c r="N140" s="9" t="s">
        <v>189</v>
      </c>
      <c r="O140" s="9" t="s">
        <v>189</v>
      </c>
      <c r="P140" s="9" t="s">
        <v>190</v>
      </c>
      <c r="Q140" s="9" t="s">
        <v>2515</v>
      </c>
      <c r="R140" s="9" t="s">
        <v>2532</v>
      </c>
      <c r="S140" s="9" t="s">
        <v>2832</v>
      </c>
      <c r="T140" s="9" t="s">
        <v>2864</v>
      </c>
      <c r="U140" s="19" t="n">
        <v>30</v>
      </c>
      <c r="V140" s="9"/>
      <c r="W140" s="9"/>
      <c r="X140" s="9" t="s">
        <v>195</v>
      </c>
      <c r="Y140" s="23" t="n">
        <v>0.00011013</v>
      </c>
      <c r="Z140" s="23" t="n">
        <v>0.005</v>
      </c>
      <c r="AA140" s="23" t="n">
        <v>24</v>
      </c>
      <c r="AB140" s="9" t="s">
        <v>2828</v>
      </c>
      <c r="AC140" s="9" t="s">
        <v>2865</v>
      </c>
      <c r="AD140" s="23" t="s">
        <v>197</v>
      </c>
      <c r="AE140" s="23" t="s">
        <v>197</v>
      </c>
      <c r="AF140" s="23" t="s">
        <v>197</v>
      </c>
      <c r="AG140" s="23" t="s">
        <v>197</v>
      </c>
      <c r="AH140" s="23" t="s">
        <v>197</v>
      </c>
      <c r="AI140" s="23" t="s">
        <v>197</v>
      </c>
      <c r="AJ140" s="23" t="n">
        <v>60</v>
      </c>
      <c r="AK140" s="23" t="s">
        <v>197</v>
      </c>
      <c r="AL140" s="23" t="s">
        <v>197</v>
      </c>
      <c r="AM140" s="23" t="s">
        <v>197</v>
      </c>
      <c r="AN140" s="9" t="s">
        <v>2518</v>
      </c>
      <c r="AO140" s="23" t="s">
        <v>197</v>
      </c>
      <c r="AP140" s="23" t="n">
        <v>2.5</v>
      </c>
      <c r="AQ140" s="23" t="n">
        <v>6</v>
      </c>
    </row>
    <row r="141" customFormat="false" ht="21.75" hidden="false" customHeight="true" outlineLevel="0" collapsed="false">
      <c r="B141" s="14" t="n">
        <v>137</v>
      </c>
      <c r="C141" s="7" t="s">
        <v>79</v>
      </c>
      <c r="D141" s="7" t="s">
        <v>20</v>
      </c>
      <c r="E141" s="7" t="s">
        <v>118</v>
      </c>
      <c r="F141" s="7" t="s">
        <v>96</v>
      </c>
      <c r="G141" s="7" t="s">
        <v>2866</v>
      </c>
      <c r="H141" s="7" t="s">
        <v>2520</v>
      </c>
      <c r="I141" s="7" t="s">
        <v>2862</v>
      </c>
      <c r="J141" s="7" t="s">
        <v>2512</v>
      </c>
      <c r="K141" s="7" t="s">
        <v>2863</v>
      </c>
      <c r="L141" s="7" t="s">
        <v>2828</v>
      </c>
      <c r="M141" s="7" t="s">
        <v>2514</v>
      </c>
      <c r="N141" s="7" t="s">
        <v>189</v>
      </c>
      <c r="O141" s="7" t="s">
        <v>189</v>
      </c>
      <c r="P141" s="7" t="s">
        <v>190</v>
      </c>
      <c r="Q141" s="7" t="s">
        <v>2515</v>
      </c>
      <c r="R141" s="7" t="s">
        <v>2532</v>
      </c>
      <c r="S141" s="7" t="s">
        <v>2832</v>
      </c>
      <c r="T141" s="7" t="s">
        <v>2864</v>
      </c>
      <c r="U141" s="18" t="n">
        <v>50</v>
      </c>
      <c r="V141" s="7"/>
      <c r="W141" s="7"/>
      <c r="X141" s="7" t="s">
        <v>199</v>
      </c>
      <c r="Y141" s="22" t="n">
        <v>0.00011077</v>
      </c>
      <c r="Z141" s="22" t="n">
        <v>0.005</v>
      </c>
      <c r="AA141" s="22" t="n">
        <v>24</v>
      </c>
      <c r="AB141" s="7" t="s">
        <v>2828</v>
      </c>
      <c r="AC141" s="7" t="s">
        <v>2865</v>
      </c>
      <c r="AD141" s="22" t="s">
        <v>197</v>
      </c>
      <c r="AE141" s="22" t="s">
        <v>197</v>
      </c>
      <c r="AF141" s="22" t="s">
        <v>197</v>
      </c>
      <c r="AG141" s="22" t="s">
        <v>197</v>
      </c>
      <c r="AH141" s="22" t="s">
        <v>197</v>
      </c>
      <c r="AI141" s="22" t="s">
        <v>197</v>
      </c>
      <c r="AJ141" s="22" t="n">
        <v>80</v>
      </c>
      <c r="AK141" s="22" t="s">
        <v>197</v>
      </c>
      <c r="AL141" s="22" t="s">
        <v>197</v>
      </c>
      <c r="AM141" s="22" t="s">
        <v>197</v>
      </c>
      <c r="AN141" s="7" t="s">
        <v>2518</v>
      </c>
      <c r="AO141" s="22" t="s">
        <v>197</v>
      </c>
      <c r="AP141" s="22" t="n">
        <v>2.5</v>
      </c>
      <c r="AQ141" s="22" t="n">
        <v>6</v>
      </c>
    </row>
    <row r="142" customFormat="false" ht="21.75" hidden="false" customHeight="true" outlineLevel="0" collapsed="false">
      <c r="B142" s="15" t="n">
        <v>138</v>
      </c>
      <c r="C142" s="9" t="s">
        <v>79</v>
      </c>
      <c r="D142" s="9" t="s">
        <v>20</v>
      </c>
      <c r="E142" s="9" t="s">
        <v>118</v>
      </c>
      <c r="F142" s="9" t="s">
        <v>96</v>
      </c>
      <c r="G142" s="9" t="s">
        <v>2867</v>
      </c>
      <c r="H142" s="9" t="s">
        <v>2522</v>
      </c>
      <c r="I142" s="9" t="s">
        <v>2862</v>
      </c>
      <c r="J142" s="9" t="s">
        <v>2512</v>
      </c>
      <c r="K142" s="9" t="s">
        <v>2863</v>
      </c>
      <c r="L142" s="9" t="s">
        <v>2828</v>
      </c>
      <c r="M142" s="9" t="s">
        <v>2514</v>
      </c>
      <c r="N142" s="9" t="s">
        <v>189</v>
      </c>
      <c r="O142" s="9" t="s">
        <v>189</v>
      </c>
      <c r="P142" s="9" t="s">
        <v>190</v>
      </c>
      <c r="Q142" s="9" t="s">
        <v>2515</v>
      </c>
      <c r="R142" s="9" t="s">
        <v>2532</v>
      </c>
      <c r="S142" s="9" t="s">
        <v>2832</v>
      </c>
      <c r="T142" s="9" t="s">
        <v>2864</v>
      </c>
      <c r="U142" s="19" t="n">
        <v>65</v>
      </c>
      <c r="V142" s="9"/>
      <c r="W142" s="9"/>
      <c r="X142" s="9" t="s">
        <v>2868</v>
      </c>
      <c r="Y142" s="23" t="n">
        <v>9.003E-005</v>
      </c>
      <c r="Z142" s="23" t="n">
        <v>0.004</v>
      </c>
      <c r="AA142" s="23" t="n">
        <v>24</v>
      </c>
      <c r="AB142" s="9" t="s">
        <v>2828</v>
      </c>
      <c r="AC142" s="9" t="s">
        <v>2865</v>
      </c>
      <c r="AD142" s="23" t="s">
        <v>197</v>
      </c>
      <c r="AE142" s="23" t="s">
        <v>197</v>
      </c>
      <c r="AF142" s="23" t="s">
        <v>197</v>
      </c>
      <c r="AG142" s="23" t="s">
        <v>197</v>
      </c>
      <c r="AH142" s="23" t="s">
        <v>197</v>
      </c>
      <c r="AI142" s="23" t="s">
        <v>197</v>
      </c>
      <c r="AJ142" s="23" t="n">
        <v>100</v>
      </c>
      <c r="AK142" s="23" t="s">
        <v>197</v>
      </c>
      <c r="AL142" s="23" t="s">
        <v>197</v>
      </c>
      <c r="AM142" s="23" t="s">
        <v>197</v>
      </c>
      <c r="AN142" s="9" t="s">
        <v>2518</v>
      </c>
      <c r="AO142" s="23" t="s">
        <v>197</v>
      </c>
      <c r="AP142" s="23" t="n">
        <v>2.5</v>
      </c>
      <c r="AQ142" s="23" t="n">
        <v>6</v>
      </c>
    </row>
    <row r="143" customFormat="false" ht="21.75" hidden="false" customHeight="true" outlineLevel="0" collapsed="false">
      <c r="B143" s="14" t="n">
        <v>139</v>
      </c>
      <c r="C143" s="7" t="s">
        <v>79</v>
      </c>
      <c r="D143" s="7" t="s">
        <v>20</v>
      </c>
      <c r="E143" s="7" t="s">
        <v>118</v>
      </c>
      <c r="F143" s="7" t="s">
        <v>96</v>
      </c>
      <c r="G143" s="7" t="s">
        <v>2869</v>
      </c>
      <c r="H143" s="7" t="s">
        <v>2525</v>
      </c>
      <c r="I143" s="7" t="s">
        <v>2862</v>
      </c>
      <c r="J143" s="7" t="s">
        <v>2512</v>
      </c>
      <c r="K143" s="7" t="s">
        <v>2863</v>
      </c>
      <c r="L143" s="7" t="s">
        <v>2828</v>
      </c>
      <c r="M143" s="7" t="s">
        <v>2514</v>
      </c>
      <c r="N143" s="7" t="s">
        <v>189</v>
      </c>
      <c r="O143" s="7" t="s">
        <v>189</v>
      </c>
      <c r="P143" s="7" t="s">
        <v>190</v>
      </c>
      <c r="Q143" s="7" t="s">
        <v>2515</v>
      </c>
      <c r="R143" s="7" t="s">
        <v>2532</v>
      </c>
      <c r="S143" s="7" t="s">
        <v>2832</v>
      </c>
      <c r="T143" s="7" t="s">
        <v>2864</v>
      </c>
      <c r="U143" s="18" t="n">
        <v>100</v>
      </c>
      <c r="V143" s="7"/>
      <c r="W143" s="7"/>
      <c r="X143" s="7" t="s">
        <v>203</v>
      </c>
      <c r="Y143" s="22" t="n">
        <v>0.00011259</v>
      </c>
      <c r="Z143" s="22" t="n">
        <v>0.005</v>
      </c>
      <c r="AA143" s="22" t="n">
        <v>24</v>
      </c>
      <c r="AB143" s="7" t="s">
        <v>2828</v>
      </c>
      <c r="AC143" s="7" t="s">
        <v>2865</v>
      </c>
      <c r="AD143" s="22" t="s">
        <v>197</v>
      </c>
      <c r="AE143" s="22" t="s">
        <v>197</v>
      </c>
      <c r="AF143" s="22" t="s">
        <v>197</v>
      </c>
      <c r="AG143" s="22" t="s">
        <v>197</v>
      </c>
      <c r="AH143" s="22" t="s">
        <v>197</v>
      </c>
      <c r="AI143" s="22" t="s">
        <v>197</v>
      </c>
      <c r="AJ143" s="22" t="n">
        <v>100</v>
      </c>
      <c r="AK143" s="22" t="s">
        <v>197</v>
      </c>
      <c r="AL143" s="22" t="s">
        <v>197</v>
      </c>
      <c r="AM143" s="22" t="s">
        <v>197</v>
      </c>
      <c r="AN143" s="7" t="s">
        <v>2518</v>
      </c>
      <c r="AO143" s="22" t="s">
        <v>197</v>
      </c>
      <c r="AP143" s="22" t="n">
        <v>2.5</v>
      </c>
      <c r="AQ143" s="22" t="n">
        <v>6</v>
      </c>
    </row>
    <row r="144" customFormat="false" ht="21.75" hidden="false" customHeight="true" outlineLevel="0" collapsed="false">
      <c r="B144" s="15" t="n">
        <v>140</v>
      </c>
      <c r="C144" s="9" t="s">
        <v>79</v>
      </c>
      <c r="D144" s="9" t="s">
        <v>20</v>
      </c>
      <c r="E144" s="9" t="s">
        <v>118</v>
      </c>
      <c r="F144" s="9" t="s">
        <v>96</v>
      </c>
      <c r="G144" s="9" t="s">
        <v>2870</v>
      </c>
      <c r="H144" s="9" t="s">
        <v>2527</v>
      </c>
      <c r="I144" s="9" t="s">
        <v>2862</v>
      </c>
      <c r="J144" s="9" t="s">
        <v>2512</v>
      </c>
      <c r="K144" s="9" t="s">
        <v>2863</v>
      </c>
      <c r="L144" s="9" t="s">
        <v>2828</v>
      </c>
      <c r="M144" s="9" t="s">
        <v>2514</v>
      </c>
      <c r="N144" s="9" t="s">
        <v>189</v>
      </c>
      <c r="O144" s="9" t="s">
        <v>189</v>
      </c>
      <c r="P144" s="9" t="s">
        <v>190</v>
      </c>
      <c r="Q144" s="9" t="s">
        <v>2515</v>
      </c>
      <c r="R144" s="9" t="s">
        <v>2532</v>
      </c>
      <c r="S144" s="9" t="s">
        <v>2832</v>
      </c>
      <c r="T144" s="9" t="s">
        <v>2864</v>
      </c>
      <c r="U144" s="19" t="n">
        <v>145</v>
      </c>
      <c r="V144" s="9"/>
      <c r="W144" s="9"/>
      <c r="X144" s="9" t="s">
        <v>205</v>
      </c>
      <c r="Y144" s="23" t="n">
        <v>0.00011337</v>
      </c>
      <c r="Z144" s="23" t="n">
        <v>0.005</v>
      </c>
      <c r="AA144" s="23" t="n">
        <v>24</v>
      </c>
      <c r="AB144" s="9" t="s">
        <v>2828</v>
      </c>
      <c r="AC144" s="9" t="s">
        <v>2865</v>
      </c>
      <c r="AD144" s="23" t="s">
        <v>197</v>
      </c>
      <c r="AE144" s="23" t="s">
        <v>197</v>
      </c>
      <c r="AF144" s="23" t="s">
        <v>197</v>
      </c>
      <c r="AG144" s="23" t="s">
        <v>197</v>
      </c>
      <c r="AH144" s="23" t="s">
        <v>197</v>
      </c>
      <c r="AI144" s="23" t="s">
        <v>197</v>
      </c>
      <c r="AJ144" s="23" t="n">
        <v>120</v>
      </c>
      <c r="AK144" s="23" t="s">
        <v>197</v>
      </c>
      <c r="AL144" s="23" t="s">
        <v>197</v>
      </c>
      <c r="AM144" s="23" t="s">
        <v>197</v>
      </c>
      <c r="AN144" s="9" t="s">
        <v>2518</v>
      </c>
      <c r="AO144" s="23" t="s">
        <v>197</v>
      </c>
      <c r="AP144" s="23" t="n">
        <v>2.5</v>
      </c>
      <c r="AQ144" s="23" t="n">
        <v>6</v>
      </c>
    </row>
    <row r="145" customFormat="false" ht="21.75" hidden="false" customHeight="true" outlineLevel="0" collapsed="false">
      <c r="B145" s="14" t="n">
        <v>141</v>
      </c>
      <c r="C145" s="7" t="s">
        <v>79</v>
      </c>
      <c r="D145" s="7" t="s">
        <v>20</v>
      </c>
      <c r="E145" s="7" t="s">
        <v>118</v>
      </c>
      <c r="F145" s="7" t="s">
        <v>97</v>
      </c>
      <c r="G145" s="7" t="s">
        <v>2871</v>
      </c>
      <c r="H145" s="7" t="s">
        <v>2529</v>
      </c>
      <c r="I145" s="7" t="s">
        <v>2872</v>
      </c>
      <c r="J145" s="7" t="s">
        <v>2873</v>
      </c>
      <c r="K145" s="7" t="s">
        <v>2863</v>
      </c>
      <c r="L145" s="7" t="s">
        <v>2828</v>
      </c>
      <c r="M145" s="7" t="s">
        <v>2514</v>
      </c>
      <c r="N145" s="7" t="s">
        <v>189</v>
      </c>
      <c r="O145" s="7" t="s">
        <v>189</v>
      </c>
      <c r="P145" s="7" t="s">
        <v>190</v>
      </c>
      <c r="Q145" s="7" t="s">
        <v>2515</v>
      </c>
      <c r="R145" s="7" t="s">
        <v>2874</v>
      </c>
      <c r="S145" s="7" t="s">
        <v>2832</v>
      </c>
      <c r="T145" s="7" t="s">
        <v>2875</v>
      </c>
      <c r="U145" s="18" t="n">
        <v>30</v>
      </c>
      <c r="V145" s="7"/>
      <c r="W145" s="7"/>
      <c r="X145" s="7" t="s">
        <v>195</v>
      </c>
      <c r="Y145" s="22" t="n">
        <v>0.00010145</v>
      </c>
      <c r="Z145" s="22" t="n">
        <v>0.005</v>
      </c>
      <c r="AA145" s="22" t="n">
        <v>24</v>
      </c>
      <c r="AB145" s="7" t="s">
        <v>2828</v>
      </c>
      <c r="AC145" s="7" t="s">
        <v>2865</v>
      </c>
      <c r="AD145" s="22" t="s">
        <v>197</v>
      </c>
      <c r="AE145" s="22" t="s">
        <v>197</v>
      </c>
      <c r="AF145" s="22" t="s">
        <v>197</v>
      </c>
      <c r="AG145" s="22" t="s">
        <v>197</v>
      </c>
      <c r="AH145" s="22" t="s">
        <v>197</v>
      </c>
      <c r="AI145" s="22" t="s">
        <v>197</v>
      </c>
      <c r="AJ145" s="22" t="n">
        <v>57</v>
      </c>
      <c r="AK145" s="22" t="s">
        <v>197</v>
      </c>
      <c r="AL145" s="22" t="s">
        <v>197</v>
      </c>
      <c r="AM145" s="22" t="s">
        <v>197</v>
      </c>
      <c r="AN145" s="7" t="s">
        <v>2518</v>
      </c>
      <c r="AO145" s="22" t="s">
        <v>197</v>
      </c>
      <c r="AP145" s="22" t="n">
        <v>2.5</v>
      </c>
      <c r="AQ145" s="22" t="n">
        <v>6</v>
      </c>
    </row>
    <row r="146" customFormat="false" ht="21.75" hidden="false" customHeight="true" outlineLevel="0" collapsed="false">
      <c r="B146" s="15" t="n">
        <v>142</v>
      </c>
      <c r="C146" s="9" t="s">
        <v>79</v>
      </c>
      <c r="D146" s="9" t="s">
        <v>20</v>
      </c>
      <c r="E146" s="9" t="s">
        <v>118</v>
      </c>
      <c r="F146" s="9" t="s">
        <v>97</v>
      </c>
      <c r="G146" s="9" t="s">
        <v>2876</v>
      </c>
      <c r="H146" s="9" t="s">
        <v>2535</v>
      </c>
      <c r="I146" s="9" t="s">
        <v>2872</v>
      </c>
      <c r="J146" s="9" t="s">
        <v>2873</v>
      </c>
      <c r="K146" s="9" t="s">
        <v>2863</v>
      </c>
      <c r="L146" s="9" t="s">
        <v>2828</v>
      </c>
      <c r="M146" s="9" t="s">
        <v>2514</v>
      </c>
      <c r="N146" s="9" t="s">
        <v>189</v>
      </c>
      <c r="O146" s="9" t="s">
        <v>189</v>
      </c>
      <c r="P146" s="9" t="s">
        <v>190</v>
      </c>
      <c r="Q146" s="9" t="s">
        <v>2515</v>
      </c>
      <c r="R146" s="9" t="s">
        <v>2874</v>
      </c>
      <c r="S146" s="9" t="s">
        <v>2832</v>
      </c>
      <c r="T146" s="9" t="s">
        <v>2875</v>
      </c>
      <c r="U146" s="19" t="n">
        <v>45</v>
      </c>
      <c r="V146" s="9"/>
      <c r="W146" s="9"/>
      <c r="X146" s="9" t="s">
        <v>199</v>
      </c>
      <c r="Y146" s="23" t="n">
        <v>6.231E-005</v>
      </c>
      <c r="Z146" s="23" t="n">
        <v>0.003</v>
      </c>
      <c r="AA146" s="23" t="n">
        <v>24</v>
      </c>
      <c r="AB146" s="9" t="s">
        <v>2828</v>
      </c>
      <c r="AC146" s="9" t="s">
        <v>2865</v>
      </c>
      <c r="AD146" s="23" t="s">
        <v>197</v>
      </c>
      <c r="AE146" s="23" t="s">
        <v>197</v>
      </c>
      <c r="AF146" s="23" t="s">
        <v>197</v>
      </c>
      <c r="AG146" s="23" t="s">
        <v>197</v>
      </c>
      <c r="AH146" s="23" t="s">
        <v>197</v>
      </c>
      <c r="AI146" s="23" t="s">
        <v>197</v>
      </c>
      <c r="AJ146" s="23" t="n">
        <v>44</v>
      </c>
      <c r="AK146" s="23" t="s">
        <v>197</v>
      </c>
      <c r="AL146" s="23" t="s">
        <v>197</v>
      </c>
      <c r="AM146" s="23" t="s">
        <v>197</v>
      </c>
      <c r="AN146" s="9" t="s">
        <v>2518</v>
      </c>
      <c r="AO146" s="23" t="s">
        <v>197</v>
      </c>
      <c r="AP146" s="23" t="n">
        <v>2.5</v>
      </c>
      <c r="AQ146" s="23" t="n">
        <v>6</v>
      </c>
    </row>
    <row r="147" customFormat="false" ht="21.75" hidden="false" customHeight="true" outlineLevel="0" collapsed="false">
      <c r="B147" s="14" t="n">
        <v>143</v>
      </c>
      <c r="C147" s="7" t="s">
        <v>79</v>
      </c>
      <c r="D147" s="7" t="s">
        <v>20</v>
      </c>
      <c r="E147" s="7" t="s">
        <v>118</v>
      </c>
      <c r="F147" s="7" t="s">
        <v>97</v>
      </c>
      <c r="G147" s="7" t="s">
        <v>2877</v>
      </c>
      <c r="H147" s="7" t="s">
        <v>2537</v>
      </c>
      <c r="I147" s="7" t="s">
        <v>2872</v>
      </c>
      <c r="J147" s="7" t="s">
        <v>2873</v>
      </c>
      <c r="K147" s="7" t="s">
        <v>2863</v>
      </c>
      <c r="L147" s="7" t="s">
        <v>2828</v>
      </c>
      <c r="M147" s="7" t="s">
        <v>2514</v>
      </c>
      <c r="N147" s="7" t="s">
        <v>189</v>
      </c>
      <c r="O147" s="7" t="s">
        <v>189</v>
      </c>
      <c r="P147" s="7" t="s">
        <v>190</v>
      </c>
      <c r="Q147" s="7" t="s">
        <v>2515</v>
      </c>
      <c r="R147" s="7" t="s">
        <v>2874</v>
      </c>
      <c r="S147" s="7" t="s">
        <v>2832</v>
      </c>
      <c r="T147" s="7" t="s">
        <v>2875</v>
      </c>
      <c r="U147" s="18" t="n">
        <v>60</v>
      </c>
      <c r="V147" s="7"/>
      <c r="W147" s="7"/>
      <c r="X147" s="7" t="s">
        <v>2878</v>
      </c>
      <c r="Y147" s="22" t="n">
        <v>0.00010183</v>
      </c>
      <c r="Z147" s="22" t="n">
        <v>0.005</v>
      </c>
      <c r="AA147" s="22" t="n">
        <v>24</v>
      </c>
      <c r="AB147" s="7" t="s">
        <v>2828</v>
      </c>
      <c r="AC147" s="7" t="s">
        <v>2865</v>
      </c>
      <c r="AD147" s="22" t="s">
        <v>197</v>
      </c>
      <c r="AE147" s="22" t="s">
        <v>197</v>
      </c>
      <c r="AF147" s="22" t="s">
        <v>197</v>
      </c>
      <c r="AG147" s="22" t="s">
        <v>197</v>
      </c>
      <c r="AH147" s="22" t="s">
        <v>197</v>
      </c>
      <c r="AI147" s="22" t="s">
        <v>197</v>
      </c>
      <c r="AJ147" s="22" t="n">
        <v>57</v>
      </c>
      <c r="AK147" s="22" t="s">
        <v>197</v>
      </c>
      <c r="AL147" s="22" t="s">
        <v>197</v>
      </c>
      <c r="AM147" s="22" t="s">
        <v>197</v>
      </c>
      <c r="AN147" s="7" t="s">
        <v>2518</v>
      </c>
      <c r="AO147" s="22" t="s">
        <v>197</v>
      </c>
      <c r="AP147" s="22" t="n">
        <v>2.5</v>
      </c>
      <c r="AQ147" s="22" t="n">
        <v>6</v>
      </c>
    </row>
    <row r="148" customFormat="false" ht="21.75" hidden="false" customHeight="true" outlineLevel="0" collapsed="false">
      <c r="B148" s="15" t="n">
        <v>144</v>
      </c>
      <c r="C148" s="9" t="s">
        <v>79</v>
      </c>
      <c r="D148" s="9" t="s">
        <v>20</v>
      </c>
      <c r="E148" s="9" t="s">
        <v>118</v>
      </c>
      <c r="F148" s="9" t="s">
        <v>97</v>
      </c>
      <c r="G148" s="9" t="s">
        <v>2879</v>
      </c>
      <c r="H148" s="9" t="s">
        <v>2540</v>
      </c>
      <c r="I148" s="9" t="s">
        <v>2872</v>
      </c>
      <c r="J148" s="9" t="s">
        <v>2873</v>
      </c>
      <c r="K148" s="9" t="s">
        <v>2863</v>
      </c>
      <c r="L148" s="9" t="s">
        <v>2828</v>
      </c>
      <c r="M148" s="9" t="s">
        <v>2514</v>
      </c>
      <c r="N148" s="9" t="s">
        <v>189</v>
      </c>
      <c r="O148" s="9" t="s">
        <v>189</v>
      </c>
      <c r="P148" s="9" t="s">
        <v>190</v>
      </c>
      <c r="Q148" s="9" t="s">
        <v>2515</v>
      </c>
      <c r="R148" s="9" t="s">
        <v>2874</v>
      </c>
      <c r="S148" s="9" t="s">
        <v>2832</v>
      </c>
      <c r="T148" s="9" t="s">
        <v>2875</v>
      </c>
      <c r="U148" s="19" t="n">
        <v>95</v>
      </c>
      <c r="V148" s="9"/>
      <c r="W148" s="9"/>
      <c r="X148" s="9" t="s">
        <v>203</v>
      </c>
      <c r="Y148" s="23" t="n">
        <v>5.501E-005</v>
      </c>
      <c r="Z148" s="23" t="n">
        <v>0.002</v>
      </c>
      <c r="AA148" s="23" t="n">
        <v>24</v>
      </c>
      <c r="AB148" s="9" t="s">
        <v>2828</v>
      </c>
      <c r="AC148" s="9" t="s">
        <v>2865</v>
      </c>
      <c r="AD148" s="23" t="s">
        <v>197</v>
      </c>
      <c r="AE148" s="23" t="s">
        <v>197</v>
      </c>
      <c r="AF148" s="23" t="s">
        <v>197</v>
      </c>
      <c r="AG148" s="23" t="s">
        <v>197</v>
      </c>
      <c r="AH148" s="23" t="s">
        <v>197</v>
      </c>
      <c r="AI148" s="23" t="s">
        <v>197</v>
      </c>
      <c r="AJ148" s="23" t="n">
        <v>42</v>
      </c>
      <c r="AK148" s="23" t="s">
        <v>197</v>
      </c>
      <c r="AL148" s="23" t="s">
        <v>197</v>
      </c>
      <c r="AM148" s="23" t="s">
        <v>197</v>
      </c>
      <c r="AN148" s="9" t="s">
        <v>2518</v>
      </c>
      <c r="AO148" s="23" t="s">
        <v>197</v>
      </c>
      <c r="AP148" s="23" t="n">
        <v>2.5</v>
      </c>
      <c r="AQ148" s="23" t="n">
        <v>6</v>
      </c>
    </row>
    <row r="149" customFormat="false" ht="21.75" hidden="false" customHeight="true" outlineLevel="0" collapsed="false">
      <c r="B149" s="14" t="n">
        <v>145</v>
      </c>
      <c r="C149" s="7" t="s">
        <v>79</v>
      </c>
      <c r="D149" s="7" t="s">
        <v>20</v>
      </c>
      <c r="E149" s="7" t="s">
        <v>118</v>
      </c>
      <c r="F149" s="7" t="s">
        <v>97</v>
      </c>
      <c r="G149" s="7" t="s">
        <v>2880</v>
      </c>
      <c r="H149" s="7" t="s">
        <v>2542</v>
      </c>
      <c r="I149" s="7" t="s">
        <v>2872</v>
      </c>
      <c r="J149" s="7" t="s">
        <v>2873</v>
      </c>
      <c r="K149" s="7" t="s">
        <v>2863</v>
      </c>
      <c r="L149" s="7" t="s">
        <v>2828</v>
      </c>
      <c r="M149" s="7" t="s">
        <v>2514</v>
      </c>
      <c r="N149" s="7" t="s">
        <v>189</v>
      </c>
      <c r="O149" s="7" t="s">
        <v>189</v>
      </c>
      <c r="P149" s="7" t="s">
        <v>190</v>
      </c>
      <c r="Q149" s="7" t="s">
        <v>2515</v>
      </c>
      <c r="R149" s="7" t="s">
        <v>2874</v>
      </c>
      <c r="S149" s="7" t="s">
        <v>2832</v>
      </c>
      <c r="T149" s="7" t="s">
        <v>2875</v>
      </c>
      <c r="U149" s="18" t="n">
        <v>140</v>
      </c>
      <c r="V149" s="7"/>
      <c r="W149" s="7"/>
      <c r="X149" s="7" t="s">
        <v>205</v>
      </c>
      <c r="Y149" s="22" t="n">
        <v>9.031E-005</v>
      </c>
      <c r="Z149" s="22" t="n">
        <v>0.004</v>
      </c>
      <c r="AA149" s="22" t="n">
        <v>24</v>
      </c>
      <c r="AB149" s="7" t="s">
        <v>2828</v>
      </c>
      <c r="AC149" s="7" t="s">
        <v>2865</v>
      </c>
      <c r="AD149" s="22" t="s">
        <v>197</v>
      </c>
      <c r="AE149" s="22" t="s">
        <v>197</v>
      </c>
      <c r="AF149" s="22" t="s">
        <v>197</v>
      </c>
      <c r="AG149" s="22" t="s">
        <v>197</v>
      </c>
      <c r="AH149" s="22" t="s">
        <v>197</v>
      </c>
      <c r="AI149" s="22" t="s">
        <v>197</v>
      </c>
      <c r="AJ149" s="22" t="n">
        <v>53</v>
      </c>
      <c r="AK149" s="22" t="s">
        <v>197</v>
      </c>
      <c r="AL149" s="22" t="s">
        <v>197</v>
      </c>
      <c r="AM149" s="22" t="s">
        <v>197</v>
      </c>
      <c r="AN149" s="7" t="s">
        <v>2518</v>
      </c>
      <c r="AO149" s="22" t="s">
        <v>197</v>
      </c>
      <c r="AP149" s="22" t="n">
        <v>2.5</v>
      </c>
      <c r="AQ149" s="22" t="n">
        <v>6</v>
      </c>
    </row>
    <row r="150" customFormat="false" ht="21.75" hidden="false" customHeight="true" outlineLevel="0" collapsed="false">
      <c r="B150" s="15" t="n">
        <v>146</v>
      </c>
      <c r="C150" s="9" t="s">
        <v>79</v>
      </c>
      <c r="D150" s="9" t="s">
        <v>20</v>
      </c>
      <c r="E150" s="9" t="s">
        <v>118</v>
      </c>
      <c r="F150" s="9" t="s">
        <v>98</v>
      </c>
      <c r="G150" s="9" t="s">
        <v>2867</v>
      </c>
      <c r="H150" s="9" t="s">
        <v>2544</v>
      </c>
      <c r="I150" s="9" t="s">
        <v>2881</v>
      </c>
      <c r="J150" s="9" t="s">
        <v>2882</v>
      </c>
      <c r="K150" s="9" t="s">
        <v>2863</v>
      </c>
      <c r="L150" s="9" t="s">
        <v>2828</v>
      </c>
      <c r="M150" s="9" t="s">
        <v>2514</v>
      </c>
      <c r="N150" s="9" t="s">
        <v>189</v>
      </c>
      <c r="O150" s="9" t="s">
        <v>189</v>
      </c>
      <c r="P150" s="9" t="s">
        <v>190</v>
      </c>
      <c r="Q150" s="9" t="s">
        <v>2515</v>
      </c>
      <c r="R150" s="9" t="s">
        <v>2883</v>
      </c>
      <c r="S150" s="9" t="s">
        <v>2832</v>
      </c>
      <c r="T150" s="9" t="s">
        <v>2884</v>
      </c>
      <c r="U150" s="19" t="n">
        <v>35</v>
      </c>
      <c r="V150" s="9"/>
      <c r="W150" s="9"/>
      <c r="X150" s="9" t="s">
        <v>195</v>
      </c>
      <c r="Y150" s="23" t="n">
        <v>0.00011503</v>
      </c>
      <c r="Z150" s="23" t="n">
        <v>0.005</v>
      </c>
      <c r="AA150" s="23" t="n">
        <v>24</v>
      </c>
      <c r="AB150" s="9" t="s">
        <v>2828</v>
      </c>
      <c r="AC150" s="9" t="s">
        <v>2865</v>
      </c>
      <c r="AD150" s="23" t="s">
        <v>197</v>
      </c>
      <c r="AE150" s="23" t="s">
        <v>197</v>
      </c>
      <c r="AF150" s="23" t="s">
        <v>197</v>
      </c>
      <c r="AG150" s="23" t="s">
        <v>197</v>
      </c>
      <c r="AH150" s="23" t="s">
        <v>197</v>
      </c>
      <c r="AI150" s="23" t="s">
        <v>197</v>
      </c>
      <c r="AJ150" s="23" t="n">
        <v>100</v>
      </c>
      <c r="AK150" s="23" t="s">
        <v>197</v>
      </c>
      <c r="AL150" s="23" t="s">
        <v>197</v>
      </c>
      <c r="AM150" s="23" t="s">
        <v>197</v>
      </c>
      <c r="AN150" s="9" t="s">
        <v>2549</v>
      </c>
      <c r="AO150" s="23" t="s">
        <v>197</v>
      </c>
      <c r="AP150" s="23" t="n">
        <v>2.5</v>
      </c>
      <c r="AQ150" s="23" t="n">
        <v>6</v>
      </c>
    </row>
    <row r="151" customFormat="false" ht="21.75" hidden="false" customHeight="true" outlineLevel="0" collapsed="false">
      <c r="B151" s="14" t="n">
        <v>147</v>
      </c>
      <c r="C151" s="7" t="s">
        <v>79</v>
      </c>
      <c r="D151" s="7" t="s">
        <v>20</v>
      </c>
      <c r="E151" s="7" t="s">
        <v>118</v>
      </c>
      <c r="F151" s="7" t="s">
        <v>98</v>
      </c>
      <c r="G151" s="7" t="s">
        <v>2885</v>
      </c>
      <c r="H151" s="7" t="s">
        <v>2551</v>
      </c>
      <c r="I151" s="7" t="s">
        <v>2881</v>
      </c>
      <c r="J151" s="7" t="s">
        <v>2882</v>
      </c>
      <c r="K151" s="7" t="s">
        <v>2863</v>
      </c>
      <c r="L151" s="7" t="s">
        <v>2828</v>
      </c>
      <c r="M151" s="7" t="s">
        <v>2514</v>
      </c>
      <c r="N151" s="7" t="s">
        <v>189</v>
      </c>
      <c r="O151" s="7" t="s">
        <v>189</v>
      </c>
      <c r="P151" s="7" t="s">
        <v>190</v>
      </c>
      <c r="Q151" s="7" t="s">
        <v>2515</v>
      </c>
      <c r="R151" s="7" t="s">
        <v>2883</v>
      </c>
      <c r="S151" s="7" t="s">
        <v>2832</v>
      </c>
      <c r="T151" s="7" t="s">
        <v>2884</v>
      </c>
      <c r="U151" s="18" t="n">
        <v>55</v>
      </c>
      <c r="V151" s="7"/>
      <c r="W151" s="7"/>
      <c r="X151" s="7" t="s">
        <v>199</v>
      </c>
      <c r="Y151" s="22" t="n">
        <v>8.945E-005</v>
      </c>
      <c r="Z151" s="22" t="n">
        <v>0.003</v>
      </c>
      <c r="AA151" s="22" t="n">
        <v>24</v>
      </c>
      <c r="AB151" s="7" t="s">
        <v>2828</v>
      </c>
      <c r="AC151" s="7" t="s">
        <v>2865</v>
      </c>
      <c r="AD151" s="22" t="s">
        <v>197</v>
      </c>
      <c r="AE151" s="22" t="s">
        <v>197</v>
      </c>
      <c r="AF151" s="22" t="s">
        <v>197</v>
      </c>
      <c r="AG151" s="22" t="s">
        <v>197</v>
      </c>
      <c r="AH151" s="22" t="s">
        <v>197</v>
      </c>
      <c r="AI151" s="22" t="s">
        <v>197</v>
      </c>
      <c r="AJ151" s="22" t="n">
        <v>85</v>
      </c>
      <c r="AK151" s="22" t="s">
        <v>197</v>
      </c>
      <c r="AL151" s="22" t="s">
        <v>197</v>
      </c>
      <c r="AM151" s="22" t="s">
        <v>197</v>
      </c>
      <c r="AN151" s="7" t="s">
        <v>2549</v>
      </c>
      <c r="AO151" s="22" t="s">
        <v>197</v>
      </c>
      <c r="AP151" s="22" t="n">
        <v>2.5</v>
      </c>
      <c r="AQ151" s="22" t="n">
        <v>6</v>
      </c>
    </row>
    <row r="152" customFormat="false" ht="21.75" hidden="false" customHeight="true" outlineLevel="0" collapsed="false">
      <c r="B152" s="15" t="n">
        <v>148</v>
      </c>
      <c r="C152" s="9" t="s">
        <v>79</v>
      </c>
      <c r="D152" s="9" t="s">
        <v>20</v>
      </c>
      <c r="E152" s="9" t="s">
        <v>118</v>
      </c>
      <c r="F152" s="9" t="s">
        <v>98</v>
      </c>
      <c r="G152" s="9" t="s">
        <v>2886</v>
      </c>
      <c r="H152" s="9" t="s">
        <v>2553</v>
      </c>
      <c r="I152" s="9" t="s">
        <v>2881</v>
      </c>
      <c r="J152" s="9" t="s">
        <v>2882</v>
      </c>
      <c r="K152" s="9" t="s">
        <v>2863</v>
      </c>
      <c r="L152" s="9" t="s">
        <v>2828</v>
      </c>
      <c r="M152" s="9" t="s">
        <v>2514</v>
      </c>
      <c r="N152" s="9" t="s">
        <v>189</v>
      </c>
      <c r="O152" s="9" t="s">
        <v>189</v>
      </c>
      <c r="P152" s="9" t="s">
        <v>190</v>
      </c>
      <c r="Q152" s="9" t="s">
        <v>2515</v>
      </c>
      <c r="R152" s="9" t="s">
        <v>2883</v>
      </c>
      <c r="S152" s="9" t="s">
        <v>2832</v>
      </c>
      <c r="T152" s="9" t="s">
        <v>2884</v>
      </c>
      <c r="U152" s="19" t="n">
        <v>75</v>
      </c>
      <c r="V152" s="9"/>
      <c r="W152" s="9"/>
      <c r="X152" s="9" t="s">
        <v>2887</v>
      </c>
      <c r="Y152" s="23" t="n">
        <v>9.312E-005</v>
      </c>
      <c r="Z152" s="23" t="n">
        <v>0.004</v>
      </c>
      <c r="AA152" s="23" t="n">
        <v>24</v>
      </c>
      <c r="AB152" s="9" t="s">
        <v>2828</v>
      </c>
      <c r="AC152" s="9" t="s">
        <v>2865</v>
      </c>
      <c r="AD152" s="23" t="s">
        <v>197</v>
      </c>
      <c r="AE152" s="23" t="s">
        <v>197</v>
      </c>
      <c r="AF152" s="23" t="s">
        <v>197</v>
      </c>
      <c r="AG152" s="23" t="s">
        <v>197</v>
      </c>
      <c r="AH152" s="23" t="s">
        <v>197</v>
      </c>
      <c r="AI152" s="23" t="s">
        <v>197</v>
      </c>
      <c r="AJ152" s="23" t="n">
        <v>87</v>
      </c>
      <c r="AK152" s="23" t="s">
        <v>197</v>
      </c>
      <c r="AL152" s="23" t="s">
        <v>197</v>
      </c>
      <c r="AM152" s="23" t="s">
        <v>197</v>
      </c>
      <c r="AN152" s="9" t="s">
        <v>2549</v>
      </c>
      <c r="AO152" s="23" t="s">
        <v>197</v>
      </c>
      <c r="AP152" s="23" t="n">
        <v>2.5</v>
      </c>
      <c r="AQ152" s="23" t="n">
        <v>6</v>
      </c>
    </row>
    <row r="153" customFormat="false" ht="21.75" hidden="false" customHeight="true" outlineLevel="0" collapsed="false">
      <c r="B153" s="14" t="n">
        <v>149</v>
      </c>
      <c r="C153" s="7" t="s">
        <v>79</v>
      </c>
      <c r="D153" s="7" t="s">
        <v>20</v>
      </c>
      <c r="E153" s="7" t="s">
        <v>118</v>
      </c>
      <c r="F153" s="7" t="s">
        <v>98</v>
      </c>
      <c r="G153" s="7" t="s">
        <v>2888</v>
      </c>
      <c r="H153" s="7" t="s">
        <v>2556</v>
      </c>
      <c r="I153" s="7" t="s">
        <v>2881</v>
      </c>
      <c r="J153" s="7" t="s">
        <v>2882</v>
      </c>
      <c r="K153" s="7" t="s">
        <v>2863</v>
      </c>
      <c r="L153" s="7" t="s">
        <v>2828</v>
      </c>
      <c r="M153" s="7" t="s">
        <v>2514</v>
      </c>
      <c r="N153" s="7" t="s">
        <v>189</v>
      </c>
      <c r="O153" s="7" t="s">
        <v>189</v>
      </c>
      <c r="P153" s="7" t="s">
        <v>190</v>
      </c>
      <c r="Q153" s="7" t="s">
        <v>2515</v>
      </c>
      <c r="R153" s="7" t="s">
        <v>2883</v>
      </c>
      <c r="S153" s="7" t="s">
        <v>2832</v>
      </c>
      <c r="T153" s="7" t="s">
        <v>2884</v>
      </c>
      <c r="U153" s="18" t="n">
        <v>115</v>
      </c>
      <c r="V153" s="7"/>
      <c r="W153" s="7"/>
      <c r="X153" s="7" t="s">
        <v>203</v>
      </c>
      <c r="Y153" s="22" t="n">
        <v>0.00011583</v>
      </c>
      <c r="Z153" s="22" t="n">
        <v>0.005</v>
      </c>
      <c r="AA153" s="22" t="n">
        <v>24</v>
      </c>
      <c r="AB153" s="7" t="s">
        <v>2828</v>
      </c>
      <c r="AC153" s="7" t="s">
        <v>2865</v>
      </c>
      <c r="AD153" s="22" t="s">
        <v>197</v>
      </c>
      <c r="AE153" s="22" t="s">
        <v>197</v>
      </c>
      <c r="AF153" s="22" t="s">
        <v>197</v>
      </c>
      <c r="AG153" s="22" t="s">
        <v>197</v>
      </c>
      <c r="AH153" s="22" t="s">
        <v>197</v>
      </c>
      <c r="AI153" s="22" t="s">
        <v>197</v>
      </c>
      <c r="AJ153" s="22" t="n">
        <v>100</v>
      </c>
      <c r="AK153" s="22" t="s">
        <v>197</v>
      </c>
      <c r="AL153" s="22" t="s">
        <v>197</v>
      </c>
      <c r="AM153" s="22" t="s">
        <v>197</v>
      </c>
      <c r="AN153" s="7" t="s">
        <v>2549</v>
      </c>
      <c r="AO153" s="22" t="s">
        <v>197</v>
      </c>
      <c r="AP153" s="22" t="n">
        <v>2.5</v>
      </c>
      <c r="AQ153" s="22" t="n">
        <v>6</v>
      </c>
    </row>
    <row r="154" customFormat="false" ht="21.75" hidden="false" customHeight="true" outlineLevel="0" collapsed="false">
      <c r="B154" s="15" t="n">
        <v>150</v>
      </c>
      <c r="C154" s="9" t="s">
        <v>79</v>
      </c>
      <c r="D154" s="9" t="s">
        <v>20</v>
      </c>
      <c r="E154" s="9" t="s">
        <v>118</v>
      </c>
      <c r="F154" s="9" t="s">
        <v>98</v>
      </c>
      <c r="G154" s="9" t="s">
        <v>2889</v>
      </c>
      <c r="H154" s="9" t="s">
        <v>2558</v>
      </c>
      <c r="I154" s="9" t="s">
        <v>2881</v>
      </c>
      <c r="J154" s="9" t="s">
        <v>2882</v>
      </c>
      <c r="K154" s="9" t="s">
        <v>2863</v>
      </c>
      <c r="L154" s="9" t="s">
        <v>2828</v>
      </c>
      <c r="M154" s="9" t="s">
        <v>2514</v>
      </c>
      <c r="N154" s="9" t="s">
        <v>189</v>
      </c>
      <c r="O154" s="9" t="s">
        <v>189</v>
      </c>
      <c r="P154" s="9" t="s">
        <v>190</v>
      </c>
      <c r="Q154" s="9" t="s">
        <v>2515</v>
      </c>
      <c r="R154" s="9" t="s">
        <v>2883</v>
      </c>
      <c r="S154" s="9" t="s">
        <v>2832</v>
      </c>
      <c r="T154" s="9" t="s">
        <v>2884</v>
      </c>
      <c r="U154" s="19" t="n">
        <v>170</v>
      </c>
      <c r="V154" s="9"/>
      <c r="W154" s="9"/>
      <c r="X154" s="9" t="s">
        <v>205</v>
      </c>
      <c r="Y154" s="23" t="n">
        <v>0.00013386</v>
      </c>
      <c r="Z154" s="23" t="n">
        <v>0.005</v>
      </c>
      <c r="AA154" s="23" t="n">
        <v>24</v>
      </c>
      <c r="AB154" s="9" t="s">
        <v>2828</v>
      </c>
      <c r="AC154" s="9" t="s">
        <v>2865</v>
      </c>
      <c r="AD154" s="23" t="s">
        <v>197</v>
      </c>
      <c r="AE154" s="23" t="s">
        <v>197</v>
      </c>
      <c r="AF154" s="23" t="s">
        <v>197</v>
      </c>
      <c r="AG154" s="23" t="s">
        <v>197</v>
      </c>
      <c r="AH154" s="23" t="s">
        <v>197</v>
      </c>
      <c r="AI154" s="23" t="s">
        <v>197</v>
      </c>
      <c r="AJ154" s="23" t="n">
        <v>111</v>
      </c>
      <c r="AK154" s="23" t="s">
        <v>197</v>
      </c>
      <c r="AL154" s="23" t="s">
        <v>197</v>
      </c>
      <c r="AM154" s="23" t="s">
        <v>197</v>
      </c>
      <c r="AN154" s="9" t="s">
        <v>2549</v>
      </c>
      <c r="AO154" s="23" t="s">
        <v>197</v>
      </c>
      <c r="AP154" s="23" t="n">
        <v>2.5</v>
      </c>
      <c r="AQ154" s="23" t="n">
        <v>6</v>
      </c>
    </row>
    <row r="155" customFormat="false" ht="21.75" hidden="false" customHeight="true" outlineLevel="0" collapsed="false">
      <c r="B155" s="14" t="n">
        <v>151</v>
      </c>
      <c r="C155" s="7" t="s">
        <v>79</v>
      </c>
      <c r="D155" s="7" t="s">
        <v>20</v>
      </c>
      <c r="E155" s="7" t="s">
        <v>118</v>
      </c>
      <c r="F155" s="7" t="s">
        <v>99</v>
      </c>
      <c r="G155" s="7" t="s">
        <v>391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18"/>
      <c r="V155" s="7"/>
      <c r="W155" s="7"/>
      <c r="X155" s="7" t="s">
        <v>2890</v>
      </c>
      <c r="Y155" s="22" t="s">
        <v>197</v>
      </c>
      <c r="Z155" s="22" t="s">
        <v>197</v>
      </c>
      <c r="AA155" s="22" t="s">
        <v>197</v>
      </c>
      <c r="AB155" s="7" t="s">
        <v>197</v>
      </c>
      <c r="AC155" s="7" t="s">
        <v>197</v>
      </c>
      <c r="AD155" s="22" t="s">
        <v>197</v>
      </c>
      <c r="AE155" s="22" t="s">
        <v>197</v>
      </c>
      <c r="AF155" s="22" t="s">
        <v>197</v>
      </c>
      <c r="AG155" s="22" t="s">
        <v>197</v>
      </c>
      <c r="AH155" s="22" t="s">
        <v>197</v>
      </c>
      <c r="AI155" s="22" t="s">
        <v>197</v>
      </c>
      <c r="AJ155" s="22" t="s">
        <v>197</v>
      </c>
      <c r="AK155" s="22" t="s">
        <v>197</v>
      </c>
      <c r="AL155" s="22" t="s">
        <v>197</v>
      </c>
      <c r="AM155" s="22" t="s">
        <v>197</v>
      </c>
      <c r="AN155" s="7" t="s">
        <v>197</v>
      </c>
      <c r="AO155" s="22" t="s">
        <v>197</v>
      </c>
      <c r="AP155" s="22" t="s">
        <v>197</v>
      </c>
      <c r="AQ155" s="22" t="s">
        <v>197</v>
      </c>
    </row>
    <row r="156" customFormat="false" ht="21.75" hidden="false" customHeight="true" outlineLevel="0" collapsed="false">
      <c r="B156" s="15" t="n">
        <v>152</v>
      </c>
      <c r="C156" s="9" t="s">
        <v>79</v>
      </c>
      <c r="D156" s="9" t="s">
        <v>20</v>
      </c>
      <c r="E156" s="9" t="s">
        <v>118</v>
      </c>
      <c r="F156" s="9" t="s">
        <v>100</v>
      </c>
      <c r="G156" s="9" t="s">
        <v>391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19"/>
      <c r="V156" s="9"/>
      <c r="W156" s="9"/>
      <c r="X156" s="9" t="s">
        <v>2891</v>
      </c>
      <c r="Y156" s="23" t="s">
        <v>197</v>
      </c>
      <c r="Z156" s="23" t="s">
        <v>197</v>
      </c>
      <c r="AA156" s="23" t="s">
        <v>197</v>
      </c>
      <c r="AB156" s="9" t="s">
        <v>197</v>
      </c>
      <c r="AC156" s="9" t="s">
        <v>197</v>
      </c>
      <c r="AD156" s="23" t="s">
        <v>197</v>
      </c>
      <c r="AE156" s="23" t="s">
        <v>197</v>
      </c>
      <c r="AF156" s="23" t="s">
        <v>197</v>
      </c>
      <c r="AG156" s="23" t="s">
        <v>197</v>
      </c>
      <c r="AH156" s="23" t="s">
        <v>197</v>
      </c>
      <c r="AI156" s="23" t="s">
        <v>197</v>
      </c>
      <c r="AJ156" s="23" t="s">
        <v>197</v>
      </c>
      <c r="AK156" s="23" t="s">
        <v>197</v>
      </c>
      <c r="AL156" s="23" t="s">
        <v>197</v>
      </c>
      <c r="AM156" s="23" t="s">
        <v>197</v>
      </c>
      <c r="AN156" s="9" t="s">
        <v>197</v>
      </c>
      <c r="AO156" s="23" t="s">
        <v>197</v>
      </c>
      <c r="AP156" s="23" t="s">
        <v>197</v>
      </c>
      <c r="AQ156" s="23" t="s">
        <v>197</v>
      </c>
    </row>
    <row r="157" customFormat="false" ht="21.75" hidden="false" customHeight="true" outlineLevel="0" collapsed="false">
      <c r="B157" s="14" t="n">
        <v>153</v>
      </c>
      <c r="C157" s="7" t="s">
        <v>79</v>
      </c>
      <c r="D157" s="7" t="s">
        <v>20</v>
      </c>
      <c r="E157" s="7" t="s">
        <v>118</v>
      </c>
      <c r="F157" s="7" t="s">
        <v>101</v>
      </c>
      <c r="G157" s="7" t="s">
        <v>2892</v>
      </c>
      <c r="H157" s="7" t="s">
        <v>2583</v>
      </c>
      <c r="I157" s="7" t="s">
        <v>2893</v>
      </c>
      <c r="J157" s="7" t="s">
        <v>2894</v>
      </c>
      <c r="K157" s="7" t="s">
        <v>2895</v>
      </c>
      <c r="L157" s="7" t="s">
        <v>2828</v>
      </c>
      <c r="M157" s="7" t="s">
        <v>2565</v>
      </c>
      <c r="N157" s="7" t="s">
        <v>1259</v>
      </c>
      <c r="O157" s="7" t="s">
        <v>189</v>
      </c>
      <c r="P157" s="7" t="s">
        <v>190</v>
      </c>
      <c r="Q157" s="7" t="s">
        <v>2896</v>
      </c>
      <c r="R157" s="7" t="s">
        <v>2897</v>
      </c>
      <c r="S157" s="7" t="s">
        <v>2832</v>
      </c>
      <c r="T157" s="7" t="s">
        <v>2898</v>
      </c>
      <c r="U157" s="18" t="n">
        <v>260</v>
      </c>
      <c r="V157" s="7"/>
      <c r="W157" s="7"/>
      <c r="X157" s="7" t="s">
        <v>195</v>
      </c>
      <c r="Y157" s="22" t="n">
        <v>0.043</v>
      </c>
      <c r="Z157" s="22" t="n">
        <v>0.063</v>
      </c>
      <c r="AA157" s="22" t="n">
        <v>24</v>
      </c>
      <c r="AB157" s="7" t="s">
        <v>2828</v>
      </c>
      <c r="AC157" s="7" t="s">
        <v>2899</v>
      </c>
      <c r="AD157" s="22" t="s">
        <v>197</v>
      </c>
      <c r="AE157" s="22" t="s">
        <v>197</v>
      </c>
      <c r="AF157" s="22" t="s">
        <v>197</v>
      </c>
      <c r="AG157" s="22" t="s">
        <v>197</v>
      </c>
      <c r="AH157" s="22" t="s">
        <v>197</v>
      </c>
      <c r="AI157" s="22" t="s">
        <v>197</v>
      </c>
      <c r="AJ157" s="22" t="n">
        <v>550</v>
      </c>
      <c r="AK157" s="22" t="s">
        <v>197</v>
      </c>
      <c r="AL157" s="22" t="n">
        <v>50</v>
      </c>
      <c r="AM157" s="22" t="s">
        <v>197</v>
      </c>
      <c r="AN157" s="7" t="s">
        <v>2590</v>
      </c>
      <c r="AO157" s="22" t="s">
        <v>197</v>
      </c>
      <c r="AP157" s="22" t="n">
        <v>6</v>
      </c>
      <c r="AQ157" s="22" t="n">
        <v>50</v>
      </c>
    </row>
    <row r="158" customFormat="false" ht="21.75" hidden="false" customHeight="true" outlineLevel="0" collapsed="false">
      <c r="B158" s="15" t="n">
        <v>154</v>
      </c>
      <c r="C158" s="9" t="s">
        <v>79</v>
      </c>
      <c r="D158" s="9" t="s">
        <v>20</v>
      </c>
      <c r="E158" s="9" t="s">
        <v>118</v>
      </c>
      <c r="F158" s="9" t="s">
        <v>101</v>
      </c>
      <c r="G158" s="9" t="s">
        <v>2900</v>
      </c>
      <c r="H158" s="9" t="s">
        <v>2592</v>
      </c>
      <c r="I158" s="9" t="s">
        <v>2893</v>
      </c>
      <c r="J158" s="9" t="s">
        <v>2894</v>
      </c>
      <c r="K158" s="9" t="s">
        <v>2895</v>
      </c>
      <c r="L158" s="9" t="s">
        <v>2828</v>
      </c>
      <c r="M158" s="9" t="s">
        <v>2565</v>
      </c>
      <c r="N158" s="9" t="s">
        <v>1259</v>
      </c>
      <c r="O158" s="9" t="s">
        <v>189</v>
      </c>
      <c r="P158" s="9" t="s">
        <v>190</v>
      </c>
      <c r="Q158" s="9" t="s">
        <v>2896</v>
      </c>
      <c r="R158" s="9" t="s">
        <v>2897</v>
      </c>
      <c r="S158" s="9" t="s">
        <v>2832</v>
      </c>
      <c r="T158" s="9" t="s">
        <v>2898</v>
      </c>
      <c r="U158" s="19" t="n">
        <v>390</v>
      </c>
      <c r="V158" s="9"/>
      <c r="W158" s="9"/>
      <c r="X158" s="9" t="s">
        <v>199</v>
      </c>
      <c r="Y158" s="23" t="n">
        <v>0.041</v>
      </c>
      <c r="Z158" s="23" t="n">
        <v>0.061</v>
      </c>
      <c r="AA158" s="23" t="n">
        <v>24</v>
      </c>
      <c r="AB158" s="9" t="s">
        <v>2828</v>
      </c>
      <c r="AC158" s="9" t="s">
        <v>2899</v>
      </c>
      <c r="AD158" s="23" t="s">
        <v>197</v>
      </c>
      <c r="AE158" s="23" t="s">
        <v>197</v>
      </c>
      <c r="AF158" s="23" t="s">
        <v>197</v>
      </c>
      <c r="AG158" s="23" t="s">
        <v>197</v>
      </c>
      <c r="AH158" s="23" t="s">
        <v>197</v>
      </c>
      <c r="AI158" s="23" t="s">
        <v>197</v>
      </c>
      <c r="AJ158" s="23" t="n">
        <v>700</v>
      </c>
      <c r="AK158" s="23" t="s">
        <v>197</v>
      </c>
      <c r="AL158" s="23" t="n">
        <v>70</v>
      </c>
      <c r="AM158" s="23" t="s">
        <v>197</v>
      </c>
      <c r="AN158" s="9" t="s">
        <v>2590</v>
      </c>
      <c r="AO158" s="23" t="s">
        <v>197</v>
      </c>
      <c r="AP158" s="23" t="n">
        <v>6</v>
      </c>
      <c r="AQ158" s="23" t="n">
        <v>70</v>
      </c>
    </row>
    <row r="159" customFormat="false" ht="21.75" hidden="false" customHeight="true" outlineLevel="0" collapsed="false">
      <c r="B159" s="14" t="n">
        <v>155</v>
      </c>
      <c r="C159" s="7" t="s">
        <v>79</v>
      </c>
      <c r="D159" s="7" t="s">
        <v>20</v>
      </c>
      <c r="E159" s="7" t="s">
        <v>118</v>
      </c>
      <c r="F159" s="7" t="s">
        <v>101</v>
      </c>
      <c r="G159" s="7" t="s">
        <v>2901</v>
      </c>
      <c r="H159" s="7" t="s">
        <v>2594</v>
      </c>
      <c r="I159" s="7" t="s">
        <v>2893</v>
      </c>
      <c r="J159" s="7" t="s">
        <v>2894</v>
      </c>
      <c r="K159" s="7" t="s">
        <v>2895</v>
      </c>
      <c r="L159" s="7" t="s">
        <v>2828</v>
      </c>
      <c r="M159" s="7" t="s">
        <v>2565</v>
      </c>
      <c r="N159" s="7" t="s">
        <v>1259</v>
      </c>
      <c r="O159" s="7" t="s">
        <v>189</v>
      </c>
      <c r="P159" s="7" t="s">
        <v>190</v>
      </c>
      <c r="Q159" s="7" t="s">
        <v>2896</v>
      </c>
      <c r="R159" s="7" t="s">
        <v>2897</v>
      </c>
      <c r="S159" s="7" t="s">
        <v>2832</v>
      </c>
      <c r="T159" s="7" t="s">
        <v>2898</v>
      </c>
      <c r="U159" s="18" t="n">
        <v>520</v>
      </c>
      <c r="V159" s="7"/>
      <c r="W159" s="7"/>
      <c r="X159" s="7" t="s">
        <v>2902</v>
      </c>
      <c r="Y159" s="22" t="n">
        <v>0.05</v>
      </c>
      <c r="Z159" s="22" t="n">
        <v>0.07</v>
      </c>
      <c r="AA159" s="22" t="n">
        <v>24</v>
      </c>
      <c r="AB159" s="7" t="s">
        <v>2828</v>
      </c>
      <c r="AC159" s="7" t="s">
        <v>2899</v>
      </c>
      <c r="AD159" s="22" t="s">
        <v>197</v>
      </c>
      <c r="AE159" s="22" t="s">
        <v>197</v>
      </c>
      <c r="AF159" s="22" t="s">
        <v>197</v>
      </c>
      <c r="AG159" s="22" t="s">
        <v>197</v>
      </c>
      <c r="AH159" s="22" t="s">
        <v>197</v>
      </c>
      <c r="AI159" s="22" t="s">
        <v>197</v>
      </c>
      <c r="AJ159" s="22" t="n">
        <v>1200</v>
      </c>
      <c r="AK159" s="22" t="s">
        <v>197</v>
      </c>
      <c r="AL159" s="22" t="n">
        <v>100</v>
      </c>
      <c r="AM159" s="22" t="s">
        <v>197</v>
      </c>
      <c r="AN159" s="7" t="s">
        <v>2590</v>
      </c>
      <c r="AO159" s="22" t="s">
        <v>197</v>
      </c>
      <c r="AP159" s="22" t="n">
        <v>6</v>
      </c>
      <c r="AQ159" s="22" t="n">
        <v>100</v>
      </c>
    </row>
    <row r="160" customFormat="false" ht="21.75" hidden="false" customHeight="true" outlineLevel="0" collapsed="false">
      <c r="B160" s="15" t="n">
        <v>156</v>
      </c>
      <c r="C160" s="9" t="s">
        <v>79</v>
      </c>
      <c r="D160" s="9" t="s">
        <v>20</v>
      </c>
      <c r="E160" s="9" t="s">
        <v>118</v>
      </c>
      <c r="F160" s="9" t="s">
        <v>101</v>
      </c>
      <c r="G160" s="9" t="s">
        <v>2903</v>
      </c>
      <c r="H160" s="9" t="s">
        <v>2597</v>
      </c>
      <c r="I160" s="9" t="s">
        <v>2893</v>
      </c>
      <c r="J160" s="9" t="s">
        <v>2894</v>
      </c>
      <c r="K160" s="9" t="s">
        <v>2895</v>
      </c>
      <c r="L160" s="9" t="s">
        <v>2828</v>
      </c>
      <c r="M160" s="9" t="s">
        <v>2565</v>
      </c>
      <c r="N160" s="9" t="s">
        <v>1259</v>
      </c>
      <c r="O160" s="9" t="s">
        <v>189</v>
      </c>
      <c r="P160" s="9" t="s">
        <v>190</v>
      </c>
      <c r="Q160" s="9" t="s">
        <v>2896</v>
      </c>
      <c r="R160" s="9" t="s">
        <v>2897</v>
      </c>
      <c r="S160" s="9" t="s">
        <v>2832</v>
      </c>
      <c r="T160" s="9" t="s">
        <v>2898</v>
      </c>
      <c r="U160" s="19" t="n">
        <v>780</v>
      </c>
      <c r="V160" s="9"/>
      <c r="W160" s="9"/>
      <c r="X160" s="9" t="s">
        <v>203</v>
      </c>
      <c r="Y160" s="23" t="n">
        <v>0.047</v>
      </c>
      <c r="Z160" s="23" t="n">
        <v>0.067</v>
      </c>
      <c r="AA160" s="23" t="n">
        <v>24</v>
      </c>
      <c r="AB160" s="9" t="s">
        <v>2828</v>
      </c>
      <c r="AC160" s="9" t="s">
        <v>2899</v>
      </c>
      <c r="AD160" s="23" t="s">
        <v>197</v>
      </c>
      <c r="AE160" s="23" t="s">
        <v>197</v>
      </c>
      <c r="AF160" s="23" t="s">
        <v>197</v>
      </c>
      <c r="AG160" s="23" t="s">
        <v>197</v>
      </c>
      <c r="AH160" s="23" t="s">
        <v>197</v>
      </c>
      <c r="AI160" s="23" t="s">
        <v>197</v>
      </c>
      <c r="AJ160" s="23" t="n">
        <v>1100</v>
      </c>
      <c r="AK160" s="23" t="s">
        <v>197</v>
      </c>
      <c r="AL160" s="23" t="n">
        <v>100</v>
      </c>
      <c r="AM160" s="23" t="s">
        <v>197</v>
      </c>
      <c r="AN160" s="9" t="s">
        <v>2590</v>
      </c>
      <c r="AO160" s="23" t="s">
        <v>197</v>
      </c>
      <c r="AP160" s="23" t="n">
        <v>6</v>
      </c>
      <c r="AQ160" s="23" t="n">
        <v>100</v>
      </c>
    </row>
    <row r="161" customFormat="false" ht="21.75" hidden="false" customHeight="true" outlineLevel="0" collapsed="false">
      <c r="B161" s="14" t="n">
        <v>157</v>
      </c>
      <c r="C161" s="7" t="s">
        <v>79</v>
      </c>
      <c r="D161" s="7" t="s">
        <v>20</v>
      </c>
      <c r="E161" s="7" t="s">
        <v>118</v>
      </c>
      <c r="F161" s="7" t="s">
        <v>101</v>
      </c>
      <c r="G161" s="7" t="s">
        <v>2904</v>
      </c>
      <c r="H161" s="7" t="s">
        <v>2599</v>
      </c>
      <c r="I161" s="7" t="s">
        <v>2893</v>
      </c>
      <c r="J161" s="7" t="s">
        <v>2894</v>
      </c>
      <c r="K161" s="7" t="s">
        <v>2895</v>
      </c>
      <c r="L161" s="7" t="s">
        <v>2828</v>
      </c>
      <c r="M161" s="7" t="s">
        <v>2565</v>
      </c>
      <c r="N161" s="7" t="s">
        <v>1259</v>
      </c>
      <c r="O161" s="7" t="s">
        <v>189</v>
      </c>
      <c r="P161" s="7" t="s">
        <v>190</v>
      </c>
      <c r="Q161" s="7" t="s">
        <v>2896</v>
      </c>
      <c r="R161" s="7" t="s">
        <v>2897</v>
      </c>
      <c r="S161" s="7" t="s">
        <v>2832</v>
      </c>
      <c r="T161" s="7" t="s">
        <v>2898</v>
      </c>
      <c r="U161" s="18" t="n">
        <v>1140</v>
      </c>
      <c r="V161" s="7"/>
      <c r="W161" s="7"/>
      <c r="X161" s="7" t="s">
        <v>205</v>
      </c>
      <c r="Y161" s="22" t="n">
        <v>0.044</v>
      </c>
      <c r="Z161" s="22" t="n">
        <v>0.064</v>
      </c>
      <c r="AA161" s="22" t="n">
        <v>24</v>
      </c>
      <c r="AB161" s="7" t="s">
        <v>2828</v>
      </c>
      <c r="AC161" s="7" t="s">
        <v>2899</v>
      </c>
      <c r="AD161" s="22" t="s">
        <v>197</v>
      </c>
      <c r="AE161" s="22" t="s">
        <v>197</v>
      </c>
      <c r="AF161" s="22" t="s">
        <v>197</v>
      </c>
      <c r="AG161" s="22" t="s">
        <v>197</v>
      </c>
      <c r="AH161" s="22" t="s">
        <v>197</v>
      </c>
      <c r="AI161" s="22" t="s">
        <v>197</v>
      </c>
      <c r="AJ161" s="22" t="n">
        <v>1650</v>
      </c>
      <c r="AK161" s="22" t="s">
        <v>197</v>
      </c>
      <c r="AL161" s="22" t="n">
        <v>150</v>
      </c>
      <c r="AM161" s="22" t="s">
        <v>197</v>
      </c>
      <c r="AN161" s="7" t="s">
        <v>2590</v>
      </c>
      <c r="AO161" s="22" t="s">
        <v>197</v>
      </c>
      <c r="AP161" s="22" t="n">
        <v>6</v>
      </c>
      <c r="AQ161" s="22" t="n">
        <v>150</v>
      </c>
    </row>
    <row r="162" customFormat="false" ht="21.75" hidden="false" customHeight="true" outlineLevel="0" collapsed="false">
      <c r="B162" s="15" t="n">
        <v>158</v>
      </c>
      <c r="C162" s="9" t="s">
        <v>79</v>
      </c>
      <c r="D162" s="9" t="s">
        <v>20</v>
      </c>
      <c r="E162" s="9" t="s">
        <v>118</v>
      </c>
      <c r="F162" s="9" t="s">
        <v>102</v>
      </c>
      <c r="G162" s="9" t="s">
        <v>2905</v>
      </c>
      <c r="H162" s="9" t="s">
        <v>2601</v>
      </c>
      <c r="I162" s="9" t="s">
        <v>2906</v>
      </c>
      <c r="J162" s="9" t="s">
        <v>2907</v>
      </c>
      <c r="K162" s="9" t="s">
        <v>2697</v>
      </c>
      <c r="L162" s="9" t="s">
        <v>2828</v>
      </c>
      <c r="M162" s="9" t="s">
        <v>2698</v>
      </c>
      <c r="N162" s="9" t="s">
        <v>189</v>
      </c>
      <c r="O162" s="9" t="s">
        <v>189</v>
      </c>
      <c r="P162" s="9" t="s">
        <v>190</v>
      </c>
      <c r="Q162" s="9" t="s">
        <v>2908</v>
      </c>
      <c r="R162" s="9" t="s">
        <v>290</v>
      </c>
      <c r="S162" s="9" t="s">
        <v>2832</v>
      </c>
      <c r="T162" s="9" t="s">
        <v>2909</v>
      </c>
      <c r="U162" s="19" t="n">
        <v>19</v>
      </c>
      <c r="V162" s="9"/>
      <c r="W162" s="9"/>
      <c r="X162" s="9" t="s">
        <v>195</v>
      </c>
      <c r="Y162" s="23" t="n">
        <v>0.00031122</v>
      </c>
      <c r="Z162" s="23" t="n">
        <v>0.004</v>
      </c>
      <c r="AA162" s="23" t="n">
        <v>24</v>
      </c>
      <c r="AB162" s="9" t="s">
        <v>2828</v>
      </c>
      <c r="AC162" s="9" t="s">
        <v>2865</v>
      </c>
      <c r="AD162" s="23" t="s">
        <v>197</v>
      </c>
      <c r="AE162" s="23" t="s">
        <v>197</v>
      </c>
      <c r="AF162" s="23" t="s">
        <v>197</v>
      </c>
      <c r="AG162" s="23" t="s">
        <v>197</v>
      </c>
      <c r="AH162" s="23" t="s">
        <v>197</v>
      </c>
      <c r="AI162" s="23" t="s">
        <v>197</v>
      </c>
      <c r="AJ162" s="23" t="s">
        <v>197</v>
      </c>
      <c r="AK162" s="23" t="s">
        <v>197</v>
      </c>
      <c r="AL162" s="23" t="s">
        <v>197</v>
      </c>
      <c r="AM162" s="23" t="s">
        <v>197</v>
      </c>
      <c r="AN162" s="9" t="s">
        <v>197</v>
      </c>
      <c r="AO162" s="23" t="s">
        <v>197</v>
      </c>
      <c r="AP162" s="23" t="n">
        <v>1.05</v>
      </c>
      <c r="AQ162" s="23" t="n">
        <v>1.4</v>
      </c>
    </row>
    <row r="163" customFormat="false" ht="21.75" hidden="false" customHeight="true" outlineLevel="0" collapsed="false">
      <c r="B163" s="14" t="n">
        <v>159</v>
      </c>
      <c r="C163" s="7" t="s">
        <v>79</v>
      </c>
      <c r="D163" s="7" t="s">
        <v>20</v>
      </c>
      <c r="E163" s="7" t="s">
        <v>118</v>
      </c>
      <c r="F163" s="7" t="s">
        <v>102</v>
      </c>
      <c r="G163" s="7" t="s">
        <v>2910</v>
      </c>
      <c r="H163" s="7" t="s">
        <v>2607</v>
      </c>
      <c r="I163" s="7" t="s">
        <v>2906</v>
      </c>
      <c r="J163" s="7" t="s">
        <v>2907</v>
      </c>
      <c r="K163" s="7" t="s">
        <v>2697</v>
      </c>
      <c r="L163" s="7" t="s">
        <v>2828</v>
      </c>
      <c r="M163" s="7" t="s">
        <v>2698</v>
      </c>
      <c r="N163" s="7" t="s">
        <v>189</v>
      </c>
      <c r="O163" s="7" t="s">
        <v>189</v>
      </c>
      <c r="P163" s="7" t="s">
        <v>190</v>
      </c>
      <c r="Q163" s="7" t="s">
        <v>2908</v>
      </c>
      <c r="R163" s="7" t="s">
        <v>290</v>
      </c>
      <c r="S163" s="7" t="s">
        <v>2832</v>
      </c>
      <c r="T163" s="7" t="s">
        <v>2909</v>
      </c>
      <c r="U163" s="18" t="n">
        <v>25</v>
      </c>
      <c r="V163" s="7"/>
      <c r="W163" s="7"/>
      <c r="X163" s="7" t="s">
        <v>199</v>
      </c>
      <c r="Y163" s="22" t="n">
        <v>0.00030566</v>
      </c>
      <c r="Z163" s="22" t="n">
        <v>0.004</v>
      </c>
      <c r="AA163" s="22" t="n">
        <v>24</v>
      </c>
      <c r="AB163" s="7" t="s">
        <v>2828</v>
      </c>
      <c r="AC163" s="7" t="s">
        <v>2865</v>
      </c>
      <c r="AD163" s="22" t="s">
        <v>197</v>
      </c>
      <c r="AE163" s="22" t="s">
        <v>197</v>
      </c>
      <c r="AF163" s="22" t="s">
        <v>197</v>
      </c>
      <c r="AG163" s="22" t="s">
        <v>197</v>
      </c>
      <c r="AH163" s="22" t="s">
        <v>197</v>
      </c>
      <c r="AI163" s="22" t="s">
        <v>197</v>
      </c>
      <c r="AJ163" s="22" t="s">
        <v>197</v>
      </c>
      <c r="AK163" s="22" t="s">
        <v>197</v>
      </c>
      <c r="AL163" s="22" t="s">
        <v>197</v>
      </c>
      <c r="AM163" s="22" t="s">
        <v>197</v>
      </c>
      <c r="AN163" s="7" t="s">
        <v>197</v>
      </c>
      <c r="AO163" s="22" t="s">
        <v>197</v>
      </c>
      <c r="AP163" s="22" t="n">
        <v>1.05</v>
      </c>
      <c r="AQ163" s="22" t="n">
        <v>1.4</v>
      </c>
    </row>
    <row r="164" customFormat="false" ht="21.75" hidden="false" customHeight="true" outlineLevel="0" collapsed="false">
      <c r="B164" s="15" t="n">
        <v>160</v>
      </c>
      <c r="C164" s="9" t="s">
        <v>79</v>
      </c>
      <c r="D164" s="9" t="s">
        <v>20</v>
      </c>
      <c r="E164" s="9" t="s">
        <v>118</v>
      </c>
      <c r="F164" s="9" t="s">
        <v>102</v>
      </c>
      <c r="G164" s="9" t="s">
        <v>2911</v>
      </c>
      <c r="H164" s="9" t="s">
        <v>2609</v>
      </c>
      <c r="I164" s="9" t="s">
        <v>2906</v>
      </c>
      <c r="J164" s="9" t="s">
        <v>2907</v>
      </c>
      <c r="K164" s="9" t="s">
        <v>2697</v>
      </c>
      <c r="L164" s="9" t="s">
        <v>2828</v>
      </c>
      <c r="M164" s="9" t="s">
        <v>2698</v>
      </c>
      <c r="N164" s="9" t="s">
        <v>189</v>
      </c>
      <c r="O164" s="9" t="s">
        <v>189</v>
      </c>
      <c r="P164" s="9" t="s">
        <v>190</v>
      </c>
      <c r="Q164" s="9" t="s">
        <v>2908</v>
      </c>
      <c r="R164" s="9" t="s">
        <v>290</v>
      </c>
      <c r="S164" s="9" t="s">
        <v>2832</v>
      </c>
      <c r="T164" s="9" t="s">
        <v>2909</v>
      </c>
      <c r="U164" s="19" t="n">
        <v>35</v>
      </c>
      <c r="V164" s="9"/>
      <c r="W164" s="9"/>
      <c r="X164" s="9" t="s">
        <v>2912</v>
      </c>
      <c r="Y164" s="23" t="n">
        <v>0.0003877</v>
      </c>
      <c r="Z164" s="23" t="n">
        <v>0.005</v>
      </c>
      <c r="AA164" s="23" t="n">
        <v>24</v>
      </c>
      <c r="AB164" s="9" t="s">
        <v>2828</v>
      </c>
      <c r="AC164" s="9" t="s">
        <v>2865</v>
      </c>
      <c r="AD164" s="23" t="s">
        <v>197</v>
      </c>
      <c r="AE164" s="23" t="s">
        <v>197</v>
      </c>
      <c r="AF164" s="23" t="s">
        <v>197</v>
      </c>
      <c r="AG164" s="23" t="s">
        <v>197</v>
      </c>
      <c r="AH164" s="23" t="s">
        <v>197</v>
      </c>
      <c r="AI164" s="23" t="s">
        <v>197</v>
      </c>
      <c r="AJ164" s="23" t="s">
        <v>197</v>
      </c>
      <c r="AK164" s="23" t="s">
        <v>197</v>
      </c>
      <c r="AL164" s="23" t="s">
        <v>197</v>
      </c>
      <c r="AM164" s="23" t="s">
        <v>197</v>
      </c>
      <c r="AN164" s="9" t="s">
        <v>197</v>
      </c>
      <c r="AO164" s="23" t="s">
        <v>197</v>
      </c>
      <c r="AP164" s="23" t="n">
        <v>1.05</v>
      </c>
      <c r="AQ164" s="23" t="n">
        <v>1.4</v>
      </c>
    </row>
    <row r="165" customFormat="false" ht="21.75" hidden="false" customHeight="true" outlineLevel="0" collapsed="false">
      <c r="B165" s="14" t="n">
        <v>161</v>
      </c>
      <c r="C165" s="7" t="s">
        <v>79</v>
      </c>
      <c r="D165" s="7" t="s">
        <v>20</v>
      </c>
      <c r="E165" s="7" t="s">
        <v>118</v>
      </c>
      <c r="F165" s="7" t="s">
        <v>102</v>
      </c>
      <c r="G165" s="7" t="s">
        <v>2913</v>
      </c>
      <c r="H165" s="7" t="s">
        <v>2612</v>
      </c>
      <c r="I165" s="7" t="s">
        <v>2906</v>
      </c>
      <c r="J165" s="7" t="s">
        <v>2907</v>
      </c>
      <c r="K165" s="7" t="s">
        <v>2697</v>
      </c>
      <c r="L165" s="7" t="s">
        <v>2828</v>
      </c>
      <c r="M165" s="7" t="s">
        <v>2698</v>
      </c>
      <c r="N165" s="7" t="s">
        <v>189</v>
      </c>
      <c r="O165" s="7" t="s">
        <v>189</v>
      </c>
      <c r="P165" s="7" t="s">
        <v>190</v>
      </c>
      <c r="Q165" s="7" t="s">
        <v>2908</v>
      </c>
      <c r="R165" s="7" t="s">
        <v>290</v>
      </c>
      <c r="S165" s="7" t="s">
        <v>2832</v>
      </c>
      <c r="T165" s="7" t="s">
        <v>2909</v>
      </c>
      <c r="U165" s="18" t="n">
        <v>55</v>
      </c>
      <c r="V165" s="7"/>
      <c r="W165" s="7"/>
      <c r="X165" s="7" t="s">
        <v>203</v>
      </c>
      <c r="Y165" s="22" t="n">
        <v>0.0003301</v>
      </c>
      <c r="Z165" s="22" t="n">
        <v>0.004</v>
      </c>
      <c r="AA165" s="22" t="n">
        <v>24</v>
      </c>
      <c r="AB165" s="7" t="s">
        <v>2828</v>
      </c>
      <c r="AC165" s="7" t="s">
        <v>2865</v>
      </c>
      <c r="AD165" s="22" t="s">
        <v>197</v>
      </c>
      <c r="AE165" s="22" t="s">
        <v>197</v>
      </c>
      <c r="AF165" s="22" t="s">
        <v>197</v>
      </c>
      <c r="AG165" s="22" t="s">
        <v>197</v>
      </c>
      <c r="AH165" s="22" t="s">
        <v>197</v>
      </c>
      <c r="AI165" s="22" t="s">
        <v>197</v>
      </c>
      <c r="AJ165" s="22" t="s">
        <v>197</v>
      </c>
      <c r="AK165" s="22" t="s">
        <v>197</v>
      </c>
      <c r="AL165" s="22" t="s">
        <v>197</v>
      </c>
      <c r="AM165" s="22" t="s">
        <v>197</v>
      </c>
      <c r="AN165" s="7" t="s">
        <v>197</v>
      </c>
      <c r="AO165" s="22" t="s">
        <v>197</v>
      </c>
      <c r="AP165" s="22" t="n">
        <v>1.05</v>
      </c>
      <c r="AQ165" s="22" t="n">
        <v>1.4</v>
      </c>
    </row>
    <row r="166" customFormat="false" ht="21.75" hidden="false" customHeight="true" outlineLevel="0" collapsed="false">
      <c r="B166" s="15" t="n">
        <v>162</v>
      </c>
      <c r="C166" s="9" t="s">
        <v>79</v>
      </c>
      <c r="D166" s="9" t="s">
        <v>20</v>
      </c>
      <c r="E166" s="9" t="s">
        <v>118</v>
      </c>
      <c r="F166" s="9" t="s">
        <v>102</v>
      </c>
      <c r="G166" s="9" t="s">
        <v>2914</v>
      </c>
      <c r="H166" s="9" t="s">
        <v>2614</v>
      </c>
      <c r="I166" s="9" t="s">
        <v>2906</v>
      </c>
      <c r="J166" s="9" t="s">
        <v>2907</v>
      </c>
      <c r="K166" s="9" t="s">
        <v>2697</v>
      </c>
      <c r="L166" s="9" t="s">
        <v>2828</v>
      </c>
      <c r="M166" s="9" t="s">
        <v>2698</v>
      </c>
      <c r="N166" s="9" t="s">
        <v>189</v>
      </c>
      <c r="O166" s="9" t="s">
        <v>189</v>
      </c>
      <c r="P166" s="9" t="s">
        <v>190</v>
      </c>
      <c r="Q166" s="9" t="s">
        <v>2908</v>
      </c>
      <c r="R166" s="9" t="s">
        <v>290</v>
      </c>
      <c r="S166" s="9" t="s">
        <v>2832</v>
      </c>
      <c r="T166" s="9" t="s">
        <v>2909</v>
      </c>
      <c r="U166" s="19" t="n">
        <v>80</v>
      </c>
      <c r="V166" s="9"/>
      <c r="W166" s="9"/>
      <c r="X166" s="9" t="s">
        <v>205</v>
      </c>
      <c r="Y166" s="23" t="n">
        <v>0.00034708</v>
      </c>
      <c r="Z166" s="23" t="n">
        <v>0.004</v>
      </c>
      <c r="AA166" s="23" t="n">
        <v>24</v>
      </c>
      <c r="AB166" s="9" t="s">
        <v>2828</v>
      </c>
      <c r="AC166" s="9" t="s">
        <v>2865</v>
      </c>
      <c r="AD166" s="23" t="s">
        <v>197</v>
      </c>
      <c r="AE166" s="23" t="s">
        <v>197</v>
      </c>
      <c r="AF166" s="23" t="s">
        <v>197</v>
      </c>
      <c r="AG166" s="23" t="s">
        <v>197</v>
      </c>
      <c r="AH166" s="23" t="s">
        <v>197</v>
      </c>
      <c r="AI166" s="23" t="s">
        <v>197</v>
      </c>
      <c r="AJ166" s="23" t="s">
        <v>197</v>
      </c>
      <c r="AK166" s="23" t="s">
        <v>197</v>
      </c>
      <c r="AL166" s="23" t="s">
        <v>197</v>
      </c>
      <c r="AM166" s="23" t="s">
        <v>197</v>
      </c>
      <c r="AN166" s="9" t="s">
        <v>197</v>
      </c>
      <c r="AO166" s="23" t="s">
        <v>197</v>
      </c>
      <c r="AP166" s="23" t="n">
        <v>1.05</v>
      </c>
      <c r="AQ166" s="23" t="n">
        <v>1.4</v>
      </c>
    </row>
    <row r="167" customFormat="false" ht="21.75" hidden="false" customHeight="true" outlineLevel="0" collapsed="false">
      <c r="B167" s="14" t="n">
        <v>163</v>
      </c>
      <c r="C167" s="7" t="s">
        <v>79</v>
      </c>
      <c r="D167" s="7" t="s">
        <v>20</v>
      </c>
      <c r="E167" s="7" t="s">
        <v>118</v>
      </c>
      <c r="F167" s="7" t="s">
        <v>103</v>
      </c>
      <c r="G167" s="7" t="s">
        <v>391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18"/>
      <c r="V167" s="7"/>
      <c r="W167" s="7"/>
      <c r="X167" s="7" t="s">
        <v>2915</v>
      </c>
      <c r="Y167" s="22" t="s">
        <v>197</v>
      </c>
      <c r="Z167" s="22" t="s">
        <v>197</v>
      </c>
      <c r="AA167" s="22" t="s">
        <v>197</v>
      </c>
      <c r="AB167" s="7" t="s">
        <v>197</v>
      </c>
      <c r="AC167" s="7" t="s">
        <v>197</v>
      </c>
      <c r="AD167" s="22" t="s">
        <v>197</v>
      </c>
      <c r="AE167" s="22" t="s">
        <v>197</v>
      </c>
      <c r="AF167" s="22" t="s">
        <v>197</v>
      </c>
      <c r="AG167" s="22" t="s">
        <v>197</v>
      </c>
      <c r="AH167" s="22" t="s">
        <v>197</v>
      </c>
      <c r="AI167" s="22" t="s">
        <v>197</v>
      </c>
      <c r="AJ167" s="22" t="s">
        <v>197</v>
      </c>
      <c r="AK167" s="22" t="s">
        <v>197</v>
      </c>
      <c r="AL167" s="22" t="s">
        <v>197</v>
      </c>
      <c r="AM167" s="22" t="s">
        <v>197</v>
      </c>
      <c r="AN167" s="7" t="s">
        <v>197</v>
      </c>
      <c r="AO167" s="22" t="s">
        <v>197</v>
      </c>
      <c r="AP167" s="22" t="s">
        <v>197</v>
      </c>
      <c r="AQ167" s="22" t="s">
        <v>197</v>
      </c>
    </row>
    <row r="168" customFormat="false" ht="21.75" hidden="false" customHeight="true" outlineLevel="0" collapsed="false">
      <c r="B168" s="15" t="n">
        <v>164</v>
      </c>
      <c r="C168" s="9" t="s">
        <v>79</v>
      </c>
      <c r="D168" s="9" t="s">
        <v>20</v>
      </c>
      <c r="E168" s="9" t="s">
        <v>118</v>
      </c>
      <c r="F168" s="9" t="s">
        <v>104</v>
      </c>
      <c r="G168" s="9" t="s">
        <v>2916</v>
      </c>
      <c r="H168" s="9" t="s">
        <v>2617</v>
      </c>
      <c r="I168" s="9" t="s">
        <v>2917</v>
      </c>
      <c r="J168" s="9" t="s">
        <v>2918</v>
      </c>
      <c r="K168" s="9" t="s">
        <v>2863</v>
      </c>
      <c r="L168" s="9" t="s">
        <v>2828</v>
      </c>
      <c r="M168" s="9" t="s">
        <v>2514</v>
      </c>
      <c r="N168" s="9" t="s">
        <v>189</v>
      </c>
      <c r="O168" s="9" t="s">
        <v>189</v>
      </c>
      <c r="P168" s="9" t="s">
        <v>190</v>
      </c>
      <c r="Q168" s="9" t="s">
        <v>2765</v>
      </c>
      <c r="R168" s="9" t="s">
        <v>604</v>
      </c>
      <c r="S168" s="9" t="s">
        <v>2832</v>
      </c>
      <c r="T168" s="9" t="s">
        <v>2621</v>
      </c>
      <c r="U168" s="19" t="n">
        <v>35</v>
      </c>
      <c r="V168" s="9"/>
      <c r="W168" s="9"/>
      <c r="X168" s="9" t="s">
        <v>195</v>
      </c>
      <c r="Y168" s="23" t="n">
        <v>0.00070384</v>
      </c>
      <c r="Z168" s="23" t="n">
        <v>0.01</v>
      </c>
      <c r="AA168" s="23" t="n">
        <v>24</v>
      </c>
      <c r="AB168" s="9" t="s">
        <v>2828</v>
      </c>
      <c r="AC168" s="9" t="s">
        <v>2865</v>
      </c>
      <c r="AD168" s="23" t="s">
        <v>197</v>
      </c>
      <c r="AE168" s="23" t="s">
        <v>197</v>
      </c>
      <c r="AF168" s="23" t="s">
        <v>197</v>
      </c>
      <c r="AG168" s="23" t="s">
        <v>197</v>
      </c>
      <c r="AH168" s="23" t="s">
        <v>197</v>
      </c>
      <c r="AI168" s="23" t="s">
        <v>197</v>
      </c>
      <c r="AJ168" s="23" t="s">
        <v>197</v>
      </c>
      <c r="AK168" s="23" t="s">
        <v>197</v>
      </c>
      <c r="AL168" s="23" t="s">
        <v>197</v>
      </c>
      <c r="AM168" s="23" t="s">
        <v>197</v>
      </c>
      <c r="AN168" s="9" t="s">
        <v>197</v>
      </c>
      <c r="AO168" s="23" t="s">
        <v>197</v>
      </c>
      <c r="AP168" s="23" t="s">
        <v>197</v>
      </c>
      <c r="AQ168" s="23" t="s">
        <v>197</v>
      </c>
    </row>
    <row r="169" customFormat="false" ht="21.75" hidden="false" customHeight="true" outlineLevel="0" collapsed="false">
      <c r="B169" s="14" t="n">
        <v>165</v>
      </c>
      <c r="C169" s="7" t="s">
        <v>79</v>
      </c>
      <c r="D169" s="7" t="s">
        <v>20</v>
      </c>
      <c r="E169" s="7" t="s">
        <v>118</v>
      </c>
      <c r="F169" s="7" t="s">
        <v>104</v>
      </c>
      <c r="G169" s="7" t="s">
        <v>2919</v>
      </c>
      <c r="H169" s="7" t="s">
        <v>2623</v>
      </c>
      <c r="I169" s="7" t="s">
        <v>2917</v>
      </c>
      <c r="J169" s="7" t="s">
        <v>2918</v>
      </c>
      <c r="K169" s="7" t="s">
        <v>2863</v>
      </c>
      <c r="L169" s="7" t="s">
        <v>2828</v>
      </c>
      <c r="M169" s="7" t="s">
        <v>2514</v>
      </c>
      <c r="N169" s="7" t="s">
        <v>189</v>
      </c>
      <c r="O169" s="7" t="s">
        <v>189</v>
      </c>
      <c r="P169" s="7" t="s">
        <v>190</v>
      </c>
      <c r="Q169" s="7" t="s">
        <v>2765</v>
      </c>
      <c r="R169" s="7" t="s">
        <v>604</v>
      </c>
      <c r="S169" s="7" t="s">
        <v>2832</v>
      </c>
      <c r="T169" s="7" t="s">
        <v>2621</v>
      </c>
      <c r="U169" s="18" t="n">
        <v>55</v>
      </c>
      <c r="V169" s="7"/>
      <c r="W169" s="7"/>
      <c r="X169" s="7" t="s">
        <v>199</v>
      </c>
      <c r="Y169" s="22" t="n">
        <v>0.0005514</v>
      </c>
      <c r="Z169" s="22" t="n">
        <v>0.008</v>
      </c>
      <c r="AA169" s="22" t="n">
        <v>24</v>
      </c>
      <c r="AB169" s="7" t="s">
        <v>2828</v>
      </c>
      <c r="AC169" s="7" t="s">
        <v>2865</v>
      </c>
      <c r="AD169" s="22" t="s">
        <v>197</v>
      </c>
      <c r="AE169" s="22" t="s">
        <v>197</v>
      </c>
      <c r="AF169" s="22" t="s">
        <v>197</v>
      </c>
      <c r="AG169" s="22" t="s">
        <v>197</v>
      </c>
      <c r="AH169" s="22" t="s">
        <v>197</v>
      </c>
      <c r="AI169" s="22" t="s">
        <v>197</v>
      </c>
      <c r="AJ169" s="22" t="s">
        <v>197</v>
      </c>
      <c r="AK169" s="22" t="s">
        <v>197</v>
      </c>
      <c r="AL169" s="22" t="s">
        <v>197</v>
      </c>
      <c r="AM169" s="22" t="s">
        <v>197</v>
      </c>
      <c r="AN169" s="7" t="s">
        <v>197</v>
      </c>
      <c r="AO169" s="22" t="s">
        <v>197</v>
      </c>
      <c r="AP169" s="22" t="s">
        <v>197</v>
      </c>
      <c r="AQ169" s="22" t="s">
        <v>197</v>
      </c>
    </row>
    <row r="170" customFormat="false" ht="21.75" hidden="false" customHeight="true" outlineLevel="0" collapsed="false">
      <c r="B170" s="15" t="n">
        <v>166</v>
      </c>
      <c r="C170" s="9" t="s">
        <v>79</v>
      </c>
      <c r="D170" s="9" t="s">
        <v>20</v>
      </c>
      <c r="E170" s="9" t="s">
        <v>118</v>
      </c>
      <c r="F170" s="9" t="s">
        <v>104</v>
      </c>
      <c r="G170" s="9" t="s">
        <v>2616</v>
      </c>
      <c r="H170" s="9" t="s">
        <v>2625</v>
      </c>
      <c r="I170" s="9" t="s">
        <v>2917</v>
      </c>
      <c r="J170" s="9" t="s">
        <v>2918</v>
      </c>
      <c r="K170" s="9" t="s">
        <v>2863</v>
      </c>
      <c r="L170" s="9" t="s">
        <v>2828</v>
      </c>
      <c r="M170" s="9" t="s">
        <v>2514</v>
      </c>
      <c r="N170" s="9" t="s">
        <v>189</v>
      </c>
      <c r="O170" s="9" t="s">
        <v>189</v>
      </c>
      <c r="P170" s="9" t="s">
        <v>190</v>
      </c>
      <c r="Q170" s="9" t="s">
        <v>2765</v>
      </c>
      <c r="R170" s="9" t="s">
        <v>604</v>
      </c>
      <c r="S170" s="9" t="s">
        <v>2832</v>
      </c>
      <c r="T170" s="9" t="s">
        <v>2621</v>
      </c>
      <c r="U170" s="19" t="n">
        <v>75</v>
      </c>
      <c r="V170" s="9"/>
      <c r="W170" s="9"/>
      <c r="X170" s="9" t="s">
        <v>2920</v>
      </c>
      <c r="Y170" s="23" t="n">
        <v>0.00048252</v>
      </c>
      <c r="Z170" s="23" t="n">
        <v>0.006</v>
      </c>
      <c r="AA170" s="23" t="n">
        <v>24</v>
      </c>
      <c r="AB170" s="9" t="s">
        <v>2828</v>
      </c>
      <c r="AC170" s="9" t="s">
        <v>2865</v>
      </c>
      <c r="AD170" s="23" t="s">
        <v>197</v>
      </c>
      <c r="AE170" s="23" t="s">
        <v>197</v>
      </c>
      <c r="AF170" s="23" t="s">
        <v>197</v>
      </c>
      <c r="AG170" s="23" t="s">
        <v>197</v>
      </c>
      <c r="AH170" s="23" t="s">
        <v>197</v>
      </c>
      <c r="AI170" s="23" t="s">
        <v>197</v>
      </c>
      <c r="AJ170" s="23" t="s">
        <v>197</v>
      </c>
      <c r="AK170" s="23" t="s">
        <v>197</v>
      </c>
      <c r="AL170" s="23" t="s">
        <v>197</v>
      </c>
      <c r="AM170" s="23" t="s">
        <v>197</v>
      </c>
      <c r="AN170" s="9" t="s">
        <v>197</v>
      </c>
      <c r="AO170" s="23" t="s">
        <v>197</v>
      </c>
      <c r="AP170" s="23" t="s">
        <v>197</v>
      </c>
      <c r="AQ170" s="23" t="s">
        <v>197</v>
      </c>
    </row>
    <row r="171" customFormat="false" ht="21.75" hidden="false" customHeight="true" outlineLevel="0" collapsed="false">
      <c r="B171" s="14" t="n">
        <v>167</v>
      </c>
      <c r="C171" s="7" t="s">
        <v>79</v>
      </c>
      <c r="D171" s="7" t="s">
        <v>20</v>
      </c>
      <c r="E171" s="7" t="s">
        <v>118</v>
      </c>
      <c r="F171" s="7" t="s">
        <v>104</v>
      </c>
      <c r="G171" s="7" t="s">
        <v>2921</v>
      </c>
      <c r="H171" s="7" t="s">
        <v>2628</v>
      </c>
      <c r="I171" s="7" t="s">
        <v>2917</v>
      </c>
      <c r="J171" s="7" t="s">
        <v>2918</v>
      </c>
      <c r="K171" s="7" t="s">
        <v>2863</v>
      </c>
      <c r="L171" s="7" t="s">
        <v>2828</v>
      </c>
      <c r="M171" s="7" t="s">
        <v>2514</v>
      </c>
      <c r="N171" s="7" t="s">
        <v>189</v>
      </c>
      <c r="O171" s="7" t="s">
        <v>189</v>
      </c>
      <c r="P171" s="7" t="s">
        <v>190</v>
      </c>
      <c r="Q171" s="7" t="s">
        <v>2765</v>
      </c>
      <c r="R171" s="7" t="s">
        <v>604</v>
      </c>
      <c r="S171" s="7" t="s">
        <v>2832</v>
      </c>
      <c r="T171" s="7" t="s">
        <v>2621</v>
      </c>
      <c r="U171" s="18" t="n">
        <v>115</v>
      </c>
      <c r="V171" s="7"/>
      <c r="W171" s="7"/>
      <c r="X171" s="7" t="s">
        <v>203</v>
      </c>
      <c r="Y171" s="22" t="n">
        <v>0.00049392</v>
      </c>
      <c r="Z171" s="22" t="n">
        <v>0.007</v>
      </c>
      <c r="AA171" s="22" t="n">
        <v>24</v>
      </c>
      <c r="AB171" s="7" t="s">
        <v>2828</v>
      </c>
      <c r="AC171" s="7" t="s">
        <v>2865</v>
      </c>
      <c r="AD171" s="22" t="s">
        <v>197</v>
      </c>
      <c r="AE171" s="22" t="s">
        <v>197</v>
      </c>
      <c r="AF171" s="22" t="s">
        <v>197</v>
      </c>
      <c r="AG171" s="22" t="s">
        <v>197</v>
      </c>
      <c r="AH171" s="22" t="s">
        <v>197</v>
      </c>
      <c r="AI171" s="22" t="s">
        <v>197</v>
      </c>
      <c r="AJ171" s="22" t="s">
        <v>197</v>
      </c>
      <c r="AK171" s="22" t="s">
        <v>197</v>
      </c>
      <c r="AL171" s="22" t="s">
        <v>197</v>
      </c>
      <c r="AM171" s="22" t="s">
        <v>197</v>
      </c>
      <c r="AN171" s="7" t="s">
        <v>197</v>
      </c>
      <c r="AO171" s="22" t="s">
        <v>197</v>
      </c>
      <c r="AP171" s="22" t="s">
        <v>197</v>
      </c>
      <c r="AQ171" s="22" t="s">
        <v>197</v>
      </c>
    </row>
    <row r="172" customFormat="false" ht="21.75" hidden="false" customHeight="true" outlineLevel="0" collapsed="false">
      <c r="B172" s="15" t="n">
        <v>168</v>
      </c>
      <c r="C172" s="9" t="s">
        <v>79</v>
      </c>
      <c r="D172" s="9" t="s">
        <v>20</v>
      </c>
      <c r="E172" s="9" t="s">
        <v>118</v>
      </c>
      <c r="F172" s="9" t="s">
        <v>104</v>
      </c>
      <c r="G172" s="9" t="s">
        <v>2922</v>
      </c>
      <c r="H172" s="9" t="s">
        <v>2630</v>
      </c>
      <c r="I172" s="9" t="s">
        <v>2917</v>
      </c>
      <c r="J172" s="9" t="s">
        <v>2918</v>
      </c>
      <c r="K172" s="9" t="s">
        <v>2863</v>
      </c>
      <c r="L172" s="9" t="s">
        <v>2828</v>
      </c>
      <c r="M172" s="9" t="s">
        <v>2514</v>
      </c>
      <c r="N172" s="9" t="s">
        <v>189</v>
      </c>
      <c r="O172" s="9" t="s">
        <v>189</v>
      </c>
      <c r="P172" s="9" t="s">
        <v>190</v>
      </c>
      <c r="Q172" s="9" t="s">
        <v>2765</v>
      </c>
      <c r="R172" s="9" t="s">
        <v>604</v>
      </c>
      <c r="S172" s="9" t="s">
        <v>2832</v>
      </c>
      <c r="T172" s="9" t="s">
        <v>2621</v>
      </c>
      <c r="U172" s="19" t="n">
        <v>170</v>
      </c>
      <c r="V172" s="9"/>
      <c r="W172" s="9"/>
      <c r="X172" s="9" t="s">
        <v>205</v>
      </c>
      <c r="Y172" s="23" t="n">
        <v>0.00050892</v>
      </c>
      <c r="Z172" s="23" t="n">
        <v>0.007</v>
      </c>
      <c r="AA172" s="23" t="n">
        <v>24</v>
      </c>
      <c r="AB172" s="9" t="s">
        <v>2828</v>
      </c>
      <c r="AC172" s="9" t="s">
        <v>2865</v>
      </c>
      <c r="AD172" s="23" t="s">
        <v>197</v>
      </c>
      <c r="AE172" s="23" t="s">
        <v>197</v>
      </c>
      <c r="AF172" s="23" t="s">
        <v>197</v>
      </c>
      <c r="AG172" s="23" t="s">
        <v>197</v>
      </c>
      <c r="AH172" s="23" t="s">
        <v>197</v>
      </c>
      <c r="AI172" s="23" t="s">
        <v>197</v>
      </c>
      <c r="AJ172" s="23" t="s">
        <v>197</v>
      </c>
      <c r="AK172" s="23" t="s">
        <v>197</v>
      </c>
      <c r="AL172" s="23" t="s">
        <v>197</v>
      </c>
      <c r="AM172" s="23" t="s">
        <v>197</v>
      </c>
      <c r="AN172" s="9" t="s">
        <v>197</v>
      </c>
      <c r="AO172" s="23" t="s">
        <v>197</v>
      </c>
      <c r="AP172" s="23" t="s">
        <v>197</v>
      </c>
      <c r="AQ172" s="23" t="s">
        <v>197</v>
      </c>
    </row>
    <row r="173" customFormat="false" ht="21.75" hidden="false" customHeight="true" outlineLevel="0" collapsed="false">
      <c r="B173" s="14" t="n">
        <v>169</v>
      </c>
      <c r="C173" s="7" t="s">
        <v>79</v>
      </c>
      <c r="D173" s="7" t="s">
        <v>20</v>
      </c>
      <c r="E173" s="7" t="s">
        <v>118</v>
      </c>
      <c r="F173" s="7" t="s">
        <v>105</v>
      </c>
      <c r="G173" s="7" t="s">
        <v>2923</v>
      </c>
      <c r="H173" s="7" t="s">
        <v>2632</v>
      </c>
      <c r="I173" s="7" t="s">
        <v>2924</v>
      </c>
      <c r="J173" s="7" t="s">
        <v>2925</v>
      </c>
      <c r="K173" s="7" t="s">
        <v>2863</v>
      </c>
      <c r="L173" s="7" t="s">
        <v>2828</v>
      </c>
      <c r="M173" s="7" t="s">
        <v>2514</v>
      </c>
      <c r="N173" s="7" t="s">
        <v>189</v>
      </c>
      <c r="O173" s="7" t="s">
        <v>189</v>
      </c>
      <c r="P173" s="7" t="s">
        <v>190</v>
      </c>
      <c r="Q173" s="7" t="s">
        <v>2765</v>
      </c>
      <c r="R173" s="7" t="s">
        <v>2775</v>
      </c>
      <c r="S173" s="7" t="s">
        <v>2832</v>
      </c>
      <c r="T173" s="7" t="s">
        <v>2926</v>
      </c>
      <c r="U173" s="18" t="n">
        <v>40</v>
      </c>
      <c r="V173" s="7"/>
      <c r="W173" s="7"/>
      <c r="X173" s="7" t="s">
        <v>195</v>
      </c>
      <c r="Y173" s="22" t="n">
        <v>0.0007984</v>
      </c>
      <c r="Z173" s="22" t="n">
        <v>0.05</v>
      </c>
      <c r="AA173" s="22" t="n">
        <v>24</v>
      </c>
      <c r="AB173" s="7" t="s">
        <v>2828</v>
      </c>
      <c r="AC173" s="7" t="s">
        <v>2865</v>
      </c>
      <c r="AD173" s="22" t="s">
        <v>197</v>
      </c>
      <c r="AE173" s="22" t="s">
        <v>197</v>
      </c>
      <c r="AF173" s="22" t="s">
        <v>197</v>
      </c>
      <c r="AG173" s="22" t="s">
        <v>197</v>
      </c>
      <c r="AH173" s="22" t="s">
        <v>197</v>
      </c>
      <c r="AI173" s="22" t="s">
        <v>197</v>
      </c>
      <c r="AJ173" s="22" t="s">
        <v>197</v>
      </c>
      <c r="AK173" s="22" t="s">
        <v>197</v>
      </c>
      <c r="AL173" s="22" t="s">
        <v>197</v>
      </c>
      <c r="AM173" s="22" t="s">
        <v>197</v>
      </c>
      <c r="AN173" s="7" t="s">
        <v>197</v>
      </c>
      <c r="AO173" s="22" t="s">
        <v>197</v>
      </c>
      <c r="AP173" s="22" t="s">
        <v>197</v>
      </c>
      <c r="AQ173" s="22" t="s">
        <v>197</v>
      </c>
    </row>
    <row r="174" customFormat="false" ht="21.75" hidden="false" customHeight="true" outlineLevel="0" collapsed="false">
      <c r="B174" s="15" t="n">
        <v>170</v>
      </c>
      <c r="C174" s="9" t="s">
        <v>79</v>
      </c>
      <c r="D174" s="9" t="s">
        <v>20</v>
      </c>
      <c r="E174" s="9" t="s">
        <v>118</v>
      </c>
      <c r="F174" s="9" t="s">
        <v>105</v>
      </c>
      <c r="G174" s="9" t="s">
        <v>2927</v>
      </c>
      <c r="H174" s="9" t="s">
        <v>2637</v>
      </c>
      <c r="I174" s="9" t="s">
        <v>2924</v>
      </c>
      <c r="J174" s="9" t="s">
        <v>2925</v>
      </c>
      <c r="K174" s="9" t="s">
        <v>2863</v>
      </c>
      <c r="L174" s="9" t="s">
        <v>2828</v>
      </c>
      <c r="M174" s="9" t="s">
        <v>2514</v>
      </c>
      <c r="N174" s="9" t="s">
        <v>189</v>
      </c>
      <c r="O174" s="9" t="s">
        <v>189</v>
      </c>
      <c r="P174" s="9" t="s">
        <v>190</v>
      </c>
      <c r="Q174" s="9" t="s">
        <v>2765</v>
      </c>
      <c r="R174" s="9" t="s">
        <v>2775</v>
      </c>
      <c r="S174" s="9" t="s">
        <v>2832</v>
      </c>
      <c r="T174" s="9" t="s">
        <v>2926</v>
      </c>
      <c r="U174" s="19" t="n">
        <v>60</v>
      </c>
      <c r="V174" s="9"/>
      <c r="W174" s="9"/>
      <c r="X174" s="9" t="s">
        <v>199</v>
      </c>
      <c r="Y174" s="23" t="n">
        <v>0.00082364</v>
      </c>
      <c r="Z174" s="23" t="n">
        <v>0.052</v>
      </c>
      <c r="AA174" s="23" t="n">
        <v>24</v>
      </c>
      <c r="AB174" s="9" t="s">
        <v>2828</v>
      </c>
      <c r="AC174" s="9" t="s">
        <v>2865</v>
      </c>
      <c r="AD174" s="23" t="s">
        <v>197</v>
      </c>
      <c r="AE174" s="23" t="s">
        <v>197</v>
      </c>
      <c r="AF174" s="23" t="s">
        <v>197</v>
      </c>
      <c r="AG174" s="23" t="s">
        <v>197</v>
      </c>
      <c r="AH174" s="23" t="s">
        <v>197</v>
      </c>
      <c r="AI174" s="23" t="s">
        <v>197</v>
      </c>
      <c r="AJ174" s="23" t="s">
        <v>197</v>
      </c>
      <c r="AK174" s="23" t="s">
        <v>197</v>
      </c>
      <c r="AL174" s="23" t="s">
        <v>197</v>
      </c>
      <c r="AM174" s="23" t="s">
        <v>197</v>
      </c>
      <c r="AN174" s="9" t="s">
        <v>197</v>
      </c>
      <c r="AO174" s="23" t="s">
        <v>197</v>
      </c>
      <c r="AP174" s="23" t="s">
        <v>197</v>
      </c>
      <c r="AQ174" s="23" t="s">
        <v>197</v>
      </c>
    </row>
    <row r="175" customFormat="false" ht="21.75" hidden="false" customHeight="true" outlineLevel="0" collapsed="false">
      <c r="B175" s="14" t="n">
        <v>171</v>
      </c>
      <c r="C175" s="7" t="s">
        <v>79</v>
      </c>
      <c r="D175" s="7" t="s">
        <v>20</v>
      </c>
      <c r="E175" s="7" t="s">
        <v>118</v>
      </c>
      <c r="F175" s="7" t="s">
        <v>105</v>
      </c>
      <c r="G175" s="7" t="s">
        <v>2928</v>
      </c>
      <c r="H175" s="7" t="s">
        <v>2639</v>
      </c>
      <c r="I175" s="7" t="s">
        <v>2924</v>
      </c>
      <c r="J175" s="7" t="s">
        <v>2925</v>
      </c>
      <c r="K175" s="7" t="s">
        <v>2863</v>
      </c>
      <c r="L175" s="7" t="s">
        <v>2828</v>
      </c>
      <c r="M175" s="7" t="s">
        <v>2514</v>
      </c>
      <c r="N175" s="7" t="s">
        <v>189</v>
      </c>
      <c r="O175" s="7" t="s">
        <v>189</v>
      </c>
      <c r="P175" s="7" t="s">
        <v>190</v>
      </c>
      <c r="Q175" s="7" t="s">
        <v>2765</v>
      </c>
      <c r="R175" s="7" t="s">
        <v>2775</v>
      </c>
      <c r="S175" s="7" t="s">
        <v>2832</v>
      </c>
      <c r="T175" s="7" t="s">
        <v>2926</v>
      </c>
      <c r="U175" s="18" t="n">
        <v>85</v>
      </c>
      <c r="V175" s="7"/>
      <c r="W175" s="7"/>
      <c r="X175" s="7" t="s">
        <v>2929</v>
      </c>
      <c r="Y175" s="22" t="n">
        <v>0.00068128</v>
      </c>
      <c r="Z175" s="22" t="n">
        <v>0.038</v>
      </c>
      <c r="AA175" s="22" t="n">
        <v>24</v>
      </c>
      <c r="AB175" s="7" t="s">
        <v>2828</v>
      </c>
      <c r="AC175" s="7" t="s">
        <v>2865</v>
      </c>
      <c r="AD175" s="22" t="s">
        <v>197</v>
      </c>
      <c r="AE175" s="22" t="s">
        <v>197</v>
      </c>
      <c r="AF175" s="22" t="s">
        <v>197</v>
      </c>
      <c r="AG175" s="22" t="s">
        <v>197</v>
      </c>
      <c r="AH175" s="22" t="s">
        <v>197</v>
      </c>
      <c r="AI175" s="22" t="s">
        <v>197</v>
      </c>
      <c r="AJ175" s="22" t="s">
        <v>197</v>
      </c>
      <c r="AK175" s="22" t="s">
        <v>197</v>
      </c>
      <c r="AL175" s="22" t="s">
        <v>197</v>
      </c>
      <c r="AM175" s="22" t="s">
        <v>197</v>
      </c>
      <c r="AN175" s="7" t="s">
        <v>197</v>
      </c>
      <c r="AO175" s="22" t="s">
        <v>197</v>
      </c>
      <c r="AP175" s="22" t="s">
        <v>197</v>
      </c>
      <c r="AQ175" s="22" t="s">
        <v>197</v>
      </c>
    </row>
    <row r="176" customFormat="false" ht="21.75" hidden="false" customHeight="true" outlineLevel="0" collapsed="false">
      <c r="B176" s="15" t="n">
        <v>172</v>
      </c>
      <c r="C176" s="9" t="s">
        <v>79</v>
      </c>
      <c r="D176" s="9" t="s">
        <v>20</v>
      </c>
      <c r="E176" s="9" t="s">
        <v>118</v>
      </c>
      <c r="F176" s="9" t="s">
        <v>105</v>
      </c>
      <c r="G176" s="9" t="s">
        <v>2930</v>
      </c>
      <c r="H176" s="9" t="s">
        <v>2642</v>
      </c>
      <c r="I176" s="9" t="s">
        <v>2924</v>
      </c>
      <c r="J176" s="9" t="s">
        <v>2925</v>
      </c>
      <c r="K176" s="9" t="s">
        <v>2863</v>
      </c>
      <c r="L176" s="9" t="s">
        <v>2828</v>
      </c>
      <c r="M176" s="9" t="s">
        <v>2514</v>
      </c>
      <c r="N176" s="9" t="s">
        <v>189</v>
      </c>
      <c r="O176" s="9" t="s">
        <v>189</v>
      </c>
      <c r="P176" s="9" t="s">
        <v>190</v>
      </c>
      <c r="Q176" s="9" t="s">
        <v>2765</v>
      </c>
      <c r="R176" s="9" t="s">
        <v>2775</v>
      </c>
      <c r="S176" s="9" t="s">
        <v>2832</v>
      </c>
      <c r="T176" s="9" t="s">
        <v>2926</v>
      </c>
      <c r="U176" s="19" t="n">
        <v>125</v>
      </c>
      <c r="V176" s="9"/>
      <c r="W176" s="9"/>
      <c r="X176" s="9" t="s">
        <v>203</v>
      </c>
      <c r="Y176" s="23" t="n">
        <v>0.00054524</v>
      </c>
      <c r="Z176" s="23" t="n">
        <v>0.025</v>
      </c>
      <c r="AA176" s="23" t="n">
        <v>24</v>
      </c>
      <c r="AB176" s="9" t="s">
        <v>2828</v>
      </c>
      <c r="AC176" s="9" t="s">
        <v>2865</v>
      </c>
      <c r="AD176" s="23" t="s">
        <v>197</v>
      </c>
      <c r="AE176" s="23" t="s">
        <v>197</v>
      </c>
      <c r="AF176" s="23" t="s">
        <v>197</v>
      </c>
      <c r="AG176" s="23" t="s">
        <v>197</v>
      </c>
      <c r="AH176" s="23" t="s">
        <v>197</v>
      </c>
      <c r="AI176" s="23" t="s">
        <v>197</v>
      </c>
      <c r="AJ176" s="23" t="s">
        <v>197</v>
      </c>
      <c r="AK176" s="23" t="s">
        <v>197</v>
      </c>
      <c r="AL176" s="23" t="s">
        <v>197</v>
      </c>
      <c r="AM176" s="23" t="s">
        <v>197</v>
      </c>
      <c r="AN176" s="9" t="s">
        <v>197</v>
      </c>
      <c r="AO176" s="23" t="s">
        <v>197</v>
      </c>
      <c r="AP176" s="23" t="s">
        <v>197</v>
      </c>
      <c r="AQ176" s="23" t="s">
        <v>197</v>
      </c>
    </row>
    <row r="177" customFormat="false" ht="21.75" hidden="false" customHeight="true" outlineLevel="0" collapsed="false">
      <c r="B177" s="14" t="n">
        <v>173</v>
      </c>
      <c r="C177" s="7" t="s">
        <v>79</v>
      </c>
      <c r="D177" s="7" t="s">
        <v>20</v>
      </c>
      <c r="E177" s="7" t="s">
        <v>118</v>
      </c>
      <c r="F177" s="7" t="s">
        <v>105</v>
      </c>
      <c r="G177" s="7" t="s">
        <v>2931</v>
      </c>
      <c r="H177" s="7" t="s">
        <v>2644</v>
      </c>
      <c r="I177" s="7" t="s">
        <v>2924</v>
      </c>
      <c r="J177" s="7" t="s">
        <v>2925</v>
      </c>
      <c r="K177" s="7" t="s">
        <v>2863</v>
      </c>
      <c r="L177" s="7" t="s">
        <v>2828</v>
      </c>
      <c r="M177" s="7" t="s">
        <v>2514</v>
      </c>
      <c r="N177" s="7" t="s">
        <v>189</v>
      </c>
      <c r="O177" s="7" t="s">
        <v>189</v>
      </c>
      <c r="P177" s="7" t="s">
        <v>190</v>
      </c>
      <c r="Q177" s="7" t="s">
        <v>2765</v>
      </c>
      <c r="R177" s="7" t="s">
        <v>2775</v>
      </c>
      <c r="S177" s="7" t="s">
        <v>2832</v>
      </c>
      <c r="T177" s="7" t="s">
        <v>2926</v>
      </c>
      <c r="U177" s="18" t="n">
        <v>185</v>
      </c>
      <c r="V177" s="7"/>
      <c r="W177" s="7"/>
      <c r="X177" s="7" t="s">
        <v>205</v>
      </c>
      <c r="Y177" s="22" t="n">
        <v>0.00083748</v>
      </c>
      <c r="Z177" s="22" t="n">
        <v>0.054</v>
      </c>
      <c r="AA177" s="22" t="n">
        <v>24</v>
      </c>
      <c r="AB177" s="7" t="s">
        <v>2828</v>
      </c>
      <c r="AC177" s="7" t="s">
        <v>2865</v>
      </c>
      <c r="AD177" s="22" t="s">
        <v>197</v>
      </c>
      <c r="AE177" s="22" t="s">
        <v>197</v>
      </c>
      <c r="AF177" s="22" t="s">
        <v>197</v>
      </c>
      <c r="AG177" s="22" t="s">
        <v>197</v>
      </c>
      <c r="AH177" s="22" t="s">
        <v>197</v>
      </c>
      <c r="AI177" s="22" t="s">
        <v>197</v>
      </c>
      <c r="AJ177" s="22" t="s">
        <v>197</v>
      </c>
      <c r="AK177" s="22" t="s">
        <v>197</v>
      </c>
      <c r="AL177" s="22" t="s">
        <v>197</v>
      </c>
      <c r="AM177" s="22" t="s">
        <v>197</v>
      </c>
      <c r="AN177" s="7" t="s">
        <v>197</v>
      </c>
      <c r="AO177" s="22" t="s">
        <v>197</v>
      </c>
      <c r="AP177" s="22" t="s">
        <v>197</v>
      </c>
      <c r="AQ177" s="22" t="s">
        <v>197</v>
      </c>
    </row>
    <row r="178" customFormat="false" ht="21.75" hidden="false" customHeight="true" outlineLevel="0" collapsed="false">
      <c r="B178" s="15" t="n">
        <v>174</v>
      </c>
      <c r="C178" s="9" t="s">
        <v>79</v>
      </c>
      <c r="D178" s="9" t="s">
        <v>20</v>
      </c>
      <c r="E178" s="9" t="s">
        <v>118</v>
      </c>
      <c r="F178" s="9" t="s">
        <v>106</v>
      </c>
      <c r="G178" s="9" t="s">
        <v>391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19"/>
      <c r="V178" s="9"/>
      <c r="W178" s="9"/>
      <c r="X178" s="9" t="s">
        <v>2932</v>
      </c>
      <c r="Y178" s="23" t="s">
        <v>197</v>
      </c>
      <c r="Z178" s="23" t="s">
        <v>197</v>
      </c>
      <c r="AA178" s="23" t="s">
        <v>197</v>
      </c>
      <c r="AB178" s="9" t="s">
        <v>197</v>
      </c>
      <c r="AC178" s="9" t="s">
        <v>197</v>
      </c>
      <c r="AD178" s="23" t="s">
        <v>197</v>
      </c>
      <c r="AE178" s="23" t="s">
        <v>197</v>
      </c>
      <c r="AF178" s="23" t="s">
        <v>197</v>
      </c>
      <c r="AG178" s="23" t="s">
        <v>197</v>
      </c>
      <c r="AH178" s="23" t="s">
        <v>197</v>
      </c>
      <c r="AI178" s="23" t="s">
        <v>197</v>
      </c>
      <c r="AJ178" s="23" t="s">
        <v>197</v>
      </c>
      <c r="AK178" s="23" t="s">
        <v>197</v>
      </c>
      <c r="AL178" s="23" t="s">
        <v>197</v>
      </c>
      <c r="AM178" s="23" t="s">
        <v>197</v>
      </c>
      <c r="AN178" s="9" t="s">
        <v>197</v>
      </c>
      <c r="AO178" s="23" t="s">
        <v>197</v>
      </c>
      <c r="AP178" s="23" t="s">
        <v>197</v>
      </c>
      <c r="AQ178" s="23" t="s">
        <v>197</v>
      </c>
    </row>
    <row r="179" customFormat="false" ht="21.75" hidden="false" customHeight="true" outlineLevel="0" collapsed="false">
      <c r="B179" s="14" t="n">
        <v>175</v>
      </c>
      <c r="C179" s="7" t="s">
        <v>79</v>
      </c>
      <c r="D179" s="7" t="s">
        <v>20</v>
      </c>
      <c r="E179" s="7" t="s">
        <v>118</v>
      </c>
      <c r="F179" s="7" t="s">
        <v>107</v>
      </c>
      <c r="G179" s="7" t="s">
        <v>391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18"/>
      <c r="V179" s="7"/>
      <c r="W179" s="7"/>
      <c r="X179" s="7" t="s">
        <v>2933</v>
      </c>
      <c r="Y179" s="22" t="s">
        <v>197</v>
      </c>
      <c r="Z179" s="22" t="s">
        <v>197</v>
      </c>
      <c r="AA179" s="22" t="s">
        <v>197</v>
      </c>
      <c r="AB179" s="7" t="s">
        <v>197</v>
      </c>
      <c r="AC179" s="7" t="s">
        <v>197</v>
      </c>
      <c r="AD179" s="22" t="s">
        <v>197</v>
      </c>
      <c r="AE179" s="22" t="s">
        <v>197</v>
      </c>
      <c r="AF179" s="22" t="s">
        <v>197</v>
      </c>
      <c r="AG179" s="22" t="s">
        <v>197</v>
      </c>
      <c r="AH179" s="22" t="s">
        <v>197</v>
      </c>
      <c r="AI179" s="22" t="s">
        <v>197</v>
      </c>
      <c r="AJ179" s="22" t="s">
        <v>197</v>
      </c>
      <c r="AK179" s="22" t="s">
        <v>197</v>
      </c>
      <c r="AL179" s="22" t="s">
        <v>197</v>
      </c>
      <c r="AM179" s="22" t="s">
        <v>197</v>
      </c>
      <c r="AN179" s="7" t="s">
        <v>197</v>
      </c>
      <c r="AO179" s="22" t="s">
        <v>197</v>
      </c>
      <c r="AP179" s="22" t="s">
        <v>197</v>
      </c>
      <c r="AQ179" s="22" t="s">
        <v>197</v>
      </c>
    </row>
    <row r="180" customFormat="false" ht="21.75" hidden="false" customHeight="true" outlineLevel="0" collapsed="false">
      <c r="B180" s="15" t="n">
        <v>176</v>
      </c>
      <c r="C180" s="9" t="s">
        <v>79</v>
      </c>
      <c r="D180" s="9" t="s">
        <v>20</v>
      </c>
      <c r="E180" s="9" t="s">
        <v>118</v>
      </c>
      <c r="F180" s="9" t="s">
        <v>108</v>
      </c>
      <c r="G180" s="9" t="s">
        <v>391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19"/>
      <c r="V180" s="9"/>
      <c r="W180" s="9"/>
      <c r="X180" s="9" t="s">
        <v>2934</v>
      </c>
      <c r="Y180" s="23" t="s">
        <v>197</v>
      </c>
      <c r="Z180" s="23" t="s">
        <v>197</v>
      </c>
      <c r="AA180" s="23" t="s">
        <v>197</v>
      </c>
      <c r="AB180" s="9" t="s">
        <v>197</v>
      </c>
      <c r="AC180" s="9" t="s">
        <v>197</v>
      </c>
      <c r="AD180" s="23" t="s">
        <v>197</v>
      </c>
      <c r="AE180" s="23" t="s">
        <v>197</v>
      </c>
      <c r="AF180" s="23" t="s">
        <v>197</v>
      </c>
      <c r="AG180" s="23" t="s">
        <v>197</v>
      </c>
      <c r="AH180" s="23" t="s">
        <v>197</v>
      </c>
      <c r="AI180" s="23" t="s">
        <v>197</v>
      </c>
      <c r="AJ180" s="23" t="s">
        <v>197</v>
      </c>
      <c r="AK180" s="23" t="s">
        <v>197</v>
      </c>
      <c r="AL180" s="23" t="s">
        <v>197</v>
      </c>
      <c r="AM180" s="23" t="s">
        <v>197</v>
      </c>
      <c r="AN180" s="9" t="s">
        <v>197</v>
      </c>
      <c r="AO180" s="23" t="s">
        <v>197</v>
      </c>
      <c r="AP180" s="23" t="s">
        <v>197</v>
      </c>
      <c r="AQ180" s="23" t="s">
        <v>197</v>
      </c>
    </row>
    <row r="181" customFormat="false" ht="21.75" hidden="false" customHeight="true" outlineLevel="0" collapsed="false">
      <c r="B181" s="14" t="n">
        <v>177</v>
      </c>
      <c r="C181" s="7" t="s">
        <v>80</v>
      </c>
      <c r="D181" s="7" t="s">
        <v>20</v>
      </c>
      <c r="E181" s="7" t="s">
        <v>116</v>
      </c>
      <c r="F181" s="7" t="s">
        <v>93</v>
      </c>
      <c r="G181" s="7" t="s">
        <v>2935</v>
      </c>
      <c r="H181" s="7" t="s">
        <v>2936</v>
      </c>
      <c r="I181" s="7" t="s">
        <v>2937</v>
      </c>
      <c r="J181" s="7" t="s">
        <v>2938</v>
      </c>
      <c r="K181" s="7" t="s">
        <v>2939</v>
      </c>
      <c r="L181" s="7" t="s">
        <v>2940</v>
      </c>
      <c r="M181" s="7" t="s">
        <v>2941</v>
      </c>
      <c r="N181" s="7" t="s">
        <v>2942</v>
      </c>
      <c r="O181" s="7" t="s">
        <v>189</v>
      </c>
      <c r="P181" s="7" t="s">
        <v>190</v>
      </c>
      <c r="Q181" s="7" t="s">
        <v>2943</v>
      </c>
      <c r="R181" s="7" t="s">
        <v>2944</v>
      </c>
      <c r="S181" s="7" t="s">
        <v>2945</v>
      </c>
      <c r="T181" s="7" t="s">
        <v>2946</v>
      </c>
      <c r="U181" s="18" t="n">
        <v>1425</v>
      </c>
      <c r="V181" s="7"/>
      <c r="W181" s="7"/>
      <c r="X181" s="7" t="s">
        <v>195</v>
      </c>
      <c r="Y181" s="22" t="n">
        <v>0.6</v>
      </c>
      <c r="Z181" s="22" t="n">
        <v>2.152</v>
      </c>
      <c r="AA181" s="22" t="n">
        <v>24</v>
      </c>
      <c r="AB181" s="7" t="s">
        <v>2940</v>
      </c>
      <c r="AC181" s="7" t="s">
        <v>2947</v>
      </c>
      <c r="AD181" s="22" t="n">
        <v>0.6</v>
      </c>
      <c r="AE181" s="22" t="n">
        <v>2.152</v>
      </c>
      <c r="AF181" s="22" t="n">
        <v>8</v>
      </c>
      <c r="AG181" s="22" t="s">
        <v>197</v>
      </c>
      <c r="AH181" s="22" t="n">
        <v>4</v>
      </c>
      <c r="AI181" s="22" t="n">
        <v>1000</v>
      </c>
      <c r="AJ181" s="22" t="s">
        <v>197</v>
      </c>
      <c r="AK181" s="22" t="s">
        <v>197</v>
      </c>
      <c r="AL181" s="22" t="s">
        <v>197</v>
      </c>
      <c r="AM181" s="22" t="s">
        <v>197</v>
      </c>
      <c r="AN181" s="7" t="s">
        <v>197</v>
      </c>
      <c r="AO181" s="22" t="s">
        <v>197</v>
      </c>
      <c r="AP181" s="22" t="s">
        <v>197</v>
      </c>
      <c r="AQ181" s="22" t="s">
        <v>197</v>
      </c>
    </row>
    <row r="182" customFormat="false" ht="21.75" hidden="false" customHeight="true" outlineLevel="0" collapsed="false">
      <c r="B182" s="15" t="n">
        <v>178</v>
      </c>
      <c r="C182" s="9" t="s">
        <v>80</v>
      </c>
      <c r="D182" s="9" t="s">
        <v>20</v>
      </c>
      <c r="E182" s="9" t="s">
        <v>116</v>
      </c>
      <c r="F182" s="9" t="s">
        <v>93</v>
      </c>
      <c r="G182" s="9" t="s">
        <v>2948</v>
      </c>
      <c r="H182" s="9" t="s">
        <v>2936</v>
      </c>
      <c r="I182" s="9" t="s">
        <v>2937</v>
      </c>
      <c r="J182" s="9" t="s">
        <v>2938</v>
      </c>
      <c r="K182" s="9" t="s">
        <v>2939</v>
      </c>
      <c r="L182" s="9" t="s">
        <v>2940</v>
      </c>
      <c r="M182" s="9" t="s">
        <v>2941</v>
      </c>
      <c r="N182" s="9" t="s">
        <v>2942</v>
      </c>
      <c r="O182" s="9" t="s">
        <v>189</v>
      </c>
      <c r="P182" s="9" t="s">
        <v>190</v>
      </c>
      <c r="Q182" s="9" t="s">
        <v>2943</v>
      </c>
      <c r="R182" s="9" t="s">
        <v>2944</v>
      </c>
      <c r="S182" s="9" t="s">
        <v>2945</v>
      </c>
      <c r="T182" s="9" t="s">
        <v>2946</v>
      </c>
      <c r="U182" s="19" t="n">
        <v>2135</v>
      </c>
      <c r="V182" s="9"/>
      <c r="W182" s="9"/>
      <c r="X182" s="9" t="s">
        <v>199</v>
      </c>
      <c r="Y182" s="23" t="n">
        <v>0.6</v>
      </c>
      <c r="Z182" s="23" t="n">
        <v>1.809</v>
      </c>
      <c r="AA182" s="23" t="n">
        <v>24</v>
      </c>
      <c r="AB182" s="9" t="s">
        <v>2940</v>
      </c>
      <c r="AC182" s="9" t="s">
        <v>2947</v>
      </c>
      <c r="AD182" s="23" t="n">
        <v>0.6</v>
      </c>
      <c r="AE182" s="23" t="n">
        <v>1.809</v>
      </c>
      <c r="AF182" s="23" t="n">
        <v>8</v>
      </c>
      <c r="AG182" s="23" t="s">
        <v>197</v>
      </c>
      <c r="AH182" s="23" t="n">
        <v>4</v>
      </c>
      <c r="AI182" s="23" t="n">
        <v>1000</v>
      </c>
      <c r="AJ182" s="23" t="s">
        <v>197</v>
      </c>
      <c r="AK182" s="23" t="s">
        <v>197</v>
      </c>
      <c r="AL182" s="23" t="s">
        <v>197</v>
      </c>
      <c r="AM182" s="23" t="s">
        <v>197</v>
      </c>
      <c r="AN182" s="9" t="s">
        <v>197</v>
      </c>
      <c r="AO182" s="23" t="s">
        <v>197</v>
      </c>
      <c r="AP182" s="23" t="s">
        <v>197</v>
      </c>
      <c r="AQ182" s="23" t="s">
        <v>197</v>
      </c>
    </row>
    <row r="183" customFormat="false" ht="21.75" hidden="false" customHeight="true" outlineLevel="0" collapsed="false">
      <c r="B183" s="14" t="n">
        <v>179</v>
      </c>
      <c r="C183" s="7" t="s">
        <v>80</v>
      </c>
      <c r="D183" s="7" t="s">
        <v>20</v>
      </c>
      <c r="E183" s="7" t="s">
        <v>116</v>
      </c>
      <c r="F183" s="7" t="s">
        <v>93</v>
      </c>
      <c r="G183" s="7" t="s">
        <v>2949</v>
      </c>
      <c r="H183" s="7" t="s">
        <v>2936</v>
      </c>
      <c r="I183" s="7" t="s">
        <v>2937</v>
      </c>
      <c r="J183" s="7" t="s">
        <v>2938</v>
      </c>
      <c r="K183" s="7" t="s">
        <v>2939</v>
      </c>
      <c r="L183" s="7" t="s">
        <v>2940</v>
      </c>
      <c r="M183" s="7" t="s">
        <v>2941</v>
      </c>
      <c r="N183" s="7" t="s">
        <v>2942</v>
      </c>
      <c r="O183" s="7" t="s">
        <v>189</v>
      </c>
      <c r="P183" s="7" t="s">
        <v>190</v>
      </c>
      <c r="Q183" s="7" t="s">
        <v>2943</v>
      </c>
      <c r="R183" s="7" t="s">
        <v>2944</v>
      </c>
      <c r="S183" s="7" t="s">
        <v>2945</v>
      </c>
      <c r="T183" s="7" t="s">
        <v>2946</v>
      </c>
      <c r="U183" s="18" t="n">
        <v>2850</v>
      </c>
      <c r="V183" s="7"/>
      <c r="W183" s="7"/>
      <c r="X183" s="7" t="s">
        <v>2950</v>
      </c>
      <c r="Y183" s="22" t="n">
        <v>0.6</v>
      </c>
      <c r="Z183" s="22" t="n">
        <v>1.801</v>
      </c>
      <c r="AA183" s="22" t="n">
        <v>24</v>
      </c>
      <c r="AB183" s="7" t="s">
        <v>2940</v>
      </c>
      <c r="AC183" s="7" t="s">
        <v>2947</v>
      </c>
      <c r="AD183" s="22" t="n">
        <v>0.6</v>
      </c>
      <c r="AE183" s="22" t="n">
        <v>1.801</v>
      </c>
      <c r="AF183" s="22" t="n">
        <v>8</v>
      </c>
      <c r="AG183" s="22" t="s">
        <v>197</v>
      </c>
      <c r="AH183" s="22" t="n">
        <v>4</v>
      </c>
      <c r="AI183" s="22" t="n">
        <v>1000</v>
      </c>
      <c r="AJ183" s="22" t="s">
        <v>197</v>
      </c>
      <c r="AK183" s="22" t="s">
        <v>197</v>
      </c>
      <c r="AL183" s="22" t="s">
        <v>197</v>
      </c>
      <c r="AM183" s="22" t="s">
        <v>197</v>
      </c>
      <c r="AN183" s="7" t="s">
        <v>197</v>
      </c>
      <c r="AO183" s="22" t="s">
        <v>197</v>
      </c>
      <c r="AP183" s="22" t="s">
        <v>197</v>
      </c>
      <c r="AQ183" s="22" t="s">
        <v>197</v>
      </c>
    </row>
    <row r="184" customFormat="false" ht="21.75" hidden="false" customHeight="true" outlineLevel="0" collapsed="false">
      <c r="B184" s="15" t="n">
        <v>180</v>
      </c>
      <c r="C184" s="9" t="s">
        <v>80</v>
      </c>
      <c r="D184" s="9" t="s">
        <v>20</v>
      </c>
      <c r="E184" s="9" t="s">
        <v>116</v>
      </c>
      <c r="F184" s="9" t="s">
        <v>93</v>
      </c>
      <c r="G184" s="9" t="s">
        <v>2951</v>
      </c>
      <c r="H184" s="9" t="s">
        <v>2936</v>
      </c>
      <c r="I184" s="9" t="s">
        <v>2937</v>
      </c>
      <c r="J184" s="9" t="s">
        <v>2938</v>
      </c>
      <c r="K184" s="9" t="s">
        <v>2939</v>
      </c>
      <c r="L184" s="9" t="s">
        <v>2940</v>
      </c>
      <c r="M184" s="9" t="s">
        <v>2941</v>
      </c>
      <c r="N184" s="9" t="s">
        <v>2942</v>
      </c>
      <c r="O184" s="9" t="s">
        <v>189</v>
      </c>
      <c r="P184" s="9" t="s">
        <v>190</v>
      </c>
      <c r="Q184" s="9" t="s">
        <v>2943</v>
      </c>
      <c r="R184" s="9" t="s">
        <v>2944</v>
      </c>
      <c r="S184" s="9" t="s">
        <v>2945</v>
      </c>
      <c r="T184" s="9" t="s">
        <v>2946</v>
      </c>
      <c r="U184" s="19" t="n">
        <v>4275</v>
      </c>
      <c r="V184" s="9"/>
      <c r="W184" s="9"/>
      <c r="X184" s="9" t="s">
        <v>203</v>
      </c>
      <c r="Y184" s="23" t="n">
        <v>0.6</v>
      </c>
      <c r="Z184" s="23" t="n">
        <v>1.924</v>
      </c>
      <c r="AA184" s="23" t="n">
        <v>24</v>
      </c>
      <c r="AB184" s="9" t="s">
        <v>2940</v>
      </c>
      <c r="AC184" s="9" t="s">
        <v>2947</v>
      </c>
      <c r="AD184" s="23" t="n">
        <v>0.6</v>
      </c>
      <c r="AE184" s="23" t="n">
        <v>1.924</v>
      </c>
      <c r="AF184" s="23" t="n">
        <v>8</v>
      </c>
      <c r="AG184" s="23" t="s">
        <v>197</v>
      </c>
      <c r="AH184" s="23" t="n">
        <v>4</v>
      </c>
      <c r="AI184" s="23" t="n">
        <v>1000</v>
      </c>
      <c r="AJ184" s="23" t="s">
        <v>197</v>
      </c>
      <c r="AK184" s="23" t="s">
        <v>197</v>
      </c>
      <c r="AL184" s="23" t="s">
        <v>197</v>
      </c>
      <c r="AM184" s="23" t="s">
        <v>197</v>
      </c>
      <c r="AN184" s="9" t="s">
        <v>197</v>
      </c>
      <c r="AO184" s="23" t="s">
        <v>197</v>
      </c>
      <c r="AP184" s="23" t="s">
        <v>197</v>
      </c>
      <c r="AQ184" s="23" t="s">
        <v>197</v>
      </c>
    </row>
    <row r="185" customFormat="false" ht="21.75" hidden="false" customHeight="true" outlineLevel="0" collapsed="false">
      <c r="B185" s="14" t="n">
        <v>181</v>
      </c>
      <c r="C185" s="7" t="s">
        <v>80</v>
      </c>
      <c r="D185" s="7" t="s">
        <v>20</v>
      </c>
      <c r="E185" s="7" t="s">
        <v>116</v>
      </c>
      <c r="F185" s="7" t="s">
        <v>93</v>
      </c>
      <c r="G185" s="7" t="s">
        <v>2952</v>
      </c>
      <c r="H185" s="7" t="s">
        <v>2936</v>
      </c>
      <c r="I185" s="7" t="s">
        <v>2937</v>
      </c>
      <c r="J185" s="7" t="s">
        <v>2938</v>
      </c>
      <c r="K185" s="7" t="s">
        <v>2939</v>
      </c>
      <c r="L185" s="7" t="s">
        <v>2940</v>
      </c>
      <c r="M185" s="7" t="s">
        <v>2941</v>
      </c>
      <c r="N185" s="7" t="s">
        <v>2942</v>
      </c>
      <c r="O185" s="7" t="s">
        <v>189</v>
      </c>
      <c r="P185" s="7" t="s">
        <v>190</v>
      </c>
      <c r="Q185" s="7" t="s">
        <v>2943</v>
      </c>
      <c r="R185" s="7" t="s">
        <v>2944</v>
      </c>
      <c r="S185" s="7" t="s">
        <v>2945</v>
      </c>
      <c r="T185" s="7" t="s">
        <v>2946</v>
      </c>
      <c r="U185" s="18" t="n">
        <v>6270</v>
      </c>
      <c r="V185" s="7"/>
      <c r="W185" s="7"/>
      <c r="X185" s="7" t="s">
        <v>205</v>
      </c>
      <c r="Y185" s="22" t="n">
        <v>0.6</v>
      </c>
      <c r="Z185" s="22" t="n">
        <v>2.458</v>
      </c>
      <c r="AA185" s="22" t="n">
        <v>24</v>
      </c>
      <c r="AB185" s="7" t="s">
        <v>2940</v>
      </c>
      <c r="AC185" s="7" t="s">
        <v>2947</v>
      </c>
      <c r="AD185" s="22" t="n">
        <v>0.6</v>
      </c>
      <c r="AE185" s="22" t="n">
        <v>2.458</v>
      </c>
      <c r="AF185" s="22" t="n">
        <v>8</v>
      </c>
      <c r="AG185" s="22" t="s">
        <v>197</v>
      </c>
      <c r="AH185" s="22" t="n">
        <v>4</v>
      </c>
      <c r="AI185" s="22" t="n">
        <v>1000</v>
      </c>
      <c r="AJ185" s="22" t="s">
        <v>197</v>
      </c>
      <c r="AK185" s="22" t="s">
        <v>197</v>
      </c>
      <c r="AL185" s="22" t="s">
        <v>197</v>
      </c>
      <c r="AM185" s="22" t="s">
        <v>197</v>
      </c>
      <c r="AN185" s="7" t="s">
        <v>197</v>
      </c>
      <c r="AO185" s="22" t="s">
        <v>197</v>
      </c>
      <c r="AP185" s="22" t="s">
        <v>197</v>
      </c>
      <c r="AQ185" s="22" t="s">
        <v>197</v>
      </c>
    </row>
    <row r="186" customFormat="false" ht="21.75" hidden="false" customHeight="true" outlineLevel="0" collapsed="false">
      <c r="B186" s="15" t="n">
        <v>182</v>
      </c>
      <c r="C186" s="9" t="s">
        <v>80</v>
      </c>
      <c r="D186" s="9" t="s">
        <v>20</v>
      </c>
      <c r="E186" s="9" t="s">
        <v>116</v>
      </c>
      <c r="F186" s="9" t="s">
        <v>94</v>
      </c>
      <c r="G186" s="9" t="s">
        <v>2953</v>
      </c>
      <c r="H186" s="9" t="s">
        <v>2954</v>
      </c>
      <c r="I186" s="9" t="s">
        <v>2955</v>
      </c>
      <c r="J186" s="9" t="s">
        <v>2956</v>
      </c>
      <c r="K186" s="9" t="s">
        <v>189</v>
      </c>
      <c r="L186" s="9" t="s">
        <v>2940</v>
      </c>
      <c r="M186" s="9" t="s">
        <v>2842</v>
      </c>
      <c r="N186" s="9" t="s">
        <v>2957</v>
      </c>
      <c r="O186" s="9" t="s">
        <v>189</v>
      </c>
      <c r="P186" s="9" t="s">
        <v>190</v>
      </c>
      <c r="Q186" s="9" t="s">
        <v>2958</v>
      </c>
      <c r="R186" s="9" t="s">
        <v>2959</v>
      </c>
      <c r="S186" s="9" t="s">
        <v>2945</v>
      </c>
      <c r="T186" s="9" t="s">
        <v>2960</v>
      </c>
      <c r="U186" s="19" t="n">
        <v>320</v>
      </c>
      <c r="V186" s="9"/>
      <c r="W186" s="9"/>
      <c r="X186" s="9" t="s">
        <v>195</v>
      </c>
      <c r="Y186" s="23" t="n">
        <v>0.28</v>
      </c>
      <c r="Z186" s="23" t="n">
        <v>3.225</v>
      </c>
      <c r="AA186" s="23" t="n">
        <v>24</v>
      </c>
      <c r="AB186" s="9" t="s">
        <v>2940</v>
      </c>
      <c r="AC186" s="9" t="s">
        <v>2947</v>
      </c>
      <c r="AD186" s="23" t="n">
        <v>0.28</v>
      </c>
      <c r="AE186" s="23" t="n">
        <v>3.225</v>
      </c>
      <c r="AF186" s="23" t="n">
        <v>2.5</v>
      </c>
      <c r="AG186" s="23" t="n">
        <v>2</v>
      </c>
      <c r="AH186" s="23" t="s">
        <v>197</v>
      </c>
      <c r="AI186" s="23" t="s">
        <v>197</v>
      </c>
      <c r="AJ186" s="23" t="s">
        <v>197</v>
      </c>
      <c r="AK186" s="23" t="s">
        <v>197</v>
      </c>
      <c r="AL186" s="23" t="s">
        <v>197</v>
      </c>
      <c r="AM186" s="23" t="s">
        <v>197</v>
      </c>
      <c r="AN186" s="9" t="s">
        <v>197</v>
      </c>
      <c r="AO186" s="23" t="s">
        <v>197</v>
      </c>
      <c r="AP186" s="23" t="s">
        <v>197</v>
      </c>
      <c r="AQ186" s="23" t="s">
        <v>197</v>
      </c>
    </row>
    <row r="187" customFormat="false" ht="21.75" hidden="false" customHeight="true" outlineLevel="0" collapsed="false">
      <c r="B187" s="14" t="n">
        <v>183</v>
      </c>
      <c r="C187" s="7" t="s">
        <v>80</v>
      </c>
      <c r="D187" s="7" t="s">
        <v>20</v>
      </c>
      <c r="E187" s="7" t="s">
        <v>116</v>
      </c>
      <c r="F187" s="7" t="s">
        <v>94</v>
      </c>
      <c r="G187" s="7" t="s">
        <v>2961</v>
      </c>
      <c r="H187" s="7" t="s">
        <v>2954</v>
      </c>
      <c r="I187" s="7" t="s">
        <v>2955</v>
      </c>
      <c r="J187" s="7" t="s">
        <v>2956</v>
      </c>
      <c r="K187" s="7" t="s">
        <v>189</v>
      </c>
      <c r="L187" s="7" t="s">
        <v>2940</v>
      </c>
      <c r="M187" s="7" t="s">
        <v>2842</v>
      </c>
      <c r="N187" s="7" t="s">
        <v>2957</v>
      </c>
      <c r="O187" s="7" t="s">
        <v>189</v>
      </c>
      <c r="P187" s="7" t="s">
        <v>190</v>
      </c>
      <c r="Q187" s="7" t="s">
        <v>2958</v>
      </c>
      <c r="R187" s="7" t="s">
        <v>2959</v>
      </c>
      <c r="S187" s="7" t="s">
        <v>2945</v>
      </c>
      <c r="T187" s="7" t="s">
        <v>2960</v>
      </c>
      <c r="U187" s="18" t="n">
        <v>480</v>
      </c>
      <c r="V187" s="7"/>
      <c r="W187" s="7"/>
      <c r="X187" s="7" t="s">
        <v>199</v>
      </c>
      <c r="Y187" s="22" t="n">
        <v>0.28</v>
      </c>
      <c r="Z187" s="22" t="n">
        <v>2.178</v>
      </c>
      <c r="AA187" s="22" t="n">
        <v>24</v>
      </c>
      <c r="AB187" s="7" t="s">
        <v>2940</v>
      </c>
      <c r="AC187" s="7" t="s">
        <v>2947</v>
      </c>
      <c r="AD187" s="22" t="n">
        <v>0.28</v>
      </c>
      <c r="AE187" s="22" t="n">
        <v>2.178</v>
      </c>
      <c r="AF187" s="22" t="n">
        <v>2.5</v>
      </c>
      <c r="AG187" s="22" t="n">
        <v>2</v>
      </c>
      <c r="AH187" s="22" t="s">
        <v>197</v>
      </c>
      <c r="AI187" s="22" t="s">
        <v>197</v>
      </c>
      <c r="AJ187" s="22" t="s">
        <v>197</v>
      </c>
      <c r="AK187" s="22" t="s">
        <v>197</v>
      </c>
      <c r="AL187" s="22" t="s">
        <v>197</v>
      </c>
      <c r="AM187" s="22" t="s">
        <v>197</v>
      </c>
      <c r="AN187" s="7" t="s">
        <v>197</v>
      </c>
      <c r="AO187" s="22" t="s">
        <v>197</v>
      </c>
      <c r="AP187" s="22" t="s">
        <v>197</v>
      </c>
      <c r="AQ187" s="22" t="s">
        <v>197</v>
      </c>
    </row>
    <row r="188" customFormat="false" ht="21.75" hidden="false" customHeight="true" outlineLevel="0" collapsed="false">
      <c r="B188" s="15" t="n">
        <v>184</v>
      </c>
      <c r="C188" s="9" t="s">
        <v>80</v>
      </c>
      <c r="D188" s="9" t="s">
        <v>20</v>
      </c>
      <c r="E188" s="9" t="s">
        <v>116</v>
      </c>
      <c r="F188" s="9" t="s">
        <v>94</v>
      </c>
      <c r="G188" s="9" t="s">
        <v>2962</v>
      </c>
      <c r="H188" s="9" t="s">
        <v>2954</v>
      </c>
      <c r="I188" s="9" t="s">
        <v>2955</v>
      </c>
      <c r="J188" s="9" t="s">
        <v>2956</v>
      </c>
      <c r="K188" s="9" t="s">
        <v>189</v>
      </c>
      <c r="L188" s="9" t="s">
        <v>2940</v>
      </c>
      <c r="M188" s="9" t="s">
        <v>2842</v>
      </c>
      <c r="N188" s="9" t="s">
        <v>2957</v>
      </c>
      <c r="O188" s="9" t="s">
        <v>189</v>
      </c>
      <c r="P188" s="9" t="s">
        <v>190</v>
      </c>
      <c r="Q188" s="9" t="s">
        <v>2958</v>
      </c>
      <c r="R188" s="9" t="s">
        <v>2959</v>
      </c>
      <c r="S188" s="9" t="s">
        <v>2945</v>
      </c>
      <c r="T188" s="9" t="s">
        <v>2960</v>
      </c>
      <c r="U188" s="19" t="n">
        <v>640</v>
      </c>
      <c r="V188" s="9"/>
      <c r="W188" s="9"/>
      <c r="X188" s="9" t="s">
        <v>2963</v>
      </c>
      <c r="Y188" s="23" t="n">
        <v>0.28</v>
      </c>
      <c r="Z188" s="23" t="n">
        <v>2.588</v>
      </c>
      <c r="AA188" s="23" t="n">
        <v>24</v>
      </c>
      <c r="AB188" s="9" t="s">
        <v>2940</v>
      </c>
      <c r="AC188" s="9" t="s">
        <v>2947</v>
      </c>
      <c r="AD188" s="23" t="n">
        <v>0.28</v>
      </c>
      <c r="AE188" s="23" t="n">
        <v>2.588</v>
      </c>
      <c r="AF188" s="23" t="n">
        <v>2.5</v>
      </c>
      <c r="AG188" s="23" t="n">
        <v>2</v>
      </c>
      <c r="AH188" s="23" t="s">
        <v>197</v>
      </c>
      <c r="AI188" s="23" t="s">
        <v>197</v>
      </c>
      <c r="AJ188" s="23" t="s">
        <v>197</v>
      </c>
      <c r="AK188" s="23" t="s">
        <v>197</v>
      </c>
      <c r="AL188" s="23" t="s">
        <v>197</v>
      </c>
      <c r="AM188" s="23" t="s">
        <v>197</v>
      </c>
      <c r="AN188" s="9" t="s">
        <v>197</v>
      </c>
      <c r="AO188" s="23" t="s">
        <v>197</v>
      </c>
      <c r="AP188" s="23" t="s">
        <v>197</v>
      </c>
      <c r="AQ188" s="23" t="s">
        <v>197</v>
      </c>
    </row>
    <row r="189" customFormat="false" ht="21.75" hidden="false" customHeight="true" outlineLevel="0" collapsed="false">
      <c r="B189" s="14" t="n">
        <v>185</v>
      </c>
      <c r="C189" s="7" t="s">
        <v>80</v>
      </c>
      <c r="D189" s="7" t="s">
        <v>20</v>
      </c>
      <c r="E189" s="7" t="s">
        <v>116</v>
      </c>
      <c r="F189" s="7" t="s">
        <v>94</v>
      </c>
      <c r="G189" s="7" t="s">
        <v>2964</v>
      </c>
      <c r="H189" s="7" t="s">
        <v>2954</v>
      </c>
      <c r="I189" s="7" t="s">
        <v>2955</v>
      </c>
      <c r="J189" s="7" t="s">
        <v>2956</v>
      </c>
      <c r="K189" s="7" t="s">
        <v>189</v>
      </c>
      <c r="L189" s="7" t="s">
        <v>2940</v>
      </c>
      <c r="M189" s="7" t="s">
        <v>2842</v>
      </c>
      <c r="N189" s="7" t="s">
        <v>2957</v>
      </c>
      <c r="O189" s="7" t="s">
        <v>189</v>
      </c>
      <c r="P189" s="7" t="s">
        <v>190</v>
      </c>
      <c r="Q189" s="7" t="s">
        <v>2958</v>
      </c>
      <c r="R189" s="7" t="s">
        <v>2959</v>
      </c>
      <c r="S189" s="7" t="s">
        <v>2945</v>
      </c>
      <c r="T189" s="7" t="s">
        <v>2960</v>
      </c>
      <c r="U189" s="18" t="n">
        <v>960</v>
      </c>
      <c r="V189" s="7"/>
      <c r="W189" s="7"/>
      <c r="X189" s="7" t="s">
        <v>203</v>
      </c>
      <c r="Y189" s="22" t="n">
        <v>0.28</v>
      </c>
      <c r="Z189" s="22" t="n">
        <v>1.363</v>
      </c>
      <c r="AA189" s="22" t="n">
        <v>24</v>
      </c>
      <c r="AB189" s="7" t="s">
        <v>2940</v>
      </c>
      <c r="AC189" s="7" t="s">
        <v>2947</v>
      </c>
      <c r="AD189" s="22" t="n">
        <v>0.28</v>
      </c>
      <c r="AE189" s="22" t="n">
        <v>1.363</v>
      </c>
      <c r="AF189" s="22" t="n">
        <v>2.5</v>
      </c>
      <c r="AG189" s="22" t="n">
        <v>2</v>
      </c>
      <c r="AH189" s="22" t="s">
        <v>197</v>
      </c>
      <c r="AI189" s="22" t="s">
        <v>197</v>
      </c>
      <c r="AJ189" s="22" t="s">
        <v>197</v>
      </c>
      <c r="AK189" s="22" t="s">
        <v>197</v>
      </c>
      <c r="AL189" s="22" t="s">
        <v>197</v>
      </c>
      <c r="AM189" s="22" t="s">
        <v>197</v>
      </c>
      <c r="AN189" s="7" t="s">
        <v>197</v>
      </c>
      <c r="AO189" s="22" t="s">
        <v>197</v>
      </c>
      <c r="AP189" s="22" t="s">
        <v>197</v>
      </c>
      <c r="AQ189" s="22" t="s">
        <v>197</v>
      </c>
    </row>
    <row r="190" customFormat="false" ht="21.75" hidden="false" customHeight="true" outlineLevel="0" collapsed="false">
      <c r="B190" s="15" t="n">
        <v>186</v>
      </c>
      <c r="C190" s="9" t="s">
        <v>80</v>
      </c>
      <c r="D190" s="9" t="s">
        <v>20</v>
      </c>
      <c r="E190" s="9" t="s">
        <v>116</v>
      </c>
      <c r="F190" s="9" t="s">
        <v>94</v>
      </c>
      <c r="G190" s="9" t="s">
        <v>2965</v>
      </c>
      <c r="H190" s="9" t="s">
        <v>2954</v>
      </c>
      <c r="I190" s="9" t="s">
        <v>2955</v>
      </c>
      <c r="J190" s="9" t="s">
        <v>2956</v>
      </c>
      <c r="K190" s="9" t="s">
        <v>189</v>
      </c>
      <c r="L190" s="9" t="s">
        <v>2940</v>
      </c>
      <c r="M190" s="9" t="s">
        <v>2842</v>
      </c>
      <c r="N190" s="9" t="s">
        <v>2957</v>
      </c>
      <c r="O190" s="9" t="s">
        <v>189</v>
      </c>
      <c r="P190" s="9" t="s">
        <v>190</v>
      </c>
      <c r="Q190" s="9" t="s">
        <v>2958</v>
      </c>
      <c r="R190" s="9" t="s">
        <v>2959</v>
      </c>
      <c r="S190" s="9" t="s">
        <v>2945</v>
      </c>
      <c r="T190" s="9" t="s">
        <v>2960</v>
      </c>
      <c r="U190" s="19" t="n">
        <v>1405</v>
      </c>
      <c r="V190" s="9"/>
      <c r="W190" s="9"/>
      <c r="X190" s="9" t="s">
        <v>205</v>
      </c>
      <c r="Y190" s="23" t="n">
        <v>0.28</v>
      </c>
      <c r="Z190" s="23" t="n">
        <v>1.902</v>
      </c>
      <c r="AA190" s="23" t="n">
        <v>24</v>
      </c>
      <c r="AB190" s="9" t="s">
        <v>2940</v>
      </c>
      <c r="AC190" s="9" t="s">
        <v>2947</v>
      </c>
      <c r="AD190" s="23" t="n">
        <v>0.28</v>
      </c>
      <c r="AE190" s="23" t="n">
        <v>1.902</v>
      </c>
      <c r="AF190" s="23" t="n">
        <v>2.5</v>
      </c>
      <c r="AG190" s="23" t="n">
        <v>2</v>
      </c>
      <c r="AH190" s="23" t="s">
        <v>197</v>
      </c>
      <c r="AI190" s="23" t="s">
        <v>197</v>
      </c>
      <c r="AJ190" s="23" t="s">
        <v>197</v>
      </c>
      <c r="AK190" s="23" t="s">
        <v>197</v>
      </c>
      <c r="AL190" s="23" t="s">
        <v>197</v>
      </c>
      <c r="AM190" s="23" t="s">
        <v>197</v>
      </c>
      <c r="AN190" s="9" t="s">
        <v>197</v>
      </c>
      <c r="AO190" s="23" t="s">
        <v>197</v>
      </c>
      <c r="AP190" s="23" t="s">
        <v>197</v>
      </c>
      <c r="AQ190" s="23" t="s">
        <v>197</v>
      </c>
    </row>
    <row r="191" customFormat="false" ht="21.75" hidden="false" customHeight="true" outlineLevel="0" collapsed="false">
      <c r="B191" s="14" t="n">
        <v>187</v>
      </c>
      <c r="C191" s="7" t="s">
        <v>80</v>
      </c>
      <c r="D191" s="7" t="s">
        <v>20</v>
      </c>
      <c r="E191" s="7" t="s">
        <v>116</v>
      </c>
      <c r="F191" s="7" t="s">
        <v>95</v>
      </c>
      <c r="G191" s="7" t="s">
        <v>391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18"/>
      <c r="V191" s="7"/>
      <c r="W191" s="7"/>
      <c r="X191" s="7" t="s">
        <v>2966</v>
      </c>
      <c r="Y191" s="22" t="s">
        <v>197</v>
      </c>
      <c r="Z191" s="22" t="s">
        <v>197</v>
      </c>
      <c r="AA191" s="22" t="s">
        <v>197</v>
      </c>
      <c r="AB191" s="7" t="s">
        <v>197</v>
      </c>
      <c r="AC191" s="7" t="s">
        <v>197</v>
      </c>
      <c r="AD191" s="22" t="s">
        <v>197</v>
      </c>
      <c r="AE191" s="22" t="s">
        <v>197</v>
      </c>
      <c r="AF191" s="22" t="s">
        <v>197</v>
      </c>
      <c r="AG191" s="22" t="s">
        <v>197</v>
      </c>
      <c r="AH191" s="22" t="s">
        <v>197</v>
      </c>
      <c r="AI191" s="22" t="s">
        <v>197</v>
      </c>
      <c r="AJ191" s="22" t="s">
        <v>197</v>
      </c>
      <c r="AK191" s="22" t="s">
        <v>197</v>
      </c>
      <c r="AL191" s="22" t="s">
        <v>197</v>
      </c>
      <c r="AM191" s="22" t="s">
        <v>197</v>
      </c>
      <c r="AN191" s="7" t="s">
        <v>197</v>
      </c>
      <c r="AO191" s="22" t="s">
        <v>197</v>
      </c>
      <c r="AP191" s="22" t="s">
        <v>197</v>
      </c>
      <c r="AQ191" s="22" t="s">
        <v>197</v>
      </c>
    </row>
    <row r="192" customFormat="false" ht="21.75" hidden="false" customHeight="true" outlineLevel="0" collapsed="false">
      <c r="B192" s="15" t="n">
        <v>188</v>
      </c>
      <c r="C192" s="9" t="s">
        <v>80</v>
      </c>
      <c r="D192" s="9" t="s">
        <v>20</v>
      </c>
      <c r="E192" s="9" t="s">
        <v>116</v>
      </c>
      <c r="F192" s="9" t="s">
        <v>96</v>
      </c>
      <c r="G192" s="9" t="s">
        <v>2967</v>
      </c>
      <c r="H192" s="9" t="s">
        <v>2510</v>
      </c>
      <c r="I192" s="9" t="s">
        <v>2862</v>
      </c>
      <c r="J192" s="9" t="s">
        <v>2968</v>
      </c>
      <c r="K192" s="9" t="s">
        <v>2969</v>
      </c>
      <c r="L192" s="9" t="s">
        <v>2940</v>
      </c>
      <c r="M192" s="9" t="s">
        <v>2514</v>
      </c>
      <c r="N192" s="9" t="s">
        <v>189</v>
      </c>
      <c r="O192" s="9" t="s">
        <v>189</v>
      </c>
      <c r="P192" s="9" t="s">
        <v>190</v>
      </c>
      <c r="Q192" s="9" t="s">
        <v>2515</v>
      </c>
      <c r="R192" s="9" t="s">
        <v>2532</v>
      </c>
      <c r="S192" s="9" t="s">
        <v>2945</v>
      </c>
      <c r="T192" s="9" t="s">
        <v>2855</v>
      </c>
      <c r="U192" s="19" t="n">
        <v>35</v>
      </c>
      <c r="V192" s="9"/>
      <c r="W192" s="9"/>
      <c r="X192" s="9" t="s">
        <v>195</v>
      </c>
      <c r="Y192" s="23" t="n">
        <v>0.0001142</v>
      </c>
      <c r="Z192" s="23" t="n">
        <v>0.005</v>
      </c>
      <c r="AA192" s="23" t="n">
        <v>24</v>
      </c>
      <c r="AB192" s="9" t="s">
        <v>2940</v>
      </c>
      <c r="AC192" s="9" t="s">
        <v>2970</v>
      </c>
      <c r="AD192" s="23" t="s">
        <v>197</v>
      </c>
      <c r="AE192" s="23" t="s">
        <v>197</v>
      </c>
      <c r="AF192" s="23" t="s">
        <v>197</v>
      </c>
      <c r="AG192" s="23" t="s">
        <v>197</v>
      </c>
      <c r="AH192" s="23" t="s">
        <v>197</v>
      </c>
      <c r="AI192" s="23" t="s">
        <v>197</v>
      </c>
      <c r="AJ192" s="23" t="n">
        <v>60</v>
      </c>
      <c r="AK192" s="23" t="s">
        <v>197</v>
      </c>
      <c r="AL192" s="23" t="s">
        <v>197</v>
      </c>
      <c r="AM192" s="23" t="s">
        <v>197</v>
      </c>
      <c r="AN192" s="9" t="s">
        <v>2518</v>
      </c>
      <c r="AO192" s="23" t="s">
        <v>197</v>
      </c>
      <c r="AP192" s="23" t="n">
        <v>2.5</v>
      </c>
      <c r="AQ192" s="23" t="n">
        <v>6</v>
      </c>
    </row>
    <row r="193" customFormat="false" ht="21.75" hidden="false" customHeight="true" outlineLevel="0" collapsed="false">
      <c r="B193" s="14" t="n">
        <v>189</v>
      </c>
      <c r="C193" s="7" t="s">
        <v>80</v>
      </c>
      <c r="D193" s="7" t="s">
        <v>20</v>
      </c>
      <c r="E193" s="7" t="s">
        <v>116</v>
      </c>
      <c r="F193" s="7" t="s">
        <v>96</v>
      </c>
      <c r="G193" s="7" t="s">
        <v>2971</v>
      </c>
      <c r="H193" s="7" t="s">
        <v>2520</v>
      </c>
      <c r="I193" s="7" t="s">
        <v>2862</v>
      </c>
      <c r="J193" s="7" t="s">
        <v>2968</v>
      </c>
      <c r="K193" s="7" t="s">
        <v>2969</v>
      </c>
      <c r="L193" s="7" t="s">
        <v>2940</v>
      </c>
      <c r="M193" s="7" t="s">
        <v>2514</v>
      </c>
      <c r="N193" s="7" t="s">
        <v>189</v>
      </c>
      <c r="O193" s="7" t="s">
        <v>189</v>
      </c>
      <c r="P193" s="7" t="s">
        <v>190</v>
      </c>
      <c r="Q193" s="7" t="s">
        <v>2515</v>
      </c>
      <c r="R193" s="7" t="s">
        <v>2532</v>
      </c>
      <c r="S193" s="7" t="s">
        <v>2945</v>
      </c>
      <c r="T193" s="7" t="s">
        <v>2855</v>
      </c>
      <c r="U193" s="18" t="n">
        <v>55</v>
      </c>
      <c r="V193" s="7"/>
      <c r="W193" s="7"/>
      <c r="X193" s="7" t="s">
        <v>199</v>
      </c>
      <c r="Y193" s="22" t="n">
        <v>9.994E-005</v>
      </c>
      <c r="Z193" s="22" t="n">
        <v>0.004</v>
      </c>
      <c r="AA193" s="22" t="n">
        <v>24</v>
      </c>
      <c r="AB193" s="7" t="s">
        <v>2940</v>
      </c>
      <c r="AC193" s="7" t="s">
        <v>2970</v>
      </c>
      <c r="AD193" s="22" t="s">
        <v>197</v>
      </c>
      <c r="AE193" s="22" t="s">
        <v>197</v>
      </c>
      <c r="AF193" s="22" t="s">
        <v>197</v>
      </c>
      <c r="AG193" s="22" t="s">
        <v>197</v>
      </c>
      <c r="AH193" s="22" t="s">
        <v>197</v>
      </c>
      <c r="AI193" s="22" t="s">
        <v>197</v>
      </c>
      <c r="AJ193" s="22" t="n">
        <v>80</v>
      </c>
      <c r="AK193" s="22" t="s">
        <v>197</v>
      </c>
      <c r="AL193" s="22" t="s">
        <v>197</v>
      </c>
      <c r="AM193" s="22" t="s">
        <v>197</v>
      </c>
      <c r="AN193" s="7" t="s">
        <v>2518</v>
      </c>
      <c r="AO193" s="22" t="s">
        <v>197</v>
      </c>
      <c r="AP193" s="22" t="n">
        <v>2.5</v>
      </c>
      <c r="AQ193" s="22" t="n">
        <v>6</v>
      </c>
    </row>
    <row r="194" customFormat="false" ht="21.75" hidden="false" customHeight="true" outlineLevel="0" collapsed="false">
      <c r="B194" s="15" t="n">
        <v>190</v>
      </c>
      <c r="C194" s="9" t="s">
        <v>80</v>
      </c>
      <c r="D194" s="9" t="s">
        <v>20</v>
      </c>
      <c r="E194" s="9" t="s">
        <v>116</v>
      </c>
      <c r="F194" s="9" t="s">
        <v>96</v>
      </c>
      <c r="G194" s="9" t="s">
        <v>2972</v>
      </c>
      <c r="H194" s="9" t="s">
        <v>2522</v>
      </c>
      <c r="I194" s="9" t="s">
        <v>2862</v>
      </c>
      <c r="J194" s="9" t="s">
        <v>2968</v>
      </c>
      <c r="K194" s="9" t="s">
        <v>2969</v>
      </c>
      <c r="L194" s="9" t="s">
        <v>2940</v>
      </c>
      <c r="M194" s="9" t="s">
        <v>2514</v>
      </c>
      <c r="N194" s="9" t="s">
        <v>189</v>
      </c>
      <c r="O194" s="9" t="s">
        <v>189</v>
      </c>
      <c r="P194" s="9" t="s">
        <v>190</v>
      </c>
      <c r="Q194" s="9" t="s">
        <v>2515</v>
      </c>
      <c r="R194" s="9" t="s">
        <v>2532</v>
      </c>
      <c r="S194" s="9" t="s">
        <v>2945</v>
      </c>
      <c r="T194" s="9" t="s">
        <v>2855</v>
      </c>
      <c r="U194" s="19" t="n">
        <v>75</v>
      </c>
      <c r="V194" s="9"/>
      <c r="W194" s="9"/>
      <c r="X194" s="9" t="s">
        <v>2973</v>
      </c>
      <c r="Y194" s="23" t="n">
        <v>8.833E-005</v>
      </c>
      <c r="Z194" s="23" t="n">
        <v>0.003</v>
      </c>
      <c r="AA194" s="23" t="n">
        <v>24</v>
      </c>
      <c r="AB194" s="9" t="s">
        <v>2940</v>
      </c>
      <c r="AC194" s="9" t="s">
        <v>2970</v>
      </c>
      <c r="AD194" s="23" t="s">
        <v>197</v>
      </c>
      <c r="AE194" s="23" t="s">
        <v>197</v>
      </c>
      <c r="AF194" s="23" t="s">
        <v>197</v>
      </c>
      <c r="AG194" s="23" t="s">
        <v>197</v>
      </c>
      <c r="AH194" s="23" t="s">
        <v>197</v>
      </c>
      <c r="AI194" s="23" t="s">
        <v>197</v>
      </c>
      <c r="AJ194" s="23" t="n">
        <v>100</v>
      </c>
      <c r="AK194" s="23" t="s">
        <v>197</v>
      </c>
      <c r="AL194" s="23" t="s">
        <v>197</v>
      </c>
      <c r="AM194" s="23" t="s">
        <v>197</v>
      </c>
      <c r="AN194" s="9" t="s">
        <v>2518</v>
      </c>
      <c r="AO194" s="23" t="s">
        <v>197</v>
      </c>
      <c r="AP194" s="23" t="n">
        <v>2.5</v>
      </c>
      <c r="AQ194" s="23" t="n">
        <v>6</v>
      </c>
    </row>
    <row r="195" customFormat="false" ht="21.75" hidden="false" customHeight="true" outlineLevel="0" collapsed="false">
      <c r="B195" s="14" t="n">
        <v>191</v>
      </c>
      <c r="C195" s="7" t="s">
        <v>80</v>
      </c>
      <c r="D195" s="7" t="s">
        <v>20</v>
      </c>
      <c r="E195" s="7" t="s">
        <v>116</v>
      </c>
      <c r="F195" s="7" t="s">
        <v>96</v>
      </c>
      <c r="G195" s="7" t="s">
        <v>2974</v>
      </c>
      <c r="H195" s="7" t="s">
        <v>2525</v>
      </c>
      <c r="I195" s="7" t="s">
        <v>2862</v>
      </c>
      <c r="J195" s="7" t="s">
        <v>2968</v>
      </c>
      <c r="K195" s="7" t="s">
        <v>2969</v>
      </c>
      <c r="L195" s="7" t="s">
        <v>2940</v>
      </c>
      <c r="M195" s="7" t="s">
        <v>2514</v>
      </c>
      <c r="N195" s="7" t="s">
        <v>189</v>
      </c>
      <c r="O195" s="7" t="s">
        <v>189</v>
      </c>
      <c r="P195" s="7" t="s">
        <v>190</v>
      </c>
      <c r="Q195" s="7" t="s">
        <v>2515</v>
      </c>
      <c r="R195" s="7" t="s">
        <v>2532</v>
      </c>
      <c r="S195" s="7" t="s">
        <v>2945</v>
      </c>
      <c r="T195" s="7" t="s">
        <v>2855</v>
      </c>
      <c r="U195" s="18" t="n">
        <v>115</v>
      </c>
      <c r="V195" s="7"/>
      <c r="W195" s="7"/>
      <c r="X195" s="7" t="s">
        <v>203</v>
      </c>
      <c r="Y195" s="22" t="n">
        <v>6.192E-005</v>
      </c>
      <c r="Z195" s="22" t="n">
        <v>0.002</v>
      </c>
      <c r="AA195" s="22" t="n">
        <v>24</v>
      </c>
      <c r="AB195" s="7" t="s">
        <v>2940</v>
      </c>
      <c r="AC195" s="7" t="s">
        <v>2970</v>
      </c>
      <c r="AD195" s="22" t="s">
        <v>197</v>
      </c>
      <c r="AE195" s="22" t="s">
        <v>197</v>
      </c>
      <c r="AF195" s="22" t="s">
        <v>197</v>
      </c>
      <c r="AG195" s="22" t="s">
        <v>197</v>
      </c>
      <c r="AH195" s="22" t="s">
        <v>197</v>
      </c>
      <c r="AI195" s="22" t="s">
        <v>197</v>
      </c>
      <c r="AJ195" s="22" t="n">
        <v>100</v>
      </c>
      <c r="AK195" s="22" t="s">
        <v>197</v>
      </c>
      <c r="AL195" s="22" t="s">
        <v>197</v>
      </c>
      <c r="AM195" s="22" t="s">
        <v>197</v>
      </c>
      <c r="AN195" s="7" t="s">
        <v>2518</v>
      </c>
      <c r="AO195" s="22" t="s">
        <v>197</v>
      </c>
      <c r="AP195" s="22" t="n">
        <v>2.5</v>
      </c>
      <c r="AQ195" s="22" t="n">
        <v>6</v>
      </c>
    </row>
    <row r="196" customFormat="false" ht="21.75" hidden="false" customHeight="true" outlineLevel="0" collapsed="false">
      <c r="B196" s="15" t="n">
        <v>192</v>
      </c>
      <c r="C196" s="9" t="s">
        <v>80</v>
      </c>
      <c r="D196" s="9" t="s">
        <v>20</v>
      </c>
      <c r="E196" s="9" t="s">
        <v>116</v>
      </c>
      <c r="F196" s="9" t="s">
        <v>96</v>
      </c>
      <c r="G196" s="9" t="s">
        <v>2975</v>
      </c>
      <c r="H196" s="9" t="s">
        <v>2527</v>
      </c>
      <c r="I196" s="9" t="s">
        <v>2862</v>
      </c>
      <c r="J196" s="9" t="s">
        <v>2968</v>
      </c>
      <c r="K196" s="9" t="s">
        <v>2969</v>
      </c>
      <c r="L196" s="9" t="s">
        <v>2940</v>
      </c>
      <c r="M196" s="9" t="s">
        <v>2514</v>
      </c>
      <c r="N196" s="9" t="s">
        <v>189</v>
      </c>
      <c r="O196" s="9" t="s">
        <v>189</v>
      </c>
      <c r="P196" s="9" t="s">
        <v>190</v>
      </c>
      <c r="Q196" s="9" t="s">
        <v>2515</v>
      </c>
      <c r="R196" s="9" t="s">
        <v>2532</v>
      </c>
      <c r="S196" s="9" t="s">
        <v>2945</v>
      </c>
      <c r="T196" s="9" t="s">
        <v>2855</v>
      </c>
      <c r="U196" s="19" t="n">
        <v>170</v>
      </c>
      <c r="V196" s="9"/>
      <c r="W196" s="9"/>
      <c r="X196" s="9" t="s">
        <v>205</v>
      </c>
      <c r="Y196" s="23" t="n">
        <v>7.759E-005</v>
      </c>
      <c r="Z196" s="23" t="n">
        <v>0.003</v>
      </c>
      <c r="AA196" s="23" t="n">
        <v>24</v>
      </c>
      <c r="AB196" s="9" t="s">
        <v>2940</v>
      </c>
      <c r="AC196" s="9" t="s">
        <v>2970</v>
      </c>
      <c r="AD196" s="23" t="s">
        <v>197</v>
      </c>
      <c r="AE196" s="23" t="s">
        <v>197</v>
      </c>
      <c r="AF196" s="23" t="s">
        <v>197</v>
      </c>
      <c r="AG196" s="23" t="s">
        <v>197</v>
      </c>
      <c r="AH196" s="23" t="s">
        <v>197</v>
      </c>
      <c r="AI196" s="23" t="s">
        <v>197</v>
      </c>
      <c r="AJ196" s="23" t="n">
        <v>120</v>
      </c>
      <c r="AK196" s="23" t="s">
        <v>197</v>
      </c>
      <c r="AL196" s="23" t="s">
        <v>197</v>
      </c>
      <c r="AM196" s="23" t="s">
        <v>197</v>
      </c>
      <c r="AN196" s="9" t="s">
        <v>2518</v>
      </c>
      <c r="AO196" s="23" t="s">
        <v>197</v>
      </c>
      <c r="AP196" s="23" t="n">
        <v>2.5</v>
      </c>
      <c r="AQ196" s="23" t="n">
        <v>6</v>
      </c>
    </row>
    <row r="197" customFormat="false" ht="21.75" hidden="false" customHeight="true" outlineLevel="0" collapsed="false">
      <c r="B197" s="14" t="n">
        <v>193</v>
      </c>
      <c r="C197" s="7" t="s">
        <v>80</v>
      </c>
      <c r="D197" s="7" t="s">
        <v>20</v>
      </c>
      <c r="E197" s="7" t="s">
        <v>116</v>
      </c>
      <c r="F197" s="7" t="s">
        <v>97</v>
      </c>
      <c r="G197" s="7" t="s">
        <v>2976</v>
      </c>
      <c r="H197" s="7" t="s">
        <v>2529</v>
      </c>
      <c r="I197" s="7" t="s">
        <v>2977</v>
      </c>
      <c r="J197" s="7" t="s">
        <v>2978</v>
      </c>
      <c r="K197" s="7" t="s">
        <v>2969</v>
      </c>
      <c r="L197" s="7" t="s">
        <v>2940</v>
      </c>
      <c r="M197" s="7" t="s">
        <v>2514</v>
      </c>
      <c r="N197" s="7" t="s">
        <v>189</v>
      </c>
      <c r="O197" s="7" t="s">
        <v>189</v>
      </c>
      <c r="P197" s="7" t="s">
        <v>190</v>
      </c>
      <c r="Q197" s="7" t="s">
        <v>2515</v>
      </c>
      <c r="R197" s="7" t="s">
        <v>2874</v>
      </c>
      <c r="S197" s="7" t="s">
        <v>2945</v>
      </c>
      <c r="T197" s="7" t="s">
        <v>2875</v>
      </c>
      <c r="U197" s="18" t="n">
        <v>35</v>
      </c>
      <c r="V197" s="7"/>
      <c r="W197" s="7"/>
      <c r="X197" s="7" t="s">
        <v>195</v>
      </c>
      <c r="Y197" s="22" t="n">
        <v>9.645E-005</v>
      </c>
      <c r="Z197" s="22" t="n">
        <v>0.004</v>
      </c>
      <c r="AA197" s="22" t="n">
        <v>24</v>
      </c>
      <c r="AB197" s="7" t="s">
        <v>2940</v>
      </c>
      <c r="AC197" s="7" t="s">
        <v>2970</v>
      </c>
      <c r="AD197" s="22" t="s">
        <v>197</v>
      </c>
      <c r="AE197" s="22" t="s">
        <v>197</v>
      </c>
      <c r="AF197" s="22" t="s">
        <v>197</v>
      </c>
      <c r="AG197" s="22" t="s">
        <v>197</v>
      </c>
      <c r="AH197" s="22" t="s">
        <v>197</v>
      </c>
      <c r="AI197" s="22" t="s">
        <v>197</v>
      </c>
      <c r="AJ197" s="22" t="n">
        <v>55</v>
      </c>
      <c r="AK197" s="22" t="s">
        <v>197</v>
      </c>
      <c r="AL197" s="22" t="s">
        <v>197</v>
      </c>
      <c r="AM197" s="22" t="s">
        <v>197</v>
      </c>
      <c r="AN197" s="7" t="s">
        <v>2518</v>
      </c>
      <c r="AO197" s="22" t="s">
        <v>197</v>
      </c>
      <c r="AP197" s="22" t="n">
        <v>2.5</v>
      </c>
      <c r="AQ197" s="22" t="n">
        <v>6</v>
      </c>
    </row>
    <row r="198" customFormat="false" ht="21.75" hidden="false" customHeight="true" outlineLevel="0" collapsed="false">
      <c r="B198" s="15" t="n">
        <v>194</v>
      </c>
      <c r="C198" s="9" t="s">
        <v>80</v>
      </c>
      <c r="D198" s="9" t="s">
        <v>20</v>
      </c>
      <c r="E198" s="9" t="s">
        <v>116</v>
      </c>
      <c r="F198" s="9" t="s">
        <v>97</v>
      </c>
      <c r="G198" s="9" t="s">
        <v>2979</v>
      </c>
      <c r="H198" s="9" t="s">
        <v>2535</v>
      </c>
      <c r="I198" s="9" t="s">
        <v>2977</v>
      </c>
      <c r="J198" s="9" t="s">
        <v>2978</v>
      </c>
      <c r="K198" s="9" t="s">
        <v>2969</v>
      </c>
      <c r="L198" s="9" t="s">
        <v>2940</v>
      </c>
      <c r="M198" s="9" t="s">
        <v>2514</v>
      </c>
      <c r="N198" s="9" t="s">
        <v>189</v>
      </c>
      <c r="O198" s="9" t="s">
        <v>189</v>
      </c>
      <c r="P198" s="9" t="s">
        <v>190</v>
      </c>
      <c r="Q198" s="9" t="s">
        <v>2515</v>
      </c>
      <c r="R198" s="9" t="s">
        <v>2874</v>
      </c>
      <c r="S198" s="9" t="s">
        <v>2945</v>
      </c>
      <c r="T198" s="9" t="s">
        <v>2875</v>
      </c>
      <c r="U198" s="19" t="n">
        <v>55</v>
      </c>
      <c r="V198" s="9"/>
      <c r="W198" s="9"/>
      <c r="X198" s="9" t="s">
        <v>199</v>
      </c>
      <c r="Y198" s="23" t="n">
        <v>9.204E-005</v>
      </c>
      <c r="Z198" s="23" t="n">
        <v>0.004</v>
      </c>
      <c r="AA198" s="23" t="n">
        <v>24</v>
      </c>
      <c r="AB198" s="9" t="s">
        <v>2940</v>
      </c>
      <c r="AC198" s="9" t="s">
        <v>2970</v>
      </c>
      <c r="AD198" s="23" t="s">
        <v>197</v>
      </c>
      <c r="AE198" s="23" t="s">
        <v>197</v>
      </c>
      <c r="AF198" s="23" t="s">
        <v>197</v>
      </c>
      <c r="AG198" s="23" t="s">
        <v>197</v>
      </c>
      <c r="AH198" s="23" t="s">
        <v>197</v>
      </c>
      <c r="AI198" s="23" t="s">
        <v>197</v>
      </c>
      <c r="AJ198" s="23" t="n">
        <v>54</v>
      </c>
      <c r="AK198" s="23" t="s">
        <v>197</v>
      </c>
      <c r="AL198" s="23" t="s">
        <v>197</v>
      </c>
      <c r="AM198" s="23" t="s">
        <v>197</v>
      </c>
      <c r="AN198" s="9" t="s">
        <v>2518</v>
      </c>
      <c r="AO198" s="23" t="s">
        <v>197</v>
      </c>
      <c r="AP198" s="23" t="n">
        <v>2.5</v>
      </c>
      <c r="AQ198" s="23" t="n">
        <v>6</v>
      </c>
    </row>
    <row r="199" customFormat="false" ht="21.75" hidden="false" customHeight="true" outlineLevel="0" collapsed="false">
      <c r="B199" s="14" t="n">
        <v>195</v>
      </c>
      <c r="C199" s="7" t="s">
        <v>80</v>
      </c>
      <c r="D199" s="7" t="s">
        <v>20</v>
      </c>
      <c r="E199" s="7" t="s">
        <v>116</v>
      </c>
      <c r="F199" s="7" t="s">
        <v>97</v>
      </c>
      <c r="G199" s="7" t="s">
        <v>2980</v>
      </c>
      <c r="H199" s="7" t="s">
        <v>2537</v>
      </c>
      <c r="I199" s="7" t="s">
        <v>2977</v>
      </c>
      <c r="J199" s="7" t="s">
        <v>2978</v>
      </c>
      <c r="K199" s="7" t="s">
        <v>2969</v>
      </c>
      <c r="L199" s="7" t="s">
        <v>2940</v>
      </c>
      <c r="M199" s="7" t="s">
        <v>2514</v>
      </c>
      <c r="N199" s="7" t="s">
        <v>189</v>
      </c>
      <c r="O199" s="7" t="s">
        <v>189</v>
      </c>
      <c r="P199" s="7" t="s">
        <v>190</v>
      </c>
      <c r="Q199" s="7" t="s">
        <v>2515</v>
      </c>
      <c r="R199" s="7" t="s">
        <v>2874</v>
      </c>
      <c r="S199" s="7" t="s">
        <v>2945</v>
      </c>
      <c r="T199" s="7" t="s">
        <v>2875</v>
      </c>
      <c r="U199" s="18" t="n">
        <v>75</v>
      </c>
      <c r="V199" s="7"/>
      <c r="W199" s="7"/>
      <c r="X199" s="7" t="s">
        <v>2981</v>
      </c>
      <c r="Y199" s="22" t="n">
        <v>7.701E-005</v>
      </c>
      <c r="Z199" s="22" t="n">
        <v>0.003</v>
      </c>
      <c r="AA199" s="22" t="n">
        <v>24</v>
      </c>
      <c r="AB199" s="7" t="s">
        <v>2940</v>
      </c>
      <c r="AC199" s="7" t="s">
        <v>2970</v>
      </c>
      <c r="AD199" s="22" t="s">
        <v>197</v>
      </c>
      <c r="AE199" s="22" t="s">
        <v>197</v>
      </c>
      <c r="AF199" s="22" t="s">
        <v>197</v>
      </c>
      <c r="AG199" s="22" t="s">
        <v>197</v>
      </c>
      <c r="AH199" s="22" t="s">
        <v>197</v>
      </c>
      <c r="AI199" s="22" t="s">
        <v>197</v>
      </c>
      <c r="AJ199" s="22" t="n">
        <v>49</v>
      </c>
      <c r="AK199" s="22" t="s">
        <v>197</v>
      </c>
      <c r="AL199" s="22" t="s">
        <v>197</v>
      </c>
      <c r="AM199" s="22" t="s">
        <v>197</v>
      </c>
      <c r="AN199" s="7" t="s">
        <v>2518</v>
      </c>
      <c r="AO199" s="22" t="s">
        <v>197</v>
      </c>
      <c r="AP199" s="22" t="n">
        <v>2.5</v>
      </c>
      <c r="AQ199" s="22" t="n">
        <v>6</v>
      </c>
    </row>
    <row r="200" customFormat="false" ht="21.75" hidden="false" customHeight="true" outlineLevel="0" collapsed="false">
      <c r="B200" s="15" t="n">
        <v>196</v>
      </c>
      <c r="C200" s="9" t="s">
        <v>80</v>
      </c>
      <c r="D200" s="9" t="s">
        <v>20</v>
      </c>
      <c r="E200" s="9" t="s">
        <v>116</v>
      </c>
      <c r="F200" s="9" t="s">
        <v>97</v>
      </c>
      <c r="G200" s="9" t="s">
        <v>2982</v>
      </c>
      <c r="H200" s="9" t="s">
        <v>2540</v>
      </c>
      <c r="I200" s="9" t="s">
        <v>2977</v>
      </c>
      <c r="J200" s="9" t="s">
        <v>2978</v>
      </c>
      <c r="K200" s="9" t="s">
        <v>2969</v>
      </c>
      <c r="L200" s="9" t="s">
        <v>2940</v>
      </c>
      <c r="M200" s="9" t="s">
        <v>2514</v>
      </c>
      <c r="N200" s="9" t="s">
        <v>189</v>
      </c>
      <c r="O200" s="9" t="s">
        <v>189</v>
      </c>
      <c r="P200" s="9" t="s">
        <v>190</v>
      </c>
      <c r="Q200" s="9" t="s">
        <v>2515</v>
      </c>
      <c r="R200" s="9" t="s">
        <v>2874</v>
      </c>
      <c r="S200" s="9" t="s">
        <v>2945</v>
      </c>
      <c r="T200" s="9" t="s">
        <v>2875</v>
      </c>
      <c r="U200" s="19" t="n">
        <v>110</v>
      </c>
      <c r="V200" s="9"/>
      <c r="W200" s="9"/>
      <c r="X200" s="9" t="s">
        <v>203</v>
      </c>
      <c r="Y200" s="23" t="n">
        <v>5.285E-005</v>
      </c>
      <c r="Z200" s="23" t="n">
        <v>0.002</v>
      </c>
      <c r="AA200" s="23" t="n">
        <v>24</v>
      </c>
      <c r="AB200" s="9" t="s">
        <v>2940</v>
      </c>
      <c r="AC200" s="9" t="s">
        <v>2970</v>
      </c>
      <c r="AD200" s="23" t="s">
        <v>197</v>
      </c>
      <c r="AE200" s="23" t="s">
        <v>197</v>
      </c>
      <c r="AF200" s="23" t="s">
        <v>197</v>
      </c>
      <c r="AG200" s="23" t="s">
        <v>197</v>
      </c>
      <c r="AH200" s="23" t="s">
        <v>197</v>
      </c>
      <c r="AI200" s="23" t="s">
        <v>197</v>
      </c>
      <c r="AJ200" s="23" t="n">
        <v>41</v>
      </c>
      <c r="AK200" s="23" t="s">
        <v>197</v>
      </c>
      <c r="AL200" s="23" t="s">
        <v>197</v>
      </c>
      <c r="AM200" s="23" t="s">
        <v>197</v>
      </c>
      <c r="AN200" s="9" t="s">
        <v>2518</v>
      </c>
      <c r="AO200" s="23" t="s">
        <v>197</v>
      </c>
      <c r="AP200" s="23" t="n">
        <v>2.5</v>
      </c>
      <c r="AQ200" s="23" t="n">
        <v>6</v>
      </c>
    </row>
    <row r="201" customFormat="false" ht="21.75" hidden="false" customHeight="true" outlineLevel="0" collapsed="false">
      <c r="B201" s="14" t="n">
        <v>197</v>
      </c>
      <c r="C201" s="7" t="s">
        <v>80</v>
      </c>
      <c r="D201" s="7" t="s">
        <v>20</v>
      </c>
      <c r="E201" s="7" t="s">
        <v>116</v>
      </c>
      <c r="F201" s="7" t="s">
        <v>97</v>
      </c>
      <c r="G201" s="7" t="s">
        <v>2983</v>
      </c>
      <c r="H201" s="7" t="s">
        <v>2542</v>
      </c>
      <c r="I201" s="7" t="s">
        <v>2977</v>
      </c>
      <c r="J201" s="7" t="s">
        <v>2978</v>
      </c>
      <c r="K201" s="7" t="s">
        <v>2969</v>
      </c>
      <c r="L201" s="7" t="s">
        <v>2940</v>
      </c>
      <c r="M201" s="7" t="s">
        <v>2514</v>
      </c>
      <c r="N201" s="7" t="s">
        <v>189</v>
      </c>
      <c r="O201" s="7" t="s">
        <v>189</v>
      </c>
      <c r="P201" s="7" t="s">
        <v>190</v>
      </c>
      <c r="Q201" s="7" t="s">
        <v>2515</v>
      </c>
      <c r="R201" s="7" t="s">
        <v>2874</v>
      </c>
      <c r="S201" s="7" t="s">
        <v>2945</v>
      </c>
      <c r="T201" s="7" t="s">
        <v>2875</v>
      </c>
      <c r="U201" s="18" t="n">
        <v>165</v>
      </c>
      <c r="V201" s="7"/>
      <c r="W201" s="7"/>
      <c r="X201" s="7" t="s">
        <v>205</v>
      </c>
      <c r="Y201" s="22" t="n">
        <v>7.851E-005</v>
      </c>
      <c r="Z201" s="22" t="n">
        <v>0.003</v>
      </c>
      <c r="AA201" s="22" t="n">
        <v>24</v>
      </c>
      <c r="AB201" s="7" t="s">
        <v>2940</v>
      </c>
      <c r="AC201" s="7" t="s">
        <v>2970</v>
      </c>
      <c r="AD201" s="22" t="s">
        <v>197</v>
      </c>
      <c r="AE201" s="22" t="s">
        <v>197</v>
      </c>
      <c r="AF201" s="22" t="s">
        <v>197</v>
      </c>
      <c r="AG201" s="22" t="s">
        <v>197</v>
      </c>
      <c r="AH201" s="22" t="s">
        <v>197</v>
      </c>
      <c r="AI201" s="22" t="s">
        <v>197</v>
      </c>
      <c r="AJ201" s="22" t="n">
        <v>50</v>
      </c>
      <c r="AK201" s="22" t="s">
        <v>197</v>
      </c>
      <c r="AL201" s="22" t="s">
        <v>197</v>
      </c>
      <c r="AM201" s="22" t="s">
        <v>197</v>
      </c>
      <c r="AN201" s="7" t="s">
        <v>2518</v>
      </c>
      <c r="AO201" s="22" t="s">
        <v>197</v>
      </c>
      <c r="AP201" s="22" t="n">
        <v>2.5</v>
      </c>
      <c r="AQ201" s="22" t="n">
        <v>6</v>
      </c>
    </row>
    <row r="202" customFormat="false" ht="21.75" hidden="false" customHeight="true" outlineLevel="0" collapsed="false">
      <c r="B202" s="15" t="n">
        <v>198</v>
      </c>
      <c r="C202" s="9" t="s">
        <v>80</v>
      </c>
      <c r="D202" s="9" t="s">
        <v>20</v>
      </c>
      <c r="E202" s="9" t="s">
        <v>116</v>
      </c>
      <c r="F202" s="9" t="s">
        <v>98</v>
      </c>
      <c r="G202" s="9" t="s">
        <v>2971</v>
      </c>
      <c r="H202" s="9" t="s">
        <v>2544</v>
      </c>
      <c r="I202" s="9" t="s">
        <v>2984</v>
      </c>
      <c r="J202" s="9" t="s">
        <v>2985</v>
      </c>
      <c r="K202" s="9" t="s">
        <v>2969</v>
      </c>
      <c r="L202" s="9" t="s">
        <v>2940</v>
      </c>
      <c r="M202" s="9" t="s">
        <v>2514</v>
      </c>
      <c r="N202" s="9" t="s">
        <v>189</v>
      </c>
      <c r="O202" s="9" t="s">
        <v>189</v>
      </c>
      <c r="P202" s="9" t="s">
        <v>190</v>
      </c>
      <c r="Q202" s="9" t="s">
        <v>2515</v>
      </c>
      <c r="R202" s="9" t="s">
        <v>2883</v>
      </c>
      <c r="S202" s="9" t="s">
        <v>2945</v>
      </c>
      <c r="T202" s="9" t="s">
        <v>2986</v>
      </c>
      <c r="U202" s="19" t="n">
        <v>40</v>
      </c>
      <c r="V202" s="9"/>
      <c r="W202" s="9"/>
      <c r="X202" s="9" t="s">
        <v>195</v>
      </c>
      <c r="Y202" s="23" t="n">
        <v>0.0001266</v>
      </c>
      <c r="Z202" s="23" t="n">
        <v>0.005</v>
      </c>
      <c r="AA202" s="23" t="n">
        <v>24</v>
      </c>
      <c r="AB202" s="9" t="s">
        <v>2940</v>
      </c>
      <c r="AC202" s="9" t="s">
        <v>2970</v>
      </c>
      <c r="AD202" s="23" t="s">
        <v>197</v>
      </c>
      <c r="AE202" s="23" t="s">
        <v>197</v>
      </c>
      <c r="AF202" s="23" t="s">
        <v>197</v>
      </c>
      <c r="AG202" s="23" t="s">
        <v>197</v>
      </c>
      <c r="AH202" s="23" t="s">
        <v>197</v>
      </c>
      <c r="AI202" s="23" t="s">
        <v>197</v>
      </c>
      <c r="AJ202" s="23" t="n">
        <v>107</v>
      </c>
      <c r="AK202" s="23" t="s">
        <v>197</v>
      </c>
      <c r="AL202" s="23" t="s">
        <v>197</v>
      </c>
      <c r="AM202" s="23" t="s">
        <v>197</v>
      </c>
      <c r="AN202" s="9" t="s">
        <v>2549</v>
      </c>
      <c r="AO202" s="23" t="s">
        <v>197</v>
      </c>
      <c r="AP202" s="23" t="n">
        <v>2.5</v>
      </c>
      <c r="AQ202" s="23" t="n">
        <v>6</v>
      </c>
    </row>
    <row r="203" customFormat="false" ht="21.75" hidden="false" customHeight="true" outlineLevel="0" collapsed="false">
      <c r="B203" s="14" t="n">
        <v>199</v>
      </c>
      <c r="C203" s="7" t="s">
        <v>80</v>
      </c>
      <c r="D203" s="7" t="s">
        <v>20</v>
      </c>
      <c r="E203" s="7" t="s">
        <v>116</v>
      </c>
      <c r="F203" s="7" t="s">
        <v>98</v>
      </c>
      <c r="G203" s="7" t="s">
        <v>2987</v>
      </c>
      <c r="H203" s="7" t="s">
        <v>2551</v>
      </c>
      <c r="I203" s="7" t="s">
        <v>2984</v>
      </c>
      <c r="J203" s="7" t="s">
        <v>2985</v>
      </c>
      <c r="K203" s="7" t="s">
        <v>2969</v>
      </c>
      <c r="L203" s="7" t="s">
        <v>2940</v>
      </c>
      <c r="M203" s="7" t="s">
        <v>2514</v>
      </c>
      <c r="N203" s="7" t="s">
        <v>189</v>
      </c>
      <c r="O203" s="7" t="s">
        <v>189</v>
      </c>
      <c r="P203" s="7" t="s">
        <v>190</v>
      </c>
      <c r="Q203" s="7" t="s">
        <v>2515</v>
      </c>
      <c r="R203" s="7" t="s">
        <v>2883</v>
      </c>
      <c r="S203" s="7" t="s">
        <v>2945</v>
      </c>
      <c r="T203" s="7" t="s">
        <v>2986</v>
      </c>
      <c r="U203" s="18" t="n">
        <v>65</v>
      </c>
      <c r="V203" s="7"/>
      <c r="W203" s="7"/>
      <c r="X203" s="7" t="s">
        <v>199</v>
      </c>
      <c r="Y203" s="22" t="n">
        <v>0.00013204</v>
      </c>
      <c r="Z203" s="22" t="n">
        <v>0.005</v>
      </c>
      <c r="AA203" s="22" t="n">
        <v>24</v>
      </c>
      <c r="AB203" s="7" t="s">
        <v>2940</v>
      </c>
      <c r="AC203" s="7" t="s">
        <v>2970</v>
      </c>
      <c r="AD203" s="22" t="s">
        <v>197</v>
      </c>
      <c r="AE203" s="22" t="s">
        <v>197</v>
      </c>
      <c r="AF203" s="22" t="s">
        <v>197</v>
      </c>
      <c r="AG203" s="22" t="s">
        <v>197</v>
      </c>
      <c r="AH203" s="22" t="s">
        <v>197</v>
      </c>
      <c r="AI203" s="22" t="s">
        <v>197</v>
      </c>
      <c r="AJ203" s="22" t="n">
        <v>110</v>
      </c>
      <c r="AK203" s="22" t="s">
        <v>197</v>
      </c>
      <c r="AL203" s="22" t="s">
        <v>197</v>
      </c>
      <c r="AM203" s="22" t="s">
        <v>197</v>
      </c>
      <c r="AN203" s="7" t="s">
        <v>2549</v>
      </c>
      <c r="AO203" s="22" t="s">
        <v>197</v>
      </c>
      <c r="AP203" s="22" t="n">
        <v>2.5</v>
      </c>
      <c r="AQ203" s="22" t="n">
        <v>6</v>
      </c>
    </row>
    <row r="204" customFormat="false" ht="21.75" hidden="false" customHeight="true" outlineLevel="0" collapsed="false">
      <c r="B204" s="15" t="n">
        <v>200</v>
      </c>
      <c r="C204" s="9" t="s">
        <v>80</v>
      </c>
      <c r="D204" s="9" t="s">
        <v>20</v>
      </c>
      <c r="E204" s="9" t="s">
        <v>116</v>
      </c>
      <c r="F204" s="9" t="s">
        <v>98</v>
      </c>
      <c r="G204" s="9" t="s">
        <v>2974</v>
      </c>
      <c r="H204" s="9" t="s">
        <v>2553</v>
      </c>
      <c r="I204" s="9" t="s">
        <v>2984</v>
      </c>
      <c r="J204" s="9" t="s">
        <v>2985</v>
      </c>
      <c r="K204" s="9" t="s">
        <v>2969</v>
      </c>
      <c r="L204" s="9" t="s">
        <v>2940</v>
      </c>
      <c r="M204" s="9" t="s">
        <v>2514</v>
      </c>
      <c r="N204" s="9" t="s">
        <v>189</v>
      </c>
      <c r="O204" s="9" t="s">
        <v>189</v>
      </c>
      <c r="P204" s="9" t="s">
        <v>190</v>
      </c>
      <c r="Q204" s="9" t="s">
        <v>2515</v>
      </c>
      <c r="R204" s="9" t="s">
        <v>2883</v>
      </c>
      <c r="S204" s="9" t="s">
        <v>2945</v>
      </c>
      <c r="T204" s="9" t="s">
        <v>2986</v>
      </c>
      <c r="U204" s="19" t="n">
        <v>85</v>
      </c>
      <c r="V204" s="9"/>
      <c r="W204" s="9"/>
      <c r="X204" s="9" t="s">
        <v>2988</v>
      </c>
      <c r="Y204" s="23" t="n">
        <v>8.224E-005</v>
      </c>
      <c r="Z204" s="23" t="n">
        <v>0.003</v>
      </c>
      <c r="AA204" s="23" t="n">
        <v>24</v>
      </c>
      <c r="AB204" s="9" t="s">
        <v>2940</v>
      </c>
      <c r="AC204" s="9" t="s">
        <v>2970</v>
      </c>
      <c r="AD204" s="23" t="s">
        <v>197</v>
      </c>
      <c r="AE204" s="23" t="s">
        <v>197</v>
      </c>
      <c r="AF204" s="23" t="s">
        <v>197</v>
      </c>
      <c r="AG204" s="23" t="s">
        <v>197</v>
      </c>
      <c r="AH204" s="23" t="s">
        <v>197</v>
      </c>
      <c r="AI204" s="23" t="s">
        <v>197</v>
      </c>
      <c r="AJ204" s="23" t="n">
        <v>81</v>
      </c>
      <c r="AK204" s="23" t="s">
        <v>197</v>
      </c>
      <c r="AL204" s="23" t="s">
        <v>197</v>
      </c>
      <c r="AM204" s="23" t="s">
        <v>197</v>
      </c>
      <c r="AN204" s="9" t="s">
        <v>2549</v>
      </c>
      <c r="AO204" s="23" t="s">
        <v>197</v>
      </c>
      <c r="AP204" s="23" t="n">
        <v>2.5</v>
      </c>
      <c r="AQ204" s="23" t="n">
        <v>6</v>
      </c>
    </row>
    <row r="205" customFormat="false" ht="21.75" hidden="false" customHeight="true" outlineLevel="0" collapsed="false">
      <c r="B205" s="14" t="n">
        <v>201</v>
      </c>
      <c r="C205" s="7" t="s">
        <v>80</v>
      </c>
      <c r="D205" s="7" t="s">
        <v>20</v>
      </c>
      <c r="E205" s="7" t="s">
        <v>116</v>
      </c>
      <c r="F205" s="7" t="s">
        <v>98</v>
      </c>
      <c r="G205" s="7" t="s">
        <v>2989</v>
      </c>
      <c r="H205" s="7" t="s">
        <v>2556</v>
      </c>
      <c r="I205" s="7" t="s">
        <v>2984</v>
      </c>
      <c r="J205" s="7" t="s">
        <v>2985</v>
      </c>
      <c r="K205" s="7" t="s">
        <v>2969</v>
      </c>
      <c r="L205" s="7" t="s">
        <v>2940</v>
      </c>
      <c r="M205" s="7" t="s">
        <v>2514</v>
      </c>
      <c r="N205" s="7" t="s">
        <v>189</v>
      </c>
      <c r="O205" s="7" t="s">
        <v>189</v>
      </c>
      <c r="P205" s="7" t="s">
        <v>190</v>
      </c>
      <c r="Q205" s="7" t="s">
        <v>2515</v>
      </c>
      <c r="R205" s="7" t="s">
        <v>2883</v>
      </c>
      <c r="S205" s="7" t="s">
        <v>2945</v>
      </c>
      <c r="T205" s="7" t="s">
        <v>2986</v>
      </c>
      <c r="U205" s="18" t="n">
        <v>130</v>
      </c>
      <c r="V205" s="7"/>
      <c r="W205" s="7"/>
      <c r="X205" s="7" t="s">
        <v>203</v>
      </c>
      <c r="Y205" s="22" t="n">
        <v>8.637E-005</v>
      </c>
      <c r="Z205" s="22" t="n">
        <v>0.003</v>
      </c>
      <c r="AA205" s="22" t="n">
        <v>24</v>
      </c>
      <c r="AB205" s="7" t="s">
        <v>2940</v>
      </c>
      <c r="AC205" s="7" t="s">
        <v>2970</v>
      </c>
      <c r="AD205" s="22" t="s">
        <v>197</v>
      </c>
      <c r="AE205" s="22" t="s">
        <v>197</v>
      </c>
      <c r="AF205" s="22" t="s">
        <v>197</v>
      </c>
      <c r="AG205" s="22" t="s">
        <v>197</v>
      </c>
      <c r="AH205" s="22" t="s">
        <v>197</v>
      </c>
      <c r="AI205" s="22" t="s">
        <v>197</v>
      </c>
      <c r="AJ205" s="22" t="n">
        <v>84</v>
      </c>
      <c r="AK205" s="22" t="s">
        <v>197</v>
      </c>
      <c r="AL205" s="22" t="s">
        <v>197</v>
      </c>
      <c r="AM205" s="22" t="s">
        <v>197</v>
      </c>
      <c r="AN205" s="7" t="s">
        <v>2549</v>
      </c>
      <c r="AO205" s="22" t="s">
        <v>197</v>
      </c>
      <c r="AP205" s="22" t="n">
        <v>2.5</v>
      </c>
      <c r="AQ205" s="22" t="n">
        <v>6</v>
      </c>
    </row>
    <row r="206" customFormat="false" ht="21.75" hidden="false" customHeight="true" outlineLevel="0" collapsed="false">
      <c r="B206" s="15" t="n">
        <v>202</v>
      </c>
      <c r="C206" s="9" t="s">
        <v>80</v>
      </c>
      <c r="D206" s="9" t="s">
        <v>20</v>
      </c>
      <c r="E206" s="9" t="s">
        <v>116</v>
      </c>
      <c r="F206" s="9" t="s">
        <v>98</v>
      </c>
      <c r="G206" s="9" t="s">
        <v>2990</v>
      </c>
      <c r="H206" s="9" t="s">
        <v>2558</v>
      </c>
      <c r="I206" s="9" t="s">
        <v>2984</v>
      </c>
      <c r="J206" s="9" t="s">
        <v>2985</v>
      </c>
      <c r="K206" s="9" t="s">
        <v>2969</v>
      </c>
      <c r="L206" s="9" t="s">
        <v>2940</v>
      </c>
      <c r="M206" s="9" t="s">
        <v>2514</v>
      </c>
      <c r="N206" s="9" t="s">
        <v>189</v>
      </c>
      <c r="O206" s="9" t="s">
        <v>189</v>
      </c>
      <c r="P206" s="9" t="s">
        <v>190</v>
      </c>
      <c r="Q206" s="9" t="s">
        <v>2515</v>
      </c>
      <c r="R206" s="9" t="s">
        <v>2883</v>
      </c>
      <c r="S206" s="9" t="s">
        <v>2945</v>
      </c>
      <c r="T206" s="9" t="s">
        <v>2986</v>
      </c>
      <c r="U206" s="19" t="n">
        <v>190</v>
      </c>
      <c r="V206" s="9"/>
      <c r="W206" s="9"/>
      <c r="X206" s="9" t="s">
        <v>205</v>
      </c>
      <c r="Y206" s="23" t="n">
        <v>0.00012172</v>
      </c>
      <c r="Z206" s="23" t="n">
        <v>0.005</v>
      </c>
      <c r="AA206" s="23" t="n">
        <v>24</v>
      </c>
      <c r="AB206" s="9" t="s">
        <v>2940</v>
      </c>
      <c r="AC206" s="9" t="s">
        <v>2970</v>
      </c>
      <c r="AD206" s="23" t="s">
        <v>197</v>
      </c>
      <c r="AE206" s="23" t="s">
        <v>197</v>
      </c>
      <c r="AF206" s="23" t="s">
        <v>197</v>
      </c>
      <c r="AG206" s="23" t="s">
        <v>197</v>
      </c>
      <c r="AH206" s="23" t="s">
        <v>197</v>
      </c>
      <c r="AI206" s="23" t="s">
        <v>197</v>
      </c>
      <c r="AJ206" s="23" t="n">
        <v>104</v>
      </c>
      <c r="AK206" s="23" t="s">
        <v>197</v>
      </c>
      <c r="AL206" s="23" t="s">
        <v>197</v>
      </c>
      <c r="AM206" s="23" t="s">
        <v>197</v>
      </c>
      <c r="AN206" s="9" t="s">
        <v>2549</v>
      </c>
      <c r="AO206" s="23" t="s">
        <v>197</v>
      </c>
      <c r="AP206" s="23" t="n">
        <v>2.5</v>
      </c>
      <c r="AQ206" s="23" t="n">
        <v>6</v>
      </c>
    </row>
    <row r="207" customFormat="false" ht="21.75" hidden="false" customHeight="true" outlineLevel="0" collapsed="false">
      <c r="B207" s="14" t="n">
        <v>203</v>
      </c>
      <c r="C207" s="7" t="s">
        <v>80</v>
      </c>
      <c r="D207" s="7" t="s">
        <v>20</v>
      </c>
      <c r="E207" s="7" t="s">
        <v>116</v>
      </c>
      <c r="F207" s="7" t="s">
        <v>99</v>
      </c>
      <c r="G207" s="7" t="s">
        <v>391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18"/>
      <c r="V207" s="7"/>
      <c r="W207" s="7"/>
      <c r="X207" s="7" t="s">
        <v>2991</v>
      </c>
      <c r="Y207" s="22" t="s">
        <v>197</v>
      </c>
      <c r="Z207" s="22" t="s">
        <v>197</v>
      </c>
      <c r="AA207" s="22" t="s">
        <v>197</v>
      </c>
      <c r="AB207" s="7" t="s">
        <v>197</v>
      </c>
      <c r="AC207" s="7" t="s">
        <v>197</v>
      </c>
      <c r="AD207" s="22" t="s">
        <v>197</v>
      </c>
      <c r="AE207" s="22" t="s">
        <v>197</v>
      </c>
      <c r="AF207" s="22" t="s">
        <v>197</v>
      </c>
      <c r="AG207" s="22" t="s">
        <v>197</v>
      </c>
      <c r="AH207" s="22" t="s">
        <v>197</v>
      </c>
      <c r="AI207" s="22" t="s">
        <v>197</v>
      </c>
      <c r="AJ207" s="22" t="s">
        <v>197</v>
      </c>
      <c r="AK207" s="22" t="s">
        <v>197</v>
      </c>
      <c r="AL207" s="22" t="s">
        <v>197</v>
      </c>
      <c r="AM207" s="22" t="s">
        <v>197</v>
      </c>
      <c r="AN207" s="7" t="s">
        <v>197</v>
      </c>
      <c r="AO207" s="22" t="s">
        <v>197</v>
      </c>
      <c r="AP207" s="22" t="s">
        <v>197</v>
      </c>
      <c r="AQ207" s="22" t="s">
        <v>197</v>
      </c>
    </row>
    <row r="208" customFormat="false" ht="21.75" hidden="false" customHeight="true" outlineLevel="0" collapsed="false">
      <c r="B208" s="15" t="n">
        <v>204</v>
      </c>
      <c r="C208" s="9" t="s">
        <v>80</v>
      </c>
      <c r="D208" s="9" t="s">
        <v>20</v>
      </c>
      <c r="E208" s="9" t="s">
        <v>116</v>
      </c>
      <c r="F208" s="9" t="s">
        <v>100</v>
      </c>
      <c r="G208" s="9" t="s">
        <v>391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19"/>
      <c r="V208" s="9"/>
      <c r="W208" s="9"/>
      <c r="X208" s="9" t="s">
        <v>2992</v>
      </c>
      <c r="Y208" s="23" t="s">
        <v>197</v>
      </c>
      <c r="Z208" s="23" t="s">
        <v>197</v>
      </c>
      <c r="AA208" s="23" t="s">
        <v>197</v>
      </c>
      <c r="AB208" s="9" t="s">
        <v>197</v>
      </c>
      <c r="AC208" s="9" t="s">
        <v>197</v>
      </c>
      <c r="AD208" s="23" t="s">
        <v>197</v>
      </c>
      <c r="AE208" s="23" t="s">
        <v>197</v>
      </c>
      <c r="AF208" s="23" t="s">
        <v>197</v>
      </c>
      <c r="AG208" s="23" t="s">
        <v>197</v>
      </c>
      <c r="AH208" s="23" t="s">
        <v>197</v>
      </c>
      <c r="AI208" s="23" t="s">
        <v>197</v>
      </c>
      <c r="AJ208" s="23" t="s">
        <v>197</v>
      </c>
      <c r="AK208" s="23" t="s">
        <v>197</v>
      </c>
      <c r="AL208" s="23" t="s">
        <v>197</v>
      </c>
      <c r="AM208" s="23" t="s">
        <v>197</v>
      </c>
      <c r="AN208" s="9" t="s">
        <v>197</v>
      </c>
      <c r="AO208" s="23" t="s">
        <v>197</v>
      </c>
      <c r="AP208" s="23" t="s">
        <v>197</v>
      </c>
      <c r="AQ208" s="23" t="s">
        <v>197</v>
      </c>
    </row>
    <row r="209" customFormat="false" ht="21.75" hidden="false" customHeight="true" outlineLevel="0" collapsed="false">
      <c r="B209" s="14" t="n">
        <v>205</v>
      </c>
      <c r="C209" s="7" t="s">
        <v>80</v>
      </c>
      <c r="D209" s="7" t="s">
        <v>20</v>
      </c>
      <c r="E209" s="7" t="s">
        <v>116</v>
      </c>
      <c r="F209" s="7" t="s">
        <v>101</v>
      </c>
      <c r="G209" s="7" t="s">
        <v>391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18"/>
      <c r="V209" s="7"/>
      <c r="W209" s="7"/>
      <c r="X209" s="7" t="s">
        <v>2993</v>
      </c>
      <c r="Y209" s="22" t="s">
        <v>197</v>
      </c>
      <c r="Z209" s="22" t="s">
        <v>197</v>
      </c>
      <c r="AA209" s="22" t="s">
        <v>197</v>
      </c>
      <c r="AB209" s="7" t="s">
        <v>197</v>
      </c>
      <c r="AC209" s="7" t="s">
        <v>197</v>
      </c>
      <c r="AD209" s="22" t="s">
        <v>197</v>
      </c>
      <c r="AE209" s="22" t="s">
        <v>197</v>
      </c>
      <c r="AF209" s="22" t="s">
        <v>197</v>
      </c>
      <c r="AG209" s="22" t="s">
        <v>197</v>
      </c>
      <c r="AH209" s="22" t="s">
        <v>197</v>
      </c>
      <c r="AI209" s="22" t="s">
        <v>197</v>
      </c>
      <c r="AJ209" s="22" t="s">
        <v>197</v>
      </c>
      <c r="AK209" s="22" t="s">
        <v>197</v>
      </c>
      <c r="AL209" s="22" t="s">
        <v>197</v>
      </c>
      <c r="AM209" s="22" t="s">
        <v>197</v>
      </c>
      <c r="AN209" s="7" t="s">
        <v>197</v>
      </c>
      <c r="AO209" s="22" t="s">
        <v>197</v>
      </c>
      <c r="AP209" s="22" t="s">
        <v>197</v>
      </c>
      <c r="AQ209" s="22" t="s">
        <v>197</v>
      </c>
    </row>
    <row r="210" customFormat="false" ht="21.75" hidden="false" customHeight="true" outlineLevel="0" collapsed="false">
      <c r="B210" s="15" t="n">
        <v>206</v>
      </c>
      <c r="C210" s="9" t="s">
        <v>80</v>
      </c>
      <c r="D210" s="9" t="s">
        <v>20</v>
      </c>
      <c r="E210" s="9" t="s">
        <v>116</v>
      </c>
      <c r="F210" s="9" t="s">
        <v>102</v>
      </c>
      <c r="G210" s="9" t="s">
        <v>2994</v>
      </c>
      <c r="H210" s="9" t="s">
        <v>2601</v>
      </c>
      <c r="I210" s="9" t="s">
        <v>2995</v>
      </c>
      <c r="J210" s="9" t="s">
        <v>2996</v>
      </c>
      <c r="K210" s="9" t="s">
        <v>2969</v>
      </c>
      <c r="L210" s="9" t="s">
        <v>2940</v>
      </c>
      <c r="M210" s="9" t="s">
        <v>2514</v>
      </c>
      <c r="N210" s="9" t="s">
        <v>189</v>
      </c>
      <c r="O210" s="9" t="s">
        <v>189</v>
      </c>
      <c r="P210" s="9" t="s">
        <v>190</v>
      </c>
      <c r="Q210" s="9" t="s">
        <v>2604</v>
      </c>
      <c r="R210" s="9" t="s">
        <v>2997</v>
      </c>
      <c r="S210" s="9" t="s">
        <v>2945</v>
      </c>
      <c r="T210" s="9" t="s">
        <v>2909</v>
      </c>
      <c r="U210" s="19" t="n">
        <v>35</v>
      </c>
      <c r="V210" s="9"/>
      <c r="W210" s="9"/>
      <c r="X210" s="9" t="s">
        <v>195</v>
      </c>
      <c r="Y210" s="23" t="n">
        <v>0.00038092</v>
      </c>
      <c r="Z210" s="23" t="n">
        <v>0.005</v>
      </c>
      <c r="AA210" s="23" t="n">
        <v>24</v>
      </c>
      <c r="AB210" s="9" t="s">
        <v>2940</v>
      </c>
      <c r="AC210" s="9" t="s">
        <v>2970</v>
      </c>
      <c r="AD210" s="23" t="s">
        <v>197</v>
      </c>
      <c r="AE210" s="23" t="s">
        <v>197</v>
      </c>
      <c r="AF210" s="23" t="s">
        <v>197</v>
      </c>
      <c r="AG210" s="23" t="s">
        <v>197</v>
      </c>
      <c r="AH210" s="23" t="s">
        <v>197</v>
      </c>
      <c r="AI210" s="23" t="s">
        <v>197</v>
      </c>
      <c r="AJ210" s="23" t="s">
        <v>197</v>
      </c>
      <c r="AK210" s="23" t="s">
        <v>197</v>
      </c>
      <c r="AL210" s="23" t="s">
        <v>197</v>
      </c>
      <c r="AM210" s="23" t="s">
        <v>197</v>
      </c>
      <c r="AN210" s="9" t="s">
        <v>197</v>
      </c>
      <c r="AO210" s="23" t="s">
        <v>197</v>
      </c>
      <c r="AP210" s="23" t="n">
        <v>1.05</v>
      </c>
      <c r="AQ210" s="23" t="n">
        <v>1.4</v>
      </c>
    </row>
    <row r="211" customFormat="false" ht="21.75" hidden="false" customHeight="true" outlineLevel="0" collapsed="false">
      <c r="B211" s="14" t="n">
        <v>207</v>
      </c>
      <c r="C211" s="7" t="s">
        <v>80</v>
      </c>
      <c r="D211" s="7" t="s">
        <v>20</v>
      </c>
      <c r="E211" s="7" t="s">
        <v>116</v>
      </c>
      <c r="F211" s="7" t="s">
        <v>102</v>
      </c>
      <c r="G211" s="7" t="s">
        <v>2998</v>
      </c>
      <c r="H211" s="7" t="s">
        <v>2607</v>
      </c>
      <c r="I211" s="7" t="s">
        <v>2995</v>
      </c>
      <c r="J211" s="7" t="s">
        <v>2996</v>
      </c>
      <c r="K211" s="7" t="s">
        <v>2969</v>
      </c>
      <c r="L211" s="7" t="s">
        <v>2940</v>
      </c>
      <c r="M211" s="7" t="s">
        <v>2514</v>
      </c>
      <c r="N211" s="7" t="s">
        <v>189</v>
      </c>
      <c r="O211" s="7" t="s">
        <v>189</v>
      </c>
      <c r="P211" s="7" t="s">
        <v>190</v>
      </c>
      <c r="Q211" s="7" t="s">
        <v>2604</v>
      </c>
      <c r="R211" s="7" t="s">
        <v>2997</v>
      </c>
      <c r="S211" s="7" t="s">
        <v>2945</v>
      </c>
      <c r="T211" s="7" t="s">
        <v>2909</v>
      </c>
      <c r="U211" s="18" t="n">
        <v>50</v>
      </c>
      <c r="V211" s="7"/>
      <c r="W211" s="7"/>
      <c r="X211" s="7" t="s">
        <v>199</v>
      </c>
      <c r="Y211" s="22" t="n">
        <v>0.00021438</v>
      </c>
      <c r="Z211" s="22" t="n">
        <v>0.003</v>
      </c>
      <c r="AA211" s="22" t="n">
        <v>24</v>
      </c>
      <c r="AB211" s="7" t="s">
        <v>2940</v>
      </c>
      <c r="AC211" s="7" t="s">
        <v>2970</v>
      </c>
      <c r="AD211" s="22" t="s">
        <v>197</v>
      </c>
      <c r="AE211" s="22" t="s">
        <v>197</v>
      </c>
      <c r="AF211" s="22" t="s">
        <v>197</v>
      </c>
      <c r="AG211" s="22" t="s">
        <v>197</v>
      </c>
      <c r="AH211" s="22" t="s">
        <v>197</v>
      </c>
      <c r="AI211" s="22" t="s">
        <v>197</v>
      </c>
      <c r="AJ211" s="22" t="s">
        <v>197</v>
      </c>
      <c r="AK211" s="22" t="s">
        <v>197</v>
      </c>
      <c r="AL211" s="22" t="s">
        <v>197</v>
      </c>
      <c r="AM211" s="22" t="s">
        <v>197</v>
      </c>
      <c r="AN211" s="7" t="s">
        <v>197</v>
      </c>
      <c r="AO211" s="22" t="s">
        <v>197</v>
      </c>
      <c r="AP211" s="22" t="n">
        <v>1.05</v>
      </c>
      <c r="AQ211" s="22" t="n">
        <v>1.4</v>
      </c>
    </row>
    <row r="212" customFormat="false" ht="21.75" hidden="false" customHeight="true" outlineLevel="0" collapsed="false">
      <c r="B212" s="15" t="n">
        <v>208</v>
      </c>
      <c r="C212" s="9" t="s">
        <v>80</v>
      </c>
      <c r="D212" s="9" t="s">
        <v>20</v>
      </c>
      <c r="E212" s="9" t="s">
        <v>116</v>
      </c>
      <c r="F212" s="9" t="s">
        <v>102</v>
      </c>
      <c r="G212" s="9" t="s">
        <v>2999</v>
      </c>
      <c r="H212" s="9" t="s">
        <v>2609</v>
      </c>
      <c r="I212" s="9" t="s">
        <v>2995</v>
      </c>
      <c r="J212" s="9" t="s">
        <v>2996</v>
      </c>
      <c r="K212" s="9" t="s">
        <v>2969</v>
      </c>
      <c r="L212" s="9" t="s">
        <v>2940</v>
      </c>
      <c r="M212" s="9" t="s">
        <v>2514</v>
      </c>
      <c r="N212" s="9" t="s">
        <v>189</v>
      </c>
      <c r="O212" s="9" t="s">
        <v>189</v>
      </c>
      <c r="P212" s="9" t="s">
        <v>190</v>
      </c>
      <c r="Q212" s="9" t="s">
        <v>2604</v>
      </c>
      <c r="R212" s="9" t="s">
        <v>2997</v>
      </c>
      <c r="S212" s="9" t="s">
        <v>2945</v>
      </c>
      <c r="T212" s="9" t="s">
        <v>2909</v>
      </c>
      <c r="U212" s="19" t="n">
        <v>70</v>
      </c>
      <c r="V212" s="9"/>
      <c r="W212" s="9"/>
      <c r="X212" s="9" t="s">
        <v>3000</v>
      </c>
      <c r="Y212" s="23" t="n">
        <v>0.00025588</v>
      </c>
      <c r="Z212" s="23" t="n">
        <v>0.004</v>
      </c>
      <c r="AA212" s="23" t="n">
        <v>24</v>
      </c>
      <c r="AB212" s="9" t="s">
        <v>2940</v>
      </c>
      <c r="AC212" s="9" t="s">
        <v>2970</v>
      </c>
      <c r="AD212" s="23" t="s">
        <v>197</v>
      </c>
      <c r="AE212" s="23" t="s">
        <v>197</v>
      </c>
      <c r="AF212" s="23" t="s">
        <v>197</v>
      </c>
      <c r="AG212" s="23" t="s">
        <v>197</v>
      </c>
      <c r="AH212" s="23" t="s">
        <v>197</v>
      </c>
      <c r="AI212" s="23" t="s">
        <v>197</v>
      </c>
      <c r="AJ212" s="23" t="s">
        <v>197</v>
      </c>
      <c r="AK212" s="23" t="s">
        <v>197</v>
      </c>
      <c r="AL212" s="23" t="s">
        <v>197</v>
      </c>
      <c r="AM212" s="23" t="s">
        <v>197</v>
      </c>
      <c r="AN212" s="9" t="s">
        <v>197</v>
      </c>
      <c r="AO212" s="23" t="s">
        <v>197</v>
      </c>
      <c r="AP212" s="23" t="n">
        <v>1.05</v>
      </c>
      <c r="AQ212" s="23" t="n">
        <v>1.4</v>
      </c>
    </row>
    <row r="213" customFormat="false" ht="21.75" hidden="false" customHeight="true" outlineLevel="0" collapsed="false">
      <c r="B213" s="14" t="n">
        <v>209</v>
      </c>
      <c r="C213" s="7" t="s">
        <v>80</v>
      </c>
      <c r="D213" s="7" t="s">
        <v>20</v>
      </c>
      <c r="E213" s="7" t="s">
        <v>116</v>
      </c>
      <c r="F213" s="7" t="s">
        <v>102</v>
      </c>
      <c r="G213" s="7" t="s">
        <v>3001</v>
      </c>
      <c r="H213" s="7" t="s">
        <v>2612</v>
      </c>
      <c r="I213" s="7" t="s">
        <v>2995</v>
      </c>
      <c r="J213" s="7" t="s">
        <v>2996</v>
      </c>
      <c r="K213" s="7" t="s">
        <v>2969</v>
      </c>
      <c r="L213" s="7" t="s">
        <v>2940</v>
      </c>
      <c r="M213" s="7" t="s">
        <v>2514</v>
      </c>
      <c r="N213" s="7" t="s">
        <v>189</v>
      </c>
      <c r="O213" s="7" t="s">
        <v>189</v>
      </c>
      <c r="P213" s="7" t="s">
        <v>190</v>
      </c>
      <c r="Q213" s="7" t="s">
        <v>2604</v>
      </c>
      <c r="R213" s="7" t="s">
        <v>2997</v>
      </c>
      <c r="S213" s="7" t="s">
        <v>2945</v>
      </c>
      <c r="T213" s="7" t="s">
        <v>2909</v>
      </c>
      <c r="U213" s="18" t="n">
        <v>105</v>
      </c>
      <c r="V213" s="7"/>
      <c r="W213" s="7"/>
      <c r="X213" s="7" t="s">
        <v>203</v>
      </c>
      <c r="Y213" s="22" t="n">
        <v>0.00033066</v>
      </c>
      <c r="Z213" s="22" t="n">
        <v>0.004</v>
      </c>
      <c r="AA213" s="22" t="n">
        <v>24</v>
      </c>
      <c r="AB213" s="7" t="s">
        <v>2940</v>
      </c>
      <c r="AC213" s="7" t="s">
        <v>2970</v>
      </c>
      <c r="AD213" s="22" t="s">
        <v>197</v>
      </c>
      <c r="AE213" s="22" t="s">
        <v>197</v>
      </c>
      <c r="AF213" s="22" t="s">
        <v>197</v>
      </c>
      <c r="AG213" s="22" t="s">
        <v>197</v>
      </c>
      <c r="AH213" s="22" t="s">
        <v>197</v>
      </c>
      <c r="AI213" s="22" t="s">
        <v>197</v>
      </c>
      <c r="AJ213" s="22" t="s">
        <v>197</v>
      </c>
      <c r="AK213" s="22" t="s">
        <v>197</v>
      </c>
      <c r="AL213" s="22" t="s">
        <v>197</v>
      </c>
      <c r="AM213" s="22" t="s">
        <v>197</v>
      </c>
      <c r="AN213" s="7" t="s">
        <v>197</v>
      </c>
      <c r="AO213" s="22" t="s">
        <v>197</v>
      </c>
      <c r="AP213" s="22" t="n">
        <v>1.05</v>
      </c>
      <c r="AQ213" s="22" t="n">
        <v>1.4</v>
      </c>
    </row>
    <row r="214" customFormat="false" ht="21.75" hidden="false" customHeight="true" outlineLevel="0" collapsed="false">
      <c r="B214" s="15" t="n">
        <v>210</v>
      </c>
      <c r="C214" s="9" t="s">
        <v>80</v>
      </c>
      <c r="D214" s="9" t="s">
        <v>20</v>
      </c>
      <c r="E214" s="9" t="s">
        <v>116</v>
      </c>
      <c r="F214" s="9" t="s">
        <v>102</v>
      </c>
      <c r="G214" s="9" t="s">
        <v>3002</v>
      </c>
      <c r="H214" s="9" t="s">
        <v>2614</v>
      </c>
      <c r="I214" s="9" t="s">
        <v>2995</v>
      </c>
      <c r="J214" s="9" t="s">
        <v>2996</v>
      </c>
      <c r="K214" s="9" t="s">
        <v>2969</v>
      </c>
      <c r="L214" s="9" t="s">
        <v>2940</v>
      </c>
      <c r="M214" s="9" t="s">
        <v>2514</v>
      </c>
      <c r="N214" s="9" t="s">
        <v>189</v>
      </c>
      <c r="O214" s="9" t="s">
        <v>189</v>
      </c>
      <c r="P214" s="9" t="s">
        <v>190</v>
      </c>
      <c r="Q214" s="9" t="s">
        <v>2604</v>
      </c>
      <c r="R214" s="9" t="s">
        <v>2997</v>
      </c>
      <c r="S214" s="9" t="s">
        <v>2945</v>
      </c>
      <c r="T214" s="9" t="s">
        <v>2909</v>
      </c>
      <c r="U214" s="19" t="n">
        <v>155</v>
      </c>
      <c r="V214" s="9"/>
      <c r="W214" s="9"/>
      <c r="X214" s="9" t="s">
        <v>205</v>
      </c>
      <c r="Y214" s="23" t="n">
        <v>0.00034288</v>
      </c>
      <c r="Z214" s="23" t="n">
        <v>0.004</v>
      </c>
      <c r="AA214" s="23" t="n">
        <v>24</v>
      </c>
      <c r="AB214" s="9" t="s">
        <v>2940</v>
      </c>
      <c r="AC214" s="9" t="s">
        <v>2970</v>
      </c>
      <c r="AD214" s="23" t="s">
        <v>197</v>
      </c>
      <c r="AE214" s="23" t="s">
        <v>197</v>
      </c>
      <c r="AF214" s="23" t="s">
        <v>197</v>
      </c>
      <c r="AG214" s="23" t="s">
        <v>197</v>
      </c>
      <c r="AH214" s="23" t="s">
        <v>197</v>
      </c>
      <c r="AI214" s="23" t="s">
        <v>197</v>
      </c>
      <c r="AJ214" s="23" t="s">
        <v>197</v>
      </c>
      <c r="AK214" s="23" t="s">
        <v>197</v>
      </c>
      <c r="AL214" s="23" t="s">
        <v>197</v>
      </c>
      <c r="AM214" s="23" t="s">
        <v>197</v>
      </c>
      <c r="AN214" s="9" t="s">
        <v>197</v>
      </c>
      <c r="AO214" s="23" t="s">
        <v>197</v>
      </c>
      <c r="AP214" s="23" t="n">
        <v>1.05</v>
      </c>
      <c r="AQ214" s="23" t="n">
        <v>1.4</v>
      </c>
    </row>
    <row r="215" customFormat="false" ht="21.75" hidden="false" customHeight="true" outlineLevel="0" collapsed="false">
      <c r="B215" s="14" t="n">
        <v>211</v>
      </c>
      <c r="C215" s="7" t="s">
        <v>80</v>
      </c>
      <c r="D215" s="7" t="s">
        <v>20</v>
      </c>
      <c r="E215" s="7" t="s">
        <v>116</v>
      </c>
      <c r="F215" s="7" t="s">
        <v>103</v>
      </c>
      <c r="G215" s="7" t="s">
        <v>3003</v>
      </c>
      <c r="H215" s="7" t="s">
        <v>3004</v>
      </c>
      <c r="I215" s="7" t="s">
        <v>3005</v>
      </c>
      <c r="J215" s="7" t="s">
        <v>3006</v>
      </c>
      <c r="K215" s="7" t="s">
        <v>3007</v>
      </c>
      <c r="L215" s="7" t="s">
        <v>2940</v>
      </c>
      <c r="M215" s="7" t="s">
        <v>3008</v>
      </c>
      <c r="N215" s="7" t="s">
        <v>189</v>
      </c>
      <c r="O215" s="7" t="s">
        <v>189</v>
      </c>
      <c r="P215" s="7" t="s">
        <v>190</v>
      </c>
      <c r="Q215" s="7" t="s">
        <v>3009</v>
      </c>
      <c r="R215" s="7" t="s">
        <v>1427</v>
      </c>
      <c r="S215" s="7" t="s">
        <v>2945</v>
      </c>
      <c r="T215" s="7" t="s">
        <v>3010</v>
      </c>
      <c r="U215" s="18" t="n">
        <v>25</v>
      </c>
      <c r="V215" s="7"/>
      <c r="W215" s="7"/>
      <c r="X215" s="7" t="s">
        <v>195</v>
      </c>
      <c r="Y215" s="22" t="n">
        <v>0.00037424</v>
      </c>
      <c r="Z215" s="22" t="n">
        <v>0.074</v>
      </c>
      <c r="AA215" s="22" t="n">
        <v>24</v>
      </c>
      <c r="AB215" s="7" t="s">
        <v>2940</v>
      </c>
      <c r="AC215" s="7" t="s">
        <v>3011</v>
      </c>
      <c r="AD215" s="22" t="s">
        <v>197</v>
      </c>
      <c r="AE215" s="22" t="s">
        <v>197</v>
      </c>
      <c r="AF215" s="22" t="s">
        <v>197</v>
      </c>
      <c r="AG215" s="22" t="s">
        <v>197</v>
      </c>
      <c r="AH215" s="22" t="s">
        <v>197</v>
      </c>
      <c r="AI215" s="22" t="s">
        <v>197</v>
      </c>
      <c r="AJ215" s="22" t="s">
        <v>197</v>
      </c>
      <c r="AK215" s="22" t="s">
        <v>197</v>
      </c>
      <c r="AL215" s="22" t="s">
        <v>197</v>
      </c>
      <c r="AM215" s="22" t="s">
        <v>197</v>
      </c>
      <c r="AN215" s="7" t="s">
        <v>197</v>
      </c>
      <c r="AO215" s="22" t="n">
        <v>18.7</v>
      </c>
      <c r="AP215" s="22" t="n">
        <v>2</v>
      </c>
      <c r="AQ215" s="22" t="n">
        <v>2.45</v>
      </c>
    </row>
    <row r="216" customFormat="false" ht="21.75" hidden="false" customHeight="true" outlineLevel="0" collapsed="false">
      <c r="B216" s="15" t="n">
        <v>212</v>
      </c>
      <c r="C216" s="9" t="s">
        <v>80</v>
      </c>
      <c r="D216" s="9" t="s">
        <v>20</v>
      </c>
      <c r="E216" s="9" t="s">
        <v>116</v>
      </c>
      <c r="F216" s="9" t="s">
        <v>103</v>
      </c>
      <c r="G216" s="9" t="s">
        <v>3012</v>
      </c>
      <c r="H216" s="9" t="s">
        <v>3013</v>
      </c>
      <c r="I216" s="9" t="s">
        <v>3005</v>
      </c>
      <c r="J216" s="9" t="s">
        <v>3006</v>
      </c>
      <c r="K216" s="9" t="s">
        <v>3007</v>
      </c>
      <c r="L216" s="9" t="s">
        <v>2940</v>
      </c>
      <c r="M216" s="9" t="s">
        <v>3008</v>
      </c>
      <c r="N216" s="9" t="s">
        <v>189</v>
      </c>
      <c r="O216" s="9" t="s">
        <v>189</v>
      </c>
      <c r="P216" s="9" t="s">
        <v>190</v>
      </c>
      <c r="Q216" s="9" t="s">
        <v>3009</v>
      </c>
      <c r="R216" s="9" t="s">
        <v>1427</v>
      </c>
      <c r="S216" s="9" t="s">
        <v>2945</v>
      </c>
      <c r="T216" s="9" t="s">
        <v>3010</v>
      </c>
      <c r="U216" s="19" t="n">
        <v>40</v>
      </c>
      <c r="V216" s="9"/>
      <c r="W216" s="9"/>
      <c r="X216" s="9" t="s">
        <v>199</v>
      </c>
      <c r="Y216" s="23" t="n">
        <v>0.000906</v>
      </c>
      <c r="Z216" s="23" t="n">
        <v>0.147</v>
      </c>
      <c r="AA216" s="23" t="n">
        <v>24</v>
      </c>
      <c r="AB216" s="9" t="s">
        <v>2940</v>
      </c>
      <c r="AC216" s="9" t="s">
        <v>3011</v>
      </c>
      <c r="AD216" s="23" t="s">
        <v>197</v>
      </c>
      <c r="AE216" s="23" t="s">
        <v>197</v>
      </c>
      <c r="AF216" s="23" t="s">
        <v>197</v>
      </c>
      <c r="AG216" s="23" t="s">
        <v>197</v>
      </c>
      <c r="AH216" s="23" t="s">
        <v>197</v>
      </c>
      <c r="AI216" s="23" t="s">
        <v>197</v>
      </c>
      <c r="AJ216" s="23" t="s">
        <v>197</v>
      </c>
      <c r="AK216" s="23" t="s">
        <v>197</v>
      </c>
      <c r="AL216" s="23" t="s">
        <v>197</v>
      </c>
      <c r="AM216" s="23" t="s">
        <v>197</v>
      </c>
      <c r="AN216" s="9" t="s">
        <v>197</v>
      </c>
      <c r="AO216" s="23" t="n">
        <v>30</v>
      </c>
      <c r="AP216" s="23" t="n">
        <v>2</v>
      </c>
      <c r="AQ216" s="23" t="n">
        <v>2.45</v>
      </c>
    </row>
    <row r="217" customFormat="false" ht="21.75" hidden="false" customHeight="true" outlineLevel="0" collapsed="false">
      <c r="B217" s="14" t="n">
        <v>213</v>
      </c>
      <c r="C217" s="7" t="s">
        <v>80</v>
      </c>
      <c r="D217" s="7" t="s">
        <v>20</v>
      </c>
      <c r="E217" s="7" t="s">
        <v>116</v>
      </c>
      <c r="F217" s="7" t="s">
        <v>103</v>
      </c>
      <c r="G217" s="7" t="s">
        <v>3014</v>
      </c>
      <c r="H217" s="7" t="s">
        <v>3015</v>
      </c>
      <c r="I217" s="7" t="s">
        <v>3005</v>
      </c>
      <c r="J217" s="7" t="s">
        <v>3006</v>
      </c>
      <c r="K217" s="7" t="s">
        <v>3007</v>
      </c>
      <c r="L217" s="7" t="s">
        <v>2940</v>
      </c>
      <c r="M217" s="7" t="s">
        <v>3008</v>
      </c>
      <c r="N217" s="7" t="s">
        <v>189</v>
      </c>
      <c r="O217" s="7" t="s">
        <v>189</v>
      </c>
      <c r="P217" s="7" t="s">
        <v>190</v>
      </c>
      <c r="Q217" s="7" t="s">
        <v>3009</v>
      </c>
      <c r="R217" s="7" t="s">
        <v>1427</v>
      </c>
      <c r="S217" s="7" t="s">
        <v>2945</v>
      </c>
      <c r="T217" s="7" t="s">
        <v>3010</v>
      </c>
      <c r="U217" s="18" t="n">
        <v>55</v>
      </c>
      <c r="V217" s="7"/>
      <c r="W217" s="7"/>
      <c r="X217" s="7" t="s">
        <v>3016</v>
      </c>
      <c r="Y217" s="22" t="n">
        <v>0.00065016</v>
      </c>
      <c r="Z217" s="22" t="n">
        <v>0.112</v>
      </c>
      <c r="AA217" s="22" t="n">
        <v>24</v>
      </c>
      <c r="AB217" s="7" t="s">
        <v>2940</v>
      </c>
      <c r="AC217" s="7" t="s">
        <v>3011</v>
      </c>
      <c r="AD217" s="22" t="s">
        <v>197</v>
      </c>
      <c r="AE217" s="22" t="s">
        <v>197</v>
      </c>
      <c r="AF217" s="22" t="s">
        <v>197</v>
      </c>
      <c r="AG217" s="22" t="s">
        <v>197</v>
      </c>
      <c r="AH217" s="22" t="s">
        <v>197</v>
      </c>
      <c r="AI217" s="22" t="s">
        <v>197</v>
      </c>
      <c r="AJ217" s="22" t="s">
        <v>197</v>
      </c>
      <c r="AK217" s="22" t="s">
        <v>197</v>
      </c>
      <c r="AL217" s="22" t="s">
        <v>197</v>
      </c>
      <c r="AM217" s="22" t="s">
        <v>197</v>
      </c>
      <c r="AN217" s="7" t="s">
        <v>197</v>
      </c>
      <c r="AO217" s="22" t="n">
        <v>24.6</v>
      </c>
      <c r="AP217" s="22" t="n">
        <v>2</v>
      </c>
      <c r="AQ217" s="22" t="n">
        <v>2.45</v>
      </c>
    </row>
    <row r="218" customFormat="false" ht="21.75" hidden="false" customHeight="true" outlineLevel="0" collapsed="false">
      <c r="B218" s="15" t="n">
        <v>214</v>
      </c>
      <c r="C218" s="9" t="s">
        <v>80</v>
      </c>
      <c r="D218" s="9" t="s">
        <v>20</v>
      </c>
      <c r="E218" s="9" t="s">
        <v>116</v>
      </c>
      <c r="F218" s="9" t="s">
        <v>103</v>
      </c>
      <c r="G218" s="9" t="s">
        <v>3017</v>
      </c>
      <c r="H218" s="9" t="s">
        <v>3018</v>
      </c>
      <c r="I218" s="9" t="s">
        <v>3005</v>
      </c>
      <c r="J218" s="9" t="s">
        <v>3006</v>
      </c>
      <c r="K218" s="9" t="s">
        <v>3007</v>
      </c>
      <c r="L218" s="9" t="s">
        <v>2940</v>
      </c>
      <c r="M218" s="9" t="s">
        <v>3008</v>
      </c>
      <c r="N218" s="9" t="s">
        <v>189</v>
      </c>
      <c r="O218" s="9" t="s">
        <v>189</v>
      </c>
      <c r="P218" s="9" t="s">
        <v>190</v>
      </c>
      <c r="Q218" s="9" t="s">
        <v>3009</v>
      </c>
      <c r="R218" s="9" t="s">
        <v>1427</v>
      </c>
      <c r="S218" s="9" t="s">
        <v>2945</v>
      </c>
      <c r="T218" s="9" t="s">
        <v>3010</v>
      </c>
      <c r="U218" s="19" t="n">
        <v>85</v>
      </c>
      <c r="V218" s="9"/>
      <c r="W218" s="9"/>
      <c r="X218" s="9" t="s">
        <v>203</v>
      </c>
      <c r="Y218" s="23" t="n">
        <v>0.00072168</v>
      </c>
      <c r="Z218" s="23" t="n">
        <v>0.122</v>
      </c>
      <c r="AA218" s="23" t="n">
        <v>24</v>
      </c>
      <c r="AB218" s="9" t="s">
        <v>2940</v>
      </c>
      <c r="AC218" s="9" t="s">
        <v>3011</v>
      </c>
      <c r="AD218" s="23" t="s">
        <v>197</v>
      </c>
      <c r="AE218" s="23" t="s">
        <v>197</v>
      </c>
      <c r="AF218" s="23" t="s">
        <v>197</v>
      </c>
      <c r="AG218" s="23" t="s">
        <v>197</v>
      </c>
      <c r="AH218" s="23" t="s">
        <v>197</v>
      </c>
      <c r="AI218" s="23" t="s">
        <v>197</v>
      </c>
      <c r="AJ218" s="23" t="s">
        <v>197</v>
      </c>
      <c r="AK218" s="23" t="s">
        <v>197</v>
      </c>
      <c r="AL218" s="23" t="s">
        <v>197</v>
      </c>
      <c r="AM218" s="23" t="s">
        <v>197</v>
      </c>
      <c r="AN218" s="9" t="s">
        <v>197</v>
      </c>
      <c r="AO218" s="23" t="n">
        <v>26.1</v>
      </c>
      <c r="AP218" s="23" t="n">
        <v>2</v>
      </c>
      <c r="AQ218" s="23" t="n">
        <v>2.45</v>
      </c>
    </row>
    <row r="219" customFormat="false" ht="21.75" hidden="false" customHeight="true" outlineLevel="0" collapsed="false">
      <c r="B219" s="14" t="n">
        <v>215</v>
      </c>
      <c r="C219" s="7" t="s">
        <v>80</v>
      </c>
      <c r="D219" s="7" t="s">
        <v>20</v>
      </c>
      <c r="E219" s="7" t="s">
        <v>116</v>
      </c>
      <c r="F219" s="7" t="s">
        <v>103</v>
      </c>
      <c r="G219" s="7" t="s">
        <v>3019</v>
      </c>
      <c r="H219" s="7" t="s">
        <v>3020</v>
      </c>
      <c r="I219" s="7" t="s">
        <v>3005</v>
      </c>
      <c r="J219" s="7" t="s">
        <v>3006</v>
      </c>
      <c r="K219" s="7" t="s">
        <v>3007</v>
      </c>
      <c r="L219" s="7" t="s">
        <v>2940</v>
      </c>
      <c r="M219" s="7" t="s">
        <v>3008</v>
      </c>
      <c r="N219" s="7" t="s">
        <v>189</v>
      </c>
      <c r="O219" s="7" t="s">
        <v>189</v>
      </c>
      <c r="P219" s="7" t="s">
        <v>190</v>
      </c>
      <c r="Q219" s="7" t="s">
        <v>3009</v>
      </c>
      <c r="R219" s="7" t="s">
        <v>1427</v>
      </c>
      <c r="S219" s="7" t="s">
        <v>2945</v>
      </c>
      <c r="T219" s="7" t="s">
        <v>3010</v>
      </c>
      <c r="U219" s="18" t="n">
        <v>125</v>
      </c>
      <c r="V219" s="7"/>
      <c r="W219" s="7"/>
      <c r="X219" s="7" t="s">
        <v>205</v>
      </c>
      <c r="Y219" s="22" t="n">
        <v>0.00053968</v>
      </c>
      <c r="Z219" s="22" t="n">
        <v>0.097</v>
      </c>
      <c r="AA219" s="22" t="n">
        <v>24</v>
      </c>
      <c r="AB219" s="7" t="s">
        <v>2940</v>
      </c>
      <c r="AC219" s="7" t="s">
        <v>3011</v>
      </c>
      <c r="AD219" s="22" t="s">
        <v>197</v>
      </c>
      <c r="AE219" s="22" t="s">
        <v>197</v>
      </c>
      <c r="AF219" s="22" t="s">
        <v>197</v>
      </c>
      <c r="AG219" s="22" t="s">
        <v>197</v>
      </c>
      <c r="AH219" s="22" t="s">
        <v>197</v>
      </c>
      <c r="AI219" s="22" t="s">
        <v>197</v>
      </c>
      <c r="AJ219" s="22" t="s">
        <v>197</v>
      </c>
      <c r="AK219" s="22" t="s">
        <v>197</v>
      </c>
      <c r="AL219" s="22" t="s">
        <v>197</v>
      </c>
      <c r="AM219" s="22" t="s">
        <v>197</v>
      </c>
      <c r="AN219" s="7" t="s">
        <v>197</v>
      </c>
      <c r="AO219" s="22" t="n">
        <v>22.2</v>
      </c>
      <c r="AP219" s="22" t="n">
        <v>2</v>
      </c>
      <c r="AQ219" s="22" t="n">
        <v>2.45</v>
      </c>
    </row>
    <row r="220" customFormat="false" ht="21.75" hidden="false" customHeight="true" outlineLevel="0" collapsed="false">
      <c r="B220" s="15" t="n">
        <v>216</v>
      </c>
      <c r="C220" s="9" t="s">
        <v>80</v>
      </c>
      <c r="D220" s="9" t="s">
        <v>20</v>
      </c>
      <c r="E220" s="9" t="s">
        <v>116</v>
      </c>
      <c r="F220" s="9" t="s">
        <v>104</v>
      </c>
      <c r="G220" s="9" t="s">
        <v>3021</v>
      </c>
      <c r="H220" s="9" t="s">
        <v>2617</v>
      </c>
      <c r="I220" s="9" t="s">
        <v>3022</v>
      </c>
      <c r="J220" s="9" t="s">
        <v>3023</v>
      </c>
      <c r="K220" s="9" t="s">
        <v>2969</v>
      </c>
      <c r="L220" s="9" t="s">
        <v>2940</v>
      </c>
      <c r="M220" s="9" t="s">
        <v>2514</v>
      </c>
      <c r="N220" s="9" t="s">
        <v>189</v>
      </c>
      <c r="O220" s="9" t="s">
        <v>189</v>
      </c>
      <c r="P220" s="9" t="s">
        <v>190</v>
      </c>
      <c r="Q220" s="9" t="s">
        <v>3024</v>
      </c>
      <c r="R220" s="9" t="s">
        <v>1190</v>
      </c>
      <c r="S220" s="9" t="s">
        <v>2945</v>
      </c>
      <c r="T220" s="9" t="s">
        <v>2621</v>
      </c>
      <c r="U220" s="19" t="n">
        <v>40</v>
      </c>
      <c r="V220" s="9"/>
      <c r="W220" s="9"/>
      <c r="X220" s="9" t="s">
        <v>195</v>
      </c>
      <c r="Y220" s="23" t="n">
        <v>0.00073788</v>
      </c>
      <c r="Z220" s="23" t="n">
        <v>0.011</v>
      </c>
      <c r="AA220" s="23" t="n">
        <v>24</v>
      </c>
      <c r="AB220" s="9" t="s">
        <v>2940</v>
      </c>
      <c r="AC220" s="9" t="s">
        <v>2970</v>
      </c>
      <c r="AD220" s="23" t="s">
        <v>197</v>
      </c>
      <c r="AE220" s="23" t="s">
        <v>197</v>
      </c>
      <c r="AF220" s="23" t="s">
        <v>197</v>
      </c>
      <c r="AG220" s="23" t="s">
        <v>197</v>
      </c>
      <c r="AH220" s="23" t="s">
        <v>197</v>
      </c>
      <c r="AI220" s="23" t="s">
        <v>197</v>
      </c>
      <c r="AJ220" s="23" t="s">
        <v>197</v>
      </c>
      <c r="AK220" s="23" t="s">
        <v>197</v>
      </c>
      <c r="AL220" s="23" t="s">
        <v>197</v>
      </c>
      <c r="AM220" s="23" t="s">
        <v>197</v>
      </c>
      <c r="AN220" s="9" t="s">
        <v>197</v>
      </c>
      <c r="AO220" s="23" t="s">
        <v>197</v>
      </c>
      <c r="AP220" s="23" t="s">
        <v>197</v>
      </c>
      <c r="AQ220" s="23" t="s">
        <v>197</v>
      </c>
    </row>
    <row r="221" customFormat="false" ht="21.75" hidden="false" customHeight="true" outlineLevel="0" collapsed="false">
      <c r="B221" s="14" t="n">
        <v>217</v>
      </c>
      <c r="C221" s="7" t="s">
        <v>80</v>
      </c>
      <c r="D221" s="7" t="s">
        <v>20</v>
      </c>
      <c r="E221" s="7" t="s">
        <v>116</v>
      </c>
      <c r="F221" s="7" t="s">
        <v>104</v>
      </c>
      <c r="G221" s="7" t="s">
        <v>3025</v>
      </c>
      <c r="H221" s="7" t="s">
        <v>2623</v>
      </c>
      <c r="I221" s="7" t="s">
        <v>3022</v>
      </c>
      <c r="J221" s="7" t="s">
        <v>3023</v>
      </c>
      <c r="K221" s="7" t="s">
        <v>2969</v>
      </c>
      <c r="L221" s="7" t="s">
        <v>2940</v>
      </c>
      <c r="M221" s="7" t="s">
        <v>2514</v>
      </c>
      <c r="N221" s="7" t="s">
        <v>189</v>
      </c>
      <c r="O221" s="7" t="s">
        <v>189</v>
      </c>
      <c r="P221" s="7" t="s">
        <v>190</v>
      </c>
      <c r="Q221" s="7" t="s">
        <v>3024</v>
      </c>
      <c r="R221" s="7" t="s">
        <v>1190</v>
      </c>
      <c r="S221" s="7" t="s">
        <v>2945</v>
      </c>
      <c r="T221" s="7" t="s">
        <v>2621</v>
      </c>
      <c r="U221" s="18" t="n">
        <v>60</v>
      </c>
      <c r="V221" s="7"/>
      <c r="W221" s="7"/>
      <c r="X221" s="7" t="s">
        <v>199</v>
      </c>
      <c r="Y221" s="22" t="n">
        <v>0.00042652</v>
      </c>
      <c r="Z221" s="22" t="n">
        <v>0.005</v>
      </c>
      <c r="AA221" s="22" t="n">
        <v>24</v>
      </c>
      <c r="AB221" s="7" t="s">
        <v>2940</v>
      </c>
      <c r="AC221" s="7" t="s">
        <v>2970</v>
      </c>
      <c r="AD221" s="22" t="s">
        <v>197</v>
      </c>
      <c r="AE221" s="22" t="s">
        <v>197</v>
      </c>
      <c r="AF221" s="22" t="s">
        <v>197</v>
      </c>
      <c r="AG221" s="22" t="s">
        <v>197</v>
      </c>
      <c r="AH221" s="22" t="s">
        <v>197</v>
      </c>
      <c r="AI221" s="22" t="s">
        <v>197</v>
      </c>
      <c r="AJ221" s="22" t="s">
        <v>197</v>
      </c>
      <c r="AK221" s="22" t="s">
        <v>197</v>
      </c>
      <c r="AL221" s="22" t="s">
        <v>197</v>
      </c>
      <c r="AM221" s="22" t="s">
        <v>197</v>
      </c>
      <c r="AN221" s="7" t="s">
        <v>197</v>
      </c>
      <c r="AO221" s="22" t="s">
        <v>197</v>
      </c>
      <c r="AP221" s="22" t="s">
        <v>197</v>
      </c>
      <c r="AQ221" s="22" t="s">
        <v>197</v>
      </c>
    </row>
    <row r="222" customFormat="false" ht="21.75" hidden="false" customHeight="true" outlineLevel="0" collapsed="false">
      <c r="B222" s="15" t="n">
        <v>218</v>
      </c>
      <c r="C222" s="9" t="s">
        <v>80</v>
      </c>
      <c r="D222" s="9" t="s">
        <v>20</v>
      </c>
      <c r="E222" s="9" t="s">
        <v>116</v>
      </c>
      <c r="F222" s="9" t="s">
        <v>104</v>
      </c>
      <c r="G222" s="9" t="s">
        <v>3026</v>
      </c>
      <c r="H222" s="9" t="s">
        <v>2625</v>
      </c>
      <c r="I222" s="9" t="s">
        <v>3022</v>
      </c>
      <c r="J222" s="9" t="s">
        <v>3023</v>
      </c>
      <c r="K222" s="9" t="s">
        <v>2969</v>
      </c>
      <c r="L222" s="9" t="s">
        <v>2940</v>
      </c>
      <c r="M222" s="9" t="s">
        <v>2514</v>
      </c>
      <c r="N222" s="9" t="s">
        <v>189</v>
      </c>
      <c r="O222" s="9" t="s">
        <v>189</v>
      </c>
      <c r="P222" s="9" t="s">
        <v>190</v>
      </c>
      <c r="Q222" s="9" t="s">
        <v>3024</v>
      </c>
      <c r="R222" s="9" t="s">
        <v>1190</v>
      </c>
      <c r="S222" s="9" t="s">
        <v>2945</v>
      </c>
      <c r="T222" s="9" t="s">
        <v>2621</v>
      </c>
      <c r="U222" s="19" t="n">
        <v>80</v>
      </c>
      <c r="V222" s="9"/>
      <c r="W222" s="9"/>
      <c r="X222" s="9" t="s">
        <v>3027</v>
      </c>
      <c r="Y222" s="23" t="n">
        <v>0.00068556</v>
      </c>
      <c r="Z222" s="23" t="n">
        <v>0.01</v>
      </c>
      <c r="AA222" s="23" t="n">
        <v>24</v>
      </c>
      <c r="AB222" s="9" t="s">
        <v>2940</v>
      </c>
      <c r="AC222" s="9" t="s">
        <v>2970</v>
      </c>
      <c r="AD222" s="23" t="s">
        <v>197</v>
      </c>
      <c r="AE222" s="23" t="s">
        <v>197</v>
      </c>
      <c r="AF222" s="23" t="s">
        <v>197</v>
      </c>
      <c r="AG222" s="23" t="s">
        <v>197</v>
      </c>
      <c r="AH222" s="23" t="s">
        <v>197</v>
      </c>
      <c r="AI222" s="23" t="s">
        <v>197</v>
      </c>
      <c r="AJ222" s="23" t="s">
        <v>197</v>
      </c>
      <c r="AK222" s="23" t="s">
        <v>197</v>
      </c>
      <c r="AL222" s="23" t="s">
        <v>197</v>
      </c>
      <c r="AM222" s="23" t="s">
        <v>197</v>
      </c>
      <c r="AN222" s="9" t="s">
        <v>197</v>
      </c>
      <c r="AO222" s="23" t="s">
        <v>197</v>
      </c>
      <c r="AP222" s="23" t="s">
        <v>197</v>
      </c>
      <c r="AQ222" s="23" t="s">
        <v>197</v>
      </c>
    </row>
    <row r="223" customFormat="false" ht="21.75" hidden="false" customHeight="true" outlineLevel="0" collapsed="false">
      <c r="B223" s="14" t="n">
        <v>219</v>
      </c>
      <c r="C223" s="7" t="s">
        <v>80</v>
      </c>
      <c r="D223" s="7" t="s">
        <v>20</v>
      </c>
      <c r="E223" s="7" t="s">
        <v>116</v>
      </c>
      <c r="F223" s="7" t="s">
        <v>104</v>
      </c>
      <c r="G223" s="7" t="s">
        <v>3028</v>
      </c>
      <c r="H223" s="7" t="s">
        <v>2628</v>
      </c>
      <c r="I223" s="7" t="s">
        <v>3022</v>
      </c>
      <c r="J223" s="7" t="s">
        <v>3023</v>
      </c>
      <c r="K223" s="7" t="s">
        <v>2969</v>
      </c>
      <c r="L223" s="7" t="s">
        <v>2940</v>
      </c>
      <c r="M223" s="7" t="s">
        <v>2514</v>
      </c>
      <c r="N223" s="7" t="s">
        <v>189</v>
      </c>
      <c r="O223" s="7" t="s">
        <v>189</v>
      </c>
      <c r="P223" s="7" t="s">
        <v>190</v>
      </c>
      <c r="Q223" s="7" t="s">
        <v>3024</v>
      </c>
      <c r="R223" s="7" t="s">
        <v>1190</v>
      </c>
      <c r="S223" s="7" t="s">
        <v>2945</v>
      </c>
      <c r="T223" s="7" t="s">
        <v>2621</v>
      </c>
      <c r="U223" s="18" t="n">
        <v>120</v>
      </c>
      <c r="V223" s="7"/>
      <c r="W223" s="7"/>
      <c r="X223" s="7" t="s">
        <v>203</v>
      </c>
      <c r="Y223" s="22" t="n">
        <v>0.0006368</v>
      </c>
      <c r="Z223" s="22" t="n">
        <v>0.009</v>
      </c>
      <c r="AA223" s="22" t="n">
        <v>24</v>
      </c>
      <c r="AB223" s="7" t="s">
        <v>2940</v>
      </c>
      <c r="AC223" s="7" t="s">
        <v>2970</v>
      </c>
      <c r="AD223" s="22" t="s">
        <v>197</v>
      </c>
      <c r="AE223" s="22" t="s">
        <v>197</v>
      </c>
      <c r="AF223" s="22" t="s">
        <v>197</v>
      </c>
      <c r="AG223" s="22" t="s">
        <v>197</v>
      </c>
      <c r="AH223" s="22" t="s">
        <v>197</v>
      </c>
      <c r="AI223" s="22" t="s">
        <v>197</v>
      </c>
      <c r="AJ223" s="22" t="s">
        <v>197</v>
      </c>
      <c r="AK223" s="22" t="s">
        <v>197</v>
      </c>
      <c r="AL223" s="22" t="s">
        <v>197</v>
      </c>
      <c r="AM223" s="22" t="s">
        <v>197</v>
      </c>
      <c r="AN223" s="7" t="s">
        <v>197</v>
      </c>
      <c r="AO223" s="22" t="s">
        <v>197</v>
      </c>
      <c r="AP223" s="22" t="s">
        <v>197</v>
      </c>
      <c r="AQ223" s="22" t="s">
        <v>197</v>
      </c>
    </row>
    <row r="224" customFormat="false" ht="21.75" hidden="false" customHeight="true" outlineLevel="0" collapsed="false">
      <c r="B224" s="15" t="n">
        <v>220</v>
      </c>
      <c r="C224" s="9" t="s">
        <v>80</v>
      </c>
      <c r="D224" s="9" t="s">
        <v>20</v>
      </c>
      <c r="E224" s="9" t="s">
        <v>116</v>
      </c>
      <c r="F224" s="9" t="s">
        <v>104</v>
      </c>
      <c r="G224" s="9" t="s">
        <v>3029</v>
      </c>
      <c r="H224" s="9" t="s">
        <v>2630</v>
      </c>
      <c r="I224" s="9" t="s">
        <v>3022</v>
      </c>
      <c r="J224" s="9" t="s">
        <v>3023</v>
      </c>
      <c r="K224" s="9" t="s">
        <v>2969</v>
      </c>
      <c r="L224" s="9" t="s">
        <v>2940</v>
      </c>
      <c r="M224" s="9" t="s">
        <v>2514</v>
      </c>
      <c r="N224" s="9" t="s">
        <v>189</v>
      </c>
      <c r="O224" s="9" t="s">
        <v>189</v>
      </c>
      <c r="P224" s="9" t="s">
        <v>190</v>
      </c>
      <c r="Q224" s="9" t="s">
        <v>3024</v>
      </c>
      <c r="R224" s="9" t="s">
        <v>1190</v>
      </c>
      <c r="S224" s="9" t="s">
        <v>2945</v>
      </c>
      <c r="T224" s="9" t="s">
        <v>2621</v>
      </c>
      <c r="U224" s="19" t="n">
        <v>180</v>
      </c>
      <c r="V224" s="9"/>
      <c r="W224" s="9"/>
      <c r="X224" s="9" t="s">
        <v>205</v>
      </c>
      <c r="Y224" s="23" t="n">
        <v>0.00074872</v>
      </c>
      <c r="Z224" s="23" t="n">
        <v>0.011</v>
      </c>
      <c r="AA224" s="23" t="n">
        <v>24</v>
      </c>
      <c r="AB224" s="9" t="s">
        <v>2940</v>
      </c>
      <c r="AC224" s="9" t="s">
        <v>2970</v>
      </c>
      <c r="AD224" s="23" t="s">
        <v>197</v>
      </c>
      <c r="AE224" s="23" t="s">
        <v>197</v>
      </c>
      <c r="AF224" s="23" t="s">
        <v>197</v>
      </c>
      <c r="AG224" s="23" t="s">
        <v>197</v>
      </c>
      <c r="AH224" s="23" t="s">
        <v>197</v>
      </c>
      <c r="AI224" s="23" t="s">
        <v>197</v>
      </c>
      <c r="AJ224" s="23" t="s">
        <v>197</v>
      </c>
      <c r="AK224" s="23" t="s">
        <v>197</v>
      </c>
      <c r="AL224" s="23" t="s">
        <v>197</v>
      </c>
      <c r="AM224" s="23" t="s">
        <v>197</v>
      </c>
      <c r="AN224" s="9" t="s">
        <v>197</v>
      </c>
      <c r="AO224" s="23" t="s">
        <v>197</v>
      </c>
      <c r="AP224" s="23" t="s">
        <v>197</v>
      </c>
      <c r="AQ224" s="23" t="s">
        <v>197</v>
      </c>
    </row>
    <row r="225" customFormat="false" ht="21.75" hidden="false" customHeight="true" outlineLevel="0" collapsed="false">
      <c r="B225" s="14" t="n">
        <v>221</v>
      </c>
      <c r="C225" s="7" t="s">
        <v>80</v>
      </c>
      <c r="D225" s="7" t="s">
        <v>20</v>
      </c>
      <c r="E225" s="7" t="s">
        <v>116</v>
      </c>
      <c r="F225" s="7" t="s">
        <v>105</v>
      </c>
      <c r="G225" s="7" t="s">
        <v>3030</v>
      </c>
      <c r="H225" s="7" t="s">
        <v>2632</v>
      </c>
      <c r="I225" s="7" t="s">
        <v>3031</v>
      </c>
      <c r="J225" s="7" t="s">
        <v>3032</v>
      </c>
      <c r="K225" s="7" t="s">
        <v>2969</v>
      </c>
      <c r="L225" s="7" t="s">
        <v>2940</v>
      </c>
      <c r="M225" s="7" t="s">
        <v>2514</v>
      </c>
      <c r="N225" s="7" t="s">
        <v>189</v>
      </c>
      <c r="O225" s="7" t="s">
        <v>189</v>
      </c>
      <c r="P225" s="7" t="s">
        <v>190</v>
      </c>
      <c r="Q225" s="7" t="s">
        <v>3024</v>
      </c>
      <c r="R225" s="7" t="s">
        <v>1842</v>
      </c>
      <c r="S225" s="7" t="s">
        <v>2945</v>
      </c>
      <c r="T225" s="7" t="s">
        <v>2926</v>
      </c>
      <c r="U225" s="18" t="n">
        <v>40</v>
      </c>
      <c r="V225" s="7"/>
      <c r="W225" s="7"/>
      <c r="X225" s="7" t="s">
        <v>195</v>
      </c>
      <c r="Y225" s="22" t="n">
        <v>0.00077068</v>
      </c>
      <c r="Z225" s="22" t="n">
        <v>0.047</v>
      </c>
      <c r="AA225" s="22" t="n">
        <v>24</v>
      </c>
      <c r="AB225" s="7" t="s">
        <v>2940</v>
      </c>
      <c r="AC225" s="7" t="s">
        <v>2970</v>
      </c>
      <c r="AD225" s="22" t="s">
        <v>197</v>
      </c>
      <c r="AE225" s="22" t="s">
        <v>197</v>
      </c>
      <c r="AF225" s="22" t="s">
        <v>197</v>
      </c>
      <c r="AG225" s="22" t="s">
        <v>197</v>
      </c>
      <c r="AH225" s="22" t="s">
        <v>197</v>
      </c>
      <c r="AI225" s="22" t="s">
        <v>197</v>
      </c>
      <c r="AJ225" s="22" t="s">
        <v>197</v>
      </c>
      <c r="AK225" s="22" t="s">
        <v>197</v>
      </c>
      <c r="AL225" s="22" t="s">
        <v>197</v>
      </c>
      <c r="AM225" s="22" t="s">
        <v>197</v>
      </c>
      <c r="AN225" s="7" t="s">
        <v>197</v>
      </c>
      <c r="AO225" s="22" t="s">
        <v>197</v>
      </c>
      <c r="AP225" s="22" t="s">
        <v>197</v>
      </c>
      <c r="AQ225" s="22" t="s">
        <v>197</v>
      </c>
    </row>
    <row r="226" customFormat="false" ht="21.75" hidden="false" customHeight="true" outlineLevel="0" collapsed="false">
      <c r="B226" s="15" t="n">
        <v>222</v>
      </c>
      <c r="C226" s="9" t="s">
        <v>80</v>
      </c>
      <c r="D226" s="9" t="s">
        <v>20</v>
      </c>
      <c r="E226" s="9" t="s">
        <v>116</v>
      </c>
      <c r="F226" s="9" t="s">
        <v>105</v>
      </c>
      <c r="G226" s="9" t="s">
        <v>3033</v>
      </c>
      <c r="H226" s="9" t="s">
        <v>2637</v>
      </c>
      <c r="I226" s="9" t="s">
        <v>3031</v>
      </c>
      <c r="J226" s="9" t="s">
        <v>3032</v>
      </c>
      <c r="K226" s="9" t="s">
        <v>2969</v>
      </c>
      <c r="L226" s="9" t="s">
        <v>2940</v>
      </c>
      <c r="M226" s="9" t="s">
        <v>2514</v>
      </c>
      <c r="N226" s="9" t="s">
        <v>189</v>
      </c>
      <c r="O226" s="9" t="s">
        <v>189</v>
      </c>
      <c r="P226" s="9" t="s">
        <v>190</v>
      </c>
      <c r="Q226" s="9" t="s">
        <v>3024</v>
      </c>
      <c r="R226" s="9" t="s">
        <v>1842</v>
      </c>
      <c r="S226" s="9" t="s">
        <v>2945</v>
      </c>
      <c r="T226" s="9" t="s">
        <v>2926</v>
      </c>
      <c r="U226" s="19" t="n">
        <v>60</v>
      </c>
      <c r="V226" s="9"/>
      <c r="W226" s="9"/>
      <c r="X226" s="9" t="s">
        <v>199</v>
      </c>
      <c r="Y226" s="23" t="n">
        <v>0.00059736</v>
      </c>
      <c r="Z226" s="23" t="n">
        <v>0.03</v>
      </c>
      <c r="AA226" s="23" t="n">
        <v>24</v>
      </c>
      <c r="AB226" s="9" t="s">
        <v>2940</v>
      </c>
      <c r="AC226" s="9" t="s">
        <v>2970</v>
      </c>
      <c r="AD226" s="23" t="s">
        <v>197</v>
      </c>
      <c r="AE226" s="23" t="s">
        <v>197</v>
      </c>
      <c r="AF226" s="23" t="s">
        <v>197</v>
      </c>
      <c r="AG226" s="23" t="s">
        <v>197</v>
      </c>
      <c r="AH226" s="23" t="s">
        <v>197</v>
      </c>
      <c r="AI226" s="23" t="s">
        <v>197</v>
      </c>
      <c r="AJ226" s="23" t="s">
        <v>197</v>
      </c>
      <c r="AK226" s="23" t="s">
        <v>197</v>
      </c>
      <c r="AL226" s="23" t="s">
        <v>197</v>
      </c>
      <c r="AM226" s="23" t="s">
        <v>197</v>
      </c>
      <c r="AN226" s="9" t="s">
        <v>197</v>
      </c>
      <c r="AO226" s="23" t="s">
        <v>197</v>
      </c>
      <c r="AP226" s="23" t="s">
        <v>197</v>
      </c>
      <c r="AQ226" s="23" t="s">
        <v>197</v>
      </c>
    </row>
    <row r="227" customFormat="false" ht="21.75" hidden="false" customHeight="true" outlineLevel="0" collapsed="false">
      <c r="B227" s="14" t="n">
        <v>223</v>
      </c>
      <c r="C227" s="7" t="s">
        <v>80</v>
      </c>
      <c r="D227" s="7" t="s">
        <v>20</v>
      </c>
      <c r="E227" s="7" t="s">
        <v>116</v>
      </c>
      <c r="F227" s="7" t="s">
        <v>105</v>
      </c>
      <c r="G227" s="7" t="s">
        <v>3034</v>
      </c>
      <c r="H227" s="7" t="s">
        <v>2639</v>
      </c>
      <c r="I227" s="7" t="s">
        <v>3031</v>
      </c>
      <c r="J227" s="7" t="s">
        <v>3032</v>
      </c>
      <c r="K227" s="7" t="s">
        <v>2969</v>
      </c>
      <c r="L227" s="7" t="s">
        <v>2940</v>
      </c>
      <c r="M227" s="7" t="s">
        <v>2514</v>
      </c>
      <c r="N227" s="7" t="s">
        <v>189</v>
      </c>
      <c r="O227" s="7" t="s">
        <v>189</v>
      </c>
      <c r="P227" s="7" t="s">
        <v>190</v>
      </c>
      <c r="Q227" s="7" t="s">
        <v>3024</v>
      </c>
      <c r="R227" s="7" t="s">
        <v>1842</v>
      </c>
      <c r="S227" s="7" t="s">
        <v>2945</v>
      </c>
      <c r="T227" s="7" t="s">
        <v>2926</v>
      </c>
      <c r="U227" s="18" t="n">
        <v>80</v>
      </c>
      <c r="V227" s="7"/>
      <c r="W227" s="7"/>
      <c r="X227" s="7" t="s">
        <v>3035</v>
      </c>
      <c r="Y227" s="22" t="n">
        <v>0.00089028</v>
      </c>
      <c r="Z227" s="22" t="n">
        <v>0.059</v>
      </c>
      <c r="AA227" s="22" t="n">
        <v>24</v>
      </c>
      <c r="AB227" s="7" t="s">
        <v>2940</v>
      </c>
      <c r="AC227" s="7" t="s">
        <v>2970</v>
      </c>
      <c r="AD227" s="22" t="s">
        <v>197</v>
      </c>
      <c r="AE227" s="22" t="s">
        <v>197</v>
      </c>
      <c r="AF227" s="22" t="s">
        <v>197</v>
      </c>
      <c r="AG227" s="22" t="s">
        <v>197</v>
      </c>
      <c r="AH227" s="22" t="s">
        <v>197</v>
      </c>
      <c r="AI227" s="22" t="s">
        <v>197</v>
      </c>
      <c r="AJ227" s="22" t="s">
        <v>197</v>
      </c>
      <c r="AK227" s="22" t="s">
        <v>197</v>
      </c>
      <c r="AL227" s="22" t="s">
        <v>197</v>
      </c>
      <c r="AM227" s="22" t="s">
        <v>197</v>
      </c>
      <c r="AN227" s="7" t="s">
        <v>197</v>
      </c>
      <c r="AO227" s="22" t="s">
        <v>197</v>
      </c>
      <c r="AP227" s="22" t="s">
        <v>197</v>
      </c>
      <c r="AQ227" s="22" t="s">
        <v>197</v>
      </c>
    </row>
    <row r="228" customFormat="false" ht="21.75" hidden="false" customHeight="true" outlineLevel="0" collapsed="false">
      <c r="B228" s="15" t="n">
        <v>224</v>
      </c>
      <c r="C228" s="9" t="s">
        <v>80</v>
      </c>
      <c r="D228" s="9" t="s">
        <v>20</v>
      </c>
      <c r="E228" s="9" t="s">
        <v>116</v>
      </c>
      <c r="F228" s="9" t="s">
        <v>105</v>
      </c>
      <c r="G228" s="9" t="s">
        <v>3036</v>
      </c>
      <c r="H228" s="9" t="s">
        <v>2642</v>
      </c>
      <c r="I228" s="9" t="s">
        <v>3031</v>
      </c>
      <c r="J228" s="9" t="s">
        <v>3032</v>
      </c>
      <c r="K228" s="9" t="s">
        <v>2969</v>
      </c>
      <c r="L228" s="9" t="s">
        <v>2940</v>
      </c>
      <c r="M228" s="9" t="s">
        <v>2514</v>
      </c>
      <c r="N228" s="9" t="s">
        <v>189</v>
      </c>
      <c r="O228" s="9" t="s">
        <v>189</v>
      </c>
      <c r="P228" s="9" t="s">
        <v>190</v>
      </c>
      <c r="Q228" s="9" t="s">
        <v>3024</v>
      </c>
      <c r="R228" s="9" t="s">
        <v>1842</v>
      </c>
      <c r="S228" s="9" t="s">
        <v>2945</v>
      </c>
      <c r="T228" s="9" t="s">
        <v>2926</v>
      </c>
      <c r="U228" s="19" t="n">
        <v>120</v>
      </c>
      <c r="V228" s="9"/>
      <c r="W228" s="9"/>
      <c r="X228" s="9" t="s">
        <v>203</v>
      </c>
      <c r="Y228" s="23" t="n">
        <v>0.00066364</v>
      </c>
      <c r="Z228" s="23" t="n">
        <v>0.036</v>
      </c>
      <c r="AA228" s="23" t="n">
        <v>24</v>
      </c>
      <c r="AB228" s="9" t="s">
        <v>2940</v>
      </c>
      <c r="AC228" s="9" t="s">
        <v>2970</v>
      </c>
      <c r="AD228" s="23" t="s">
        <v>197</v>
      </c>
      <c r="AE228" s="23" t="s">
        <v>197</v>
      </c>
      <c r="AF228" s="23" t="s">
        <v>197</v>
      </c>
      <c r="AG228" s="23" t="s">
        <v>197</v>
      </c>
      <c r="AH228" s="23" t="s">
        <v>197</v>
      </c>
      <c r="AI228" s="23" t="s">
        <v>197</v>
      </c>
      <c r="AJ228" s="23" t="s">
        <v>197</v>
      </c>
      <c r="AK228" s="23" t="s">
        <v>197</v>
      </c>
      <c r="AL228" s="23" t="s">
        <v>197</v>
      </c>
      <c r="AM228" s="23" t="s">
        <v>197</v>
      </c>
      <c r="AN228" s="9" t="s">
        <v>197</v>
      </c>
      <c r="AO228" s="23" t="s">
        <v>197</v>
      </c>
      <c r="AP228" s="23" t="s">
        <v>197</v>
      </c>
      <c r="AQ228" s="23" t="s">
        <v>197</v>
      </c>
    </row>
    <row r="229" customFormat="false" ht="21.75" hidden="false" customHeight="true" outlineLevel="0" collapsed="false">
      <c r="B229" s="14" t="n">
        <v>225</v>
      </c>
      <c r="C229" s="7" t="s">
        <v>80</v>
      </c>
      <c r="D229" s="7" t="s">
        <v>20</v>
      </c>
      <c r="E229" s="7" t="s">
        <v>116</v>
      </c>
      <c r="F229" s="7" t="s">
        <v>105</v>
      </c>
      <c r="G229" s="7" t="s">
        <v>3037</v>
      </c>
      <c r="H229" s="7" t="s">
        <v>2644</v>
      </c>
      <c r="I229" s="7" t="s">
        <v>3031</v>
      </c>
      <c r="J229" s="7" t="s">
        <v>3032</v>
      </c>
      <c r="K229" s="7" t="s">
        <v>2969</v>
      </c>
      <c r="L229" s="7" t="s">
        <v>2940</v>
      </c>
      <c r="M229" s="7" t="s">
        <v>2514</v>
      </c>
      <c r="N229" s="7" t="s">
        <v>189</v>
      </c>
      <c r="O229" s="7" t="s">
        <v>189</v>
      </c>
      <c r="P229" s="7" t="s">
        <v>190</v>
      </c>
      <c r="Q229" s="7" t="s">
        <v>3024</v>
      </c>
      <c r="R229" s="7" t="s">
        <v>1842</v>
      </c>
      <c r="S229" s="7" t="s">
        <v>2945</v>
      </c>
      <c r="T229" s="7" t="s">
        <v>2926</v>
      </c>
      <c r="U229" s="18" t="n">
        <v>175</v>
      </c>
      <c r="V229" s="7"/>
      <c r="W229" s="7"/>
      <c r="X229" s="7" t="s">
        <v>205</v>
      </c>
      <c r="Y229" s="22" t="n">
        <v>0.00080396</v>
      </c>
      <c r="Z229" s="22" t="n">
        <v>0.05</v>
      </c>
      <c r="AA229" s="22" t="n">
        <v>24</v>
      </c>
      <c r="AB229" s="7" t="s">
        <v>2940</v>
      </c>
      <c r="AC229" s="7" t="s">
        <v>2970</v>
      </c>
      <c r="AD229" s="22" t="s">
        <v>197</v>
      </c>
      <c r="AE229" s="22" t="s">
        <v>197</v>
      </c>
      <c r="AF229" s="22" t="s">
        <v>197</v>
      </c>
      <c r="AG229" s="22" t="s">
        <v>197</v>
      </c>
      <c r="AH229" s="22" t="s">
        <v>197</v>
      </c>
      <c r="AI229" s="22" t="s">
        <v>197</v>
      </c>
      <c r="AJ229" s="22" t="s">
        <v>197</v>
      </c>
      <c r="AK229" s="22" t="s">
        <v>197</v>
      </c>
      <c r="AL229" s="22" t="s">
        <v>197</v>
      </c>
      <c r="AM229" s="22" t="s">
        <v>197</v>
      </c>
      <c r="AN229" s="7" t="s">
        <v>197</v>
      </c>
      <c r="AO229" s="22" t="s">
        <v>197</v>
      </c>
      <c r="AP229" s="22" t="s">
        <v>197</v>
      </c>
      <c r="AQ229" s="22" t="s">
        <v>197</v>
      </c>
    </row>
    <row r="230" customFormat="false" ht="21.75" hidden="false" customHeight="true" outlineLevel="0" collapsed="false">
      <c r="B230" s="15" t="n">
        <v>226</v>
      </c>
      <c r="C230" s="9" t="s">
        <v>80</v>
      </c>
      <c r="D230" s="9" t="s">
        <v>20</v>
      </c>
      <c r="E230" s="9" t="s">
        <v>116</v>
      </c>
      <c r="F230" s="9" t="s">
        <v>106</v>
      </c>
      <c r="G230" s="9" t="s">
        <v>391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19"/>
      <c r="V230" s="9"/>
      <c r="W230" s="9"/>
      <c r="X230" s="9" t="s">
        <v>3038</v>
      </c>
      <c r="Y230" s="23" t="s">
        <v>197</v>
      </c>
      <c r="Z230" s="23" t="s">
        <v>197</v>
      </c>
      <c r="AA230" s="23" t="s">
        <v>197</v>
      </c>
      <c r="AB230" s="9" t="s">
        <v>197</v>
      </c>
      <c r="AC230" s="9" t="s">
        <v>197</v>
      </c>
      <c r="AD230" s="23" t="s">
        <v>197</v>
      </c>
      <c r="AE230" s="23" t="s">
        <v>197</v>
      </c>
      <c r="AF230" s="23" t="s">
        <v>197</v>
      </c>
      <c r="AG230" s="23" t="s">
        <v>197</v>
      </c>
      <c r="AH230" s="23" t="s">
        <v>197</v>
      </c>
      <c r="AI230" s="23" t="s">
        <v>197</v>
      </c>
      <c r="AJ230" s="23" t="s">
        <v>197</v>
      </c>
      <c r="AK230" s="23" t="s">
        <v>197</v>
      </c>
      <c r="AL230" s="23" t="s">
        <v>197</v>
      </c>
      <c r="AM230" s="23" t="s">
        <v>197</v>
      </c>
      <c r="AN230" s="9" t="s">
        <v>197</v>
      </c>
      <c r="AO230" s="23" t="s">
        <v>197</v>
      </c>
      <c r="AP230" s="23" t="s">
        <v>197</v>
      </c>
      <c r="AQ230" s="23" t="s">
        <v>197</v>
      </c>
    </row>
    <row r="231" customFormat="false" ht="21.75" hidden="false" customHeight="true" outlineLevel="0" collapsed="false">
      <c r="B231" s="14" t="n">
        <v>227</v>
      </c>
      <c r="C231" s="7" t="s">
        <v>80</v>
      </c>
      <c r="D231" s="7" t="s">
        <v>20</v>
      </c>
      <c r="E231" s="7" t="s">
        <v>116</v>
      </c>
      <c r="F231" s="7" t="s">
        <v>107</v>
      </c>
      <c r="G231" s="7" t="s">
        <v>391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18"/>
      <c r="V231" s="7"/>
      <c r="W231" s="7"/>
      <c r="X231" s="7" t="s">
        <v>3039</v>
      </c>
      <c r="Y231" s="22" t="s">
        <v>197</v>
      </c>
      <c r="Z231" s="22" t="s">
        <v>197</v>
      </c>
      <c r="AA231" s="22" t="s">
        <v>197</v>
      </c>
      <c r="AB231" s="7" t="s">
        <v>197</v>
      </c>
      <c r="AC231" s="7" t="s">
        <v>197</v>
      </c>
      <c r="AD231" s="22" t="s">
        <v>197</v>
      </c>
      <c r="AE231" s="22" t="s">
        <v>197</v>
      </c>
      <c r="AF231" s="22" t="s">
        <v>197</v>
      </c>
      <c r="AG231" s="22" t="s">
        <v>197</v>
      </c>
      <c r="AH231" s="22" t="s">
        <v>197</v>
      </c>
      <c r="AI231" s="22" t="s">
        <v>197</v>
      </c>
      <c r="AJ231" s="22" t="s">
        <v>197</v>
      </c>
      <c r="AK231" s="22" t="s">
        <v>197</v>
      </c>
      <c r="AL231" s="22" t="s">
        <v>197</v>
      </c>
      <c r="AM231" s="22" t="s">
        <v>197</v>
      </c>
      <c r="AN231" s="7" t="s">
        <v>197</v>
      </c>
      <c r="AO231" s="22" t="s">
        <v>197</v>
      </c>
      <c r="AP231" s="22" t="s">
        <v>197</v>
      </c>
      <c r="AQ231" s="22" t="s">
        <v>197</v>
      </c>
    </row>
    <row r="232" customFormat="false" ht="21.75" hidden="false" customHeight="true" outlineLevel="0" collapsed="false">
      <c r="B232" s="15" t="n">
        <v>228</v>
      </c>
      <c r="C232" s="9" t="s">
        <v>80</v>
      </c>
      <c r="D232" s="9" t="s">
        <v>20</v>
      </c>
      <c r="E232" s="9" t="s">
        <v>116</v>
      </c>
      <c r="F232" s="9" t="s">
        <v>108</v>
      </c>
      <c r="G232" s="9" t="s">
        <v>3040</v>
      </c>
      <c r="H232" s="9" t="s">
        <v>2661</v>
      </c>
      <c r="I232" s="9" t="s">
        <v>2662</v>
      </c>
      <c r="J232" s="9" t="s">
        <v>3041</v>
      </c>
      <c r="K232" s="9" t="s">
        <v>2969</v>
      </c>
      <c r="L232" s="9" t="s">
        <v>2940</v>
      </c>
      <c r="M232" s="9" t="s">
        <v>2514</v>
      </c>
      <c r="N232" s="9" t="s">
        <v>189</v>
      </c>
      <c r="O232" s="9" t="s">
        <v>189</v>
      </c>
      <c r="P232" s="9" t="s">
        <v>190</v>
      </c>
      <c r="Q232" s="9" t="s">
        <v>3042</v>
      </c>
      <c r="R232" s="9" t="s">
        <v>556</v>
      </c>
      <c r="S232" s="9" t="s">
        <v>2945</v>
      </c>
      <c r="T232" s="9" t="s">
        <v>3043</v>
      </c>
      <c r="U232" s="19" t="n">
        <v>20</v>
      </c>
      <c r="V232" s="9"/>
      <c r="W232" s="9"/>
      <c r="X232" s="9" t="s">
        <v>195</v>
      </c>
      <c r="Y232" s="23" t="n">
        <v>0.00036064</v>
      </c>
      <c r="Z232" s="23" t="n">
        <v>0.002</v>
      </c>
      <c r="AA232" s="23" t="n">
        <v>24</v>
      </c>
      <c r="AB232" s="9" t="s">
        <v>2940</v>
      </c>
      <c r="AC232" s="9" t="s">
        <v>3044</v>
      </c>
      <c r="AD232" s="23" t="s">
        <v>197</v>
      </c>
      <c r="AE232" s="23" t="s">
        <v>197</v>
      </c>
      <c r="AF232" s="23" t="s">
        <v>197</v>
      </c>
      <c r="AG232" s="23" t="s">
        <v>197</v>
      </c>
      <c r="AH232" s="23" t="s">
        <v>197</v>
      </c>
      <c r="AI232" s="23" t="s">
        <v>197</v>
      </c>
      <c r="AJ232" s="23" t="s">
        <v>197</v>
      </c>
      <c r="AK232" s="23" t="s">
        <v>197</v>
      </c>
      <c r="AL232" s="23" t="s">
        <v>197</v>
      </c>
      <c r="AM232" s="23" t="s">
        <v>197</v>
      </c>
      <c r="AN232" s="9" t="s">
        <v>197</v>
      </c>
      <c r="AO232" s="23" t="s">
        <v>197</v>
      </c>
      <c r="AP232" s="23" t="s">
        <v>197</v>
      </c>
      <c r="AQ232" s="23" t="s">
        <v>197</v>
      </c>
    </row>
    <row r="233" customFormat="false" ht="21.75" hidden="false" customHeight="true" outlineLevel="0" collapsed="false">
      <c r="B233" s="14" t="n">
        <v>229</v>
      </c>
      <c r="C233" s="7" t="s">
        <v>80</v>
      </c>
      <c r="D233" s="7" t="s">
        <v>20</v>
      </c>
      <c r="E233" s="7" t="s">
        <v>116</v>
      </c>
      <c r="F233" s="7" t="s">
        <v>108</v>
      </c>
      <c r="G233" s="7" t="s">
        <v>3045</v>
      </c>
      <c r="H233" s="7" t="s">
        <v>2667</v>
      </c>
      <c r="I233" s="7" t="s">
        <v>2662</v>
      </c>
      <c r="J233" s="7" t="s">
        <v>3041</v>
      </c>
      <c r="K233" s="7" t="s">
        <v>2969</v>
      </c>
      <c r="L233" s="7" t="s">
        <v>2940</v>
      </c>
      <c r="M233" s="7" t="s">
        <v>2514</v>
      </c>
      <c r="N233" s="7" t="s">
        <v>189</v>
      </c>
      <c r="O233" s="7" t="s">
        <v>189</v>
      </c>
      <c r="P233" s="7" t="s">
        <v>190</v>
      </c>
      <c r="Q233" s="7" t="s">
        <v>3042</v>
      </c>
      <c r="R233" s="7" t="s">
        <v>556</v>
      </c>
      <c r="S233" s="7" t="s">
        <v>2945</v>
      </c>
      <c r="T233" s="7" t="s">
        <v>3043</v>
      </c>
      <c r="U233" s="18" t="n">
        <v>30</v>
      </c>
      <c r="V233" s="7"/>
      <c r="W233" s="7"/>
      <c r="X233" s="7" t="s">
        <v>199</v>
      </c>
      <c r="Y233" s="22" t="n">
        <v>0.00020124</v>
      </c>
      <c r="Z233" s="22" t="n">
        <v>0.001</v>
      </c>
      <c r="AA233" s="22" t="n">
        <v>24</v>
      </c>
      <c r="AB233" s="7" t="s">
        <v>2940</v>
      </c>
      <c r="AC233" s="7" t="s">
        <v>3044</v>
      </c>
      <c r="AD233" s="22" t="s">
        <v>197</v>
      </c>
      <c r="AE233" s="22" t="s">
        <v>197</v>
      </c>
      <c r="AF233" s="22" t="s">
        <v>197</v>
      </c>
      <c r="AG233" s="22" t="s">
        <v>197</v>
      </c>
      <c r="AH233" s="22" t="s">
        <v>197</v>
      </c>
      <c r="AI233" s="22" t="s">
        <v>197</v>
      </c>
      <c r="AJ233" s="22" t="s">
        <v>197</v>
      </c>
      <c r="AK233" s="22" t="s">
        <v>197</v>
      </c>
      <c r="AL233" s="22" t="s">
        <v>197</v>
      </c>
      <c r="AM233" s="22" t="s">
        <v>197</v>
      </c>
      <c r="AN233" s="7" t="s">
        <v>197</v>
      </c>
      <c r="AO233" s="22" t="s">
        <v>197</v>
      </c>
      <c r="AP233" s="22" t="s">
        <v>197</v>
      </c>
      <c r="AQ233" s="22" t="s">
        <v>197</v>
      </c>
    </row>
    <row r="234" customFormat="false" ht="21.75" hidden="false" customHeight="true" outlineLevel="0" collapsed="false">
      <c r="B234" s="15" t="n">
        <v>230</v>
      </c>
      <c r="C234" s="9" t="s">
        <v>80</v>
      </c>
      <c r="D234" s="9" t="s">
        <v>20</v>
      </c>
      <c r="E234" s="9" t="s">
        <v>116</v>
      </c>
      <c r="F234" s="9" t="s">
        <v>108</v>
      </c>
      <c r="G234" s="9" t="s">
        <v>3046</v>
      </c>
      <c r="H234" s="9" t="s">
        <v>2669</v>
      </c>
      <c r="I234" s="9" t="s">
        <v>2662</v>
      </c>
      <c r="J234" s="9" t="s">
        <v>3041</v>
      </c>
      <c r="K234" s="9" t="s">
        <v>2969</v>
      </c>
      <c r="L234" s="9" t="s">
        <v>2940</v>
      </c>
      <c r="M234" s="9" t="s">
        <v>2514</v>
      </c>
      <c r="N234" s="9" t="s">
        <v>189</v>
      </c>
      <c r="O234" s="9" t="s">
        <v>189</v>
      </c>
      <c r="P234" s="9" t="s">
        <v>190</v>
      </c>
      <c r="Q234" s="9" t="s">
        <v>3042</v>
      </c>
      <c r="R234" s="9" t="s">
        <v>556</v>
      </c>
      <c r="S234" s="9" t="s">
        <v>2945</v>
      </c>
      <c r="T234" s="9" t="s">
        <v>3043</v>
      </c>
      <c r="U234" s="19" t="n">
        <v>40</v>
      </c>
      <c r="V234" s="9"/>
      <c r="W234" s="9"/>
      <c r="X234" s="9" t="s">
        <v>2670</v>
      </c>
      <c r="Y234" s="23" t="n">
        <v>0.0002288</v>
      </c>
      <c r="Z234" s="23" t="n">
        <v>0.001</v>
      </c>
      <c r="AA234" s="23" t="n">
        <v>24</v>
      </c>
      <c r="AB234" s="9" t="s">
        <v>2940</v>
      </c>
      <c r="AC234" s="9" t="s">
        <v>3044</v>
      </c>
      <c r="AD234" s="23" t="s">
        <v>197</v>
      </c>
      <c r="AE234" s="23" t="s">
        <v>197</v>
      </c>
      <c r="AF234" s="23" t="s">
        <v>197</v>
      </c>
      <c r="AG234" s="23" t="s">
        <v>197</v>
      </c>
      <c r="AH234" s="23" t="s">
        <v>197</v>
      </c>
      <c r="AI234" s="23" t="s">
        <v>197</v>
      </c>
      <c r="AJ234" s="23" t="s">
        <v>197</v>
      </c>
      <c r="AK234" s="23" t="s">
        <v>197</v>
      </c>
      <c r="AL234" s="23" t="s">
        <v>197</v>
      </c>
      <c r="AM234" s="23" t="s">
        <v>197</v>
      </c>
      <c r="AN234" s="9" t="s">
        <v>197</v>
      </c>
      <c r="AO234" s="23" t="s">
        <v>197</v>
      </c>
      <c r="AP234" s="23" t="s">
        <v>197</v>
      </c>
      <c r="AQ234" s="23" t="s">
        <v>197</v>
      </c>
    </row>
    <row r="235" customFormat="false" ht="21.75" hidden="false" customHeight="true" outlineLevel="0" collapsed="false">
      <c r="B235" s="14" t="n">
        <v>231</v>
      </c>
      <c r="C235" s="7" t="s">
        <v>80</v>
      </c>
      <c r="D235" s="7" t="s">
        <v>20</v>
      </c>
      <c r="E235" s="7" t="s">
        <v>116</v>
      </c>
      <c r="F235" s="7" t="s">
        <v>108</v>
      </c>
      <c r="G235" s="7" t="s">
        <v>3047</v>
      </c>
      <c r="H235" s="7" t="s">
        <v>2672</v>
      </c>
      <c r="I235" s="7" t="s">
        <v>2662</v>
      </c>
      <c r="J235" s="7" t="s">
        <v>3041</v>
      </c>
      <c r="K235" s="7" t="s">
        <v>2969</v>
      </c>
      <c r="L235" s="7" t="s">
        <v>2940</v>
      </c>
      <c r="M235" s="7" t="s">
        <v>2514</v>
      </c>
      <c r="N235" s="7" t="s">
        <v>189</v>
      </c>
      <c r="O235" s="7" t="s">
        <v>189</v>
      </c>
      <c r="P235" s="7" t="s">
        <v>190</v>
      </c>
      <c r="Q235" s="7" t="s">
        <v>3042</v>
      </c>
      <c r="R235" s="7" t="s">
        <v>556</v>
      </c>
      <c r="S235" s="7" t="s">
        <v>2945</v>
      </c>
      <c r="T235" s="7" t="s">
        <v>3043</v>
      </c>
      <c r="U235" s="18" t="n">
        <v>60</v>
      </c>
      <c r="V235" s="7"/>
      <c r="W235" s="7"/>
      <c r="X235" s="7" t="s">
        <v>203</v>
      </c>
      <c r="Y235" s="22" t="n">
        <v>0.0002404</v>
      </c>
      <c r="Z235" s="22" t="n">
        <v>0.001</v>
      </c>
      <c r="AA235" s="22" t="n">
        <v>24</v>
      </c>
      <c r="AB235" s="7" t="s">
        <v>2940</v>
      </c>
      <c r="AC235" s="7" t="s">
        <v>3044</v>
      </c>
      <c r="AD235" s="22" t="s">
        <v>197</v>
      </c>
      <c r="AE235" s="22" t="s">
        <v>197</v>
      </c>
      <c r="AF235" s="22" t="s">
        <v>197</v>
      </c>
      <c r="AG235" s="22" t="s">
        <v>197</v>
      </c>
      <c r="AH235" s="22" t="s">
        <v>197</v>
      </c>
      <c r="AI235" s="22" t="s">
        <v>197</v>
      </c>
      <c r="AJ235" s="22" t="s">
        <v>197</v>
      </c>
      <c r="AK235" s="22" t="s">
        <v>197</v>
      </c>
      <c r="AL235" s="22" t="s">
        <v>197</v>
      </c>
      <c r="AM235" s="22" t="s">
        <v>197</v>
      </c>
      <c r="AN235" s="7" t="s">
        <v>197</v>
      </c>
      <c r="AO235" s="22" t="s">
        <v>197</v>
      </c>
      <c r="AP235" s="22" t="s">
        <v>197</v>
      </c>
      <c r="AQ235" s="22" t="s">
        <v>197</v>
      </c>
    </row>
    <row r="236" customFormat="false" ht="21.75" hidden="false" customHeight="true" outlineLevel="0" collapsed="false">
      <c r="B236" s="15" t="n">
        <v>232</v>
      </c>
      <c r="C236" s="9" t="s">
        <v>80</v>
      </c>
      <c r="D236" s="9" t="s">
        <v>20</v>
      </c>
      <c r="E236" s="9" t="s">
        <v>116</v>
      </c>
      <c r="F236" s="9" t="s">
        <v>108</v>
      </c>
      <c r="G236" s="9" t="s">
        <v>3048</v>
      </c>
      <c r="H236" s="9" t="s">
        <v>2674</v>
      </c>
      <c r="I236" s="9" t="s">
        <v>2662</v>
      </c>
      <c r="J236" s="9" t="s">
        <v>3041</v>
      </c>
      <c r="K236" s="9" t="s">
        <v>2969</v>
      </c>
      <c r="L236" s="9" t="s">
        <v>2940</v>
      </c>
      <c r="M236" s="9" t="s">
        <v>2514</v>
      </c>
      <c r="N236" s="9" t="s">
        <v>189</v>
      </c>
      <c r="O236" s="9" t="s">
        <v>189</v>
      </c>
      <c r="P236" s="9" t="s">
        <v>190</v>
      </c>
      <c r="Q236" s="9" t="s">
        <v>3042</v>
      </c>
      <c r="R236" s="9" t="s">
        <v>556</v>
      </c>
      <c r="S236" s="9" t="s">
        <v>2945</v>
      </c>
      <c r="T236" s="9" t="s">
        <v>3043</v>
      </c>
      <c r="U236" s="19" t="n">
        <v>90</v>
      </c>
      <c r="V236" s="9"/>
      <c r="W236" s="9"/>
      <c r="X236" s="9" t="s">
        <v>205</v>
      </c>
      <c r="Y236" s="23" t="n">
        <v>0.0003768</v>
      </c>
      <c r="Z236" s="23" t="n">
        <v>0.002</v>
      </c>
      <c r="AA236" s="23" t="n">
        <v>24</v>
      </c>
      <c r="AB236" s="9" t="s">
        <v>2940</v>
      </c>
      <c r="AC236" s="9" t="s">
        <v>3044</v>
      </c>
      <c r="AD236" s="23" t="s">
        <v>197</v>
      </c>
      <c r="AE236" s="23" t="s">
        <v>197</v>
      </c>
      <c r="AF236" s="23" t="s">
        <v>197</v>
      </c>
      <c r="AG236" s="23" t="s">
        <v>197</v>
      </c>
      <c r="AH236" s="23" t="s">
        <v>197</v>
      </c>
      <c r="AI236" s="23" t="s">
        <v>197</v>
      </c>
      <c r="AJ236" s="23" t="s">
        <v>197</v>
      </c>
      <c r="AK236" s="23" t="s">
        <v>197</v>
      </c>
      <c r="AL236" s="23" t="s">
        <v>197</v>
      </c>
      <c r="AM236" s="23" t="s">
        <v>197</v>
      </c>
      <c r="AN236" s="9" t="s">
        <v>197</v>
      </c>
      <c r="AO236" s="23" t="s">
        <v>197</v>
      </c>
      <c r="AP236" s="23" t="s">
        <v>197</v>
      </c>
      <c r="AQ236" s="23" t="s">
        <v>197</v>
      </c>
    </row>
    <row r="237" customFormat="false" ht="21.75" hidden="false" customHeight="true" outlineLevel="0" collapsed="false">
      <c r="B237" s="14" t="n">
        <v>233</v>
      </c>
      <c r="C237" s="7" t="s">
        <v>81</v>
      </c>
      <c r="D237" s="7" t="s">
        <v>20</v>
      </c>
      <c r="E237" s="7" t="s">
        <v>116</v>
      </c>
      <c r="F237" s="7" t="s">
        <v>93</v>
      </c>
      <c r="G237" s="7" t="s">
        <v>3049</v>
      </c>
      <c r="H237" s="7" t="s">
        <v>3050</v>
      </c>
      <c r="I237" s="7" t="s">
        <v>3051</v>
      </c>
      <c r="J237" s="7" t="s">
        <v>3052</v>
      </c>
      <c r="K237" s="7" t="s">
        <v>3053</v>
      </c>
      <c r="L237" s="7" t="s">
        <v>3054</v>
      </c>
      <c r="M237" s="7" t="s">
        <v>2941</v>
      </c>
      <c r="N237" s="7" t="s">
        <v>3055</v>
      </c>
      <c r="O237" s="7" t="s">
        <v>189</v>
      </c>
      <c r="P237" s="7" t="s">
        <v>190</v>
      </c>
      <c r="Q237" s="7" t="s">
        <v>3056</v>
      </c>
      <c r="R237" s="7" t="s">
        <v>3057</v>
      </c>
      <c r="S237" s="7" t="s">
        <v>3058</v>
      </c>
      <c r="T237" s="7" t="s">
        <v>2946</v>
      </c>
      <c r="U237" s="18" t="n">
        <v>1600</v>
      </c>
      <c r="V237" s="7"/>
      <c r="W237" s="7"/>
      <c r="X237" s="7" t="s">
        <v>195</v>
      </c>
      <c r="Y237" s="22" t="n">
        <v>0.65</v>
      </c>
      <c r="Z237" s="22" t="n">
        <v>3.475</v>
      </c>
      <c r="AA237" s="22" t="n">
        <v>24</v>
      </c>
      <c r="AB237" s="7" t="s">
        <v>3054</v>
      </c>
      <c r="AC237" s="7" t="s">
        <v>3059</v>
      </c>
      <c r="AD237" s="22" t="n">
        <v>0.65</v>
      </c>
      <c r="AE237" s="22" t="n">
        <v>3.475</v>
      </c>
      <c r="AF237" s="22" t="n">
        <v>8</v>
      </c>
      <c r="AG237" s="22" t="s">
        <v>197</v>
      </c>
      <c r="AH237" s="22" t="n">
        <v>4</v>
      </c>
      <c r="AI237" s="22" t="n">
        <v>1000</v>
      </c>
      <c r="AJ237" s="22" t="s">
        <v>197</v>
      </c>
      <c r="AK237" s="22" t="s">
        <v>197</v>
      </c>
      <c r="AL237" s="22" t="s">
        <v>197</v>
      </c>
      <c r="AM237" s="22" t="s">
        <v>197</v>
      </c>
      <c r="AN237" s="7" t="s">
        <v>197</v>
      </c>
      <c r="AO237" s="22" t="s">
        <v>197</v>
      </c>
      <c r="AP237" s="22" t="s">
        <v>197</v>
      </c>
      <c r="AQ237" s="22" t="s">
        <v>197</v>
      </c>
    </row>
    <row r="238" customFormat="false" ht="21.75" hidden="false" customHeight="true" outlineLevel="0" collapsed="false">
      <c r="B238" s="15" t="n">
        <v>234</v>
      </c>
      <c r="C238" s="9" t="s">
        <v>81</v>
      </c>
      <c r="D238" s="9" t="s">
        <v>20</v>
      </c>
      <c r="E238" s="9" t="s">
        <v>116</v>
      </c>
      <c r="F238" s="9" t="s">
        <v>93</v>
      </c>
      <c r="G238" s="9" t="s">
        <v>3060</v>
      </c>
      <c r="H238" s="9" t="s">
        <v>3050</v>
      </c>
      <c r="I238" s="9" t="s">
        <v>3051</v>
      </c>
      <c r="J238" s="9" t="s">
        <v>3052</v>
      </c>
      <c r="K238" s="9" t="s">
        <v>3053</v>
      </c>
      <c r="L238" s="9" t="s">
        <v>3054</v>
      </c>
      <c r="M238" s="9" t="s">
        <v>2941</v>
      </c>
      <c r="N238" s="9" t="s">
        <v>3055</v>
      </c>
      <c r="O238" s="9" t="s">
        <v>189</v>
      </c>
      <c r="P238" s="9" t="s">
        <v>190</v>
      </c>
      <c r="Q238" s="9" t="s">
        <v>3056</v>
      </c>
      <c r="R238" s="9" t="s">
        <v>3057</v>
      </c>
      <c r="S238" s="9" t="s">
        <v>3058</v>
      </c>
      <c r="T238" s="9" t="s">
        <v>2946</v>
      </c>
      <c r="U238" s="19" t="n">
        <v>2400</v>
      </c>
      <c r="V238" s="9"/>
      <c r="W238" s="9"/>
      <c r="X238" s="9" t="s">
        <v>199</v>
      </c>
      <c r="Y238" s="23" t="n">
        <v>0.65</v>
      </c>
      <c r="Z238" s="23" t="n">
        <v>1.49</v>
      </c>
      <c r="AA238" s="23" t="n">
        <v>24</v>
      </c>
      <c r="AB238" s="9" t="s">
        <v>3054</v>
      </c>
      <c r="AC238" s="9" t="s">
        <v>3059</v>
      </c>
      <c r="AD238" s="23" t="n">
        <v>0.65</v>
      </c>
      <c r="AE238" s="23" t="n">
        <v>1.49</v>
      </c>
      <c r="AF238" s="23" t="n">
        <v>8</v>
      </c>
      <c r="AG238" s="23" t="s">
        <v>197</v>
      </c>
      <c r="AH238" s="23" t="n">
        <v>4</v>
      </c>
      <c r="AI238" s="23" t="n">
        <v>1000</v>
      </c>
      <c r="AJ238" s="23" t="s">
        <v>197</v>
      </c>
      <c r="AK238" s="23" t="s">
        <v>197</v>
      </c>
      <c r="AL238" s="23" t="s">
        <v>197</v>
      </c>
      <c r="AM238" s="23" t="s">
        <v>197</v>
      </c>
      <c r="AN238" s="9" t="s">
        <v>197</v>
      </c>
      <c r="AO238" s="23" t="s">
        <v>197</v>
      </c>
      <c r="AP238" s="23" t="s">
        <v>197</v>
      </c>
      <c r="AQ238" s="23" t="s">
        <v>197</v>
      </c>
    </row>
    <row r="239" customFormat="false" ht="21.75" hidden="false" customHeight="true" outlineLevel="0" collapsed="false">
      <c r="B239" s="14" t="n">
        <v>235</v>
      </c>
      <c r="C239" s="7" t="s">
        <v>81</v>
      </c>
      <c r="D239" s="7" t="s">
        <v>20</v>
      </c>
      <c r="E239" s="7" t="s">
        <v>116</v>
      </c>
      <c r="F239" s="7" t="s">
        <v>93</v>
      </c>
      <c r="G239" s="7" t="s">
        <v>3061</v>
      </c>
      <c r="H239" s="7" t="s">
        <v>3050</v>
      </c>
      <c r="I239" s="7" t="s">
        <v>3051</v>
      </c>
      <c r="J239" s="7" t="s">
        <v>3052</v>
      </c>
      <c r="K239" s="7" t="s">
        <v>3053</v>
      </c>
      <c r="L239" s="7" t="s">
        <v>3054</v>
      </c>
      <c r="M239" s="7" t="s">
        <v>2941</v>
      </c>
      <c r="N239" s="7" t="s">
        <v>3055</v>
      </c>
      <c r="O239" s="7" t="s">
        <v>189</v>
      </c>
      <c r="P239" s="7" t="s">
        <v>190</v>
      </c>
      <c r="Q239" s="7" t="s">
        <v>3056</v>
      </c>
      <c r="R239" s="7" t="s">
        <v>3057</v>
      </c>
      <c r="S239" s="7" t="s">
        <v>3058</v>
      </c>
      <c r="T239" s="7" t="s">
        <v>2946</v>
      </c>
      <c r="U239" s="18" t="n">
        <v>3200</v>
      </c>
      <c r="V239" s="7"/>
      <c r="W239" s="7"/>
      <c r="X239" s="7" t="s">
        <v>3062</v>
      </c>
      <c r="Y239" s="22" t="n">
        <v>0.65</v>
      </c>
      <c r="Z239" s="22" t="n">
        <v>3.143</v>
      </c>
      <c r="AA239" s="22" t="n">
        <v>24</v>
      </c>
      <c r="AB239" s="7" t="s">
        <v>3054</v>
      </c>
      <c r="AC239" s="7" t="s">
        <v>3059</v>
      </c>
      <c r="AD239" s="22" t="n">
        <v>0.65</v>
      </c>
      <c r="AE239" s="22" t="n">
        <v>3.143</v>
      </c>
      <c r="AF239" s="22" t="n">
        <v>8</v>
      </c>
      <c r="AG239" s="22" t="s">
        <v>197</v>
      </c>
      <c r="AH239" s="22" t="n">
        <v>4</v>
      </c>
      <c r="AI239" s="22" t="n">
        <v>1000</v>
      </c>
      <c r="AJ239" s="22" t="s">
        <v>197</v>
      </c>
      <c r="AK239" s="22" t="s">
        <v>197</v>
      </c>
      <c r="AL239" s="22" t="s">
        <v>197</v>
      </c>
      <c r="AM239" s="22" t="s">
        <v>197</v>
      </c>
      <c r="AN239" s="7" t="s">
        <v>197</v>
      </c>
      <c r="AO239" s="22" t="s">
        <v>197</v>
      </c>
      <c r="AP239" s="22" t="s">
        <v>197</v>
      </c>
      <c r="AQ239" s="22" t="s">
        <v>197</v>
      </c>
    </row>
    <row r="240" customFormat="false" ht="21.75" hidden="false" customHeight="true" outlineLevel="0" collapsed="false">
      <c r="B240" s="15" t="n">
        <v>236</v>
      </c>
      <c r="C240" s="9" t="s">
        <v>81</v>
      </c>
      <c r="D240" s="9" t="s">
        <v>20</v>
      </c>
      <c r="E240" s="9" t="s">
        <v>116</v>
      </c>
      <c r="F240" s="9" t="s">
        <v>93</v>
      </c>
      <c r="G240" s="9" t="s">
        <v>3063</v>
      </c>
      <c r="H240" s="9" t="s">
        <v>3050</v>
      </c>
      <c r="I240" s="9" t="s">
        <v>3051</v>
      </c>
      <c r="J240" s="9" t="s">
        <v>3052</v>
      </c>
      <c r="K240" s="9" t="s">
        <v>3053</v>
      </c>
      <c r="L240" s="9" t="s">
        <v>3054</v>
      </c>
      <c r="M240" s="9" t="s">
        <v>2941</v>
      </c>
      <c r="N240" s="9" t="s">
        <v>3055</v>
      </c>
      <c r="O240" s="9" t="s">
        <v>189</v>
      </c>
      <c r="P240" s="9" t="s">
        <v>190</v>
      </c>
      <c r="Q240" s="9" t="s">
        <v>3056</v>
      </c>
      <c r="R240" s="9" t="s">
        <v>3057</v>
      </c>
      <c r="S240" s="9" t="s">
        <v>3058</v>
      </c>
      <c r="T240" s="9" t="s">
        <v>2946</v>
      </c>
      <c r="U240" s="19" t="n">
        <v>4800</v>
      </c>
      <c r="V240" s="9"/>
      <c r="W240" s="9"/>
      <c r="X240" s="9" t="s">
        <v>203</v>
      </c>
      <c r="Y240" s="23" t="n">
        <v>0.65</v>
      </c>
      <c r="Z240" s="23" t="n">
        <v>2.528</v>
      </c>
      <c r="AA240" s="23" t="n">
        <v>24</v>
      </c>
      <c r="AB240" s="9" t="s">
        <v>3054</v>
      </c>
      <c r="AC240" s="9" t="s">
        <v>3059</v>
      </c>
      <c r="AD240" s="23" t="n">
        <v>0.65</v>
      </c>
      <c r="AE240" s="23" t="n">
        <v>2.528</v>
      </c>
      <c r="AF240" s="23" t="n">
        <v>8</v>
      </c>
      <c r="AG240" s="23" t="s">
        <v>197</v>
      </c>
      <c r="AH240" s="23" t="n">
        <v>4</v>
      </c>
      <c r="AI240" s="23" t="n">
        <v>1000</v>
      </c>
      <c r="AJ240" s="23" t="s">
        <v>197</v>
      </c>
      <c r="AK240" s="23" t="s">
        <v>197</v>
      </c>
      <c r="AL240" s="23" t="s">
        <v>197</v>
      </c>
      <c r="AM240" s="23" t="s">
        <v>197</v>
      </c>
      <c r="AN240" s="9" t="s">
        <v>197</v>
      </c>
      <c r="AO240" s="23" t="s">
        <v>197</v>
      </c>
      <c r="AP240" s="23" t="s">
        <v>197</v>
      </c>
      <c r="AQ240" s="23" t="s">
        <v>197</v>
      </c>
    </row>
    <row r="241" customFormat="false" ht="21.75" hidden="false" customHeight="true" outlineLevel="0" collapsed="false">
      <c r="B241" s="14" t="n">
        <v>237</v>
      </c>
      <c r="C241" s="7" t="s">
        <v>81</v>
      </c>
      <c r="D241" s="7" t="s">
        <v>20</v>
      </c>
      <c r="E241" s="7" t="s">
        <v>116</v>
      </c>
      <c r="F241" s="7" t="s">
        <v>93</v>
      </c>
      <c r="G241" s="7" t="s">
        <v>3064</v>
      </c>
      <c r="H241" s="7" t="s">
        <v>3050</v>
      </c>
      <c r="I241" s="7" t="s">
        <v>3051</v>
      </c>
      <c r="J241" s="7" t="s">
        <v>3052</v>
      </c>
      <c r="K241" s="7" t="s">
        <v>3053</v>
      </c>
      <c r="L241" s="7" t="s">
        <v>3054</v>
      </c>
      <c r="M241" s="7" t="s">
        <v>2941</v>
      </c>
      <c r="N241" s="7" t="s">
        <v>3055</v>
      </c>
      <c r="O241" s="7" t="s">
        <v>189</v>
      </c>
      <c r="P241" s="7" t="s">
        <v>190</v>
      </c>
      <c r="Q241" s="7" t="s">
        <v>3056</v>
      </c>
      <c r="R241" s="7" t="s">
        <v>3057</v>
      </c>
      <c r="S241" s="7" t="s">
        <v>3058</v>
      </c>
      <c r="T241" s="7" t="s">
        <v>2946</v>
      </c>
      <c r="U241" s="18" t="n">
        <v>7040</v>
      </c>
      <c r="V241" s="7"/>
      <c r="W241" s="7"/>
      <c r="X241" s="7" t="s">
        <v>205</v>
      </c>
      <c r="Y241" s="22" t="n">
        <v>0.65</v>
      </c>
      <c r="Z241" s="22" t="n">
        <v>2.888</v>
      </c>
      <c r="AA241" s="22" t="n">
        <v>24</v>
      </c>
      <c r="AB241" s="7" t="s">
        <v>3054</v>
      </c>
      <c r="AC241" s="7" t="s">
        <v>3059</v>
      </c>
      <c r="AD241" s="22" t="n">
        <v>0.65</v>
      </c>
      <c r="AE241" s="22" t="n">
        <v>2.888</v>
      </c>
      <c r="AF241" s="22" t="n">
        <v>8</v>
      </c>
      <c r="AG241" s="22" t="s">
        <v>197</v>
      </c>
      <c r="AH241" s="22" t="n">
        <v>4</v>
      </c>
      <c r="AI241" s="22" t="n">
        <v>1000</v>
      </c>
      <c r="AJ241" s="22" t="s">
        <v>197</v>
      </c>
      <c r="AK241" s="22" t="s">
        <v>197</v>
      </c>
      <c r="AL241" s="22" t="s">
        <v>197</v>
      </c>
      <c r="AM241" s="22" t="s">
        <v>197</v>
      </c>
      <c r="AN241" s="7" t="s">
        <v>197</v>
      </c>
      <c r="AO241" s="22" t="s">
        <v>197</v>
      </c>
      <c r="AP241" s="22" t="s">
        <v>197</v>
      </c>
      <c r="AQ241" s="22" t="s">
        <v>197</v>
      </c>
    </row>
    <row r="242" customFormat="false" ht="21.75" hidden="false" customHeight="true" outlineLevel="0" collapsed="false">
      <c r="B242" s="15" t="n">
        <v>238</v>
      </c>
      <c r="C242" s="9" t="s">
        <v>81</v>
      </c>
      <c r="D242" s="9" t="s">
        <v>20</v>
      </c>
      <c r="E242" s="9" t="s">
        <v>116</v>
      </c>
      <c r="F242" s="9" t="s">
        <v>94</v>
      </c>
      <c r="G242" s="9" t="s">
        <v>3065</v>
      </c>
      <c r="H242" s="9" t="s">
        <v>3066</v>
      </c>
      <c r="I242" s="9" t="s">
        <v>3067</v>
      </c>
      <c r="J242" s="9" t="s">
        <v>3068</v>
      </c>
      <c r="K242" s="9" t="s">
        <v>189</v>
      </c>
      <c r="L242" s="9" t="s">
        <v>3054</v>
      </c>
      <c r="M242" s="9" t="s">
        <v>3069</v>
      </c>
      <c r="N242" s="9" t="s">
        <v>3070</v>
      </c>
      <c r="O242" s="9" t="s">
        <v>189</v>
      </c>
      <c r="P242" s="9" t="s">
        <v>190</v>
      </c>
      <c r="Q242" s="9" t="s">
        <v>3071</v>
      </c>
      <c r="R242" s="9" t="s">
        <v>3072</v>
      </c>
      <c r="S242" s="9" t="s">
        <v>3058</v>
      </c>
      <c r="T242" s="9" t="s">
        <v>3073</v>
      </c>
      <c r="U242" s="19" t="n">
        <v>390</v>
      </c>
      <c r="V242" s="9"/>
      <c r="W242" s="9"/>
      <c r="X242" s="9" t="s">
        <v>195</v>
      </c>
      <c r="Y242" s="23" t="n">
        <v>0.32</v>
      </c>
      <c r="Z242" s="23" t="n">
        <v>3.215</v>
      </c>
      <c r="AA242" s="23" t="n">
        <v>24</v>
      </c>
      <c r="AB242" s="9" t="s">
        <v>3054</v>
      </c>
      <c r="AC242" s="9" t="s">
        <v>3059</v>
      </c>
      <c r="AD242" s="23" t="n">
        <v>0.32</v>
      </c>
      <c r="AE242" s="23" t="n">
        <v>3.215</v>
      </c>
      <c r="AF242" s="23" t="n">
        <v>2.5</v>
      </c>
      <c r="AG242" s="23" t="s">
        <v>197</v>
      </c>
      <c r="AH242" s="23" t="n">
        <v>2</v>
      </c>
      <c r="AI242" s="23" t="n">
        <v>100</v>
      </c>
      <c r="AJ242" s="23" t="s">
        <v>197</v>
      </c>
      <c r="AK242" s="23" t="s">
        <v>197</v>
      </c>
      <c r="AL242" s="23" t="s">
        <v>197</v>
      </c>
      <c r="AM242" s="23" t="s">
        <v>197</v>
      </c>
      <c r="AN242" s="9" t="s">
        <v>197</v>
      </c>
      <c r="AO242" s="23" t="s">
        <v>197</v>
      </c>
      <c r="AP242" s="23" t="s">
        <v>197</v>
      </c>
      <c r="AQ242" s="23" t="s">
        <v>197</v>
      </c>
    </row>
    <row r="243" customFormat="false" ht="21.75" hidden="false" customHeight="true" outlineLevel="0" collapsed="false">
      <c r="B243" s="14" t="n">
        <v>239</v>
      </c>
      <c r="C243" s="7" t="s">
        <v>81</v>
      </c>
      <c r="D243" s="7" t="s">
        <v>20</v>
      </c>
      <c r="E243" s="7" t="s">
        <v>116</v>
      </c>
      <c r="F243" s="7" t="s">
        <v>94</v>
      </c>
      <c r="G243" s="7" t="s">
        <v>3049</v>
      </c>
      <c r="H243" s="7" t="s">
        <v>3066</v>
      </c>
      <c r="I243" s="7" t="s">
        <v>3067</v>
      </c>
      <c r="J243" s="7" t="s">
        <v>3068</v>
      </c>
      <c r="K243" s="7" t="s">
        <v>189</v>
      </c>
      <c r="L243" s="7" t="s">
        <v>3054</v>
      </c>
      <c r="M243" s="7" t="s">
        <v>3069</v>
      </c>
      <c r="N243" s="7" t="s">
        <v>3070</v>
      </c>
      <c r="O243" s="7" t="s">
        <v>189</v>
      </c>
      <c r="P243" s="7" t="s">
        <v>190</v>
      </c>
      <c r="Q243" s="7" t="s">
        <v>3071</v>
      </c>
      <c r="R243" s="7" t="s">
        <v>3072</v>
      </c>
      <c r="S243" s="7" t="s">
        <v>3058</v>
      </c>
      <c r="T243" s="7" t="s">
        <v>3073</v>
      </c>
      <c r="U243" s="18" t="n">
        <v>585</v>
      </c>
      <c r="V243" s="7"/>
      <c r="W243" s="7"/>
      <c r="X243" s="7" t="s">
        <v>199</v>
      </c>
      <c r="Y243" s="22" t="n">
        <v>0.32</v>
      </c>
      <c r="Z243" s="22" t="n">
        <v>3.475</v>
      </c>
      <c r="AA243" s="22" t="n">
        <v>24</v>
      </c>
      <c r="AB243" s="7" t="s">
        <v>3054</v>
      </c>
      <c r="AC243" s="7" t="s">
        <v>3059</v>
      </c>
      <c r="AD243" s="22" t="n">
        <v>0.32</v>
      </c>
      <c r="AE243" s="22" t="n">
        <v>3.475</v>
      </c>
      <c r="AF243" s="22" t="n">
        <v>2.5</v>
      </c>
      <c r="AG243" s="22" t="s">
        <v>197</v>
      </c>
      <c r="AH243" s="22" t="n">
        <v>2</v>
      </c>
      <c r="AI243" s="22" t="n">
        <v>100</v>
      </c>
      <c r="AJ243" s="22" t="s">
        <v>197</v>
      </c>
      <c r="AK243" s="22" t="s">
        <v>197</v>
      </c>
      <c r="AL243" s="22" t="s">
        <v>197</v>
      </c>
      <c r="AM243" s="22" t="s">
        <v>197</v>
      </c>
      <c r="AN243" s="7" t="s">
        <v>197</v>
      </c>
      <c r="AO243" s="22" t="s">
        <v>197</v>
      </c>
      <c r="AP243" s="22" t="s">
        <v>197</v>
      </c>
      <c r="AQ243" s="22" t="s">
        <v>197</v>
      </c>
    </row>
    <row r="244" customFormat="false" ht="21.75" hidden="false" customHeight="true" outlineLevel="0" collapsed="false">
      <c r="B244" s="15" t="n">
        <v>240</v>
      </c>
      <c r="C244" s="9" t="s">
        <v>81</v>
      </c>
      <c r="D244" s="9" t="s">
        <v>20</v>
      </c>
      <c r="E244" s="9" t="s">
        <v>116</v>
      </c>
      <c r="F244" s="9" t="s">
        <v>94</v>
      </c>
      <c r="G244" s="9" t="s">
        <v>3060</v>
      </c>
      <c r="H244" s="9" t="s">
        <v>3066</v>
      </c>
      <c r="I244" s="9" t="s">
        <v>3067</v>
      </c>
      <c r="J244" s="9" t="s">
        <v>3068</v>
      </c>
      <c r="K244" s="9" t="s">
        <v>189</v>
      </c>
      <c r="L244" s="9" t="s">
        <v>3054</v>
      </c>
      <c r="M244" s="9" t="s">
        <v>3069</v>
      </c>
      <c r="N244" s="9" t="s">
        <v>3070</v>
      </c>
      <c r="O244" s="9" t="s">
        <v>189</v>
      </c>
      <c r="P244" s="9" t="s">
        <v>190</v>
      </c>
      <c r="Q244" s="9" t="s">
        <v>3071</v>
      </c>
      <c r="R244" s="9" t="s">
        <v>3072</v>
      </c>
      <c r="S244" s="9" t="s">
        <v>3058</v>
      </c>
      <c r="T244" s="9" t="s">
        <v>3073</v>
      </c>
      <c r="U244" s="19" t="n">
        <v>780</v>
      </c>
      <c r="V244" s="9"/>
      <c r="W244" s="9"/>
      <c r="X244" s="9" t="s">
        <v>3074</v>
      </c>
      <c r="Y244" s="23" t="n">
        <v>0.32</v>
      </c>
      <c r="Z244" s="23" t="n">
        <v>1.49</v>
      </c>
      <c r="AA244" s="23" t="n">
        <v>24</v>
      </c>
      <c r="AB244" s="9" t="s">
        <v>3054</v>
      </c>
      <c r="AC244" s="9" t="s">
        <v>3059</v>
      </c>
      <c r="AD244" s="23" t="n">
        <v>0.32</v>
      </c>
      <c r="AE244" s="23" t="n">
        <v>1.49</v>
      </c>
      <c r="AF244" s="23" t="n">
        <v>2.5</v>
      </c>
      <c r="AG244" s="23" t="s">
        <v>197</v>
      </c>
      <c r="AH244" s="23" t="n">
        <v>2</v>
      </c>
      <c r="AI244" s="23" t="n">
        <v>100</v>
      </c>
      <c r="AJ244" s="23" t="s">
        <v>197</v>
      </c>
      <c r="AK244" s="23" t="s">
        <v>197</v>
      </c>
      <c r="AL244" s="23" t="s">
        <v>197</v>
      </c>
      <c r="AM244" s="23" t="s">
        <v>197</v>
      </c>
      <c r="AN244" s="9" t="s">
        <v>197</v>
      </c>
      <c r="AO244" s="23" t="s">
        <v>197</v>
      </c>
      <c r="AP244" s="23" t="s">
        <v>197</v>
      </c>
      <c r="AQ244" s="23" t="s">
        <v>197</v>
      </c>
    </row>
    <row r="245" customFormat="false" ht="21.75" hidden="false" customHeight="true" outlineLevel="0" collapsed="false">
      <c r="B245" s="14" t="n">
        <v>241</v>
      </c>
      <c r="C245" s="7" t="s">
        <v>81</v>
      </c>
      <c r="D245" s="7" t="s">
        <v>20</v>
      </c>
      <c r="E245" s="7" t="s">
        <v>116</v>
      </c>
      <c r="F245" s="7" t="s">
        <v>94</v>
      </c>
      <c r="G245" s="7" t="s">
        <v>3075</v>
      </c>
      <c r="H245" s="7" t="s">
        <v>3066</v>
      </c>
      <c r="I245" s="7" t="s">
        <v>3067</v>
      </c>
      <c r="J245" s="7" t="s">
        <v>3068</v>
      </c>
      <c r="K245" s="7" t="s">
        <v>189</v>
      </c>
      <c r="L245" s="7" t="s">
        <v>3054</v>
      </c>
      <c r="M245" s="7" t="s">
        <v>3069</v>
      </c>
      <c r="N245" s="7" t="s">
        <v>3070</v>
      </c>
      <c r="O245" s="7" t="s">
        <v>189</v>
      </c>
      <c r="P245" s="7" t="s">
        <v>190</v>
      </c>
      <c r="Q245" s="7" t="s">
        <v>3071</v>
      </c>
      <c r="R245" s="7" t="s">
        <v>3072</v>
      </c>
      <c r="S245" s="7" t="s">
        <v>3058</v>
      </c>
      <c r="T245" s="7" t="s">
        <v>3073</v>
      </c>
      <c r="U245" s="18" t="n">
        <v>1170</v>
      </c>
      <c r="V245" s="7"/>
      <c r="W245" s="7"/>
      <c r="X245" s="7" t="s">
        <v>203</v>
      </c>
      <c r="Y245" s="22" t="n">
        <v>0.32</v>
      </c>
      <c r="Z245" s="22" t="n">
        <v>3.442</v>
      </c>
      <c r="AA245" s="22" t="n">
        <v>24</v>
      </c>
      <c r="AB245" s="7" t="s">
        <v>3054</v>
      </c>
      <c r="AC245" s="7" t="s">
        <v>3059</v>
      </c>
      <c r="AD245" s="22" t="n">
        <v>0.32</v>
      </c>
      <c r="AE245" s="22" t="n">
        <v>3.442</v>
      </c>
      <c r="AF245" s="22" t="n">
        <v>2.5</v>
      </c>
      <c r="AG245" s="22" t="s">
        <v>197</v>
      </c>
      <c r="AH245" s="22" t="n">
        <v>2</v>
      </c>
      <c r="AI245" s="22" t="n">
        <v>100</v>
      </c>
      <c r="AJ245" s="22" t="s">
        <v>197</v>
      </c>
      <c r="AK245" s="22" t="s">
        <v>197</v>
      </c>
      <c r="AL245" s="22" t="s">
        <v>197</v>
      </c>
      <c r="AM245" s="22" t="s">
        <v>197</v>
      </c>
      <c r="AN245" s="7" t="s">
        <v>197</v>
      </c>
      <c r="AO245" s="22" t="s">
        <v>197</v>
      </c>
      <c r="AP245" s="22" t="s">
        <v>197</v>
      </c>
      <c r="AQ245" s="22" t="s">
        <v>197</v>
      </c>
    </row>
    <row r="246" customFormat="false" ht="21.75" hidden="false" customHeight="true" outlineLevel="0" collapsed="false">
      <c r="B246" s="15" t="n">
        <v>242</v>
      </c>
      <c r="C246" s="9" t="s">
        <v>81</v>
      </c>
      <c r="D246" s="9" t="s">
        <v>20</v>
      </c>
      <c r="E246" s="9" t="s">
        <v>116</v>
      </c>
      <c r="F246" s="9" t="s">
        <v>94</v>
      </c>
      <c r="G246" s="9" t="s">
        <v>3076</v>
      </c>
      <c r="H246" s="9" t="s">
        <v>3066</v>
      </c>
      <c r="I246" s="9" t="s">
        <v>3067</v>
      </c>
      <c r="J246" s="9" t="s">
        <v>3068</v>
      </c>
      <c r="K246" s="9" t="s">
        <v>189</v>
      </c>
      <c r="L246" s="9" t="s">
        <v>3054</v>
      </c>
      <c r="M246" s="9" t="s">
        <v>3069</v>
      </c>
      <c r="N246" s="9" t="s">
        <v>3070</v>
      </c>
      <c r="O246" s="9" t="s">
        <v>189</v>
      </c>
      <c r="P246" s="9" t="s">
        <v>190</v>
      </c>
      <c r="Q246" s="9" t="s">
        <v>3071</v>
      </c>
      <c r="R246" s="9" t="s">
        <v>3072</v>
      </c>
      <c r="S246" s="9" t="s">
        <v>3058</v>
      </c>
      <c r="T246" s="9" t="s">
        <v>3073</v>
      </c>
      <c r="U246" s="19" t="n">
        <v>1715</v>
      </c>
      <c r="V246" s="9"/>
      <c r="W246" s="9"/>
      <c r="X246" s="9" t="s">
        <v>205</v>
      </c>
      <c r="Y246" s="23" t="n">
        <v>0.32</v>
      </c>
      <c r="Z246" s="23" t="n">
        <v>2.787</v>
      </c>
      <c r="AA246" s="23" t="n">
        <v>24</v>
      </c>
      <c r="AB246" s="9" t="s">
        <v>3054</v>
      </c>
      <c r="AC246" s="9" t="s">
        <v>3059</v>
      </c>
      <c r="AD246" s="23" t="n">
        <v>0.32</v>
      </c>
      <c r="AE246" s="23" t="n">
        <v>2.787</v>
      </c>
      <c r="AF246" s="23" t="n">
        <v>2.5</v>
      </c>
      <c r="AG246" s="23" t="s">
        <v>197</v>
      </c>
      <c r="AH246" s="23" t="n">
        <v>2</v>
      </c>
      <c r="AI246" s="23" t="n">
        <v>100</v>
      </c>
      <c r="AJ246" s="23" t="s">
        <v>197</v>
      </c>
      <c r="AK246" s="23" t="s">
        <v>197</v>
      </c>
      <c r="AL246" s="23" t="s">
        <v>197</v>
      </c>
      <c r="AM246" s="23" t="s">
        <v>197</v>
      </c>
      <c r="AN246" s="9" t="s">
        <v>197</v>
      </c>
      <c r="AO246" s="23" t="s">
        <v>197</v>
      </c>
      <c r="AP246" s="23" t="s">
        <v>197</v>
      </c>
      <c r="AQ246" s="23" t="s">
        <v>197</v>
      </c>
    </row>
    <row r="247" customFormat="false" ht="21.75" hidden="false" customHeight="true" outlineLevel="0" collapsed="false">
      <c r="B247" s="14" t="n">
        <v>243</v>
      </c>
      <c r="C247" s="7" t="s">
        <v>81</v>
      </c>
      <c r="D247" s="7" t="s">
        <v>20</v>
      </c>
      <c r="E247" s="7" t="s">
        <v>116</v>
      </c>
      <c r="F247" s="7" t="s">
        <v>95</v>
      </c>
      <c r="G247" s="7" t="s">
        <v>391</v>
      </c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18"/>
      <c r="V247" s="7"/>
      <c r="W247" s="7"/>
      <c r="X247" s="7" t="s">
        <v>3077</v>
      </c>
      <c r="Y247" s="22" t="s">
        <v>197</v>
      </c>
      <c r="Z247" s="22" t="s">
        <v>197</v>
      </c>
      <c r="AA247" s="22" t="s">
        <v>197</v>
      </c>
      <c r="AB247" s="7" t="s">
        <v>197</v>
      </c>
      <c r="AC247" s="7" t="s">
        <v>197</v>
      </c>
      <c r="AD247" s="22" t="s">
        <v>197</v>
      </c>
      <c r="AE247" s="22" t="s">
        <v>197</v>
      </c>
      <c r="AF247" s="22" t="s">
        <v>197</v>
      </c>
      <c r="AG247" s="22" t="s">
        <v>197</v>
      </c>
      <c r="AH247" s="22" t="s">
        <v>197</v>
      </c>
      <c r="AI247" s="22" t="s">
        <v>197</v>
      </c>
      <c r="AJ247" s="22" t="s">
        <v>197</v>
      </c>
      <c r="AK247" s="22" t="s">
        <v>197</v>
      </c>
      <c r="AL247" s="22" t="s">
        <v>197</v>
      </c>
      <c r="AM247" s="22" t="s">
        <v>197</v>
      </c>
      <c r="AN247" s="7" t="s">
        <v>197</v>
      </c>
      <c r="AO247" s="22" t="s">
        <v>197</v>
      </c>
      <c r="AP247" s="22" t="s">
        <v>197</v>
      </c>
      <c r="AQ247" s="22" t="s">
        <v>197</v>
      </c>
    </row>
    <row r="248" customFormat="false" ht="21.75" hidden="false" customHeight="true" outlineLevel="0" collapsed="false">
      <c r="B248" s="15" t="n">
        <v>244</v>
      </c>
      <c r="C248" s="9" t="s">
        <v>81</v>
      </c>
      <c r="D248" s="9" t="s">
        <v>20</v>
      </c>
      <c r="E248" s="9" t="s">
        <v>116</v>
      </c>
      <c r="F248" s="9" t="s">
        <v>96</v>
      </c>
      <c r="G248" s="9" t="s">
        <v>3078</v>
      </c>
      <c r="H248" s="9" t="s">
        <v>2510</v>
      </c>
      <c r="I248" s="9" t="s">
        <v>3079</v>
      </c>
      <c r="J248" s="9" t="s">
        <v>3080</v>
      </c>
      <c r="K248" s="9" t="s">
        <v>3081</v>
      </c>
      <c r="L248" s="9" t="s">
        <v>3054</v>
      </c>
      <c r="M248" s="9" t="s">
        <v>2514</v>
      </c>
      <c r="N248" s="9" t="s">
        <v>189</v>
      </c>
      <c r="O248" s="9" t="s">
        <v>189</v>
      </c>
      <c r="P248" s="9" t="s">
        <v>190</v>
      </c>
      <c r="Q248" s="9" t="s">
        <v>2515</v>
      </c>
      <c r="R248" s="9" t="s">
        <v>933</v>
      </c>
      <c r="S248" s="9" t="s">
        <v>3058</v>
      </c>
      <c r="T248" s="9" t="s">
        <v>2855</v>
      </c>
      <c r="U248" s="19" t="n">
        <v>40</v>
      </c>
      <c r="V248" s="9"/>
      <c r="W248" s="9"/>
      <c r="X248" s="9" t="s">
        <v>195</v>
      </c>
      <c r="Y248" s="23" t="n">
        <v>8.249E-005</v>
      </c>
      <c r="Z248" s="23" t="n">
        <v>0.003</v>
      </c>
      <c r="AA248" s="23" t="n">
        <v>24</v>
      </c>
      <c r="AB248" s="9" t="s">
        <v>3054</v>
      </c>
      <c r="AC248" s="9" t="s">
        <v>3082</v>
      </c>
      <c r="AD248" s="23" t="s">
        <v>197</v>
      </c>
      <c r="AE248" s="23" t="s">
        <v>197</v>
      </c>
      <c r="AF248" s="23" t="s">
        <v>197</v>
      </c>
      <c r="AG248" s="23" t="s">
        <v>197</v>
      </c>
      <c r="AH248" s="23" t="s">
        <v>197</v>
      </c>
      <c r="AI248" s="23" t="s">
        <v>197</v>
      </c>
      <c r="AJ248" s="23" t="n">
        <v>60</v>
      </c>
      <c r="AK248" s="23" t="s">
        <v>197</v>
      </c>
      <c r="AL248" s="23" t="s">
        <v>197</v>
      </c>
      <c r="AM248" s="23" t="s">
        <v>197</v>
      </c>
      <c r="AN248" s="9" t="s">
        <v>2518</v>
      </c>
      <c r="AO248" s="23" t="s">
        <v>197</v>
      </c>
      <c r="AP248" s="23" t="n">
        <v>2.5</v>
      </c>
      <c r="AQ248" s="23" t="n">
        <v>6</v>
      </c>
    </row>
    <row r="249" customFormat="false" ht="21.75" hidden="false" customHeight="true" outlineLevel="0" collapsed="false">
      <c r="B249" s="14" t="n">
        <v>245</v>
      </c>
      <c r="C249" s="7" t="s">
        <v>81</v>
      </c>
      <c r="D249" s="7" t="s">
        <v>20</v>
      </c>
      <c r="E249" s="7" t="s">
        <v>116</v>
      </c>
      <c r="F249" s="7" t="s">
        <v>96</v>
      </c>
      <c r="G249" s="7" t="s">
        <v>3083</v>
      </c>
      <c r="H249" s="7" t="s">
        <v>2520</v>
      </c>
      <c r="I249" s="7" t="s">
        <v>3079</v>
      </c>
      <c r="J249" s="7" t="s">
        <v>3080</v>
      </c>
      <c r="K249" s="7" t="s">
        <v>3081</v>
      </c>
      <c r="L249" s="7" t="s">
        <v>3054</v>
      </c>
      <c r="M249" s="7" t="s">
        <v>2514</v>
      </c>
      <c r="N249" s="7" t="s">
        <v>189</v>
      </c>
      <c r="O249" s="7" t="s">
        <v>189</v>
      </c>
      <c r="P249" s="7" t="s">
        <v>190</v>
      </c>
      <c r="Q249" s="7" t="s">
        <v>2515</v>
      </c>
      <c r="R249" s="7" t="s">
        <v>933</v>
      </c>
      <c r="S249" s="7" t="s">
        <v>3058</v>
      </c>
      <c r="T249" s="7" t="s">
        <v>2855</v>
      </c>
      <c r="U249" s="18" t="n">
        <v>65</v>
      </c>
      <c r="V249" s="7"/>
      <c r="W249" s="7"/>
      <c r="X249" s="7" t="s">
        <v>199</v>
      </c>
      <c r="Y249" s="22" t="n">
        <v>6.027E-005</v>
      </c>
      <c r="Z249" s="22" t="n">
        <v>0.002</v>
      </c>
      <c r="AA249" s="22" t="n">
        <v>24</v>
      </c>
      <c r="AB249" s="7" t="s">
        <v>3054</v>
      </c>
      <c r="AC249" s="7" t="s">
        <v>3082</v>
      </c>
      <c r="AD249" s="22" t="s">
        <v>197</v>
      </c>
      <c r="AE249" s="22" t="s">
        <v>197</v>
      </c>
      <c r="AF249" s="22" t="s">
        <v>197</v>
      </c>
      <c r="AG249" s="22" t="s">
        <v>197</v>
      </c>
      <c r="AH249" s="22" t="s">
        <v>197</v>
      </c>
      <c r="AI249" s="22" t="s">
        <v>197</v>
      </c>
      <c r="AJ249" s="22" t="n">
        <v>80</v>
      </c>
      <c r="AK249" s="22" t="s">
        <v>197</v>
      </c>
      <c r="AL249" s="22" t="s">
        <v>197</v>
      </c>
      <c r="AM249" s="22" t="s">
        <v>197</v>
      </c>
      <c r="AN249" s="7" t="s">
        <v>2518</v>
      </c>
      <c r="AO249" s="22" t="s">
        <v>197</v>
      </c>
      <c r="AP249" s="22" t="n">
        <v>2.5</v>
      </c>
      <c r="AQ249" s="22" t="n">
        <v>6</v>
      </c>
    </row>
    <row r="250" customFormat="false" ht="21.75" hidden="false" customHeight="true" outlineLevel="0" collapsed="false">
      <c r="B250" s="15" t="n">
        <v>246</v>
      </c>
      <c r="C250" s="9" t="s">
        <v>81</v>
      </c>
      <c r="D250" s="9" t="s">
        <v>20</v>
      </c>
      <c r="E250" s="9" t="s">
        <v>116</v>
      </c>
      <c r="F250" s="9" t="s">
        <v>96</v>
      </c>
      <c r="G250" s="9" t="s">
        <v>3084</v>
      </c>
      <c r="H250" s="9" t="s">
        <v>2522</v>
      </c>
      <c r="I250" s="9" t="s">
        <v>3079</v>
      </c>
      <c r="J250" s="9" t="s">
        <v>3080</v>
      </c>
      <c r="K250" s="9" t="s">
        <v>3081</v>
      </c>
      <c r="L250" s="9" t="s">
        <v>3054</v>
      </c>
      <c r="M250" s="9" t="s">
        <v>2514</v>
      </c>
      <c r="N250" s="9" t="s">
        <v>189</v>
      </c>
      <c r="O250" s="9" t="s">
        <v>189</v>
      </c>
      <c r="P250" s="9" t="s">
        <v>190</v>
      </c>
      <c r="Q250" s="9" t="s">
        <v>2515</v>
      </c>
      <c r="R250" s="9" t="s">
        <v>933</v>
      </c>
      <c r="S250" s="9" t="s">
        <v>3058</v>
      </c>
      <c r="T250" s="9" t="s">
        <v>2855</v>
      </c>
      <c r="U250" s="19" t="n">
        <v>85</v>
      </c>
      <c r="V250" s="9"/>
      <c r="W250" s="9"/>
      <c r="X250" s="9" t="s">
        <v>3085</v>
      </c>
      <c r="Y250" s="23" t="n">
        <v>7.94E-005</v>
      </c>
      <c r="Z250" s="23" t="n">
        <v>0.003</v>
      </c>
      <c r="AA250" s="23" t="n">
        <v>24</v>
      </c>
      <c r="AB250" s="9" t="s">
        <v>3054</v>
      </c>
      <c r="AC250" s="9" t="s">
        <v>3082</v>
      </c>
      <c r="AD250" s="23" t="s">
        <v>197</v>
      </c>
      <c r="AE250" s="23" t="s">
        <v>197</v>
      </c>
      <c r="AF250" s="23" t="s">
        <v>197</v>
      </c>
      <c r="AG250" s="23" t="s">
        <v>197</v>
      </c>
      <c r="AH250" s="23" t="s">
        <v>197</v>
      </c>
      <c r="AI250" s="23" t="s">
        <v>197</v>
      </c>
      <c r="AJ250" s="23" t="n">
        <v>100</v>
      </c>
      <c r="AK250" s="23" t="s">
        <v>197</v>
      </c>
      <c r="AL250" s="23" t="s">
        <v>197</v>
      </c>
      <c r="AM250" s="23" t="s">
        <v>197</v>
      </c>
      <c r="AN250" s="9" t="s">
        <v>2518</v>
      </c>
      <c r="AO250" s="23" t="s">
        <v>197</v>
      </c>
      <c r="AP250" s="23" t="n">
        <v>2.5</v>
      </c>
      <c r="AQ250" s="23" t="n">
        <v>6</v>
      </c>
    </row>
    <row r="251" customFormat="false" ht="21.75" hidden="false" customHeight="true" outlineLevel="0" collapsed="false">
      <c r="B251" s="14" t="n">
        <v>247</v>
      </c>
      <c r="C251" s="7" t="s">
        <v>81</v>
      </c>
      <c r="D251" s="7" t="s">
        <v>20</v>
      </c>
      <c r="E251" s="7" t="s">
        <v>116</v>
      </c>
      <c r="F251" s="7" t="s">
        <v>96</v>
      </c>
      <c r="G251" s="7" t="s">
        <v>3086</v>
      </c>
      <c r="H251" s="7" t="s">
        <v>2525</v>
      </c>
      <c r="I251" s="7" t="s">
        <v>3079</v>
      </c>
      <c r="J251" s="7" t="s">
        <v>3080</v>
      </c>
      <c r="K251" s="7" t="s">
        <v>3081</v>
      </c>
      <c r="L251" s="7" t="s">
        <v>3054</v>
      </c>
      <c r="M251" s="7" t="s">
        <v>2514</v>
      </c>
      <c r="N251" s="7" t="s">
        <v>189</v>
      </c>
      <c r="O251" s="7" t="s">
        <v>189</v>
      </c>
      <c r="P251" s="7" t="s">
        <v>190</v>
      </c>
      <c r="Q251" s="7" t="s">
        <v>2515</v>
      </c>
      <c r="R251" s="7" t="s">
        <v>933</v>
      </c>
      <c r="S251" s="7" t="s">
        <v>3058</v>
      </c>
      <c r="T251" s="7" t="s">
        <v>2855</v>
      </c>
      <c r="U251" s="18" t="n">
        <v>130</v>
      </c>
      <c r="V251" s="7"/>
      <c r="W251" s="7"/>
      <c r="X251" s="7" t="s">
        <v>203</v>
      </c>
      <c r="Y251" s="22" t="n">
        <v>0.00011125</v>
      </c>
      <c r="Z251" s="22" t="n">
        <v>0.005</v>
      </c>
      <c r="AA251" s="22" t="n">
        <v>24</v>
      </c>
      <c r="AB251" s="7" t="s">
        <v>3054</v>
      </c>
      <c r="AC251" s="7" t="s">
        <v>3082</v>
      </c>
      <c r="AD251" s="22" t="s">
        <v>197</v>
      </c>
      <c r="AE251" s="22" t="s">
        <v>197</v>
      </c>
      <c r="AF251" s="22" t="s">
        <v>197</v>
      </c>
      <c r="AG251" s="22" t="s">
        <v>197</v>
      </c>
      <c r="AH251" s="22" t="s">
        <v>197</v>
      </c>
      <c r="AI251" s="22" t="s">
        <v>197</v>
      </c>
      <c r="AJ251" s="22" t="n">
        <v>100</v>
      </c>
      <c r="AK251" s="22" t="s">
        <v>197</v>
      </c>
      <c r="AL251" s="22" t="s">
        <v>197</v>
      </c>
      <c r="AM251" s="22" t="s">
        <v>197</v>
      </c>
      <c r="AN251" s="7" t="s">
        <v>2518</v>
      </c>
      <c r="AO251" s="22" t="s">
        <v>197</v>
      </c>
      <c r="AP251" s="22" t="n">
        <v>2.5</v>
      </c>
      <c r="AQ251" s="22" t="n">
        <v>6</v>
      </c>
    </row>
    <row r="252" customFormat="false" ht="21.75" hidden="false" customHeight="true" outlineLevel="0" collapsed="false">
      <c r="B252" s="15" t="n">
        <v>248</v>
      </c>
      <c r="C252" s="9" t="s">
        <v>81</v>
      </c>
      <c r="D252" s="9" t="s">
        <v>20</v>
      </c>
      <c r="E252" s="9" t="s">
        <v>116</v>
      </c>
      <c r="F252" s="9" t="s">
        <v>96</v>
      </c>
      <c r="G252" s="9" t="s">
        <v>3087</v>
      </c>
      <c r="H252" s="9" t="s">
        <v>2527</v>
      </c>
      <c r="I252" s="9" t="s">
        <v>3079</v>
      </c>
      <c r="J252" s="9" t="s">
        <v>3080</v>
      </c>
      <c r="K252" s="9" t="s">
        <v>3081</v>
      </c>
      <c r="L252" s="9" t="s">
        <v>3054</v>
      </c>
      <c r="M252" s="9" t="s">
        <v>2514</v>
      </c>
      <c r="N252" s="9" t="s">
        <v>189</v>
      </c>
      <c r="O252" s="9" t="s">
        <v>189</v>
      </c>
      <c r="P252" s="9" t="s">
        <v>190</v>
      </c>
      <c r="Q252" s="9" t="s">
        <v>2515</v>
      </c>
      <c r="R252" s="9" t="s">
        <v>933</v>
      </c>
      <c r="S252" s="9" t="s">
        <v>3058</v>
      </c>
      <c r="T252" s="9" t="s">
        <v>2855</v>
      </c>
      <c r="U252" s="19" t="n">
        <v>190</v>
      </c>
      <c r="V252" s="9"/>
      <c r="W252" s="9"/>
      <c r="X252" s="9" t="s">
        <v>205</v>
      </c>
      <c r="Y252" s="23" t="n">
        <v>0.00011113</v>
      </c>
      <c r="Z252" s="23" t="n">
        <v>0.005</v>
      </c>
      <c r="AA252" s="23" t="n">
        <v>24</v>
      </c>
      <c r="AB252" s="9" t="s">
        <v>3054</v>
      </c>
      <c r="AC252" s="9" t="s">
        <v>3082</v>
      </c>
      <c r="AD252" s="23" t="s">
        <v>197</v>
      </c>
      <c r="AE252" s="23" t="s">
        <v>197</v>
      </c>
      <c r="AF252" s="23" t="s">
        <v>197</v>
      </c>
      <c r="AG252" s="23" t="s">
        <v>197</v>
      </c>
      <c r="AH252" s="23" t="s">
        <v>197</v>
      </c>
      <c r="AI252" s="23" t="s">
        <v>197</v>
      </c>
      <c r="AJ252" s="23" t="n">
        <v>120</v>
      </c>
      <c r="AK252" s="23" t="s">
        <v>197</v>
      </c>
      <c r="AL252" s="23" t="s">
        <v>197</v>
      </c>
      <c r="AM252" s="23" t="s">
        <v>197</v>
      </c>
      <c r="AN252" s="9" t="s">
        <v>2518</v>
      </c>
      <c r="AO252" s="23" t="s">
        <v>197</v>
      </c>
      <c r="AP252" s="23" t="n">
        <v>2.5</v>
      </c>
      <c r="AQ252" s="23" t="n">
        <v>6</v>
      </c>
    </row>
    <row r="253" customFormat="false" ht="21.75" hidden="false" customHeight="true" outlineLevel="0" collapsed="false">
      <c r="B253" s="14" t="n">
        <v>249</v>
      </c>
      <c r="C253" s="7" t="s">
        <v>81</v>
      </c>
      <c r="D253" s="7" t="s">
        <v>20</v>
      </c>
      <c r="E253" s="7" t="s">
        <v>116</v>
      </c>
      <c r="F253" s="7" t="s">
        <v>97</v>
      </c>
      <c r="G253" s="7" t="s">
        <v>3088</v>
      </c>
      <c r="H253" s="7" t="s">
        <v>2529</v>
      </c>
      <c r="I253" s="7" t="s">
        <v>3089</v>
      </c>
      <c r="J253" s="7" t="s">
        <v>3090</v>
      </c>
      <c r="K253" s="7" t="s">
        <v>3081</v>
      </c>
      <c r="L253" s="7" t="s">
        <v>3054</v>
      </c>
      <c r="M253" s="7" t="s">
        <v>2514</v>
      </c>
      <c r="N253" s="7" t="s">
        <v>189</v>
      </c>
      <c r="O253" s="7" t="s">
        <v>189</v>
      </c>
      <c r="P253" s="7" t="s">
        <v>190</v>
      </c>
      <c r="Q253" s="7" t="s">
        <v>2515</v>
      </c>
      <c r="R253" s="7" t="s">
        <v>2532</v>
      </c>
      <c r="S253" s="7" t="s">
        <v>3058</v>
      </c>
      <c r="T253" s="7" t="s">
        <v>2875</v>
      </c>
      <c r="U253" s="18" t="n">
        <v>40</v>
      </c>
      <c r="V253" s="7"/>
      <c r="W253" s="7"/>
      <c r="X253" s="7" t="s">
        <v>195</v>
      </c>
      <c r="Y253" s="22" t="n">
        <v>0.0001099</v>
      </c>
      <c r="Z253" s="22" t="n">
        <v>0.005</v>
      </c>
      <c r="AA253" s="22" t="n">
        <v>24</v>
      </c>
      <c r="AB253" s="7" t="s">
        <v>3054</v>
      </c>
      <c r="AC253" s="7" t="s">
        <v>3082</v>
      </c>
      <c r="AD253" s="22" t="s">
        <v>197</v>
      </c>
      <c r="AE253" s="22" t="s">
        <v>197</v>
      </c>
      <c r="AF253" s="22" t="s">
        <v>197</v>
      </c>
      <c r="AG253" s="22" t="s">
        <v>197</v>
      </c>
      <c r="AH253" s="22" t="s">
        <v>197</v>
      </c>
      <c r="AI253" s="22" t="s">
        <v>197</v>
      </c>
      <c r="AJ253" s="22" t="n">
        <v>60</v>
      </c>
      <c r="AK253" s="22" t="s">
        <v>197</v>
      </c>
      <c r="AL253" s="22" t="s">
        <v>197</v>
      </c>
      <c r="AM253" s="22" t="s">
        <v>197</v>
      </c>
      <c r="AN253" s="7" t="s">
        <v>2518</v>
      </c>
      <c r="AO253" s="22" t="s">
        <v>197</v>
      </c>
      <c r="AP253" s="22" t="n">
        <v>2.5</v>
      </c>
      <c r="AQ253" s="22" t="n">
        <v>6</v>
      </c>
    </row>
    <row r="254" customFormat="false" ht="21.75" hidden="false" customHeight="true" outlineLevel="0" collapsed="false">
      <c r="B254" s="15" t="n">
        <v>250</v>
      </c>
      <c r="C254" s="9" t="s">
        <v>81</v>
      </c>
      <c r="D254" s="9" t="s">
        <v>20</v>
      </c>
      <c r="E254" s="9" t="s">
        <v>116</v>
      </c>
      <c r="F254" s="9" t="s">
        <v>97</v>
      </c>
      <c r="G254" s="9" t="s">
        <v>3091</v>
      </c>
      <c r="H254" s="9" t="s">
        <v>2535</v>
      </c>
      <c r="I254" s="9" t="s">
        <v>3089</v>
      </c>
      <c r="J254" s="9" t="s">
        <v>3090</v>
      </c>
      <c r="K254" s="9" t="s">
        <v>3081</v>
      </c>
      <c r="L254" s="9" t="s">
        <v>3054</v>
      </c>
      <c r="M254" s="9" t="s">
        <v>2514</v>
      </c>
      <c r="N254" s="9" t="s">
        <v>189</v>
      </c>
      <c r="O254" s="9" t="s">
        <v>189</v>
      </c>
      <c r="P254" s="9" t="s">
        <v>190</v>
      </c>
      <c r="Q254" s="9" t="s">
        <v>2515</v>
      </c>
      <c r="R254" s="9" t="s">
        <v>2532</v>
      </c>
      <c r="S254" s="9" t="s">
        <v>3058</v>
      </c>
      <c r="T254" s="9" t="s">
        <v>2875</v>
      </c>
      <c r="U254" s="19" t="n">
        <v>60</v>
      </c>
      <c r="V254" s="9"/>
      <c r="W254" s="9"/>
      <c r="X254" s="9" t="s">
        <v>199</v>
      </c>
      <c r="Y254" s="23" t="n">
        <v>8.2E-005</v>
      </c>
      <c r="Z254" s="23" t="n">
        <v>0.004</v>
      </c>
      <c r="AA254" s="23" t="n">
        <v>24</v>
      </c>
      <c r="AB254" s="9" t="s">
        <v>3054</v>
      </c>
      <c r="AC254" s="9" t="s">
        <v>3082</v>
      </c>
      <c r="AD254" s="23" t="s">
        <v>197</v>
      </c>
      <c r="AE254" s="23" t="s">
        <v>197</v>
      </c>
      <c r="AF254" s="23" t="s">
        <v>197</v>
      </c>
      <c r="AG254" s="23" t="s">
        <v>197</v>
      </c>
      <c r="AH254" s="23" t="s">
        <v>197</v>
      </c>
      <c r="AI254" s="23" t="s">
        <v>197</v>
      </c>
      <c r="AJ254" s="23" t="n">
        <v>51</v>
      </c>
      <c r="AK254" s="23" t="s">
        <v>197</v>
      </c>
      <c r="AL254" s="23" t="s">
        <v>197</v>
      </c>
      <c r="AM254" s="23" t="s">
        <v>197</v>
      </c>
      <c r="AN254" s="9" t="s">
        <v>2518</v>
      </c>
      <c r="AO254" s="23" t="s">
        <v>197</v>
      </c>
      <c r="AP254" s="23" t="n">
        <v>2.5</v>
      </c>
      <c r="AQ254" s="23" t="n">
        <v>6</v>
      </c>
    </row>
    <row r="255" customFormat="false" ht="21.75" hidden="false" customHeight="true" outlineLevel="0" collapsed="false">
      <c r="B255" s="14" t="n">
        <v>251</v>
      </c>
      <c r="C255" s="7" t="s">
        <v>81</v>
      </c>
      <c r="D255" s="7" t="s">
        <v>20</v>
      </c>
      <c r="E255" s="7" t="s">
        <v>116</v>
      </c>
      <c r="F255" s="7" t="s">
        <v>97</v>
      </c>
      <c r="G255" s="7" t="s">
        <v>3092</v>
      </c>
      <c r="H255" s="7" t="s">
        <v>2537</v>
      </c>
      <c r="I255" s="7" t="s">
        <v>3089</v>
      </c>
      <c r="J255" s="7" t="s">
        <v>3090</v>
      </c>
      <c r="K255" s="7" t="s">
        <v>3081</v>
      </c>
      <c r="L255" s="7" t="s">
        <v>3054</v>
      </c>
      <c r="M255" s="7" t="s">
        <v>2514</v>
      </c>
      <c r="N255" s="7" t="s">
        <v>189</v>
      </c>
      <c r="O255" s="7" t="s">
        <v>189</v>
      </c>
      <c r="P255" s="7" t="s">
        <v>190</v>
      </c>
      <c r="Q255" s="7" t="s">
        <v>2515</v>
      </c>
      <c r="R255" s="7" t="s">
        <v>2532</v>
      </c>
      <c r="S255" s="7" t="s">
        <v>3058</v>
      </c>
      <c r="T255" s="7" t="s">
        <v>2875</v>
      </c>
      <c r="U255" s="18" t="n">
        <v>80</v>
      </c>
      <c r="V255" s="7"/>
      <c r="W255" s="7"/>
      <c r="X255" s="7" t="s">
        <v>3093</v>
      </c>
      <c r="Y255" s="22" t="n">
        <v>5.095E-005</v>
      </c>
      <c r="Z255" s="22" t="n">
        <v>0.002</v>
      </c>
      <c r="AA255" s="22" t="n">
        <v>24</v>
      </c>
      <c r="AB255" s="7" t="s">
        <v>3054</v>
      </c>
      <c r="AC255" s="7" t="s">
        <v>3082</v>
      </c>
      <c r="AD255" s="22" t="s">
        <v>197</v>
      </c>
      <c r="AE255" s="22" t="s">
        <v>197</v>
      </c>
      <c r="AF255" s="22" t="s">
        <v>197</v>
      </c>
      <c r="AG255" s="22" t="s">
        <v>197</v>
      </c>
      <c r="AH255" s="22" t="s">
        <v>197</v>
      </c>
      <c r="AI255" s="22" t="s">
        <v>197</v>
      </c>
      <c r="AJ255" s="22" t="n">
        <v>40</v>
      </c>
      <c r="AK255" s="22" t="s">
        <v>197</v>
      </c>
      <c r="AL255" s="22" t="s">
        <v>197</v>
      </c>
      <c r="AM255" s="22" t="s">
        <v>197</v>
      </c>
      <c r="AN255" s="7" t="s">
        <v>2518</v>
      </c>
      <c r="AO255" s="22" t="s">
        <v>197</v>
      </c>
      <c r="AP255" s="22" t="n">
        <v>2.5</v>
      </c>
      <c r="AQ255" s="22" t="n">
        <v>6</v>
      </c>
    </row>
    <row r="256" customFormat="false" ht="21.75" hidden="false" customHeight="true" outlineLevel="0" collapsed="false">
      <c r="B256" s="15" t="n">
        <v>252</v>
      </c>
      <c r="C256" s="9" t="s">
        <v>81</v>
      </c>
      <c r="D256" s="9" t="s">
        <v>20</v>
      </c>
      <c r="E256" s="9" t="s">
        <v>116</v>
      </c>
      <c r="F256" s="9" t="s">
        <v>97</v>
      </c>
      <c r="G256" s="9" t="s">
        <v>3094</v>
      </c>
      <c r="H256" s="9" t="s">
        <v>2540</v>
      </c>
      <c r="I256" s="9" t="s">
        <v>3089</v>
      </c>
      <c r="J256" s="9" t="s">
        <v>3090</v>
      </c>
      <c r="K256" s="9" t="s">
        <v>3081</v>
      </c>
      <c r="L256" s="9" t="s">
        <v>3054</v>
      </c>
      <c r="M256" s="9" t="s">
        <v>2514</v>
      </c>
      <c r="N256" s="9" t="s">
        <v>189</v>
      </c>
      <c r="O256" s="9" t="s">
        <v>189</v>
      </c>
      <c r="P256" s="9" t="s">
        <v>190</v>
      </c>
      <c r="Q256" s="9" t="s">
        <v>2515</v>
      </c>
      <c r="R256" s="9" t="s">
        <v>2532</v>
      </c>
      <c r="S256" s="9" t="s">
        <v>3058</v>
      </c>
      <c r="T256" s="9" t="s">
        <v>2875</v>
      </c>
      <c r="U256" s="19" t="n">
        <v>125</v>
      </c>
      <c r="V256" s="9"/>
      <c r="W256" s="9"/>
      <c r="X256" s="9" t="s">
        <v>203</v>
      </c>
      <c r="Y256" s="23" t="n">
        <v>6.955E-005</v>
      </c>
      <c r="Z256" s="23" t="n">
        <v>0.003</v>
      </c>
      <c r="AA256" s="23" t="n">
        <v>24</v>
      </c>
      <c r="AB256" s="9" t="s">
        <v>3054</v>
      </c>
      <c r="AC256" s="9" t="s">
        <v>3082</v>
      </c>
      <c r="AD256" s="23" t="s">
        <v>197</v>
      </c>
      <c r="AE256" s="23" t="s">
        <v>197</v>
      </c>
      <c r="AF256" s="23" t="s">
        <v>197</v>
      </c>
      <c r="AG256" s="23" t="s">
        <v>197</v>
      </c>
      <c r="AH256" s="23" t="s">
        <v>197</v>
      </c>
      <c r="AI256" s="23" t="s">
        <v>197</v>
      </c>
      <c r="AJ256" s="23" t="n">
        <v>47</v>
      </c>
      <c r="AK256" s="23" t="s">
        <v>197</v>
      </c>
      <c r="AL256" s="23" t="s">
        <v>197</v>
      </c>
      <c r="AM256" s="23" t="s">
        <v>197</v>
      </c>
      <c r="AN256" s="9" t="s">
        <v>2518</v>
      </c>
      <c r="AO256" s="23" t="s">
        <v>197</v>
      </c>
      <c r="AP256" s="23" t="n">
        <v>2.5</v>
      </c>
      <c r="AQ256" s="23" t="n">
        <v>6</v>
      </c>
    </row>
    <row r="257" customFormat="false" ht="21.75" hidden="false" customHeight="true" outlineLevel="0" collapsed="false">
      <c r="B257" s="14" t="n">
        <v>253</v>
      </c>
      <c r="C257" s="7" t="s">
        <v>81</v>
      </c>
      <c r="D257" s="7" t="s">
        <v>20</v>
      </c>
      <c r="E257" s="7" t="s">
        <v>116</v>
      </c>
      <c r="F257" s="7" t="s">
        <v>97</v>
      </c>
      <c r="G257" s="7" t="s">
        <v>3095</v>
      </c>
      <c r="H257" s="7" t="s">
        <v>2542</v>
      </c>
      <c r="I257" s="7" t="s">
        <v>3089</v>
      </c>
      <c r="J257" s="7" t="s">
        <v>3090</v>
      </c>
      <c r="K257" s="7" t="s">
        <v>3081</v>
      </c>
      <c r="L257" s="7" t="s">
        <v>3054</v>
      </c>
      <c r="M257" s="7" t="s">
        <v>2514</v>
      </c>
      <c r="N257" s="7" t="s">
        <v>189</v>
      </c>
      <c r="O257" s="7" t="s">
        <v>189</v>
      </c>
      <c r="P257" s="7" t="s">
        <v>190</v>
      </c>
      <c r="Q257" s="7" t="s">
        <v>2515</v>
      </c>
      <c r="R257" s="7" t="s">
        <v>2532</v>
      </c>
      <c r="S257" s="7" t="s">
        <v>3058</v>
      </c>
      <c r="T257" s="7" t="s">
        <v>2875</v>
      </c>
      <c r="U257" s="18" t="n">
        <v>180</v>
      </c>
      <c r="V257" s="7"/>
      <c r="W257" s="7"/>
      <c r="X257" s="7" t="s">
        <v>205</v>
      </c>
      <c r="Y257" s="22" t="n">
        <v>9.723E-005</v>
      </c>
      <c r="Z257" s="22" t="n">
        <v>0.004</v>
      </c>
      <c r="AA257" s="22" t="n">
        <v>24</v>
      </c>
      <c r="AB257" s="7" t="s">
        <v>3054</v>
      </c>
      <c r="AC257" s="7" t="s">
        <v>3082</v>
      </c>
      <c r="AD257" s="22" t="s">
        <v>197</v>
      </c>
      <c r="AE257" s="22" t="s">
        <v>197</v>
      </c>
      <c r="AF257" s="22" t="s">
        <v>197</v>
      </c>
      <c r="AG257" s="22" t="s">
        <v>197</v>
      </c>
      <c r="AH257" s="22" t="s">
        <v>197</v>
      </c>
      <c r="AI257" s="22" t="s">
        <v>197</v>
      </c>
      <c r="AJ257" s="22" t="n">
        <v>56</v>
      </c>
      <c r="AK257" s="22" t="s">
        <v>197</v>
      </c>
      <c r="AL257" s="22" t="s">
        <v>197</v>
      </c>
      <c r="AM257" s="22" t="s">
        <v>197</v>
      </c>
      <c r="AN257" s="7" t="s">
        <v>2518</v>
      </c>
      <c r="AO257" s="22" t="s">
        <v>197</v>
      </c>
      <c r="AP257" s="22" t="n">
        <v>2.5</v>
      </c>
      <c r="AQ257" s="22" t="n">
        <v>6</v>
      </c>
    </row>
    <row r="258" customFormat="false" ht="21.75" hidden="false" customHeight="true" outlineLevel="0" collapsed="false">
      <c r="B258" s="15" t="n">
        <v>254</v>
      </c>
      <c r="C258" s="9" t="s">
        <v>81</v>
      </c>
      <c r="D258" s="9" t="s">
        <v>20</v>
      </c>
      <c r="E258" s="9" t="s">
        <v>116</v>
      </c>
      <c r="F258" s="9" t="s">
        <v>98</v>
      </c>
      <c r="G258" s="9" t="s">
        <v>3084</v>
      </c>
      <c r="H258" s="9" t="s">
        <v>2544</v>
      </c>
      <c r="I258" s="9" t="s">
        <v>3096</v>
      </c>
      <c r="J258" s="9" t="s">
        <v>3097</v>
      </c>
      <c r="K258" s="9" t="s">
        <v>3081</v>
      </c>
      <c r="L258" s="9" t="s">
        <v>3054</v>
      </c>
      <c r="M258" s="9" t="s">
        <v>2514</v>
      </c>
      <c r="N258" s="9" t="s">
        <v>189</v>
      </c>
      <c r="O258" s="9" t="s">
        <v>189</v>
      </c>
      <c r="P258" s="9" t="s">
        <v>190</v>
      </c>
      <c r="Q258" s="9" t="s">
        <v>2515</v>
      </c>
      <c r="R258" s="9" t="s">
        <v>2547</v>
      </c>
      <c r="S258" s="9" t="s">
        <v>3058</v>
      </c>
      <c r="T258" s="9" t="s">
        <v>3098</v>
      </c>
      <c r="U258" s="19" t="n">
        <v>45</v>
      </c>
      <c r="V258" s="9"/>
      <c r="W258" s="9"/>
      <c r="X258" s="9" t="s">
        <v>195</v>
      </c>
      <c r="Y258" s="23" t="n">
        <v>0.00010263</v>
      </c>
      <c r="Z258" s="23" t="n">
        <v>0.004</v>
      </c>
      <c r="AA258" s="23" t="n">
        <v>24</v>
      </c>
      <c r="AB258" s="9" t="s">
        <v>3054</v>
      </c>
      <c r="AC258" s="9" t="s">
        <v>3082</v>
      </c>
      <c r="AD258" s="23" t="s">
        <v>197</v>
      </c>
      <c r="AE258" s="23" t="s">
        <v>197</v>
      </c>
      <c r="AF258" s="23" t="s">
        <v>197</v>
      </c>
      <c r="AG258" s="23" t="s">
        <v>197</v>
      </c>
      <c r="AH258" s="23" t="s">
        <v>197</v>
      </c>
      <c r="AI258" s="23" t="s">
        <v>197</v>
      </c>
      <c r="AJ258" s="23" t="n">
        <v>93</v>
      </c>
      <c r="AK258" s="23" t="s">
        <v>197</v>
      </c>
      <c r="AL258" s="23" t="s">
        <v>197</v>
      </c>
      <c r="AM258" s="23" t="s">
        <v>197</v>
      </c>
      <c r="AN258" s="9" t="s">
        <v>2549</v>
      </c>
      <c r="AO258" s="23" t="s">
        <v>197</v>
      </c>
      <c r="AP258" s="23" t="n">
        <v>2.5</v>
      </c>
      <c r="AQ258" s="23" t="n">
        <v>6</v>
      </c>
    </row>
    <row r="259" customFormat="false" ht="21.75" hidden="false" customHeight="true" outlineLevel="0" collapsed="false">
      <c r="B259" s="14" t="n">
        <v>255</v>
      </c>
      <c r="C259" s="7" t="s">
        <v>81</v>
      </c>
      <c r="D259" s="7" t="s">
        <v>20</v>
      </c>
      <c r="E259" s="7" t="s">
        <v>116</v>
      </c>
      <c r="F259" s="7" t="s">
        <v>98</v>
      </c>
      <c r="G259" s="7" t="s">
        <v>3099</v>
      </c>
      <c r="H259" s="7" t="s">
        <v>2551</v>
      </c>
      <c r="I259" s="7" t="s">
        <v>3096</v>
      </c>
      <c r="J259" s="7" t="s">
        <v>3097</v>
      </c>
      <c r="K259" s="7" t="s">
        <v>3081</v>
      </c>
      <c r="L259" s="7" t="s">
        <v>3054</v>
      </c>
      <c r="M259" s="7" t="s">
        <v>2514</v>
      </c>
      <c r="N259" s="7" t="s">
        <v>189</v>
      </c>
      <c r="O259" s="7" t="s">
        <v>189</v>
      </c>
      <c r="P259" s="7" t="s">
        <v>190</v>
      </c>
      <c r="Q259" s="7" t="s">
        <v>2515</v>
      </c>
      <c r="R259" s="7" t="s">
        <v>2547</v>
      </c>
      <c r="S259" s="7" t="s">
        <v>3058</v>
      </c>
      <c r="T259" s="7" t="s">
        <v>3098</v>
      </c>
      <c r="U259" s="18" t="n">
        <v>70</v>
      </c>
      <c r="V259" s="7"/>
      <c r="W259" s="7"/>
      <c r="X259" s="7" t="s">
        <v>199</v>
      </c>
      <c r="Y259" s="22" t="n">
        <v>0.00012227</v>
      </c>
      <c r="Z259" s="22" t="n">
        <v>0.005</v>
      </c>
      <c r="AA259" s="22" t="n">
        <v>24</v>
      </c>
      <c r="AB259" s="7" t="s">
        <v>3054</v>
      </c>
      <c r="AC259" s="7" t="s">
        <v>3082</v>
      </c>
      <c r="AD259" s="22" t="s">
        <v>197</v>
      </c>
      <c r="AE259" s="22" t="s">
        <v>197</v>
      </c>
      <c r="AF259" s="22" t="s">
        <v>197</v>
      </c>
      <c r="AG259" s="22" t="s">
        <v>197</v>
      </c>
      <c r="AH259" s="22" t="s">
        <v>197</v>
      </c>
      <c r="AI259" s="22" t="s">
        <v>197</v>
      </c>
      <c r="AJ259" s="22" t="n">
        <v>104</v>
      </c>
      <c r="AK259" s="22" t="s">
        <v>197</v>
      </c>
      <c r="AL259" s="22" t="s">
        <v>197</v>
      </c>
      <c r="AM259" s="22" t="s">
        <v>197</v>
      </c>
      <c r="AN259" s="7" t="s">
        <v>2549</v>
      </c>
      <c r="AO259" s="22" t="s">
        <v>197</v>
      </c>
      <c r="AP259" s="22" t="n">
        <v>2.5</v>
      </c>
      <c r="AQ259" s="22" t="n">
        <v>6</v>
      </c>
    </row>
    <row r="260" customFormat="false" ht="21.75" hidden="false" customHeight="true" outlineLevel="0" collapsed="false">
      <c r="B260" s="15" t="n">
        <v>256</v>
      </c>
      <c r="C260" s="9" t="s">
        <v>81</v>
      </c>
      <c r="D260" s="9" t="s">
        <v>20</v>
      </c>
      <c r="E260" s="9" t="s">
        <v>116</v>
      </c>
      <c r="F260" s="9" t="s">
        <v>98</v>
      </c>
      <c r="G260" s="9" t="s">
        <v>3087</v>
      </c>
      <c r="H260" s="9" t="s">
        <v>2553</v>
      </c>
      <c r="I260" s="9" t="s">
        <v>3096</v>
      </c>
      <c r="J260" s="9" t="s">
        <v>3097</v>
      </c>
      <c r="K260" s="9" t="s">
        <v>3081</v>
      </c>
      <c r="L260" s="9" t="s">
        <v>3054</v>
      </c>
      <c r="M260" s="9" t="s">
        <v>2514</v>
      </c>
      <c r="N260" s="9" t="s">
        <v>189</v>
      </c>
      <c r="O260" s="9" t="s">
        <v>189</v>
      </c>
      <c r="P260" s="9" t="s">
        <v>190</v>
      </c>
      <c r="Q260" s="9" t="s">
        <v>2515</v>
      </c>
      <c r="R260" s="9" t="s">
        <v>2547</v>
      </c>
      <c r="S260" s="9" t="s">
        <v>3058</v>
      </c>
      <c r="T260" s="9" t="s">
        <v>3098</v>
      </c>
      <c r="U260" s="19" t="n">
        <v>95</v>
      </c>
      <c r="V260" s="9"/>
      <c r="W260" s="9"/>
      <c r="X260" s="9" t="s">
        <v>3100</v>
      </c>
      <c r="Y260" s="23" t="n">
        <v>0.00013965</v>
      </c>
      <c r="Z260" s="23" t="n">
        <v>0.006</v>
      </c>
      <c r="AA260" s="23" t="n">
        <v>24</v>
      </c>
      <c r="AB260" s="9" t="s">
        <v>3054</v>
      </c>
      <c r="AC260" s="9" t="s">
        <v>3082</v>
      </c>
      <c r="AD260" s="23" t="s">
        <v>197</v>
      </c>
      <c r="AE260" s="23" t="s">
        <v>197</v>
      </c>
      <c r="AF260" s="23" t="s">
        <v>197</v>
      </c>
      <c r="AG260" s="23" t="s">
        <v>197</v>
      </c>
      <c r="AH260" s="23" t="s">
        <v>197</v>
      </c>
      <c r="AI260" s="23" t="s">
        <v>197</v>
      </c>
      <c r="AJ260" s="23" t="n">
        <v>114</v>
      </c>
      <c r="AK260" s="23" t="s">
        <v>197</v>
      </c>
      <c r="AL260" s="23" t="s">
        <v>197</v>
      </c>
      <c r="AM260" s="23" t="s">
        <v>197</v>
      </c>
      <c r="AN260" s="9" t="s">
        <v>2549</v>
      </c>
      <c r="AO260" s="23" t="s">
        <v>197</v>
      </c>
      <c r="AP260" s="23" t="n">
        <v>2.5</v>
      </c>
      <c r="AQ260" s="23" t="n">
        <v>6</v>
      </c>
    </row>
    <row r="261" customFormat="false" ht="21.75" hidden="false" customHeight="true" outlineLevel="0" collapsed="false">
      <c r="B261" s="14" t="n">
        <v>257</v>
      </c>
      <c r="C261" s="7" t="s">
        <v>81</v>
      </c>
      <c r="D261" s="7" t="s">
        <v>20</v>
      </c>
      <c r="E261" s="7" t="s">
        <v>116</v>
      </c>
      <c r="F261" s="7" t="s">
        <v>98</v>
      </c>
      <c r="G261" s="7" t="s">
        <v>3101</v>
      </c>
      <c r="H261" s="7" t="s">
        <v>2556</v>
      </c>
      <c r="I261" s="7" t="s">
        <v>3096</v>
      </c>
      <c r="J261" s="7" t="s">
        <v>3097</v>
      </c>
      <c r="K261" s="7" t="s">
        <v>3081</v>
      </c>
      <c r="L261" s="7" t="s">
        <v>3054</v>
      </c>
      <c r="M261" s="7" t="s">
        <v>2514</v>
      </c>
      <c r="N261" s="7" t="s">
        <v>189</v>
      </c>
      <c r="O261" s="7" t="s">
        <v>189</v>
      </c>
      <c r="P261" s="7" t="s">
        <v>190</v>
      </c>
      <c r="Q261" s="7" t="s">
        <v>2515</v>
      </c>
      <c r="R261" s="7" t="s">
        <v>2547</v>
      </c>
      <c r="S261" s="7" t="s">
        <v>3058</v>
      </c>
      <c r="T261" s="7" t="s">
        <v>3098</v>
      </c>
      <c r="U261" s="18" t="n">
        <v>140</v>
      </c>
      <c r="V261" s="7"/>
      <c r="W261" s="7"/>
      <c r="X261" s="7" t="s">
        <v>203</v>
      </c>
      <c r="Y261" s="22" t="n">
        <v>0.00011331</v>
      </c>
      <c r="Z261" s="22" t="n">
        <v>0.004</v>
      </c>
      <c r="AA261" s="22" t="n">
        <v>24</v>
      </c>
      <c r="AB261" s="7" t="s">
        <v>3054</v>
      </c>
      <c r="AC261" s="7" t="s">
        <v>3082</v>
      </c>
      <c r="AD261" s="22" t="s">
        <v>197</v>
      </c>
      <c r="AE261" s="22" t="s">
        <v>197</v>
      </c>
      <c r="AF261" s="22" t="s">
        <v>197</v>
      </c>
      <c r="AG261" s="22" t="s">
        <v>197</v>
      </c>
      <c r="AH261" s="22" t="s">
        <v>197</v>
      </c>
      <c r="AI261" s="22" t="s">
        <v>197</v>
      </c>
      <c r="AJ261" s="22" t="n">
        <v>99</v>
      </c>
      <c r="AK261" s="22" t="s">
        <v>197</v>
      </c>
      <c r="AL261" s="22" t="s">
        <v>197</v>
      </c>
      <c r="AM261" s="22" t="s">
        <v>197</v>
      </c>
      <c r="AN261" s="7" t="s">
        <v>2549</v>
      </c>
      <c r="AO261" s="22" t="s">
        <v>197</v>
      </c>
      <c r="AP261" s="22" t="n">
        <v>2.5</v>
      </c>
      <c r="AQ261" s="22" t="n">
        <v>6</v>
      </c>
    </row>
    <row r="262" customFormat="false" ht="21.75" hidden="false" customHeight="true" outlineLevel="0" collapsed="false">
      <c r="B262" s="15" t="n">
        <v>258</v>
      </c>
      <c r="C262" s="9" t="s">
        <v>81</v>
      </c>
      <c r="D262" s="9" t="s">
        <v>20</v>
      </c>
      <c r="E262" s="9" t="s">
        <v>116</v>
      </c>
      <c r="F262" s="9" t="s">
        <v>98</v>
      </c>
      <c r="G262" s="9" t="s">
        <v>3102</v>
      </c>
      <c r="H262" s="9" t="s">
        <v>2558</v>
      </c>
      <c r="I262" s="9" t="s">
        <v>3096</v>
      </c>
      <c r="J262" s="9" t="s">
        <v>3097</v>
      </c>
      <c r="K262" s="9" t="s">
        <v>3081</v>
      </c>
      <c r="L262" s="9" t="s">
        <v>3054</v>
      </c>
      <c r="M262" s="9" t="s">
        <v>2514</v>
      </c>
      <c r="N262" s="9" t="s">
        <v>189</v>
      </c>
      <c r="O262" s="9" t="s">
        <v>189</v>
      </c>
      <c r="P262" s="9" t="s">
        <v>190</v>
      </c>
      <c r="Q262" s="9" t="s">
        <v>2515</v>
      </c>
      <c r="R262" s="9" t="s">
        <v>2547</v>
      </c>
      <c r="S262" s="9" t="s">
        <v>3058</v>
      </c>
      <c r="T262" s="9" t="s">
        <v>3098</v>
      </c>
      <c r="U262" s="19" t="n">
        <v>210</v>
      </c>
      <c r="V262" s="9"/>
      <c r="W262" s="9"/>
      <c r="X262" s="9" t="s">
        <v>205</v>
      </c>
      <c r="Y262" s="23" t="n">
        <v>0.00013403</v>
      </c>
      <c r="Z262" s="23" t="n">
        <v>0.005</v>
      </c>
      <c r="AA262" s="23" t="n">
        <v>24</v>
      </c>
      <c r="AB262" s="9" t="s">
        <v>3054</v>
      </c>
      <c r="AC262" s="9" t="s">
        <v>3082</v>
      </c>
      <c r="AD262" s="23" t="s">
        <v>197</v>
      </c>
      <c r="AE262" s="23" t="s">
        <v>197</v>
      </c>
      <c r="AF262" s="23" t="s">
        <v>197</v>
      </c>
      <c r="AG262" s="23" t="s">
        <v>197</v>
      </c>
      <c r="AH262" s="23" t="s">
        <v>197</v>
      </c>
      <c r="AI262" s="23" t="s">
        <v>197</v>
      </c>
      <c r="AJ262" s="23" t="n">
        <v>111</v>
      </c>
      <c r="AK262" s="23" t="s">
        <v>197</v>
      </c>
      <c r="AL262" s="23" t="s">
        <v>197</v>
      </c>
      <c r="AM262" s="23" t="s">
        <v>197</v>
      </c>
      <c r="AN262" s="9" t="s">
        <v>2549</v>
      </c>
      <c r="AO262" s="23" t="s">
        <v>197</v>
      </c>
      <c r="AP262" s="23" t="n">
        <v>2.5</v>
      </c>
      <c r="AQ262" s="23" t="n">
        <v>6</v>
      </c>
    </row>
    <row r="263" customFormat="false" ht="21.75" hidden="false" customHeight="true" outlineLevel="0" collapsed="false">
      <c r="B263" s="14" t="n">
        <v>259</v>
      </c>
      <c r="C263" s="7" t="s">
        <v>81</v>
      </c>
      <c r="D263" s="7" t="s">
        <v>20</v>
      </c>
      <c r="E263" s="7" t="s">
        <v>116</v>
      </c>
      <c r="F263" s="7" t="s">
        <v>99</v>
      </c>
      <c r="G263" s="7" t="s">
        <v>391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18"/>
      <c r="V263" s="7"/>
      <c r="W263" s="7"/>
      <c r="X263" s="7" t="s">
        <v>3103</v>
      </c>
      <c r="Y263" s="22" t="s">
        <v>197</v>
      </c>
      <c r="Z263" s="22" t="s">
        <v>197</v>
      </c>
      <c r="AA263" s="22" t="s">
        <v>197</v>
      </c>
      <c r="AB263" s="7" t="s">
        <v>197</v>
      </c>
      <c r="AC263" s="7" t="s">
        <v>197</v>
      </c>
      <c r="AD263" s="22" t="s">
        <v>197</v>
      </c>
      <c r="AE263" s="22" t="s">
        <v>197</v>
      </c>
      <c r="AF263" s="22" t="s">
        <v>197</v>
      </c>
      <c r="AG263" s="22" t="s">
        <v>197</v>
      </c>
      <c r="AH263" s="22" t="s">
        <v>197</v>
      </c>
      <c r="AI263" s="22" t="s">
        <v>197</v>
      </c>
      <c r="AJ263" s="22" t="s">
        <v>197</v>
      </c>
      <c r="AK263" s="22" t="s">
        <v>197</v>
      </c>
      <c r="AL263" s="22" t="s">
        <v>197</v>
      </c>
      <c r="AM263" s="22" t="s">
        <v>197</v>
      </c>
      <c r="AN263" s="7" t="s">
        <v>197</v>
      </c>
      <c r="AO263" s="22" t="s">
        <v>197</v>
      </c>
      <c r="AP263" s="22" t="s">
        <v>197</v>
      </c>
      <c r="AQ263" s="22" t="s">
        <v>197</v>
      </c>
    </row>
    <row r="264" customFormat="false" ht="21.75" hidden="false" customHeight="true" outlineLevel="0" collapsed="false">
      <c r="B264" s="15" t="n">
        <v>260</v>
      </c>
      <c r="C264" s="9" t="s">
        <v>81</v>
      </c>
      <c r="D264" s="9" t="s">
        <v>20</v>
      </c>
      <c r="E264" s="9" t="s">
        <v>116</v>
      </c>
      <c r="F264" s="9" t="s">
        <v>100</v>
      </c>
      <c r="G264" s="9" t="s">
        <v>391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19"/>
      <c r="V264" s="9"/>
      <c r="W264" s="9"/>
      <c r="X264" s="9" t="s">
        <v>3104</v>
      </c>
      <c r="Y264" s="23" t="s">
        <v>197</v>
      </c>
      <c r="Z264" s="23" t="s">
        <v>197</v>
      </c>
      <c r="AA264" s="23" t="s">
        <v>197</v>
      </c>
      <c r="AB264" s="9" t="s">
        <v>197</v>
      </c>
      <c r="AC264" s="9" t="s">
        <v>197</v>
      </c>
      <c r="AD264" s="23" t="s">
        <v>197</v>
      </c>
      <c r="AE264" s="23" t="s">
        <v>197</v>
      </c>
      <c r="AF264" s="23" t="s">
        <v>197</v>
      </c>
      <c r="AG264" s="23" t="s">
        <v>197</v>
      </c>
      <c r="AH264" s="23" t="s">
        <v>197</v>
      </c>
      <c r="AI264" s="23" t="s">
        <v>197</v>
      </c>
      <c r="AJ264" s="23" t="s">
        <v>197</v>
      </c>
      <c r="AK264" s="23" t="s">
        <v>197</v>
      </c>
      <c r="AL264" s="23" t="s">
        <v>197</v>
      </c>
      <c r="AM264" s="23" t="s">
        <v>197</v>
      </c>
      <c r="AN264" s="9" t="s">
        <v>197</v>
      </c>
      <c r="AO264" s="23" t="s">
        <v>197</v>
      </c>
      <c r="AP264" s="23" t="s">
        <v>197</v>
      </c>
      <c r="AQ264" s="23" t="s">
        <v>197</v>
      </c>
    </row>
    <row r="265" customFormat="false" ht="21.75" hidden="false" customHeight="true" outlineLevel="0" collapsed="false">
      <c r="B265" s="14" t="n">
        <v>261</v>
      </c>
      <c r="C265" s="7" t="s">
        <v>81</v>
      </c>
      <c r="D265" s="7" t="s">
        <v>20</v>
      </c>
      <c r="E265" s="7" t="s">
        <v>116</v>
      </c>
      <c r="F265" s="7" t="s">
        <v>101</v>
      </c>
      <c r="G265" s="7" t="s">
        <v>391</v>
      </c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18"/>
      <c r="V265" s="7"/>
      <c r="W265" s="7"/>
      <c r="X265" s="7" t="s">
        <v>3105</v>
      </c>
      <c r="Y265" s="22" t="s">
        <v>197</v>
      </c>
      <c r="Z265" s="22" t="s">
        <v>197</v>
      </c>
      <c r="AA265" s="22" t="s">
        <v>197</v>
      </c>
      <c r="AB265" s="7" t="s">
        <v>197</v>
      </c>
      <c r="AC265" s="7" t="s">
        <v>197</v>
      </c>
      <c r="AD265" s="22" t="s">
        <v>197</v>
      </c>
      <c r="AE265" s="22" t="s">
        <v>197</v>
      </c>
      <c r="AF265" s="22" t="s">
        <v>197</v>
      </c>
      <c r="AG265" s="22" t="s">
        <v>197</v>
      </c>
      <c r="AH265" s="22" t="s">
        <v>197</v>
      </c>
      <c r="AI265" s="22" t="s">
        <v>197</v>
      </c>
      <c r="AJ265" s="22" t="s">
        <v>197</v>
      </c>
      <c r="AK265" s="22" t="s">
        <v>197</v>
      </c>
      <c r="AL265" s="22" t="s">
        <v>197</v>
      </c>
      <c r="AM265" s="22" t="s">
        <v>197</v>
      </c>
      <c r="AN265" s="7" t="s">
        <v>197</v>
      </c>
      <c r="AO265" s="22" t="s">
        <v>197</v>
      </c>
      <c r="AP265" s="22" t="s">
        <v>197</v>
      </c>
      <c r="AQ265" s="22" t="s">
        <v>197</v>
      </c>
    </row>
    <row r="266" customFormat="false" ht="21.75" hidden="false" customHeight="true" outlineLevel="0" collapsed="false">
      <c r="B266" s="15" t="n">
        <v>262</v>
      </c>
      <c r="C266" s="9" t="s">
        <v>81</v>
      </c>
      <c r="D266" s="9" t="s">
        <v>20</v>
      </c>
      <c r="E266" s="9" t="s">
        <v>116</v>
      </c>
      <c r="F266" s="9" t="s">
        <v>102</v>
      </c>
      <c r="G266" s="9" t="s">
        <v>3106</v>
      </c>
      <c r="H266" s="9" t="s">
        <v>2601</v>
      </c>
      <c r="I266" s="9" t="s">
        <v>2995</v>
      </c>
      <c r="J266" s="9" t="s">
        <v>3107</v>
      </c>
      <c r="K266" s="9" t="s">
        <v>3108</v>
      </c>
      <c r="L266" s="9" t="s">
        <v>3054</v>
      </c>
      <c r="M266" s="9" t="s">
        <v>2514</v>
      </c>
      <c r="N266" s="9" t="s">
        <v>189</v>
      </c>
      <c r="O266" s="9" t="s">
        <v>189</v>
      </c>
      <c r="P266" s="9" t="s">
        <v>190</v>
      </c>
      <c r="Q266" s="9" t="s">
        <v>3109</v>
      </c>
      <c r="R266" s="9" t="s">
        <v>911</v>
      </c>
      <c r="S266" s="9" t="s">
        <v>3058</v>
      </c>
      <c r="T266" s="9" t="s">
        <v>2909</v>
      </c>
      <c r="U266" s="19" t="n">
        <v>35</v>
      </c>
      <c r="V266" s="9"/>
      <c r="W266" s="9"/>
      <c r="X266" s="9" t="s">
        <v>195</v>
      </c>
      <c r="Y266" s="23" t="n">
        <v>0.0003498</v>
      </c>
      <c r="Z266" s="23" t="n">
        <v>0.004</v>
      </c>
      <c r="AA266" s="23" t="n">
        <v>24</v>
      </c>
      <c r="AB266" s="9" t="s">
        <v>3054</v>
      </c>
      <c r="AC266" s="9" t="s">
        <v>3082</v>
      </c>
      <c r="AD266" s="23" t="s">
        <v>197</v>
      </c>
      <c r="AE266" s="23" t="s">
        <v>197</v>
      </c>
      <c r="AF266" s="23" t="s">
        <v>197</v>
      </c>
      <c r="AG266" s="23" t="s">
        <v>197</v>
      </c>
      <c r="AH266" s="23" t="s">
        <v>197</v>
      </c>
      <c r="AI266" s="23" t="s">
        <v>197</v>
      </c>
      <c r="AJ266" s="23" t="s">
        <v>197</v>
      </c>
      <c r="AK266" s="23" t="s">
        <v>197</v>
      </c>
      <c r="AL266" s="23" t="s">
        <v>197</v>
      </c>
      <c r="AM266" s="23" t="s">
        <v>197</v>
      </c>
      <c r="AN266" s="9" t="s">
        <v>197</v>
      </c>
      <c r="AO266" s="23" t="s">
        <v>197</v>
      </c>
      <c r="AP266" s="23" t="n">
        <v>1.05</v>
      </c>
      <c r="AQ266" s="23" t="n">
        <v>1.4</v>
      </c>
    </row>
    <row r="267" customFormat="false" ht="21.75" hidden="false" customHeight="true" outlineLevel="0" collapsed="false">
      <c r="B267" s="14" t="n">
        <v>263</v>
      </c>
      <c r="C267" s="7" t="s">
        <v>81</v>
      </c>
      <c r="D267" s="7" t="s">
        <v>20</v>
      </c>
      <c r="E267" s="7" t="s">
        <v>116</v>
      </c>
      <c r="F267" s="7" t="s">
        <v>102</v>
      </c>
      <c r="G267" s="7" t="s">
        <v>3110</v>
      </c>
      <c r="H267" s="7" t="s">
        <v>2607</v>
      </c>
      <c r="I267" s="7" t="s">
        <v>2995</v>
      </c>
      <c r="J267" s="7" t="s">
        <v>3107</v>
      </c>
      <c r="K267" s="7" t="s">
        <v>3108</v>
      </c>
      <c r="L267" s="7" t="s">
        <v>3054</v>
      </c>
      <c r="M267" s="7" t="s">
        <v>2514</v>
      </c>
      <c r="N267" s="7" t="s">
        <v>189</v>
      </c>
      <c r="O267" s="7" t="s">
        <v>189</v>
      </c>
      <c r="P267" s="7" t="s">
        <v>190</v>
      </c>
      <c r="Q267" s="7" t="s">
        <v>3109</v>
      </c>
      <c r="R267" s="7" t="s">
        <v>911</v>
      </c>
      <c r="S267" s="7" t="s">
        <v>3058</v>
      </c>
      <c r="T267" s="7" t="s">
        <v>2909</v>
      </c>
      <c r="U267" s="18" t="n">
        <v>55</v>
      </c>
      <c r="V267" s="7"/>
      <c r="W267" s="7"/>
      <c r="X267" s="7" t="s">
        <v>199</v>
      </c>
      <c r="Y267" s="22" t="n">
        <v>0.00026716</v>
      </c>
      <c r="Z267" s="22" t="n">
        <v>0.004</v>
      </c>
      <c r="AA267" s="22" t="n">
        <v>24</v>
      </c>
      <c r="AB267" s="7" t="s">
        <v>3054</v>
      </c>
      <c r="AC267" s="7" t="s">
        <v>3082</v>
      </c>
      <c r="AD267" s="22" t="s">
        <v>197</v>
      </c>
      <c r="AE267" s="22" t="s">
        <v>197</v>
      </c>
      <c r="AF267" s="22" t="s">
        <v>197</v>
      </c>
      <c r="AG267" s="22" t="s">
        <v>197</v>
      </c>
      <c r="AH267" s="22" t="s">
        <v>197</v>
      </c>
      <c r="AI267" s="22" t="s">
        <v>197</v>
      </c>
      <c r="AJ267" s="22" t="s">
        <v>197</v>
      </c>
      <c r="AK267" s="22" t="s">
        <v>197</v>
      </c>
      <c r="AL267" s="22" t="s">
        <v>197</v>
      </c>
      <c r="AM267" s="22" t="s">
        <v>197</v>
      </c>
      <c r="AN267" s="7" t="s">
        <v>197</v>
      </c>
      <c r="AO267" s="22" t="s">
        <v>197</v>
      </c>
      <c r="AP267" s="22" t="n">
        <v>1.05</v>
      </c>
      <c r="AQ267" s="22" t="n">
        <v>1.4</v>
      </c>
    </row>
    <row r="268" customFormat="false" ht="21.75" hidden="false" customHeight="true" outlineLevel="0" collapsed="false">
      <c r="B268" s="15" t="n">
        <v>264</v>
      </c>
      <c r="C268" s="9" t="s">
        <v>81</v>
      </c>
      <c r="D268" s="9" t="s">
        <v>20</v>
      </c>
      <c r="E268" s="9" t="s">
        <v>116</v>
      </c>
      <c r="F268" s="9" t="s">
        <v>102</v>
      </c>
      <c r="G268" s="9" t="s">
        <v>3111</v>
      </c>
      <c r="H268" s="9" t="s">
        <v>2609</v>
      </c>
      <c r="I268" s="9" t="s">
        <v>2995</v>
      </c>
      <c r="J268" s="9" t="s">
        <v>3107</v>
      </c>
      <c r="K268" s="9" t="s">
        <v>3108</v>
      </c>
      <c r="L268" s="9" t="s">
        <v>3054</v>
      </c>
      <c r="M268" s="9" t="s">
        <v>2514</v>
      </c>
      <c r="N268" s="9" t="s">
        <v>189</v>
      </c>
      <c r="O268" s="9" t="s">
        <v>189</v>
      </c>
      <c r="P268" s="9" t="s">
        <v>190</v>
      </c>
      <c r="Q268" s="9" t="s">
        <v>3109</v>
      </c>
      <c r="R268" s="9" t="s">
        <v>911</v>
      </c>
      <c r="S268" s="9" t="s">
        <v>3058</v>
      </c>
      <c r="T268" s="9" t="s">
        <v>2909</v>
      </c>
      <c r="U268" s="19" t="n">
        <v>75</v>
      </c>
      <c r="V268" s="9"/>
      <c r="W268" s="9"/>
      <c r="X268" s="9" t="s">
        <v>3112</v>
      </c>
      <c r="Y268" s="23" t="n">
        <v>0.00028412</v>
      </c>
      <c r="Z268" s="23" t="n">
        <v>0.004</v>
      </c>
      <c r="AA268" s="23" t="n">
        <v>24</v>
      </c>
      <c r="AB268" s="9" t="s">
        <v>3054</v>
      </c>
      <c r="AC268" s="9" t="s">
        <v>3082</v>
      </c>
      <c r="AD268" s="23" t="s">
        <v>197</v>
      </c>
      <c r="AE268" s="23" t="s">
        <v>197</v>
      </c>
      <c r="AF268" s="23" t="s">
        <v>197</v>
      </c>
      <c r="AG268" s="23" t="s">
        <v>197</v>
      </c>
      <c r="AH268" s="23" t="s">
        <v>197</v>
      </c>
      <c r="AI268" s="23" t="s">
        <v>197</v>
      </c>
      <c r="AJ268" s="23" t="s">
        <v>197</v>
      </c>
      <c r="AK268" s="23" t="s">
        <v>197</v>
      </c>
      <c r="AL268" s="23" t="s">
        <v>197</v>
      </c>
      <c r="AM268" s="23" t="s">
        <v>197</v>
      </c>
      <c r="AN268" s="9" t="s">
        <v>197</v>
      </c>
      <c r="AO268" s="23" t="s">
        <v>197</v>
      </c>
      <c r="AP268" s="23" t="n">
        <v>1.05</v>
      </c>
      <c r="AQ268" s="23" t="n">
        <v>1.4</v>
      </c>
    </row>
    <row r="269" customFormat="false" ht="21.75" hidden="false" customHeight="true" outlineLevel="0" collapsed="false">
      <c r="B269" s="14" t="n">
        <v>265</v>
      </c>
      <c r="C269" s="7" t="s">
        <v>81</v>
      </c>
      <c r="D269" s="7" t="s">
        <v>20</v>
      </c>
      <c r="E269" s="7" t="s">
        <v>116</v>
      </c>
      <c r="F269" s="7" t="s">
        <v>102</v>
      </c>
      <c r="G269" s="7" t="s">
        <v>3113</v>
      </c>
      <c r="H269" s="7" t="s">
        <v>2612</v>
      </c>
      <c r="I269" s="7" t="s">
        <v>2995</v>
      </c>
      <c r="J269" s="7" t="s">
        <v>3107</v>
      </c>
      <c r="K269" s="7" t="s">
        <v>3108</v>
      </c>
      <c r="L269" s="7" t="s">
        <v>3054</v>
      </c>
      <c r="M269" s="7" t="s">
        <v>2514</v>
      </c>
      <c r="N269" s="7" t="s">
        <v>189</v>
      </c>
      <c r="O269" s="7" t="s">
        <v>189</v>
      </c>
      <c r="P269" s="7" t="s">
        <v>190</v>
      </c>
      <c r="Q269" s="7" t="s">
        <v>3109</v>
      </c>
      <c r="R269" s="7" t="s">
        <v>911</v>
      </c>
      <c r="S269" s="7" t="s">
        <v>3058</v>
      </c>
      <c r="T269" s="7" t="s">
        <v>2909</v>
      </c>
      <c r="U269" s="18" t="n">
        <v>115</v>
      </c>
      <c r="V269" s="7"/>
      <c r="W269" s="7"/>
      <c r="X269" s="7" t="s">
        <v>203</v>
      </c>
      <c r="Y269" s="22" t="n">
        <v>0.00038536</v>
      </c>
      <c r="Z269" s="22" t="n">
        <v>0.005</v>
      </c>
      <c r="AA269" s="22" t="n">
        <v>24</v>
      </c>
      <c r="AB269" s="7" t="s">
        <v>3054</v>
      </c>
      <c r="AC269" s="7" t="s">
        <v>3082</v>
      </c>
      <c r="AD269" s="22" t="s">
        <v>197</v>
      </c>
      <c r="AE269" s="22" t="s">
        <v>197</v>
      </c>
      <c r="AF269" s="22" t="s">
        <v>197</v>
      </c>
      <c r="AG269" s="22" t="s">
        <v>197</v>
      </c>
      <c r="AH269" s="22" t="s">
        <v>197</v>
      </c>
      <c r="AI269" s="22" t="s">
        <v>197</v>
      </c>
      <c r="AJ269" s="22" t="s">
        <v>197</v>
      </c>
      <c r="AK269" s="22" t="s">
        <v>197</v>
      </c>
      <c r="AL269" s="22" t="s">
        <v>197</v>
      </c>
      <c r="AM269" s="22" t="s">
        <v>197</v>
      </c>
      <c r="AN269" s="7" t="s">
        <v>197</v>
      </c>
      <c r="AO269" s="22" t="s">
        <v>197</v>
      </c>
      <c r="AP269" s="22" t="n">
        <v>1.05</v>
      </c>
      <c r="AQ269" s="22" t="n">
        <v>1.4</v>
      </c>
    </row>
    <row r="270" customFormat="false" ht="21.75" hidden="false" customHeight="true" outlineLevel="0" collapsed="false">
      <c r="B270" s="15" t="n">
        <v>266</v>
      </c>
      <c r="C270" s="9" t="s">
        <v>81</v>
      </c>
      <c r="D270" s="9" t="s">
        <v>20</v>
      </c>
      <c r="E270" s="9" t="s">
        <v>116</v>
      </c>
      <c r="F270" s="9" t="s">
        <v>102</v>
      </c>
      <c r="G270" s="9" t="s">
        <v>3114</v>
      </c>
      <c r="H270" s="9" t="s">
        <v>2614</v>
      </c>
      <c r="I270" s="9" t="s">
        <v>2995</v>
      </c>
      <c r="J270" s="9" t="s">
        <v>3107</v>
      </c>
      <c r="K270" s="9" t="s">
        <v>3108</v>
      </c>
      <c r="L270" s="9" t="s">
        <v>3054</v>
      </c>
      <c r="M270" s="9" t="s">
        <v>2514</v>
      </c>
      <c r="N270" s="9" t="s">
        <v>189</v>
      </c>
      <c r="O270" s="9" t="s">
        <v>189</v>
      </c>
      <c r="P270" s="9" t="s">
        <v>190</v>
      </c>
      <c r="Q270" s="9" t="s">
        <v>3109</v>
      </c>
      <c r="R270" s="9" t="s">
        <v>911</v>
      </c>
      <c r="S270" s="9" t="s">
        <v>3058</v>
      </c>
      <c r="T270" s="9" t="s">
        <v>2909</v>
      </c>
      <c r="U270" s="19" t="n">
        <v>170</v>
      </c>
      <c r="V270" s="9"/>
      <c r="W270" s="9"/>
      <c r="X270" s="9" t="s">
        <v>205</v>
      </c>
      <c r="Y270" s="23" t="n">
        <v>0.00027756</v>
      </c>
      <c r="Z270" s="23" t="n">
        <v>0.004</v>
      </c>
      <c r="AA270" s="23" t="n">
        <v>24</v>
      </c>
      <c r="AB270" s="9" t="s">
        <v>3054</v>
      </c>
      <c r="AC270" s="9" t="s">
        <v>3082</v>
      </c>
      <c r="AD270" s="23" t="s">
        <v>197</v>
      </c>
      <c r="AE270" s="23" t="s">
        <v>197</v>
      </c>
      <c r="AF270" s="23" t="s">
        <v>197</v>
      </c>
      <c r="AG270" s="23" t="s">
        <v>197</v>
      </c>
      <c r="AH270" s="23" t="s">
        <v>197</v>
      </c>
      <c r="AI270" s="23" t="s">
        <v>197</v>
      </c>
      <c r="AJ270" s="23" t="s">
        <v>197</v>
      </c>
      <c r="AK270" s="23" t="s">
        <v>197</v>
      </c>
      <c r="AL270" s="23" t="s">
        <v>197</v>
      </c>
      <c r="AM270" s="23" t="s">
        <v>197</v>
      </c>
      <c r="AN270" s="9" t="s">
        <v>197</v>
      </c>
      <c r="AO270" s="23" t="s">
        <v>197</v>
      </c>
      <c r="AP270" s="23" t="n">
        <v>1.05</v>
      </c>
      <c r="AQ270" s="23" t="n">
        <v>1.4</v>
      </c>
    </row>
    <row r="271" customFormat="false" ht="21.75" hidden="false" customHeight="true" outlineLevel="0" collapsed="false">
      <c r="B271" s="14" t="n">
        <v>267</v>
      </c>
      <c r="C271" s="7" t="s">
        <v>81</v>
      </c>
      <c r="D271" s="7" t="s">
        <v>20</v>
      </c>
      <c r="E271" s="7" t="s">
        <v>116</v>
      </c>
      <c r="F271" s="7" t="s">
        <v>103</v>
      </c>
      <c r="G271" s="7" t="s">
        <v>3115</v>
      </c>
      <c r="H271" s="7" t="s">
        <v>3004</v>
      </c>
      <c r="I271" s="7" t="s">
        <v>3116</v>
      </c>
      <c r="J271" s="7" t="s">
        <v>3117</v>
      </c>
      <c r="K271" s="7" t="s">
        <v>3007</v>
      </c>
      <c r="L271" s="7" t="s">
        <v>3054</v>
      </c>
      <c r="M271" s="7" t="s">
        <v>3008</v>
      </c>
      <c r="N271" s="7" t="s">
        <v>189</v>
      </c>
      <c r="O271" s="7" t="s">
        <v>189</v>
      </c>
      <c r="P271" s="7" t="s">
        <v>190</v>
      </c>
      <c r="Q271" s="7" t="s">
        <v>3118</v>
      </c>
      <c r="R271" s="7" t="s">
        <v>3119</v>
      </c>
      <c r="S271" s="7" t="s">
        <v>3058</v>
      </c>
      <c r="T271" s="7" t="s">
        <v>3010</v>
      </c>
      <c r="U271" s="18" t="n">
        <v>45</v>
      </c>
      <c r="V271" s="7"/>
      <c r="W271" s="7"/>
      <c r="X271" s="7" t="s">
        <v>195</v>
      </c>
      <c r="Y271" s="22" t="n">
        <v>0.000694</v>
      </c>
      <c r="Z271" s="22" t="n">
        <v>0.118</v>
      </c>
      <c r="AA271" s="22" t="n">
        <v>24</v>
      </c>
      <c r="AB271" s="7" t="s">
        <v>3054</v>
      </c>
      <c r="AC271" s="7" t="s">
        <v>3011</v>
      </c>
      <c r="AD271" s="22" t="s">
        <v>197</v>
      </c>
      <c r="AE271" s="22" t="s">
        <v>197</v>
      </c>
      <c r="AF271" s="22" t="s">
        <v>197</v>
      </c>
      <c r="AG271" s="22" t="s">
        <v>197</v>
      </c>
      <c r="AH271" s="22" t="s">
        <v>197</v>
      </c>
      <c r="AI271" s="22" t="s">
        <v>197</v>
      </c>
      <c r="AJ271" s="22" t="s">
        <v>197</v>
      </c>
      <c r="AK271" s="22" t="s">
        <v>197</v>
      </c>
      <c r="AL271" s="22" t="s">
        <v>197</v>
      </c>
      <c r="AM271" s="22" t="s">
        <v>197</v>
      </c>
      <c r="AN271" s="7" t="s">
        <v>197</v>
      </c>
      <c r="AO271" s="22" t="n">
        <v>25.5</v>
      </c>
      <c r="AP271" s="22" t="n">
        <v>2</v>
      </c>
      <c r="AQ271" s="22" t="n">
        <v>2.45</v>
      </c>
    </row>
    <row r="272" customFormat="false" ht="21.75" hidden="false" customHeight="true" outlineLevel="0" collapsed="false">
      <c r="B272" s="15" t="n">
        <v>268</v>
      </c>
      <c r="C272" s="9" t="s">
        <v>81</v>
      </c>
      <c r="D272" s="9" t="s">
        <v>20</v>
      </c>
      <c r="E272" s="9" t="s">
        <v>116</v>
      </c>
      <c r="F272" s="9" t="s">
        <v>103</v>
      </c>
      <c r="G272" s="9" t="s">
        <v>3120</v>
      </c>
      <c r="H272" s="9" t="s">
        <v>3013</v>
      </c>
      <c r="I272" s="9" t="s">
        <v>3116</v>
      </c>
      <c r="J272" s="9" t="s">
        <v>3117</v>
      </c>
      <c r="K272" s="9" t="s">
        <v>3007</v>
      </c>
      <c r="L272" s="9" t="s">
        <v>3054</v>
      </c>
      <c r="M272" s="9" t="s">
        <v>3008</v>
      </c>
      <c r="N272" s="9" t="s">
        <v>189</v>
      </c>
      <c r="O272" s="9" t="s">
        <v>189</v>
      </c>
      <c r="P272" s="9" t="s">
        <v>190</v>
      </c>
      <c r="Q272" s="9" t="s">
        <v>3118</v>
      </c>
      <c r="R272" s="9" t="s">
        <v>3119</v>
      </c>
      <c r="S272" s="9" t="s">
        <v>3058</v>
      </c>
      <c r="T272" s="9" t="s">
        <v>3010</v>
      </c>
      <c r="U272" s="19" t="n">
        <v>70</v>
      </c>
      <c r="V272" s="9"/>
      <c r="W272" s="9"/>
      <c r="X272" s="9" t="s">
        <v>199</v>
      </c>
      <c r="Y272" s="23" t="n">
        <v>0.00054248</v>
      </c>
      <c r="Z272" s="23" t="n">
        <v>0.097</v>
      </c>
      <c r="AA272" s="23" t="n">
        <v>24</v>
      </c>
      <c r="AB272" s="9" t="s">
        <v>3054</v>
      </c>
      <c r="AC272" s="9" t="s">
        <v>3011</v>
      </c>
      <c r="AD272" s="23" t="s">
        <v>197</v>
      </c>
      <c r="AE272" s="23" t="s">
        <v>197</v>
      </c>
      <c r="AF272" s="23" t="s">
        <v>197</v>
      </c>
      <c r="AG272" s="23" t="s">
        <v>197</v>
      </c>
      <c r="AH272" s="23" t="s">
        <v>197</v>
      </c>
      <c r="AI272" s="23" t="s">
        <v>197</v>
      </c>
      <c r="AJ272" s="23" t="s">
        <v>197</v>
      </c>
      <c r="AK272" s="23" t="s">
        <v>197</v>
      </c>
      <c r="AL272" s="23" t="s">
        <v>197</v>
      </c>
      <c r="AM272" s="23" t="s">
        <v>197</v>
      </c>
      <c r="AN272" s="9" t="s">
        <v>197</v>
      </c>
      <c r="AO272" s="23" t="n">
        <v>22.3</v>
      </c>
      <c r="AP272" s="23" t="n">
        <v>2</v>
      </c>
      <c r="AQ272" s="23" t="n">
        <v>2.45</v>
      </c>
    </row>
    <row r="273" customFormat="false" ht="21.75" hidden="false" customHeight="true" outlineLevel="0" collapsed="false">
      <c r="B273" s="14" t="n">
        <v>269</v>
      </c>
      <c r="C273" s="7" t="s">
        <v>81</v>
      </c>
      <c r="D273" s="7" t="s">
        <v>20</v>
      </c>
      <c r="E273" s="7" t="s">
        <v>116</v>
      </c>
      <c r="F273" s="7" t="s">
        <v>103</v>
      </c>
      <c r="G273" s="7" t="s">
        <v>3121</v>
      </c>
      <c r="H273" s="7" t="s">
        <v>3015</v>
      </c>
      <c r="I273" s="7" t="s">
        <v>3116</v>
      </c>
      <c r="J273" s="7" t="s">
        <v>3117</v>
      </c>
      <c r="K273" s="7" t="s">
        <v>3007</v>
      </c>
      <c r="L273" s="7" t="s">
        <v>3054</v>
      </c>
      <c r="M273" s="7" t="s">
        <v>3008</v>
      </c>
      <c r="N273" s="7" t="s">
        <v>189</v>
      </c>
      <c r="O273" s="7" t="s">
        <v>189</v>
      </c>
      <c r="P273" s="7" t="s">
        <v>190</v>
      </c>
      <c r="Q273" s="7" t="s">
        <v>3118</v>
      </c>
      <c r="R273" s="7" t="s">
        <v>3119</v>
      </c>
      <c r="S273" s="7" t="s">
        <v>3058</v>
      </c>
      <c r="T273" s="7" t="s">
        <v>3010</v>
      </c>
      <c r="U273" s="18" t="n">
        <v>95</v>
      </c>
      <c r="V273" s="7"/>
      <c r="W273" s="7"/>
      <c r="X273" s="7" t="s">
        <v>3122</v>
      </c>
      <c r="Y273" s="22" t="n">
        <v>0.00092152</v>
      </c>
      <c r="Z273" s="22" t="n">
        <v>0.149</v>
      </c>
      <c r="AA273" s="22" t="n">
        <v>24</v>
      </c>
      <c r="AB273" s="7" t="s">
        <v>3054</v>
      </c>
      <c r="AC273" s="7" t="s">
        <v>3011</v>
      </c>
      <c r="AD273" s="22" t="s">
        <v>197</v>
      </c>
      <c r="AE273" s="22" t="s">
        <v>197</v>
      </c>
      <c r="AF273" s="22" t="s">
        <v>197</v>
      </c>
      <c r="AG273" s="22" t="s">
        <v>197</v>
      </c>
      <c r="AH273" s="22" t="s">
        <v>197</v>
      </c>
      <c r="AI273" s="22" t="s">
        <v>197</v>
      </c>
      <c r="AJ273" s="22" t="s">
        <v>197</v>
      </c>
      <c r="AK273" s="22" t="s">
        <v>197</v>
      </c>
      <c r="AL273" s="22" t="s">
        <v>197</v>
      </c>
      <c r="AM273" s="22" t="s">
        <v>197</v>
      </c>
      <c r="AN273" s="7" t="s">
        <v>197</v>
      </c>
      <c r="AO273" s="22" t="n">
        <v>30.3</v>
      </c>
      <c r="AP273" s="22" t="n">
        <v>2</v>
      </c>
      <c r="AQ273" s="22" t="n">
        <v>2.45</v>
      </c>
    </row>
    <row r="274" customFormat="false" ht="21.75" hidden="false" customHeight="true" outlineLevel="0" collapsed="false">
      <c r="B274" s="15" t="n">
        <v>270</v>
      </c>
      <c r="C274" s="9" t="s">
        <v>81</v>
      </c>
      <c r="D274" s="9" t="s">
        <v>20</v>
      </c>
      <c r="E274" s="9" t="s">
        <v>116</v>
      </c>
      <c r="F274" s="9" t="s">
        <v>103</v>
      </c>
      <c r="G274" s="9" t="s">
        <v>3123</v>
      </c>
      <c r="H274" s="9" t="s">
        <v>3018</v>
      </c>
      <c r="I274" s="9" t="s">
        <v>3116</v>
      </c>
      <c r="J274" s="9" t="s">
        <v>3117</v>
      </c>
      <c r="K274" s="9" t="s">
        <v>3007</v>
      </c>
      <c r="L274" s="9" t="s">
        <v>3054</v>
      </c>
      <c r="M274" s="9" t="s">
        <v>3008</v>
      </c>
      <c r="N274" s="9" t="s">
        <v>189</v>
      </c>
      <c r="O274" s="9" t="s">
        <v>189</v>
      </c>
      <c r="P274" s="9" t="s">
        <v>190</v>
      </c>
      <c r="Q274" s="9" t="s">
        <v>3118</v>
      </c>
      <c r="R274" s="9" t="s">
        <v>3119</v>
      </c>
      <c r="S274" s="9" t="s">
        <v>3058</v>
      </c>
      <c r="T274" s="9" t="s">
        <v>3010</v>
      </c>
      <c r="U274" s="19" t="n">
        <v>140</v>
      </c>
      <c r="V274" s="9"/>
      <c r="W274" s="9"/>
      <c r="X274" s="9" t="s">
        <v>203</v>
      </c>
      <c r="Y274" s="23" t="n">
        <v>0.00061472</v>
      </c>
      <c r="Z274" s="23" t="n">
        <v>0.107</v>
      </c>
      <c r="AA274" s="23" t="n">
        <v>24</v>
      </c>
      <c r="AB274" s="9" t="s">
        <v>3054</v>
      </c>
      <c r="AC274" s="9" t="s">
        <v>3011</v>
      </c>
      <c r="AD274" s="23" t="s">
        <v>197</v>
      </c>
      <c r="AE274" s="23" t="s">
        <v>197</v>
      </c>
      <c r="AF274" s="23" t="s">
        <v>197</v>
      </c>
      <c r="AG274" s="23" t="s">
        <v>197</v>
      </c>
      <c r="AH274" s="23" t="s">
        <v>197</v>
      </c>
      <c r="AI274" s="23" t="s">
        <v>197</v>
      </c>
      <c r="AJ274" s="23" t="s">
        <v>197</v>
      </c>
      <c r="AK274" s="23" t="s">
        <v>197</v>
      </c>
      <c r="AL274" s="23" t="s">
        <v>197</v>
      </c>
      <c r="AM274" s="23" t="s">
        <v>197</v>
      </c>
      <c r="AN274" s="9" t="s">
        <v>197</v>
      </c>
      <c r="AO274" s="23" t="n">
        <v>23.8</v>
      </c>
      <c r="AP274" s="23" t="n">
        <v>2</v>
      </c>
      <c r="AQ274" s="23" t="n">
        <v>2.45</v>
      </c>
    </row>
    <row r="275" customFormat="false" ht="21.75" hidden="false" customHeight="true" outlineLevel="0" collapsed="false">
      <c r="B275" s="14" t="n">
        <v>271</v>
      </c>
      <c r="C275" s="7" t="s">
        <v>81</v>
      </c>
      <c r="D275" s="7" t="s">
        <v>20</v>
      </c>
      <c r="E275" s="7" t="s">
        <v>116</v>
      </c>
      <c r="F275" s="7" t="s">
        <v>103</v>
      </c>
      <c r="G275" s="7" t="s">
        <v>3124</v>
      </c>
      <c r="H275" s="7" t="s">
        <v>3020</v>
      </c>
      <c r="I275" s="7" t="s">
        <v>3116</v>
      </c>
      <c r="J275" s="7" t="s">
        <v>3117</v>
      </c>
      <c r="K275" s="7" t="s">
        <v>3007</v>
      </c>
      <c r="L275" s="7" t="s">
        <v>3054</v>
      </c>
      <c r="M275" s="7" t="s">
        <v>3008</v>
      </c>
      <c r="N275" s="7" t="s">
        <v>189</v>
      </c>
      <c r="O275" s="7" t="s">
        <v>189</v>
      </c>
      <c r="P275" s="7" t="s">
        <v>190</v>
      </c>
      <c r="Q275" s="7" t="s">
        <v>3118</v>
      </c>
      <c r="R275" s="7" t="s">
        <v>3119</v>
      </c>
      <c r="S275" s="7" t="s">
        <v>3058</v>
      </c>
      <c r="T275" s="7" t="s">
        <v>3010</v>
      </c>
      <c r="U275" s="18" t="n">
        <v>210</v>
      </c>
      <c r="V275" s="7"/>
      <c r="W275" s="7"/>
      <c r="X275" s="7" t="s">
        <v>205</v>
      </c>
      <c r="Y275" s="22" t="n">
        <v>0.00046376</v>
      </c>
      <c r="Z275" s="22" t="n">
        <v>0.086</v>
      </c>
      <c r="AA275" s="22" t="n">
        <v>24</v>
      </c>
      <c r="AB275" s="7" t="s">
        <v>3054</v>
      </c>
      <c r="AC275" s="7" t="s">
        <v>3011</v>
      </c>
      <c r="AD275" s="22" t="s">
        <v>197</v>
      </c>
      <c r="AE275" s="22" t="s">
        <v>197</v>
      </c>
      <c r="AF275" s="22" t="s">
        <v>197</v>
      </c>
      <c r="AG275" s="22" t="s">
        <v>197</v>
      </c>
      <c r="AH275" s="22" t="s">
        <v>197</v>
      </c>
      <c r="AI275" s="22" t="s">
        <v>197</v>
      </c>
      <c r="AJ275" s="22" t="s">
        <v>197</v>
      </c>
      <c r="AK275" s="22" t="s">
        <v>197</v>
      </c>
      <c r="AL275" s="22" t="s">
        <v>197</v>
      </c>
      <c r="AM275" s="22" t="s">
        <v>197</v>
      </c>
      <c r="AN275" s="7" t="s">
        <v>197</v>
      </c>
      <c r="AO275" s="22" t="n">
        <v>20.6</v>
      </c>
      <c r="AP275" s="22" t="n">
        <v>2</v>
      </c>
      <c r="AQ275" s="22" t="n">
        <v>2.45</v>
      </c>
    </row>
    <row r="276" customFormat="false" ht="21.75" hidden="false" customHeight="true" outlineLevel="0" collapsed="false">
      <c r="B276" s="15" t="n">
        <v>272</v>
      </c>
      <c r="C276" s="9" t="s">
        <v>81</v>
      </c>
      <c r="D276" s="9" t="s">
        <v>20</v>
      </c>
      <c r="E276" s="9" t="s">
        <v>116</v>
      </c>
      <c r="F276" s="9" t="s">
        <v>104</v>
      </c>
      <c r="G276" s="9" t="s">
        <v>3125</v>
      </c>
      <c r="H276" s="9" t="s">
        <v>2617</v>
      </c>
      <c r="I276" s="9" t="s">
        <v>3126</v>
      </c>
      <c r="J276" s="9" t="s">
        <v>2918</v>
      </c>
      <c r="K276" s="9" t="s">
        <v>3127</v>
      </c>
      <c r="L276" s="9" t="s">
        <v>3054</v>
      </c>
      <c r="M276" s="9" t="s">
        <v>2514</v>
      </c>
      <c r="N276" s="9" t="s">
        <v>189</v>
      </c>
      <c r="O276" s="9" t="s">
        <v>189</v>
      </c>
      <c r="P276" s="9" t="s">
        <v>190</v>
      </c>
      <c r="Q276" s="9" t="s">
        <v>2765</v>
      </c>
      <c r="R276" s="9" t="s">
        <v>1707</v>
      </c>
      <c r="S276" s="9" t="s">
        <v>3058</v>
      </c>
      <c r="T276" s="9" t="s">
        <v>2621</v>
      </c>
      <c r="U276" s="19" t="n">
        <v>40</v>
      </c>
      <c r="V276" s="9"/>
      <c r="W276" s="9"/>
      <c r="X276" s="9" t="s">
        <v>195</v>
      </c>
      <c r="Y276" s="23" t="n">
        <v>0.00067968</v>
      </c>
      <c r="Z276" s="23" t="n">
        <v>0.01</v>
      </c>
      <c r="AA276" s="23" t="n">
        <v>24</v>
      </c>
      <c r="AB276" s="9" t="s">
        <v>3054</v>
      </c>
      <c r="AC276" s="9" t="s">
        <v>3082</v>
      </c>
      <c r="AD276" s="23" t="s">
        <v>197</v>
      </c>
      <c r="AE276" s="23" t="s">
        <v>197</v>
      </c>
      <c r="AF276" s="23" t="s">
        <v>197</v>
      </c>
      <c r="AG276" s="23" t="s">
        <v>197</v>
      </c>
      <c r="AH276" s="23" t="s">
        <v>197</v>
      </c>
      <c r="AI276" s="23" t="s">
        <v>197</v>
      </c>
      <c r="AJ276" s="23" t="s">
        <v>197</v>
      </c>
      <c r="AK276" s="23" t="s">
        <v>197</v>
      </c>
      <c r="AL276" s="23" t="s">
        <v>197</v>
      </c>
      <c r="AM276" s="23" t="s">
        <v>197</v>
      </c>
      <c r="AN276" s="9" t="s">
        <v>197</v>
      </c>
      <c r="AO276" s="23" t="s">
        <v>197</v>
      </c>
      <c r="AP276" s="23" t="s">
        <v>197</v>
      </c>
      <c r="AQ276" s="23" t="s">
        <v>197</v>
      </c>
    </row>
    <row r="277" customFormat="false" ht="21.75" hidden="false" customHeight="true" outlineLevel="0" collapsed="false">
      <c r="B277" s="14" t="n">
        <v>273</v>
      </c>
      <c r="C277" s="7" t="s">
        <v>81</v>
      </c>
      <c r="D277" s="7" t="s">
        <v>20</v>
      </c>
      <c r="E277" s="7" t="s">
        <v>116</v>
      </c>
      <c r="F277" s="7" t="s">
        <v>104</v>
      </c>
      <c r="G277" s="7" t="s">
        <v>3128</v>
      </c>
      <c r="H277" s="7" t="s">
        <v>2623</v>
      </c>
      <c r="I277" s="7" t="s">
        <v>3126</v>
      </c>
      <c r="J277" s="7" t="s">
        <v>2918</v>
      </c>
      <c r="K277" s="7" t="s">
        <v>3127</v>
      </c>
      <c r="L277" s="7" t="s">
        <v>3054</v>
      </c>
      <c r="M277" s="7" t="s">
        <v>2514</v>
      </c>
      <c r="N277" s="7" t="s">
        <v>189</v>
      </c>
      <c r="O277" s="7" t="s">
        <v>189</v>
      </c>
      <c r="P277" s="7" t="s">
        <v>190</v>
      </c>
      <c r="Q277" s="7" t="s">
        <v>2765</v>
      </c>
      <c r="R277" s="7" t="s">
        <v>1707</v>
      </c>
      <c r="S277" s="7" t="s">
        <v>3058</v>
      </c>
      <c r="T277" s="7" t="s">
        <v>2621</v>
      </c>
      <c r="U277" s="18" t="n">
        <v>65</v>
      </c>
      <c r="V277" s="7"/>
      <c r="W277" s="7"/>
      <c r="X277" s="7" t="s">
        <v>199</v>
      </c>
      <c r="Y277" s="22" t="n">
        <v>0.00045748</v>
      </c>
      <c r="Z277" s="22" t="n">
        <v>0.006</v>
      </c>
      <c r="AA277" s="22" t="n">
        <v>24</v>
      </c>
      <c r="AB277" s="7" t="s">
        <v>3054</v>
      </c>
      <c r="AC277" s="7" t="s">
        <v>3082</v>
      </c>
      <c r="AD277" s="22" t="s">
        <v>197</v>
      </c>
      <c r="AE277" s="22" t="s">
        <v>197</v>
      </c>
      <c r="AF277" s="22" t="s">
        <v>197</v>
      </c>
      <c r="AG277" s="22" t="s">
        <v>197</v>
      </c>
      <c r="AH277" s="22" t="s">
        <v>197</v>
      </c>
      <c r="AI277" s="22" t="s">
        <v>197</v>
      </c>
      <c r="AJ277" s="22" t="s">
        <v>197</v>
      </c>
      <c r="AK277" s="22" t="s">
        <v>197</v>
      </c>
      <c r="AL277" s="22" t="s">
        <v>197</v>
      </c>
      <c r="AM277" s="22" t="s">
        <v>197</v>
      </c>
      <c r="AN277" s="7" t="s">
        <v>197</v>
      </c>
      <c r="AO277" s="22" t="s">
        <v>197</v>
      </c>
      <c r="AP277" s="22" t="s">
        <v>197</v>
      </c>
      <c r="AQ277" s="22" t="s">
        <v>197</v>
      </c>
    </row>
    <row r="278" customFormat="false" ht="21.75" hidden="false" customHeight="true" outlineLevel="0" collapsed="false">
      <c r="B278" s="15" t="n">
        <v>274</v>
      </c>
      <c r="C278" s="9" t="s">
        <v>81</v>
      </c>
      <c r="D278" s="9" t="s">
        <v>20</v>
      </c>
      <c r="E278" s="9" t="s">
        <v>116</v>
      </c>
      <c r="F278" s="9" t="s">
        <v>104</v>
      </c>
      <c r="G278" s="9" t="s">
        <v>3129</v>
      </c>
      <c r="H278" s="9" t="s">
        <v>2625</v>
      </c>
      <c r="I278" s="9" t="s">
        <v>3126</v>
      </c>
      <c r="J278" s="9" t="s">
        <v>2918</v>
      </c>
      <c r="K278" s="9" t="s">
        <v>3127</v>
      </c>
      <c r="L278" s="9" t="s">
        <v>3054</v>
      </c>
      <c r="M278" s="9" t="s">
        <v>2514</v>
      </c>
      <c r="N278" s="9" t="s">
        <v>189</v>
      </c>
      <c r="O278" s="9" t="s">
        <v>189</v>
      </c>
      <c r="P278" s="9" t="s">
        <v>190</v>
      </c>
      <c r="Q278" s="9" t="s">
        <v>2765</v>
      </c>
      <c r="R278" s="9" t="s">
        <v>1707</v>
      </c>
      <c r="S278" s="9" t="s">
        <v>3058</v>
      </c>
      <c r="T278" s="9" t="s">
        <v>2621</v>
      </c>
      <c r="U278" s="19" t="n">
        <v>85</v>
      </c>
      <c r="V278" s="9"/>
      <c r="W278" s="9"/>
      <c r="X278" s="9" t="s">
        <v>3130</v>
      </c>
      <c r="Y278" s="23" t="n">
        <v>0.0007518</v>
      </c>
      <c r="Z278" s="23" t="n">
        <v>0.011</v>
      </c>
      <c r="AA278" s="23" t="n">
        <v>24</v>
      </c>
      <c r="AB278" s="9" t="s">
        <v>3054</v>
      </c>
      <c r="AC278" s="9" t="s">
        <v>3082</v>
      </c>
      <c r="AD278" s="23" t="s">
        <v>197</v>
      </c>
      <c r="AE278" s="23" t="s">
        <v>197</v>
      </c>
      <c r="AF278" s="23" t="s">
        <v>197</v>
      </c>
      <c r="AG278" s="23" t="s">
        <v>197</v>
      </c>
      <c r="AH278" s="23" t="s">
        <v>197</v>
      </c>
      <c r="AI278" s="23" t="s">
        <v>197</v>
      </c>
      <c r="AJ278" s="23" t="s">
        <v>197</v>
      </c>
      <c r="AK278" s="23" t="s">
        <v>197</v>
      </c>
      <c r="AL278" s="23" t="s">
        <v>197</v>
      </c>
      <c r="AM278" s="23" t="s">
        <v>197</v>
      </c>
      <c r="AN278" s="9" t="s">
        <v>197</v>
      </c>
      <c r="AO278" s="23" t="s">
        <v>197</v>
      </c>
      <c r="AP278" s="23" t="s">
        <v>197</v>
      </c>
      <c r="AQ278" s="23" t="s">
        <v>197</v>
      </c>
    </row>
    <row r="279" customFormat="false" ht="21.75" hidden="false" customHeight="true" outlineLevel="0" collapsed="false">
      <c r="B279" s="14" t="n">
        <v>275</v>
      </c>
      <c r="C279" s="7" t="s">
        <v>81</v>
      </c>
      <c r="D279" s="7" t="s">
        <v>20</v>
      </c>
      <c r="E279" s="7" t="s">
        <v>116</v>
      </c>
      <c r="F279" s="7" t="s">
        <v>104</v>
      </c>
      <c r="G279" s="7" t="s">
        <v>3131</v>
      </c>
      <c r="H279" s="7" t="s">
        <v>2628</v>
      </c>
      <c r="I279" s="7" t="s">
        <v>3126</v>
      </c>
      <c r="J279" s="7" t="s">
        <v>2918</v>
      </c>
      <c r="K279" s="7" t="s">
        <v>3127</v>
      </c>
      <c r="L279" s="7" t="s">
        <v>3054</v>
      </c>
      <c r="M279" s="7" t="s">
        <v>2514</v>
      </c>
      <c r="N279" s="7" t="s">
        <v>189</v>
      </c>
      <c r="O279" s="7" t="s">
        <v>189</v>
      </c>
      <c r="P279" s="7" t="s">
        <v>190</v>
      </c>
      <c r="Q279" s="7" t="s">
        <v>2765</v>
      </c>
      <c r="R279" s="7" t="s">
        <v>1707</v>
      </c>
      <c r="S279" s="7" t="s">
        <v>3058</v>
      </c>
      <c r="T279" s="7" t="s">
        <v>2621</v>
      </c>
      <c r="U279" s="18" t="n">
        <v>130</v>
      </c>
      <c r="V279" s="7"/>
      <c r="W279" s="7"/>
      <c r="X279" s="7" t="s">
        <v>203</v>
      </c>
      <c r="Y279" s="22" t="n">
        <v>0.00066016</v>
      </c>
      <c r="Z279" s="22" t="n">
        <v>0.01</v>
      </c>
      <c r="AA279" s="22" t="n">
        <v>24</v>
      </c>
      <c r="AB279" s="7" t="s">
        <v>3054</v>
      </c>
      <c r="AC279" s="7" t="s">
        <v>3082</v>
      </c>
      <c r="AD279" s="22" t="s">
        <v>197</v>
      </c>
      <c r="AE279" s="22" t="s">
        <v>197</v>
      </c>
      <c r="AF279" s="22" t="s">
        <v>197</v>
      </c>
      <c r="AG279" s="22" t="s">
        <v>197</v>
      </c>
      <c r="AH279" s="22" t="s">
        <v>197</v>
      </c>
      <c r="AI279" s="22" t="s">
        <v>197</v>
      </c>
      <c r="AJ279" s="22" t="s">
        <v>197</v>
      </c>
      <c r="AK279" s="22" t="s">
        <v>197</v>
      </c>
      <c r="AL279" s="22" t="s">
        <v>197</v>
      </c>
      <c r="AM279" s="22" t="s">
        <v>197</v>
      </c>
      <c r="AN279" s="7" t="s">
        <v>197</v>
      </c>
      <c r="AO279" s="22" t="s">
        <v>197</v>
      </c>
      <c r="AP279" s="22" t="s">
        <v>197</v>
      </c>
      <c r="AQ279" s="22" t="s">
        <v>197</v>
      </c>
    </row>
    <row r="280" customFormat="false" ht="21.75" hidden="false" customHeight="true" outlineLevel="0" collapsed="false">
      <c r="B280" s="15" t="n">
        <v>276</v>
      </c>
      <c r="C280" s="9" t="s">
        <v>81</v>
      </c>
      <c r="D280" s="9" t="s">
        <v>20</v>
      </c>
      <c r="E280" s="9" t="s">
        <v>116</v>
      </c>
      <c r="F280" s="9" t="s">
        <v>104</v>
      </c>
      <c r="G280" s="9" t="s">
        <v>3132</v>
      </c>
      <c r="H280" s="9" t="s">
        <v>2630</v>
      </c>
      <c r="I280" s="9" t="s">
        <v>3126</v>
      </c>
      <c r="J280" s="9" t="s">
        <v>2918</v>
      </c>
      <c r="K280" s="9" t="s">
        <v>3127</v>
      </c>
      <c r="L280" s="9" t="s">
        <v>3054</v>
      </c>
      <c r="M280" s="9" t="s">
        <v>2514</v>
      </c>
      <c r="N280" s="9" t="s">
        <v>189</v>
      </c>
      <c r="O280" s="9" t="s">
        <v>189</v>
      </c>
      <c r="P280" s="9" t="s">
        <v>190</v>
      </c>
      <c r="Q280" s="9" t="s">
        <v>2765</v>
      </c>
      <c r="R280" s="9" t="s">
        <v>1707</v>
      </c>
      <c r="S280" s="9" t="s">
        <v>3058</v>
      </c>
      <c r="T280" s="9" t="s">
        <v>2621</v>
      </c>
      <c r="U280" s="19" t="n">
        <v>190</v>
      </c>
      <c r="V280" s="9"/>
      <c r="W280" s="9"/>
      <c r="X280" s="9" t="s">
        <v>205</v>
      </c>
      <c r="Y280" s="23" t="n">
        <v>0.00059168</v>
      </c>
      <c r="Z280" s="23" t="n">
        <v>0.008</v>
      </c>
      <c r="AA280" s="23" t="n">
        <v>24</v>
      </c>
      <c r="AB280" s="9" t="s">
        <v>3054</v>
      </c>
      <c r="AC280" s="9" t="s">
        <v>3082</v>
      </c>
      <c r="AD280" s="23" t="s">
        <v>197</v>
      </c>
      <c r="AE280" s="23" t="s">
        <v>197</v>
      </c>
      <c r="AF280" s="23" t="s">
        <v>197</v>
      </c>
      <c r="AG280" s="23" t="s">
        <v>197</v>
      </c>
      <c r="AH280" s="23" t="s">
        <v>197</v>
      </c>
      <c r="AI280" s="23" t="s">
        <v>197</v>
      </c>
      <c r="AJ280" s="23" t="s">
        <v>197</v>
      </c>
      <c r="AK280" s="23" t="s">
        <v>197</v>
      </c>
      <c r="AL280" s="23" t="s">
        <v>197</v>
      </c>
      <c r="AM280" s="23" t="s">
        <v>197</v>
      </c>
      <c r="AN280" s="9" t="s">
        <v>197</v>
      </c>
      <c r="AO280" s="23" t="s">
        <v>197</v>
      </c>
      <c r="AP280" s="23" t="s">
        <v>197</v>
      </c>
      <c r="AQ280" s="23" t="s">
        <v>197</v>
      </c>
    </row>
    <row r="281" customFormat="false" ht="21.75" hidden="false" customHeight="true" outlineLevel="0" collapsed="false">
      <c r="B281" s="14" t="n">
        <v>277</v>
      </c>
      <c r="C281" s="7" t="s">
        <v>81</v>
      </c>
      <c r="D281" s="7" t="s">
        <v>20</v>
      </c>
      <c r="E281" s="7" t="s">
        <v>116</v>
      </c>
      <c r="F281" s="7" t="s">
        <v>105</v>
      </c>
      <c r="G281" s="7" t="s">
        <v>3131</v>
      </c>
      <c r="H281" s="7" t="s">
        <v>2632</v>
      </c>
      <c r="I281" s="7" t="s">
        <v>3133</v>
      </c>
      <c r="J281" s="7" t="s">
        <v>3032</v>
      </c>
      <c r="K281" s="7" t="s">
        <v>3127</v>
      </c>
      <c r="L281" s="7" t="s">
        <v>3054</v>
      </c>
      <c r="M281" s="7" t="s">
        <v>2514</v>
      </c>
      <c r="N281" s="7" t="s">
        <v>189</v>
      </c>
      <c r="O281" s="7" t="s">
        <v>189</v>
      </c>
      <c r="P281" s="7" t="s">
        <v>190</v>
      </c>
      <c r="Q281" s="7" t="s">
        <v>2765</v>
      </c>
      <c r="R281" s="7" t="s">
        <v>1950</v>
      </c>
      <c r="S281" s="7" t="s">
        <v>3058</v>
      </c>
      <c r="T281" s="7" t="s">
        <v>2926</v>
      </c>
      <c r="U281" s="18" t="n">
        <v>45</v>
      </c>
      <c r="V281" s="7"/>
      <c r="W281" s="7"/>
      <c r="X281" s="7" t="s">
        <v>195</v>
      </c>
      <c r="Y281" s="22" t="n">
        <v>0.00076016</v>
      </c>
      <c r="Z281" s="22" t="n">
        <v>0.046</v>
      </c>
      <c r="AA281" s="22" t="n">
        <v>24</v>
      </c>
      <c r="AB281" s="7" t="s">
        <v>3054</v>
      </c>
      <c r="AC281" s="7" t="s">
        <v>3082</v>
      </c>
      <c r="AD281" s="22" t="s">
        <v>197</v>
      </c>
      <c r="AE281" s="22" t="s">
        <v>197</v>
      </c>
      <c r="AF281" s="22" t="s">
        <v>197</v>
      </c>
      <c r="AG281" s="22" t="s">
        <v>197</v>
      </c>
      <c r="AH281" s="22" t="s">
        <v>197</v>
      </c>
      <c r="AI281" s="22" t="s">
        <v>197</v>
      </c>
      <c r="AJ281" s="22" t="s">
        <v>197</v>
      </c>
      <c r="AK281" s="22" t="s">
        <v>197</v>
      </c>
      <c r="AL281" s="22" t="s">
        <v>197</v>
      </c>
      <c r="AM281" s="22" t="s">
        <v>197</v>
      </c>
      <c r="AN281" s="7" t="s">
        <v>197</v>
      </c>
      <c r="AO281" s="22" t="s">
        <v>197</v>
      </c>
      <c r="AP281" s="22" t="s">
        <v>197</v>
      </c>
      <c r="AQ281" s="22" t="s">
        <v>197</v>
      </c>
    </row>
    <row r="282" customFormat="false" ht="21.75" hidden="false" customHeight="true" outlineLevel="0" collapsed="false">
      <c r="B282" s="15" t="n">
        <v>278</v>
      </c>
      <c r="C282" s="9" t="s">
        <v>81</v>
      </c>
      <c r="D282" s="9" t="s">
        <v>20</v>
      </c>
      <c r="E282" s="9" t="s">
        <v>116</v>
      </c>
      <c r="F282" s="9" t="s">
        <v>105</v>
      </c>
      <c r="G282" s="9" t="s">
        <v>3134</v>
      </c>
      <c r="H282" s="9" t="s">
        <v>2637</v>
      </c>
      <c r="I282" s="9" t="s">
        <v>3133</v>
      </c>
      <c r="J282" s="9" t="s">
        <v>3032</v>
      </c>
      <c r="K282" s="9" t="s">
        <v>3127</v>
      </c>
      <c r="L282" s="9" t="s">
        <v>3054</v>
      </c>
      <c r="M282" s="9" t="s">
        <v>2514</v>
      </c>
      <c r="N282" s="9" t="s">
        <v>189</v>
      </c>
      <c r="O282" s="9" t="s">
        <v>189</v>
      </c>
      <c r="P282" s="9" t="s">
        <v>190</v>
      </c>
      <c r="Q282" s="9" t="s">
        <v>2765</v>
      </c>
      <c r="R282" s="9" t="s">
        <v>1950</v>
      </c>
      <c r="S282" s="9" t="s">
        <v>3058</v>
      </c>
      <c r="T282" s="9" t="s">
        <v>2926</v>
      </c>
      <c r="U282" s="19" t="n">
        <v>65</v>
      </c>
      <c r="V282" s="9"/>
      <c r="W282" s="9"/>
      <c r="X282" s="9" t="s">
        <v>199</v>
      </c>
      <c r="Y282" s="23" t="n">
        <v>0.00061236</v>
      </c>
      <c r="Z282" s="23" t="n">
        <v>0.031</v>
      </c>
      <c r="AA282" s="23" t="n">
        <v>24</v>
      </c>
      <c r="AB282" s="9" t="s">
        <v>3054</v>
      </c>
      <c r="AC282" s="9" t="s">
        <v>3082</v>
      </c>
      <c r="AD282" s="23" t="s">
        <v>197</v>
      </c>
      <c r="AE282" s="23" t="s">
        <v>197</v>
      </c>
      <c r="AF282" s="23" t="s">
        <v>197</v>
      </c>
      <c r="AG282" s="23" t="s">
        <v>197</v>
      </c>
      <c r="AH282" s="23" t="s">
        <v>197</v>
      </c>
      <c r="AI282" s="23" t="s">
        <v>197</v>
      </c>
      <c r="AJ282" s="23" t="s">
        <v>197</v>
      </c>
      <c r="AK282" s="23" t="s">
        <v>197</v>
      </c>
      <c r="AL282" s="23" t="s">
        <v>197</v>
      </c>
      <c r="AM282" s="23" t="s">
        <v>197</v>
      </c>
      <c r="AN282" s="9" t="s">
        <v>197</v>
      </c>
      <c r="AO282" s="23" t="s">
        <v>197</v>
      </c>
      <c r="AP282" s="23" t="s">
        <v>197</v>
      </c>
      <c r="AQ282" s="23" t="s">
        <v>197</v>
      </c>
    </row>
    <row r="283" customFormat="false" ht="21.75" hidden="false" customHeight="true" outlineLevel="0" collapsed="false">
      <c r="B283" s="14" t="n">
        <v>279</v>
      </c>
      <c r="C283" s="7" t="s">
        <v>81</v>
      </c>
      <c r="D283" s="7" t="s">
        <v>20</v>
      </c>
      <c r="E283" s="7" t="s">
        <v>116</v>
      </c>
      <c r="F283" s="7" t="s">
        <v>105</v>
      </c>
      <c r="G283" s="7" t="s">
        <v>3135</v>
      </c>
      <c r="H283" s="7" t="s">
        <v>2639</v>
      </c>
      <c r="I283" s="7" t="s">
        <v>3133</v>
      </c>
      <c r="J283" s="7" t="s">
        <v>3032</v>
      </c>
      <c r="K283" s="7" t="s">
        <v>3127</v>
      </c>
      <c r="L283" s="7" t="s">
        <v>3054</v>
      </c>
      <c r="M283" s="7" t="s">
        <v>2514</v>
      </c>
      <c r="N283" s="7" t="s">
        <v>189</v>
      </c>
      <c r="O283" s="7" t="s">
        <v>189</v>
      </c>
      <c r="P283" s="7" t="s">
        <v>190</v>
      </c>
      <c r="Q283" s="7" t="s">
        <v>2765</v>
      </c>
      <c r="R283" s="7" t="s">
        <v>1950</v>
      </c>
      <c r="S283" s="7" t="s">
        <v>3058</v>
      </c>
      <c r="T283" s="7" t="s">
        <v>2926</v>
      </c>
      <c r="U283" s="18" t="n">
        <v>90</v>
      </c>
      <c r="V283" s="7"/>
      <c r="W283" s="7"/>
      <c r="X283" s="7" t="s">
        <v>3136</v>
      </c>
      <c r="Y283" s="22" t="n">
        <v>0.0006782</v>
      </c>
      <c r="Z283" s="22" t="n">
        <v>0.038</v>
      </c>
      <c r="AA283" s="22" t="n">
        <v>24</v>
      </c>
      <c r="AB283" s="7" t="s">
        <v>3054</v>
      </c>
      <c r="AC283" s="7" t="s">
        <v>3082</v>
      </c>
      <c r="AD283" s="22" t="s">
        <v>197</v>
      </c>
      <c r="AE283" s="22" t="s">
        <v>197</v>
      </c>
      <c r="AF283" s="22" t="s">
        <v>197</v>
      </c>
      <c r="AG283" s="22" t="s">
        <v>197</v>
      </c>
      <c r="AH283" s="22" t="s">
        <v>197</v>
      </c>
      <c r="AI283" s="22" t="s">
        <v>197</v>
      </c>
      <c r="AJ283" s="22" t="s">
        <v>197</v>
      </c>
      <c r="AK283" s="22" t="s">
        <v>197</v>
      </c>
      <c r="AL283" s="22" t="s">
        <v>197</v>
      </c>
      <c r="AM283" s="22" t="s">
        <v>197</v>
      </c>
      <c r="AN283" s="7" t="s">
        <v>197</v>
      </c>
      <c r="AO283" s="22" t="s">
        <v>197</v>
      </c>
      <c r="AP283" s="22" t="s">
        <v>197</v>
      </c>
      <c r="AQ283" s="22" t="s">
        <v>197</v>
      </c>
    </row>
    <row r="284" customFormat="false" ht="21.75" hidden="false" customHeight="true" outlineLevel="0" collapsed="false">
      <c r="B284" s="15" t="n">
        <v>280</v>
      </c>
      <c r="C284" s="9" t="s">
        <v>81</v>
      </c>
      <c r="D284" s="9" t="s">
        <v>20</v>
      </c>
      <c r="E284" s="9" t="s">
        <v>116</v>
      </c>
      <c r="F284" s="9" t="s">
        <v>105</v>
      </c>
      <c r="G284" s="9" t="s">
        <v>3137</v>
      </c>
      <c r="H284" s="9" t="s">
        <v>2642</v>
      </c>
      <c r="I284" s="9" t="s">
        <v>3133</v>
      </c>
      <c r="J284" s="9" t="s">
        <v>3032</v>
      </c>
      <c r="K284" s="9" t="s">
        <v>3127</v>
      </c>
      <c r="L284" s="9" t="s">
        <v>3054</v>
      </c>
      <c r="M284" s="9" t="s">
        <v>2514</v>
      </c>
      <c r="N284" s="9" t="s">
        <v>189</v>
      </c>
      <c r="O284" s="9" t="s">
        <v>189</v>
      </c>
      <c r="P284" s="9" t="s">
        <v>190</v>
      </c>
      <c r="Q284" s="9" t="s">
        <v>2765</v>
      </c>
      <c r="R284" s="9" t="s">
        <v>1950</v>
      </c>
      <c r="S284" s="9" t="s">
        <v>3058</v>
      </c>
      <c r="T284" s="9" t="s">
        <v>2926</v>
      </c>
      <c r="U284" s="19" t="n">
        <v>135</v>
      </c>
      <c r="V284" s="9"/>
      <c r="W284" s="9"/>
      <c r="X284" s="9" t="s">
        <v>203</v>
      </c>
      <c r="Y284" s="23" t="n">
        <v>0.0006606</v>
      </c>
      <c r="Z284" s="23" t="n">
        <v>0.036</v>
      </c>
      <c r="AA284" s="23" t="n">
        <v>24</v>
      </c>
      <c r="AB284" s="9" t="s">
        <v>3054</v>
      </c>
      <c r="AC284" s="9" t="s">
        <v>3082</v>
      </c>
      <c r="AD284" s="23" t="s">
        <v>197</v>
      </c>
      <c r="AE284" s="23" t="s">
        <v>197</v>
      </c>
      <c r="AF284" s="23" t="s">
        <v>197</v>
      </c>
      <c r="AG284" s="23" t="s">
        <v>197</v>
      </c>
      <c r="AH284" s="23" t="s">
        <v>197</v>
      </c>
      <c r="AI284" s="23" t="s">
        <v>197</v>
      </c>
      <c r="AJ284" s="23" t="s">
        <v>197</v>
      </c>
      <c r="AK284" s="23" t="s">
        <v>197</v>
      </c>
      <c r="AL284" s="23" t="s">
        <v>197</v>
      </c>
      <c r="AM284" s="23" t="s">
        <v>197</v>
      </c>
      <c r="AN284" s="9" t="s">
        <v>197</v>
      </c>
      <c r="AO284" s="23" t="s">
        <v>197</v>
      </c>
      <c r="AP284" s="23" t="s">
        <v>197</v>
      </c>
      <c r="AQ284" s="23" t="s">
        <v>197</v>
      </c>
    </row>
    <row r="285" customFormat="false" ht="21.75" hidden="false" customHeight="true" outlineLevel="0" collapsed="false">
      <c r="B285" s="14" t="n">
        <v>281</v>
      </c>
      <c r="C285" s="7" t="s">
        <v>81</v>
      </c>
      <c r="D285" s="7" t="s">
        <v>20</v>
      </c>
      <c r="E285" s="7" t="s">
        <v>116</v>
      </c>
      <c r="F285" s="7" t="s">
        <v>105</v>
      </c>
      <c r="G285" s="7" t="s">
        <v>3138</v>
      </c>
      <c r="H285" s="7" t="s">
        <v>2644</v>
      </c>
      <c r="I285" s="7" t="s">
        <v>3133</v>
      </c>
      <c r="J285" s="7" t="s">
        <v>3032</v>
      </c>
      <c r="K285" s="7" t="s">
        <v>3127</v>
      </c>
      <c r="L285" s="7" t="s">
        <v>3054</v>
      </c>
      <c r="M285" s="7" t="s">
        <v>2514</v>
      </c>
      <c r="N285" s="7" t="s">
        <v>189</v>
      </c>
      <c r="O285" s="7" t="s">
        <v>189</v>
      </c>
      <c r="P285" s="7" t="s">
        <v>190</v>
      </c>
      <c r="Q285" s="7" t="s">
        <v>2765</v>
      </c>
      <c r="R285" s="7" t="s">
        <v>1950</v>
      </c>
      <c r="S285" s="7" t="s">
        <v>3058</v>
      </c>
      <c r="T285" s="7" t="s">
        <v>2926</v>
      </c>
      <c r="U285" s="18" t="n">
        <v>200</v>
      </c>
      <c r="V285" s="7"/>
      <c r="W285" s="7"/>
      <c r="X285" s="7" t="s">
        <v>205</v>
      </c>
      <c r="Y285" s="22" t="n">
        <v>0.00074952</v>
      </c>
      <c r="Z285" s="22" t="n">
        <v>0.045</v>
      </c>
      <c r="AA285" s="22" t="n">
        <v>24</v>
      </c>
      <c r="AB285" s="7" t="s">
        <v>3054</v>
      </c>
      <c r="AC285" s="7" t="s">
        <v>3082</v>
      </c>
      <c r="AD285" s="22" t="s">
        <v>197</v>
      </c>
      <c r="AE285" s="22" t="s">
        <v>197</v>
      </c>
      <c r="AF285" s="22" t="s">
        <v>197</v>
      </c>
      <c r="AG285" s="22" t="s">
        <v>197</v>
      </c>
      <c r="AH285" s="22" t="s">
        <v>197</v>
      </c>
      <c r="AI285" s="22" t="s">
        <v>197</v>
      </c>
      <c r="AJ285" s="22" t="s">
        <v>197</v>
      </c>
      <c r="AK285" s="22" t="s">
        <v>197</v>
      </c>
      <c r="AL285" s="22" t="s">
        <v>197</v>
      </c>
      <c r="AM285" s="22" t="s">
        <v>197</v>
      </c>
      <c r="AN285" s="7" t="s">
        <v>197</v>
      </c>
      <c r="AO285" s="22" t="s">
        <v>197</v>
      </c>
      <c r="AP285" s="22" t="s">
        <v>197</v>
      </c>
      <c r="AQ285" s="22" t="s">
        <v>197</v>
      </c>
    </row>
    <row r="286" customFormat="false" ht="21.75" hidden="false" customHeight="true" outlineLevel="0" collapsed="false">
      <c r="B286" s="15" t="n">
        <v>282</v>
      </c>
      <c r="C286" s="9" t="s">
        <v>81</v>
      </c>
      <c r="D286" s="9" t="s">
        <v>20</v>
      </c>
      <c r="E286" s="9" t="s">
        <v>116</v>
      </c>
      <c r="F286" s="9" t="s">
        <v>106</v>
      </c>
      <c r="G286" s="9" t="s">
        <v>391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19"/>
      <c r="V286" s="9"/>
      <c r="W286" s="9"/>
      <c r="X286" s="9" t="s">
        <v>3139</v>
      </c>
      <c r="Y286" s="23" t="s">
        <v>197</v>
      </c>
      <c r="Z286" s="23" t="s">
        <v>197</v>
      </c>
      <c r="AA286" s="23" t="s">
        <v>197</v>
      </c>
      <c r="AB286" s="9" t="s">
        <v>197</v>
      </c>
      <c r="AC286" s="9" t="s">
        <v>197</v>
      </c>
      <c r="AD286" s="23" t="s">
        <v>197</v>
      </c>
      <c r="AE286" s="23" t="s">
        <v>197</v>
      </c>
      <c r="AF286" s="23" t="s">
        <v>197</v>
      </c>
      <c r="AG286" s="23" t="s">
        <v>197</v>
      </c>
      <c r="AH286" s="23" t="s">
        <v>197</v>
      </c>
      <c r="AI286" s="23" t="s">
        <v>197</v>
      </c>
      <c r="AJ286" s="23" t="s">
        <v>197</v>
      </c>
      <c r="AK286" s="23" t="s">
        <v>197</v>
      </c>
      <c r="AL286" s="23" t="s">
        <v>197</v>
      </c>
      <c r="AM286" s="23" t="s">
        <v>197</v>
      </c>
      <c r="AN286" s="9" t="s">
        <v>197</v>
      </c>
      <c r="AO286" s="23" t="s">
        <v>197</v>
      </c>
      <c r="AP286" s="23" t="s">
        <v>197</v>
      </c>
      <c r="AQ286" s="23" t="s">
        <v>197</v>
      </c>
    </row>
    <row r="287" customFormat="false" ht="21.75" hidden="false" customHeight="true" outlineLevel="0" collapsed="false">
      <c r="B287" s="14" t="n">
        <v>283</v>
      </c>
      <c r="C287" s="7" t="s">
        <v>81</v>
      </c>
      <c r="D287" s="7" t="s">
        <v>20</v>
      </c>
      <c r="E287" s="7" t="s">
        <v>116</v>
      </c>
      <c r="F287" s="7" t="s">
        <v>107</v>
      </c>
      <c r="G287" s="7" t="s">
        <v>391</v>
      </c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18"/>
      <c r="V287" s="7"/>
      <c r="W287" s="7"/>
      <c r="X287" s="7" t="s">
        <v>3140</v>
      </c>
      <c r="Y287" s="22" t="s">
        <v>197</v>
      </c>
      <c r="Z287" s="22" t="s">
        <v>197</v>
      </c>
      <c r="AA287" s="22" t="s">
        <v>197</v>
      </c>
      <c r="AB287" s="7" t="s">
        <v>197</v>
      </c>
      <c r="AC287" s="7" t="s">
        <v>197</v>
      </c>
      <c r="AD287" s="22" t="s">
        <v>197</v>
      </c>
      <c r="AE287" s="22" t="s">
        <v>197</v>
      </c>
      <c r="AF287" s="22" t="s">
        <v>197</v>
      </c>
      <c r="AG287" s="22" t="s">
        <v>197</v>
      </c>
      <c r="AH287" s="22" t="s">
        <v>197</v>
      </c>
      <c r="AI287" s="22" t="s">
        <v>197</v>
      </c>
      <c r="AJ287" s="22" t="s">
        <v>197</v>
      </c>
      <c r="AK287" s="22" t="s">
        <v>197</v>
      </c>
      <c r="AL287" s="22" t="s">
        <v>197</v>
      </c>
      <c r="AM287" s="22" t="s">
        <v>197</v>
      </c>
      <c r="AN287" s="7" t="s">
        <v>197</v>
      </c>
      <c r="AO287" s="22" t="s">
        <v>197</v>
      </c>
      <c r="AP287" s="22" t="s">
        <v>197</v>
      </c>
      <c r="AQ287" s="22" t="s">
        <v>197</v>
      </c>
    </row>
    <row r="288" customFormat="false" ht="21.75" hidden="false" customHeight="true" outlineLevel="0" collapsed="false">
      <c r="B288" s="15" t="n">
        <v>284</v>
      </c>
      <c r="C288" s="9" t="s">
        <v>81</v>
      </c>
      <c r="D288" s="9" t="s">
        <v>20</v>
      </c>
      <c r="E288" s="9" t="s">
        <v>116</v>
      </c>
      <c r="F288" s="9" t="s">
        <v>108</v>
      </c>
      <c r="G288" s="9" t="s">
        <v>391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9"/>
      <c r="V288" s="9"/>
      <c r="W288" s="9"/>
      <c r="X288" s="9" t="s">
        <v>3141</v>
      </c>
      <c r="Y288" s="23" t="s">
        <v>197</v>
      </c>
      <c r="Z288" s="23" t="s">
        <v>197</v>
      </c>
      <c r="AA288" s="23" t="s">
        <v>197</v>
      </c>
      <c r="AB288" s="9" t="s">
        <v>197</v>
      </c>
      <c r="AC288" s="9" t="s">
        <v>197</v>
      </c>
      <c r="AD288" s="23" t="s">
        <v>197</v>
      </c>
      <c r="AE288" s="23" t="s">
        <v>197</v>
      </c>
      <c r="AF288" s="23" t="s">
        <v>197</v>
      </c>
      <c r="AG288" s="23" t="s">
        <v>197</v>
      </c>
      <c r="AH288" s="23" t="s">
        <v>197</v>
      </c>
      <c r="AI288" s="23" t="s">
        <v>197</v>
      </c>
      <c r="AJ288" s="23" t="s">
        <v>197</v>
      </c>
      <c r="AK288" s="23" t="s">
        <v>197</v>
      </c>
      <c r="AL288" s="23" t="s">
        <v>197</v>
      </c>
      <c r="AM288" s="23" t="s">
        <v>197</v>
      </c>
      <c r="AN288" s="9" t="s">
        <v>197</v>
      </c>
      <c r="AO288" s="23" t="s">
        <v>197</v>
      </c>
      <c r="AP288" s="23" t="s">
        <v>197</v>
      </c>
      <c r="AQ288" s="23" t="s">
        <v>197</v>
      </c>
    </row>
    <row r="289" customFormat="false" ht="21.75" hidden="false" customHeight="true" outlineLevel="0" collapsed="false">
      <c r="B289" s="14" t="n">
        <v>285</v>
      </c>
      <c r="C289" s="7" t="s">
        <v>82</v>
      </c>
      <c r="D289" s="7" t="s">
        <v>23</v>
      </c>
      <c r="E289" s="7" t="s">
        <v>121</v>
      </c>
      <c r="F289" s="7" t="s">
        <v>93</v>
      </c>
      <c r="G289" s="7" t="s">
        <v>3142</v>
      </c>
      <c r="H289" s="7" t="s">
        <v>3143</v>
      </c>
      <c r="I289" s="7" t="s">
        <v>3067</v>
      </c>
      <c r="J289" s="7" t="s">
        <v>3144</v>
      </c>
      <c r="K289" s="7" t="s">
        <v>3145</v>
      </c>
      <c r="L289" s="7" t="s">
        <v>3146</v>
      </c>
      <c r="M289" s="7" t="s">
        <v>3147</v>
      </c>
      <c r="N289" s="7" t="s">
        <v>3148</v>
      </c>
      <c r="O289" s="7" t="s">
        <v>189</v>
      </c>
      <c r="P289" s="7" t="s">
        <v>640</v>
      </c>
      <c r="Q289" s="7" t="s">
        <v>3149</v>
      </c>
      <c r="R289" s="7" t="s">
        <v>3150</v>
      </c>
      <c r="S289" s="7" t="s">
        <v>3151</v>
      </c>
      <c r="T289" s="7" t="s">
        <v>3152</v>
      </c>
      <c r="U289" s="18" t="n">
        <v>525</v>
      </c>
      <c r="V289" s="7"/>
      <c r="W289" s="7"/>
      <c r="X289" s="7" t="s">
        <v>195</v>
      </c>
      <c r="Y289" s="22" t="n">
        <v>0.4</v>
      </c>
      <c r="Z289" s="22" t="n">
        <v>1.54</v>
      </c>
      <c r="AA289" s="22" t="n">
        <v>24</v>
      </c>
      <c r="AB289" s="7" t="s">
        <v>3146</v>
      </c>
      <c r="AC289" s="7" t="s">
        <v>3153</v>
      </c>
      <c r="AD289" s="22" t="n">
        <v>0.4</v>
      </c>
      <c r="AE289" s="22" t="n">
        <v>1.54</v>
      </c>
      <c r="AF289" s="22" t="n">
        <v>6</v>
      </c>
      <c r="AG289" s="22" t="s">
        <v>197</v>
      </c>
      <c r="AH289" s="22" t="n">
        <v>2</v>
      </c>
      <c r="AI289" s="22" t="n">
        <v>254</v>
      </c>
      <c r="AJ289" s="22" t="s">
        <v>197</v>
      </c>
      <c r="AK289" s="22" t="s">
        <v>197</v>
      </c>
      <c r="AL289" s="22" t="s">
        <v>197</v>
      </c>
      <c r="AM289" s="22" t="s">
        <v>197</v>
      </c>
      <c r="AN289" s="7" t="s">
        <v>197</v>
      </c>
      <c r="AO289" s="22" t="s">
        <v>197</v>
      </c>
      <c r="AP289" s="22" t="s">
        <v>197</v>
      </c>
      <c r="AQ289" s="22" t="s">
        <v>197</v>
      </c>
    </row>
    <row r="290" customFormat="false" ht="21.75" hidden="false" customHeight="true" outlineLevel="0" collapsed="false">
      <c r="B290" s="15" t="n">
        <v>286</v>
      </c>
      <c r="C290" s="9" t="s">
        <v>82</v>
      </c>
      <c r="D290" s="9" t="s">
        <v>23</v>
      </c>
      <c r="E290" s="9" t="s">
        <v>121</v>
      </c>
      <c r="F290" s="9" t="s">
        <v>93</v>
      </c>
      <c r="G290" s="9" t="s">
        <v>3154</v>
      </c>
      <c r="H290" s="9" t="s">
        <v>3143</v>
      </c>
      <c r="I290" s="9" t="s">
        <v>3067</v>
      </c>
      <c r="J290" s="9" t="s">
        <v>3144</v>
      </c>
      <c r="K290" s="9" t="s">
        <v>3145</v>
      </c>
      <c r="L290" s="9" t="s">
        <v>3146</v>
      </c>
      <c r="M290" s="9" t="s">
        <v>3147</v>
      </c>
      <c r="N290" s="9" t="s">
        <v>3148</v>
      </c>
      <c r="O290" s="9" t="s">
        <v>189</v>
      </c>
      <c r="P290" s="9" t="s">
        <v>640</v>
      </c>
      <c r="Q290" s="9" t="s">
        <v>3149</v>
      </c>
      <c r="R290" s="9" t="s">
        <v>3150</v>
      </c>
      <c r="S290" s="9" t="s">
        <v>3151</v>
      </c>
      <c r="T290" s="9" t="s">
        <v>3152</v>
      </c>
      <c r="U290" s="19" t="n">
        <v>785</v>
      </c>
      <c r="V290" s="9"/>
      <c r="W290" s="9"/>
      <c r="X290" s="9" t="s">
        <v>199</v>
      </c>
      <c r="Y290" s="23" t="n">
        <v>0.4</v>
      </c>
      <c r="Z290" s="23" t="n">
        <v>1.882</v>
      </c>
      <c r="AA290" s="23" t="n">
        <v>24</v>
      </c>
      <c r="AB290" s="9" t="s">
        <v>3146</v>
      </c>
      <c r="AC290" s="9" t="s">
        <v>3153</v>
      </c>
      <c r="AD290" s="23" t="n">
        <v>0.4</v>
      </c>
      <c r="AE290" s="23" t="n">
        <v>1.882</v>
      </c>
      <c r="AF290" s="23" t="n">
        <v>6</v>
      </c>
      <c r="AG290" s="23" t="s">
        <v>197</v>
      </c>
      <c r="AH290" s="23" t="n">
        <v>2</v>
      </c>
      <c r="AI290" s="23" t="n">
        <v>254</v>
      </c>
      <c r="AJ290" s="23" t="s">
        <v>197</v>
      </c>
      <c r="AK290" s="23" t="s">
        <v>197</v>
      </c>
      <c r="AL290" s="23" t="s">
        <v>197</v>
      </c>
      <c r="AM290" s="23" t="s">
        <v>197</v>
      </c>
      <c r="AN290" s="9" t="s">
        <v>197</v>
      </c>
      <c r="AO290" s="23" t="s">
        <v>197</v>
      </c>
      <c r="AP290" s="23" t="s">
        <v>197</v>
      </c>
      <c r="AQ290" s="23" t="s">
        <v>197</v>
      </c>
    </row>
    <row r="291" customFormat="false" ht="21.75" hidden="false" customHeight="true" outlineLevel="0" collapsed="false">
      <c r="B291" s="14" t="n">
        <v>287</v>
      </c>
      <c r="C291" s="7" t="s">
        <v>82</v>
      </c>
      <c r="D291" s="7" t="s">
        <v>23</v>
      </c>
      <c r="E291" s="7" t="s">
        <v>121</v>
      </c>
      <c r="F291" s="7" t="s">
        <v>93</v>
      </c>
      <c r="G291" s="7" t="s">
        <v>3155</v>
      </c>
      <c r="H291" s="7" t="s">
        <v>3143</v>
      </c>
      <c r="I291" s="7" t="s">
        <v>3067</v>
      </c>
      <c r="J291" s="7" t="s">
        <v>3144</v>
      </c>
      <c r="K291" s="7" t="s">
        <v>3145</v>
      </c>
      <c r="L291" s="7" t="s">
        <v>3146</v>
      </c>
      <c r="M291" s="7" t="s">
        <v>3147</v>
      </c>
      <c r="N291" s="7" t="s">
        <v>3148</v>
      </c>
      <c r="O291" s="7" t="s">
        <v>189</v>
      </c>
      <c r="P291" s="7" t="s">
        <v>640</v>
      </c>
      <c r="Q291" s="7" t="s">
        <v>3149</v>
      </c>
      <c r="R291" s="7" t="s">
        <v>3150</v>
      </c>
      <c r="S291" s="7" t="s">
        <v>3151</v>
      </c>
      <c r="T291" s="7" t="s">
        <v>3152</v>
      </c>
      <c r="U291" s="18" t="n">
        <v>1050</v>
      </c>
      <c r="V291" s="7"/>
      <c r="W291" s="7"/>
      <c r="X291" s="7" t="s">
        <v>3156</v>
      </c>
      <c r="Y291" s="22" t="n">
        <v>0.4</v>
      </c>
      <c r="Z291" s="22" t="n">
        <v>1.263</v>
      </c>
      <c r="AA291" s="22" t="n">
        <v>24</v>
      </c>
      <c r="AB291" s="7" t="s">
        <v>3146</v>
      </c>
      <c r="AC291" s="7" t="s">
        <v>3153</v>
      </c>
      <c r="AD291" s="22" t="n">
        <v>0.4</v>
      </c>
      <c r="AE291" s="22" t="n">
        <v>1.263</v>
      </c>
      <c r="AF291" s="22" t="n">
        <v>6</v>
      </c>
      <c r="AG291" s="22" t="s">
        <v>197</v>
      </c>
      <c r="AH291" s="22" t="n">
        <v>2</v>
      </c>
      <c r="AI291" s="22" t="n">
        <v>254</v>
      </c>
      <c r="AJ291" s="22" t="s">
        <v>197</v>
      </c>
      <c r="AK291" s="22" t="s">
        <v>197</v>
      </c>
      <c r="AL291" s="22" t="s">
        <v>197</v>
      </c>
      <c r="AM291" s="22" t="s">
        <v>197</v>
      </c>
      <c r="AN291" s="7" t="s">
        <v>197</v>
      </c>
      <c r="AO291" s="22" t="s">
        <v>197</v>
      </c>
      <c r="AP291" s="22" t="s">
        <v>197</v>
      </c>
      <c r="AQ291" s="22" t="s">
        <v>197</v>
      </c>
    </row>
    <row r="292" customFormat="false" ht="21.75" hidden="false" customHeight="true" outlineLevel="0" collapsed="false">
      <c r="B292" s="15" t="n">
        <v>288</v>
      </c>
      <c r="C292" s="9" t="s">
        <v>82</v>
      </c>
      <c r="D292" s="9" t="s">
        <v>23</v>
      </c>
      <c r="E292" s="9" t="s">
        <v>121</v>
      </c>
      <c r="F292" s="9" t="s">
        <v>93</v>
      </c>
      <c r="G292" s="9" t="s">
        <v>3157</v>
      </c>
      <c r="H292" s="9" t="s">
        <v>3143</v>
      </c>
      <c r="I292" s="9" t="s">
        <v>3067</v>
      </c>
      <c r="J292" s="9" t="s">
        <v>3144</v>
      </c>
      <c r="K292" s="9" t="s">
        <v>3145</v>
      </c>
      <c r="L292" s="9" t="s">
        <v>3146</v>
      </c>
      <c r="M292" s="9" t="s">
        <v>3147</v>
      </c>
      <c r="N292" s="9" t="s">
        <v>3148</v>
      </c>
      <c r="O292" s="9" t="s">
        <v>189</v>
      </c>
      <c r="P292" s="9" t="s">
        <v>640</v>
      </c>
      <c r="Q292" s="9" t="s">
        <v>3149</v>
      </c>
      <c r="R292" s="9" t="s">
        <v>3150</v>
      </c>
      <c r="S292" s="9" t="s">
        <v>3151</v>
      </c>
      <c r="T292" s="9" t="s">
        <v>3152</v>
      </c>
      <c r="U292" s="19" t="n">
        <v>1575</v>
      </c>
      <c r="V292" s="9"/>
      <c r="W292" s="9"/>
      <c r="X292" s="9" t="s">
        <v>203</v>
      </c>
      <c r="Y292" s="23" t="n">
        <v>0.4</v>
      </c>
      <c r="Z292" s="23" t="n">
        <v>1.632</v>
      </c>
      <c r="AA292" s="23" t="n">
        <v>24</v>
      </c>
      <c r="AB292" s="9" t="s">
        <v>3146</v>
      </c>
      <c r="AC292" s="9" t="s">
        <v>3153</v>
      </c>
      <c r="AD292" s="23" t="n">
        <v>0.4</v>
      </c>
      <c r="AE292" s="23" t="n">
        <v>1.632</v>
      </c>
      <c r="AF292" s="23" t="n">
        <v>6</v>
      </c>
      <c r="AG292" s="23" t="s">
        <v>197</v>
      </c>
      <c r="AH292" s="23" t="n">
        <v>2</v>
      </c>
      <c r="AI292" s="23" t="n">
        <v>254</v>
      </c>
      <c r="AJ292" s="23" t="s">
        <v>197</v>
      </c>
      <c r="AK292" s="23" t="s">
        <v>197</v>
      </c>
      <c r="AL292" s="23" t="s">
        <v>197</v>
      </c>
      <c r="AM292" s="23" t="s">
        <v>197</v>
      </c>
      <c r="AN292" s="9" t="s">
        <v>197</v>
      </c>
      <c r="AO292" s="23" t="s">
        <v>197</v>
      </c>
      <c r="AP292" s="23" t="s">
        <v>197</v>
      </c>
      <c r="AQ292" s="23" t="s">
        <v>197</v>
      </c>
    </row>
    <row r="293" customFormat="false" ht="21.75" hidden="false" customHeight="true" outlineLevel="0" collapsed="false">
      <c r="B293" s="14" t="n">
        <v>289</v>
      </c>
      <c r="C293" s="7" t="s">
        <v>82</v>
      </c>
      <c r="D293" s="7" t="s">
        <v>23</v>
      </c>
      <c r="E293" s="7" t="s">
        <v>121</v>
      </c>
      <c r="F293" s="7" t="s">
        <v>93</v>
      </c>
      <c r="G293" s="7" t="s">
        <v>3158</v>
      </c>
      <c r="H293" s="7" t="s">
        <v>3143</v>
      </c>
      <c r="I293" s="7" t="s">
        <v>3067</v>
      </c>
      <c r="J293" s="7" t="s">
        <v>3144</v>
      </c>
      <c r="K293" s="7" t="s">
        <v>3145</v>
      </c>
      <c r="L293" s="7" t="s">
        <v>3146</v>
      </c>
      <c r="M293" s="7" t="s">
        <v>3147</v>
      </c>
      <c r="N293" s="7" t="s">
        <v>3148</v>
      </c>
      <c r="O293" s="7" t="s">
        <v>189</v>
      </c>
      <c r="P293" s="7" t="s">
        <v>640</v>
      </c>
      <c r="Q293" s="7" t="s">
        <v>3149</v>
      </c>
      <c r="R293" s="7" t="s">
        <v>3150</v>
      </c>
      <c r="S293" s="7" t="s">
        <v>3151</v>
      </c>
      <c r="T293" s="7" t="s">
        <v>3152</v>
      </c>
      <c r="U293" s="18" t="n">
        <v>2310</v>
      </c>
      <c r="V293" s="7"/>
      <c r="W293" s="7"/>
      <c r="X293" s="7" t="s">
        <v>205</v>
      </c>
      <c r="Y293" s="22" t="n">
        <v>0.4</v>
      </c>
      <c r="Z293" s="22" t="n">
        <v>1.965</v>
      </c>
      <c r="AA293" s="22" t="n">
        <v>24</v>
      </c>
      <c r="AB293" s="7" t="s">
        <v>3146</v>
      </c>
      <c r="AC293" s="7" t="s">
        <v>3153</v>
      </c>
      <c r="AD293" s="22" t="n">
        <v>0.4</v>
      </c>
      <c r="AE293" s="22" t="n">
        <v>1.965</v>
      </c>
      <c r="AF293" s="22" t="n">
        <v>6</v>
      </c>
      <c r="AG293" s="22" t="s">
        <v>197</v>
      </c>
      <c r="AH293" s="22" t="n">
        <v>2</v>
      </c>
      <c r="AI293" s="22" t="n">
        <v>254</v>
      </c>
      <c r="AJ293" s="22" t="s">
        <v>197</v>
      </c>
      <c r="AK293" s="22" t="s">
        <v>197</v>
      </c>
      <c r="AL293" s="22" t="s">
        <v>197</v>
      </c>
      <c r="AM293" s="22" t="s">
        <v>197</v>
      </c>
      <c r="AN293" s="7" t="s">
        <v>197</v>
      </c>
      <c r="AO293" s="22" t="s">
        <v>197</v>
      </c>
      <c r="AP293" s="22" t="s">
        <v>197</v>
      </c>
      <c r="AQ293" s="22" t="s">
        <v>197</v>
      </c>
    </row>
    <row r="294" customFormat="false" ht="21.75" hidden="false" customHeight="true" outlineLevel="0" collapsed="false">
      <c r="B294" s="15" t="n">
        <v>290</v>
      </c>
      <c r="C294" s="9" t="s">
        <v>82</v>
      </c>
      <c r="D294" s="9" t="s">
        <v>23</v>
      </c>
      <c r="E294" s="9" t="s">
        <v>121</v>
      </c>
      <c r="F294" s="9" t="s">
        <v>94</v>
      </c>
      <c r="G294" s="9" t="s">
        <v>3159</v>
      </c>
      <c r="H294" s="9" t="s">
        <v>3160</v>
      </c>
      <c r="I294" s="9" t="s">
        <v>3161</v>
      </c>
      <c r="J294" s="9" t="s">
        <v>3162</v>
      </c>
      <c r="K294" s="9" t="s">
        <v>189</v>
      </c>
      <c r="L294" s="9" t="s">
        <v>3146</v>
      </c>
      <c r="M294" s="9" t="s">
        <v>3163</v>
      </c>
      <c r="N294" s="9" t="s">
        <v>3164</v>
      </c>
      <c r="O294" s="9" t="s">
        <v>189</v>
      </c>
      <c r="P294" s="9" t="s">
        <v>640</v>
      </c>
      <c r="Q294" s="9" t="s">
        <v>3165</v>
      </c>
      <c r="R294" s="9" t="s">
        <v>192</v>
      </c>
      <c r="S294" s="9" t="s">
        <v>3151</v>
      </c>
      <c r="T294" s="9" t="s">
        <v>3166</v>
      </c>
      <c r="U294" s="19" t="n">
        <v>130</v>
      </c>
      <c r="V294" s="9"/>
      <c r="W294" s="9"/>
      <c r="X294" s="9" t="s">
        <v>195</v>
      </c>
      <c r="Y294" s="23" t="n">
        <v>0.15</v>
      </c>
      <c r="Z294" s="23" t="n">
        <v>1.346</v>
      </c>
      <c r="AA294" s="23" t="n">
        <v>24</v>
      </c>
      <c r="AB294" s="9" t="s">
        <v>3146</v>
      </c>
      <c r="AC294" s="9" t="s">
        <v>3153</v>
      </c>
      <c r="AD294" s="23" t="n">
        <v>0.15</v>
      </c>
      <c r="AE294" s="23" t="n">
        <v>1.346</v>
      </c>
      <c r="AF294" s="23" t="n">
        <v>2.5</v>
      </c>
      <c r="AG294" s="23" t="n">
        <v>2</v>
      </c>
      <c r="AH294" s="23" t="s">
        <v>197</v>
      </c>
      <c r="AI294" s="23" t="s">
        <v>197</v>
      </c>
      <c r="AJ294" s="23" t="s">
        <v>197</v>
      </c>
      <c r="AK294" s="23" t="s">
        <v>197</v>
      </c>
      <c r="AL294" s="23" t="s">
        <v>197</v>
      </c>
      <c r="AM294" s="23" t="s">
        <v>197</v>
      </c>
      <c r="AN294" s="9" t="s">
        <v>197</v>
      </c>
      <c r="AO294" s="23" t="s">
        <v>197</v>
      </c>
      <c r="AP294" s="23" t="s">
        <v>197</v>
      </c>
      <c r="AQ294" s="23" t="s">
        <v>197</v>
      </c>
    </row>
    <row r="295" customFormat="false" ht="21.75" hidden="false" customHeight="true" outlineLevel="0" collapsed="false">
      <c r="B295" s="14" t="n">
        <v>291</v>
      </c>
      <c r="C295" s="7" t="s">
        <v>82</v>
      </c>
      <c r="D295" s="7" t="s">
        <v>23</v>
      </c>
      <c r="E295" s="7" t="s">
        <v>121</v>
      </c>
      <c r="F295" s="7" t="s">
        <v>94</v>
      </c>
      <c r="G295" s="7" t="s">
        <v>3167</v>
      </c>
      <c r="H295" s="7" t="s">
        <v>3160</v>
      </c>
      <c r="I295" s="7" t="s">
        <v>3161</v>
      </c>
      <c r="J295" s="7" t="s">
        <v>3162</v>
      </c>
      <c r="K295" s="7" t="s">
        <v>189</v>
      </c>
      <c r="L295" s="7" t="s">
        <v>3146</v>
      </c>
      <c r="M295" s="7" t="s">
        <v>3163</v>
      </c>
      <c r="N295" s="7" t="s">
        <v>3164</v>
      </c>
      <c r="O295" s="7" t="s">
        <v>189</v>
      </c>
      <c r="P295" s="7" t="s">
        <v>640</v>
      </c>
      <c r="Q295" s="7" t="s">
        <v>3165</v>
      </c>
      <c r="R295" s="7" t="s">
        <v>192</v>
      </c>
      <c r="S295" s="7" t="s">
        <v>3151</v>
      </c>
      <c r="T295" s="7" t="s">
        <v>3166</v>
      </c>
      <c r="U295" s="18" t="n">
        <v>195</v>
      </c>
      <c r="V295" s="7"/>
      <c r="W295" s="7"/>
      <c r="X295" s="7" t="s">
        <v>199</v>
      </c>
      <c r="Y295" s="22" t="n">
        <v>0.15</v>
      </c>
      <c r="Z295" s="22" t="n">
        <v>2.334</v>
      </c>
      <c r="AA295" s="22" t="n">
        <v>24</v>
      </c>
      <c r="AB295" s="7" t="s">
        <v>3146</v>
      </c>
      <c r="AC295" s="7" t="s">
        <v>3153</v>
      </c>
      <c r="AD295" s="22" t="n">
        <v>0.15</v>
      </c>
      <c r="AE295" s="22" t="n">
        <v>2.334</v>
      </c>
      <c r="AF295" s="22" t="n">
        <v>2.5</v>
      </c>
      <c r="AG295" s="22" t="n">
        <v>2</v>
      </c>
      <c r="AH295" s="22" t="s">
        <v>197</v>
      </c>
      <c r="AI295" s="22" t="s">
        <v>197</v>
      </c>
      <c r="AJ295" s="22" t="s">
        <v>197</v>
      </c>
      <c r="AK295" s="22" t="s">
        <v>197</v>
      </c>
      <c r="AL295" s="22" t="s">
        <v>197</v>
      </c>
      <c r="AM295" s="22" t="s">
        <v>197</v>
      </c>
      <c r="AN295" s="7" t="s">
        <v>197</v>
      </c>
      <c r="AO295" s="22" t="s">
        <v>197</v>
      </c>
      <c r="AP295" s="22" t="s">
        <v>197</v>
      </c>
      <c r="AQ295" s="22" t="s">
        <v>197</v>
      </c>
    </row>
    <row r="296" customFormat="false" ht="21.75" hidden="false" customHeight="true" outlineLevel="0" collapsed="false">
      <c r="B296" s="15" t="n">
        <v>292</v>
      </c>
      <c r="C296" s="9" t="s">
        <v>82</v>
      </c>
      <c r="D296" s="9" t="s">
        <v>23</v>
      </c>
      <c r="E296" s="9" t="s">
        <v>121</v>
      </c>
      <c r="F296" s="9" t="s">
        <v>94</v>
      </c>
      <c r="G296" s="9" t="s">
        <v>3168</v>
      </c>
      <c r="H296" s="9" t="s">
        <v>3160</v>
      </c>
      <c r="I296" s="9" t="s">
        <v>3161</v>
      </c>
      <c r="J296" s="9" t="s">
        <v>3162</v>
      </c>
      <c r="K296" s="9" t="s">
        <v>189</v>
      </c>
      <c r="L296" s="9" t="s">
        <v>3146</v>
      </c>
      <c r="M296" s="9" t="s">
        <v>3163</v>
      </c>
      <c r="N296" s="9" t="s">
        <v>3164</v>
      </c>
      <c r="O296" s="9" t="s">
        <v>189</v>
      </c>
      <c r="P296" s="9" t="s">
        <v>640</v>
      </c>
      <c r="Q296" s="9" t="s">
        <v>3165</v>
      </c>
      <c r="R296" s="9" t="s">
        <v>192</v>
      </c>
      <c r="S296" s="9" t="s">
        <v>3151</v>
      </c>
      <c r="T296" s="9" t="s">
        <v>3166</v>
      </c>
      <c r="U296" s="19" t="n">
        <v>260</v>
      </c>
      <c r="V296" s="9"/>
      <c r="W296" s="9"/>
      <c r="X296" s="9" t="s">
        <v>3169</v>
      </c>
      <c r="Y296" s="23" t="n">
        <v>0.15</v>
      </c>
      <c r="Z296" s="23" t="n">
        <v>1.403</v>
      </c>
      <c r="AA296" s="23" t="n">
        <v>24</v>
      </c>
      <c r="AB296" s="9" t="s">
        <v>3146</v>
      </c>
      <c r="AC296" s="9" t="s">
        <v>3153</v>
      </c>
      <c r="AD296" s="23" t="n">
        <v>0.15</v>
      </c>
      <c r="AE296" s="23" t="n">
        <v>1.403</v>
      </c>
      <c r="AF296" s="23" t="n">
        <v>2.5</v>
      </c>
      <c r="AG296" s="23" t="n">
        <v>2</v>
      </c>
      <c r="AH296" s="23" t="s">
        <v>197</v>
      </c>
      <c r="AI296" s="23" t="s">
        <v>197</v>
      </c>
      <c r="AJ296" s="23" t="s">
        <v>197</v>
      </c>
      <c r="AK296" s="23" t="s">
        <v>197</v>
      </c>
      <c r="AL296" s="23" t="s">
        <v>197</v>
      </c>
      <c r="AM296" s="23" t="s">
        <v>197</v>
      </c>
      <c r="AN296" s="9" t="s">
        <v>197</v>
      </c>
      <c r="AO296" s="23" t="s">
        <v>197</v>
      </c>
      <c r="AP296" s="23" t="s">
        <v>197</v>
      </c>
      <c r="AQ296" s="23" t="s">
        <v>197</v>
      </c>
    </row>
    <row r="297" customFormat="false" ht="21.75" hidden="false" customHeight="true" outlineLevel="0" collapsed="false">
      <c r="B297" s="14" t="n">
        <v>293</v>
      </c>
      <c r="C297" s="7" t="s">
        <v>82</v>
      </c>
      <c r="D297" s="7" t="s">
        <v>23</v>
      </c>
      <c r="E297" s="7" t="s">
        <v>121</v>
      </c>
      <c r="F297" s="7" t="s">
        <v>94</v>
      </c>
      <c r="G297" s="7" t="s">
        <v>3170</v>
      </c>
      <c r="H297" s="7" t="s">
        <v>3160</v>
      </c>
      <c r="I297" s="7" t="s">
        <v>3161</v>
      </c>
      <c r="J297" s="7" t="s">
        <v>3162</v>
      </c>
      <c r="K297" s="7" t="s">
        <v>189</v>
      </c>
      <c r="L297" s="7" t="s">
        <v>3146</v>
      </c>
      <c r="M297" s="7" t="s">
        <v>3163</v>
      </c>
      <c r="N297" s="7" t="s">
        <v>3164</v>
      </c>
      <c r="O297" s="7" t="s">
        <v>189</v>
      </c>
      <c r="P297" s="7" t="s">
        <v>640</v>
      </c>
      <c r="Q297" s="7" t="s">
        <v>3165</v>
      </c>
      <c r="R297" s="7" t="s">
        <v>192</v>
      </c>
      <c r="S297" s="7" t="s">
        <v>3151</v>
      </c>
      <c r="T297" s="7" t="s">
        <v>3166</v>
      </c>
      <c r="U297" s="18" t="n">
        <v>390</v>
      </c>
      <c r="V297" s="7"/>
      <c r="W297" s="7"/>
      <c r="X297" s="7" t="s">
        <v>203</v>
      </c>
      <c r="Y297" s="22" t="n">
        <v>0.15</v>
      </c>
      <c r="Z297" s="22" t="n">
        <v>3.332</v>
      </c>
      <c r="AA297" s="22" t="n">
        <v>24</v>
      </c>
      <c r="AB297" s="7" t="s">
        <v>3146</v>
      </c>
      <c r="AC297" s="7" t="s">
        <v>3153</v>
      </c>
      <c r="AD297" s="22" t="n">
        <v>0.15</v>
      </c>
      <c r="AE297" s="22" t="n">
        <v>3.332</v>
      </c>
      <c r="AF297" s="22" t="n">
        <v>2.5</v>
      </c>
      <c r="AG297" s="22" t="n">
        <v>2</v>
      </c>
      <c r="AH297" s="22" t="s">
        <v>197</v>
      </c>
      <c r="AI297" s="22" t="s">
        <v>197</v>
      </c>
      <c r="AJ297" s="22" t="s">
        <v>197</v>
      </c>
      <c r="AK297" s="22" t="s">
        <v>197</v>
      </c>
      <c r="AL297" s="22" t="s">
        <v>197</v>
      </c>
      <c r="AM297" s="22" t="s">
        <v>197</v>
      </c>
      <c r="AN297" s="7" t="s">
        <v>197</v>
      </c>
      <c r="AO297" s="22" t="s">
        <v>197</v>
      </c>
      <c r="AP297" s="22" t="s">
        <v>197</v>
      </c>
      <c r="AQ297" s="22" t="s">
        <v>197</v>
      </c>
    </row>
    <row r="298" customFormat="false" ht="21.75" hidden="false" customHeight="true" outlineLevel="0" collapsed="false">
      <c r="B298" s="15" t="n">
        <v>294</v>
      </c>
      <c r="C298" s="9" t="s">
        <v>82</v>
      </c>
      <c r="D298" s="9" t="s">
        <v>23</v>
      </c>
      <c r="E298" s="9" t="s">
        <v>121</v>
      </c>
      <c r="F298" s="9" t="s">
        <v>94</v>
      </c>
      <c r="G298" s="9" t="s">
        <v>3171</v>
      </c>
      <c r="H298" s="9" t="s">
        <v>3160</v>
      </c>
      <c r="I298" s="9" t="s">
        <v>3161</v>
      </c>
      <c r="J298" s="9" t="s">
        <v>3162</v>
      </c>
      <c r="K298" s="9" t="s">
        <v>189</v>
      </c>
      <c r="L298" s="9" t="s">
        <v>3146</v>
      </c>
      <c r="M298" s="9" t="s">
        <v>3163</v>
      </c>
      <c r="N298" s="9" t="s">
        <v>3164</v>
      </c>
      <c r="O298" s="9" t="s">
        <v>189</v>
      </c>
      <c r="P298" s="9" t="s">
        <v>640</v>
      </c>
      <c r="Q298" s="9" t="s">
        <v>3165</v>
      </c>
      <c r="R298" s="9" t="s">
        <v>192</v>
      </c>
      <c r="S298" s="9" t="s">
        <v>3151</v>
      </c>
      <c r="T298" s="9" t="s">
        <v>3166</v>
      </c>
      <c r="U298" s="19" t="n">
        <v>575</v>
      </c>
      <c r="V298" s="9"/>
      <c r="W298" s="9"/>
      <c r="X298" s="9" t="s">
        <v>205</v>
      </c>
      <c r="Y298" s="23" t="n">
        <v>0.15</v>
      </c>
      <c r="Z298" s="23" t="n">
        <v>3.099</v>
      </c>
      <c r="AA298" s="23" t="n">
        <v>24</v>
      </c>
      <c r="AB298" s="9" t="s">
        <v>3146</v>
      </c>
      <c r="AC298" s="9" t="s">
        <v>3153</v>
      </c>
      <c r="AD298" s="23" t="n">
        <v>0.15</v>
      </c>
      <c r="AE298" s="23" t="n">
        <v>3.099</v>
      </c>
      <c r="AF298" s="23" t="n">
        <v>2.5</v>
      </c>
      <c r="AG298" s="23" t="n">
        <v>2</v>
      </c>
      <c r="AH298" s="23" t="s">
        <v>197</v>
      </c>
      <c r="AI298" s="23" t="s">
        <v>197</v>
      </c>
      <c r="AJ298" s="23" t="s">
        <v>197</v>
      </c>
      <c r="AK298" s="23" t="s">
        <v>197</v>
      </c>
      <c r="AL298" s="23" t="s">
        <v>197</v>
      </c>
      <c r="AM298" s="23" t="s">
        <v>197</v>
      </c>
      <c r="AN298" s="9" t="s">
        <v>197</v>
      </c>
      <c r="AO298" s="23" t="s">
        <v>197</v>
      </c>
      <c r="AP298" s="23" t="s">
        <v>197</v>
      </c>
      <c r="AQ298" s="23" t="s">
        <v>197</v>
      </c>
    </row>
    <row r="299" customFormat="false" ht="21.75" hidden="false" customHeight="true" outlineLevel="0" collapsed="false">
      <c r="B299" s="14" t="n">
        <v>295</v>
      </c>
      <c r="C299" s="7" t="s">
        <v>82</v>
      </c>
      <c r="D299" s="7" t="s">
        <v>23</v>
      </c>
      <c r="E299" s="7" t="s">
        <v>121</v>
      </c>
      <c r="F299" s="7" t="s">
        <v>95</v>
      </c>
      <c r="G299" s="7" t="s">
        <v>3172</v>
      </c>
      <c r="H299" s="7" t="s">
        <v>2510</v>
      </c>
      <c r="I299" s="7" t="s">
        <v>2695</v>
      </c>
      <c r="J299" s="7" t="s">
        <v>3173</v>
      </c>
      <c r="K299" s="7" t="s">
        <v>2697</v>
      </c>
      <c r="L299" s="7" t="s">
        <v>3146</v>
      </c>
      <c r="M299" s="7" t="s">
        <v>2698</v>
      </c>
      <c r="N299" s="7" t="s">
        <v>189</v>
      </c>
      <c r="O299" s="7" t="s">
        <v>189</v>
      </c>
      <c r="P299" s="7" t="s">
        <v>640</v>
      </c>
      <c r="Q299" s="7" t="s">
        <v>2854</v>
      </c>
      <c r="R299" s="7" t="s">
        <v>780</v>
      </c>
      <c r="S299" s="7" t="s">
        <v>3151</v>
      </c>
      <c r="T299" s="7" t="s">
        <v>3174</v>
      </c>
      <c r="U299" s="18" t="n">
        <v>17</v>
      </c>
      <c r="V299" s="7"/>
      <c r="W299" s="7"/>
      <c r="X299" s="7" t="s">
        <v>195</v>
      </c>
      <c r="Y299" s="22" t="n">
        <v>4.369E-005</v>
      </c>
      <c r="Z299" s="22" t="n">
        <v>0.044</v>
      </c>
      <c r="AA299" s="22" t="n">
        <v>24</v>
      </c>
      <c r="AB299" s="7" t="s">
        <v>3146</v>
      </c>
      <c r="AC299" s="7" t="s">
        <v>2701</v>
      </c>
      <c r="AD299" s="22" t="s">
        <v>197</v>
      </c>
      <c r="AE299" s="22" t="s">
        <v>197</v>
      </c>
      <c r="AF299" s="22" t="s">
        <v>197</v>
      </c>
      <c r="AG299" s="22" t="s">
        <v>197</v>
      </c>
      <c r="AH299" s="22" t="s">
        <v>197</v>
      </c>
      <c r="AI299" s="22" t="s">
        <v>197</v>
      </c>
      <c r="AJ299" s="22" t="n">
        <v>60</v>
      </c>
      <c r="AK299" s="22" t="s">
        <v>197</v>
      </c>
      <c r="AL299" s="22" t="s">
        <v>197</v>
      </c>
      <c r="AM299" s="22" t="s">
        <v>197</v>
      </c>
      <c r="AN299" s="7" t="s">
        <v>2518</v>
      </c>
      <c r="AO299" s="22" t="s">
        <v>197</v>
      </c>
      <c r="AP299" s="22" t="n">
        <v>2.5</v>
      </c>
      <c r="AQ299" s="22" t="n">
        <v>6</v>
      </c>
    </row>
    <row r="300" customFormat="false" ht="21.75" hidden="false" customHeight="true" outlineLevel="0" collapsed="false">
      <c r="B300" s="15" t="n">
        <v>296</v>
      </c>
      <c r="C300" s="9" t="s">
        <v>82</v>
      </c>
      <c r="D300" s="9" t="s">
        <v>23</v>
      </c>
      <c r="E300" s="9" t="s">
        <v>121</v>
      </c>
      <c r="F300" s="9" t="s">
        <v>95</v>
      </c>
      <c r="G300" s="9" t="s">
        <v>3175</v>
      </c>
      <c r="H300" s="9" t="s">
        <v>2520</v>
      </c>
      <c r="I300" s="9" t="s">
        <v>2695</v>
      </c>
      <c r="J300" s="9" t="s">
        <v>3173</v>
      </c>
      <c r="K300" s="9" t="s">
        <v>2697</v>
      </c>
      <c r="L300" s="9" t="s">
        <v>3146</v>
      </c>
      <c r="M300" s="9" t="s">
        <v>2698</v>
      </c>
      <c r="N300" s="9" t="s">
        <v>189</v>
      </c>
      <c r="O300" s="9" t="s">
        <v>189</v>
      </c>
      <c r="P300" s="9" t="s">
        <v>640</v>
      </c>
      <c r="Q300" s="9" t="s">
        <v>2854</v>
      </c>
      <c r="R300" s="9" t="s">
        <v>780</v>
      </c>
      <c r="S300" s="9" t="s">
        <v>3151</v>
      </c>
      <c r="T300" s="9" t="s">
        <v>3174</v>
      </c>
      <c r="U300" s="19" t="n">
        <v>25</v>
      </c>
      <c r="V300" s="9"/>
      <c r="W300" s="9"/>
      <c r="X300" s="9" t="s">
        <v>199</v>
      </c>
      <c r="Y300" s="23" t="n">
        <v>4.214E-005</v>
      </c>
      <c r="Z300" s="23" t="n">
        <v>0.042</v>
      </c>
      <c r="AA300" s="23" t="n">
        <v>24</v>
      </c>
      <c r="AB300" s="9" t="s">
        <v>3146</v>
      </c>
      <c r="AC300" s="9" t="s">
        <v>2701</v>
      </c>
      <c r="AD300" s="23" t="s">
        <v>197</v>
      </c>
      <c r="AE300" s="23" t="s">
        <v>197</v>
      </c>
      <c r="AF300" s="23" t="s">
        <v>197</v>
      </c>
      <c r="AG300" s="23" t="s">
        <v>197</v>
      </c>
      <c r="AH300" s="23" t="s">
        <v>197</v>
      </c>
      <c r="AI300" s="23" t="s">
        <v>197</v>
      </c>
      <c r="AJ300" s="23" t="n">
        <v>80</v>
      </c>
      <c r="AK300" s="23" t="s">
        <v>197</v>
      </c>
      <c r="AL300" s="23" t="s">
        <v>197</v>
      </c>
      <c r="AM300" s="23" t="s">
        <v>197</v>
      </c>
      <c r="AN300" s="9" t="s">
        <v>2518</v>
      </c>
      <c r="AO300" s="23" t="s">
        <v>197</v>
      </c>
      <c r="AP300" s="23" t="n">
        <v>2.5</v>
      </c>
      <c r="AQ300" s="23" t="n">
        <v>6</v>
      </c>
    </row>
    <row r="301" customFormat="false" ht="21.75" hidden="false" customHeight="true" outlineLevel="0" collapsed="false">
      <c r="B301" s="14" t="n">
        <v>297</v>
      </c>
      <c r="C301" s="7" t="s">
        <v>82</v>
      </c>
      <c r="D301" s="7" t="s">
        <v>23</v>
      </c>
      <c r="E301" s="7" t="s">
        <v>121</v>
      </c>
      <c r="F301" s="7" t="s">
        <v>95</v>
      </c>
      <c r="G301" s="7" t="s">
        <v>3176</v>
      </c>
      <c r="H301" s="7" t="s">
        <v>2522</v>
      </c>
      <c r="I301" s="7" t="s">
        <v>2695</v>
      </c>
      <c r="J301" s="7" t="s">
        <v>3173</v>
      </c>
      <c r="K301" s="7" t="s">
        <v>2697</v>
      </c>
      <c r="L301" s="7" t="s">
        <v>3146</v>
      </c>
      <c r="M301" s="7" t="s">
        <v>2698</v>
      </c>
      <c r="N301" s="7" t="s">
        <v>189</v>
      </c>
      <c r="O301" s="7" t="s">
        <v>189</v>
      </c>
      <c r="P301" s="7" t="s">
        <v>640</v>
      </c>
      <c r="Q301" s="7" t="s">
        <v>2854</v>
      </c>
      <c r="R301" s="7" t="s">
        <v>780</v>
      </c>
      <c r="S301" s="7" t="s">
        <v>3151</v>
      </c>
      <c r="T301" s="7" t="s">
        <v>3174</v>
      </c>
      <c r="U301" s="18" t="n">
        <v>30</v>
      </c>
      <c r="V301" s="7"/>
      <c r="W301" s="7"/>
      <c r="X301" s="7" t="s">
        <v>3177</v>
      </c>
      <c r="Y301" s="22" t="n">
        <v>5.513E-005</v>
      </c>
      <c r="Z301" s="22" t="n">
        <v>0.055</v>
      </c>
      <c r="AA301" s="22" t="n">
        <v>24</v>
      </c>
      <c r="AB301" s="7" t="s">
        <v>3146</v>
      </c>
      <c r="AC301" s="7" t="s">
        <v>2701</v>
      </c>
      <c r="AD301" s="22" t="s">
        <v>197</v>
      </c>
      <c r="AE301" s="22" t="s">
        <v>197</v>
      </c>
      <c r="AF301" s="22" t="s">
        <v>197</v>
      </c>
      <c r="AG301" s="22" t="s">
        <v>197</v>
      </c>
      <c r="AH301" s="22" t="s">
        <v>197</v>
      </c>
      <c r="AI301" s="22" t="s">
        <v>197</v>
      </c>
      <c r="AJ301" s="22" t="n">
        <v>100</v>
      </c>
      <c r="AK301" s="22" t="s">
        <v>197</v>
      </c>
      <c r="AL301" s="22" t="s">
        <v>197</v>
      </c>
      <c r="AM301" s="22" t="s">
        <v>197</v>
      </c>
      <c r="AN301" s="7" t="s">
        <v>2518</v>
      </c>
      <c r="AO301" s="22" t="s">
        <v>197</v>
      </c>
      <c r="AP301" s="22" t="n">
        <v>2.5</v>
      </c>
      <c r="AQ301" s="22" t="n">
        <v>6</v>
      </c>
    </row>
    <row r="302" customFormat="false" ht="21.75" hidden="false" customHeight="true" outlineLevel="0" collapsed="false">
      <c r="B302" s="15" t="n">
        <v>298</v>
      </c>
      <c r="C302" s="9" t="s">
        <v>82</v>
      </c>
      <c r="D302" s="9" t="s">
        <v>23</v>
      </c>
      <c r="E302" s="9" t="s">
        <v>121</v>
      </c>
      <c r="F302" s="9" t="s">
        <v>95</v>
      </c>
      <c r="G302" s="9" t="s">
        <v>3178</v>
      </c>
      <c r="H302" s="9" t="s">
        <v>2706</v>
      </c>
      <c r="I302" s="9" t="s">
        <v>2695</v>
      </c>
      <c r="J302" s="9" t="s">
        <v>3173</v>
      </c>
      <c r="K302" s="9" t="s">
        <v>2697</v>
      </c>
      <c r="L302" s="9" t="s">
        <v>3146</v>
      </c>
      <c r="M302" s="9" t="s">
        <v>2698</v>
      </c>
      <c r="N302" s="9" t="s">
        <v>189</v>
      </c>
      <c r="O302" s="9" t="s">
        <v>189</v>
      </c>
      <c r="P302" s="9" t="s">
        <v>640</v>
      </c>
      <c r="Q302" s="9" t="s">
        <v>2854</v>
      </c>
      <c r="R302" s="9" t="s">
        <v>780</v>
      </c>
      <c r="S302" s="9" t="s">
        <v>3151</v>
      </c>
      <c r="T302" s="9" t="s">
        <v>3174</v>
      </c>
      <c r="U302" s="19" t="n">
        <v>50</v>
      </c>
      <c r="V302" s="9"/>
      <c r="W302" s="9"/>
      <c r="X302" s="9" t="s">
        <v>203</v>
      </c>
      <c r="Y302" s="23" t="n">
        <v>3.879E-005</v>
      </c>
      <c r="Z302" s="23" t="n">
        <v>0.039</v>
      </c>
      <c r="AA302" s="23" t="n">
        <v>24</v>
      </c>
      <c r="AB302" s="9" t="s">
        <v>3146</v>
      </c>
      <c r="AC302" s="9" t="s">
        <v>2701</v>
      </c>
      <c r="AD302" s="23" t="s">
        <v>197</v>
      </c>
      <c r="AE302" s="23" t="s">
        <v>197</v>
      </c>
      <c r="AF302" s="23" t="s">
        <v>197</v>
      </c>
      <c r="AG302" s="23" t="s">
        <v>197</v>
      </c>
      <c r="AH302" s="23" t="s">
        <v>197</v>
      </c>
      <c r="AI302" s="23" t="s">
        <v>197</v>
      </c>
      <c r="AJ302" s="23" t="n">
        <v>100</v>
      </c>
      <c r="AK302" s="23" t="s">
        <v>197</v>
      </c>
      <c r="AL302" s="23" t="s">
        <v>197</v>
      </c>
      <c r="AM302" s="23" t="s">
        <v>197</v>
      </c>
      <c r="AN302" s="9" t="s">
        <v>2518</v>
      </c>
      <c r="AO302" s="23" t="s">
        <v>197</v>
      </c>
      <c r="AP302" s="23" t="n">
        <v>2.5</v>
      </c>
      <c r="AQ302" s="23" t="n">
        <v>6</v>
      </c>
    </row>
    <row r="303" customFormat="false" ht="21.75" hidden="false" customHeight="true" outlineLevel="0" collapsed="false">
      <c r="B303" s="14" t="n">
        <v>299</v>
      </c>
      <c r="C303" s="7" t="s">
        <v>82</v>
      </c>
      <c r="D303" s="7" t="s">
        <v>23</v>
      </c>
      <c r="E303" s="7" t="s">
        <v>121</v>
      </c>
      <c r="F303" s="7" t="s">
        <v>95</v>
      </c>
      <c r="G303" s="7" t="s">
        <v>3179</v>
      </c>
      <c r="H303" s="7" t="s">
        <v>2527</v>
      </c>
      <c r="I303" s="7" t="s">
        <v>2695</v>
      </c>
      <c r="J303" s="7" t="s">
        <v>3173</v>
      </c>
      <c r="K303" s="7" t="s">
        <v>2697</v>
      </c>
      <c r="L303" s="7" t="s">
        <v>3146</v>
      </c>
      <c r="M303" s="7" t="s">
        <v>2698</v>
      </c>
      <c r="N303" s="7" t="s">
        <v>189</v>
      </c>
      <c r="O303" s="7" t="s">
        <v>189</v>
      </c>
      <c r="P303" s="7" t="s">
        <v>640</v>
      </c>
      <c r="Q303" s="7" t="s">
        <v>2854</v>
      </c>
      <c r="R303" s="7" t="s">
        <v>780</v>
      </c>
      <c r="S303" s="7" t="s">
        <v>3151</v>
      </c>
      <c r="T303" s="7" t="s">
        <v>3174</v>
      </c>
      <c r="U303" s="18" t="n">
        <v>70</v>
      </c>
      <c r="V303" s="7"/>
      <c r="W303" s="7"/>
      <c r="X303" s="7" t="s">
        <v>205</v>
      </c>
      <c r="Y303" s="22" t="n">
        <v>3.772E-005</v>
      </c>
      <c r="Z303" s="22" t="n">
        <v>0.038</v>
      </c>
      <c r="AA303" s="22" t="n">
        <v>24</v>
      </c>
      <c r="AB303" s="7" t="s">
        <v>3146</v>
      </c>
      <c r="AC303" s="7" t="s">
        <v>2701</v>
      </c>
      <c r="AD303" s="22" t="s">
        <v>197</v>
      </c>
      <c r="AE303" s="22" t="s">
        <v>197</v>
      </c>
      <c r="AF303" s="22" t="s">
        <v>197</v>
      </c>
      <c r="AG303" s="22" t="s">
        <v>197</v>
      </c>
      <c r="AH303" s="22" t="s">
        <v>197</v>
      </c>
      <c r="AI303" s="22" t="s">
        <v>197</v>
      </c>
      <c r="AJ303" s="22" t="n">
        <v>120</v>
      </c>
      <c r="AK303" s="22" t="s">
        <v>197</v>
      </c>
      <c r="AL303" s="22" t="s">
        <v>197</v>
      </c>
      <c r="AM303" s="22" t="s">
        <v>197</v>
      </c>
      <c r="AN303" s="7" t="s">
        <v>2518</v>
      </c>
      <c r="AO303" s="22" t="s">
        <v>197</v>
      </c>
      <c r="AP303" s="22" t="n">
        <v>2.5</v>
      </c>
      <c r="AQ303" s="22" t="n">
        <v>6</v>
      </c>
    </row>
    <row r="304" customFormat="false" ht="21.75" hidden="false" customHeight="true" outlineLevel="0" collapsed="false">
      <c r="B304" s="15" t="n">
        <v>300</v>
      </c>
      <c r="C304" s="9" t="s">
        <v>82</v>
      </c>
      <c r="D304" s="9" t="s">
        <v>23</v>
      </c>
      <c r="E304" s="9" t="s">
        <v>121</v>
      </c>
      <c r="F304" s="9" t="s">
        <v>96</v>
      </c>
      <c r="G304" s="9" t="s">
        <v>3180</v>
      </c>
      <c r="H304" s="9" t="s">
        <v>2510</v>
      </c>
      <c r="I304" s="9" t="s">
        <v>3181</v>
      </c>
      <c r="J304" s="9" t="s">
        <v>3182</v>
      </c>
      <c r="K304" s="9" t="s">
        <v>3183</v>
      </c>
      <c r="L304" s="9" t="s">
        <v>3146</v>
      </c>
      <c r="M304" s="9" t="s">
        <v>2514</v>
      </c>
      <c r="N304" s="9" t="s">
        <v>189</v>
      </c>
      <c r="O304" s="9" t="s">
        <v>189</v>
      </c>
      <c r="P304" s="9" t="s">
        <v>640</v>
      </c>
      <c r="Q304" s="9" t="s">
        <v>2515</v>
      </c>
      <c r="R304" s="9" t="s">
        <v>849</v>
      </c>
      <c r="S304" s="9" t="s">
        <v>3151</v>
      </c>
      <c r="T304" s="9" t="s">
        <v>3184</v>
      </c>
      <c r="U304" s="19" t="n">
        <v>20</v>
      </c>
      <c r="V304" s="9"/>
      <c r="W304" s="9"/>
      <c r="X304" s="9" t="s">
        <v>195</v>
      </c>
      <c r="Y304" s="23" t="n">
        <v>9.863E-005</v>
      </c>
      <c r="Z304" s="23" t="n">
        <v>0.004</v>
      </c>
      <c r="AA304" s="23" t="n">
        <v>24</v>
      </c>
      <c r="AB304" s="9" t="s">
        <v>3146</v>
      </c>
      <c r="AC304" s="9" t="s">
        <v>3185</v>
      </c>
      <c r="AD304" s="23" t="s">
        <v>197</v>
      </c>
      <c r="AE304" s="23" t="s">
        <v>197</v>
      </c>
      <c r="AF304" s="23" t="s">
        <v>197</v>
      </c>
      <c r="AG304" s="23" t="s">
        <v>197</v>
      </c>
      <c r="AH304" s="23" t="s">
        <v>197</v>
      </c>
      <c r="AI304" s="23" t="s">
        <v>197</v>
      </c>
      <c r="AJ304" s="23" t="n">
        <v>60</v>
      </c>
      <c r="AK304" s="23" t="s">
        <v>197</v>
      </c>
      <c r="AL304" s="23" t="s">
        <v>197</v>
      </c>
      <c r="AM304" s="23" t="s">
        <v>197</v>
      </c>
      <c r="AN304" s="9" t="s">
        <v>2518</v>
      </c>
      <c r="AO304" s="23" t="s">
        <v>197</v>
      </c>
      <c r="AP304" s="23" t="n">
        <v>2.5</v>
      </c>
      <c r="AQ304" s="23" t="n">
        <v>6</v>
      </c>
    </row>
    <row r="305" customFormat="false" ht="21.75" hidden="false" customHeight="true" outlineLevel="0" collapsed="false">
      <c r="B305" s="14" t="n">
        <v>301</v>
      </c>
      <c r="C305" s="7" t="s">
        <v>82</v>
      </c>
      <c r="D305" s="7" t="s">
        <v>23</v>
      </c>
      <c r="E305" s="7" t="s">
        <v>121</v>
      </c>
      <c r="F305" s="7" t="s">
        <v>96</v>
      </c>
      <c r="G305" s="7" t="s">
        <v>3186</v>
      </c>
      <c r="H305" s="7" t="s">
        <v>2520</v>
      </c>
      <c r="I305" s="7" t="s">
        <v>3181</v>
      </c>
      <c r="J305" s="7" t="s">
        <v>3182</v>
      </c>
      <c r="K305" s="7" t="s">
        <v>3183</v>
      </c>
      <c r="L305" s="7" t="s">
        <v>3146</v>
      </c>
      <c r="M305" s="7" t="s">
        <v>2514</v>
      </c>
      <c r="N305" s="7" t="s">
        <v>189</v>
      </c>
      <c r="O305" s="7" t="s">
        <v>189</v>
      </c>
      <c r="P305" s="7" t="s">
        <v>640</v>
      </c>
      <c r="Q305" s="7" t="s">
        <v>2515</v>
      </c>
      <c r="R305" s="7" t="s">
        <v>849</v>
      </c>
      <c r="S305" s="7" t="s">
        <v>3151</v>
      </c>
      <c r="T305" s="7" t="s">
        <v>3184</v>
      </c>
      <c r="U305" s="18" t="n">
        <v>35</v>
      </c>
      <c r="V305" s="7"/>
      <c r="W305" s="7"/>
      <c r="X305" s="7" t="s">
        <v>199</v>
      </c>
      <c r="Y305" s="22" t="n">
        <v>0.00011614</v>
      </c>
      <c r="Z305" s="22" t="n">
        <v>0.005</v>
      </c>
      <c r="AA305" s="22" t="n">
        <v>24</v>
      </c>
      <c r="AB305" s="7" t="s">
        <v>3146</v>
      </c>
      <c r="AC305" s="7" t="s">
        <v>3185</v>
      </c>
      <c r="AD305" s="22" t="s">
        <v>197</v>
      </c>
      <c r="AE305" s="22" t="s">
        <v>197</v>
      </c>
      <c r="AF305" s="22" t="s">
        <v>197</v>
      </c>
      <c r="AG305" s="22" t="s">
        <v>197</v>
      </c>
      <c r="AH305" s="22" t="s">
        <v>197</v>
      </c>
      <c r="AI305" s="22" t="s">
        <v>197</v>
      </c>
      <c r="AJ305" s="22" t="n">
        <v>80</v>
      </c>
      <c r="AK305" s="22" t="s">
        <v>197</v>
      </c>
      <c r="AL305" s="22" t="s">
        <v>197</v>
      </c>
      <c r="AM305" s="22" t="s">
        <v>197</v>
      </c>
      <c r="AN305" s="7" t="s">
        <v>2518</v>
      </c>
      <c r="AO305" s="22" t="s">
        <v>197</v>
      </c>
      <c r="AP305" s="22" t="n">
        <v>2.5</v>
      </c>
      <c r="AQ305" s="22" t="n">
        <v>6</v>
      </c>
    </row>
    <row r="306" customFormat="false" ht="21.75" hidden="false" customHeight="true" outlineLevel="0" collapsed="false">
      <c r="B306" s="15" t="n">
        <v>302</v>
      </c>
      <c r="C306" s="9" t="s">
        <v>82</v>
      </c>
      <c r="D306" s="9" t="s">
        <v>23</v>
      </c>
      <c r="E306" s="9" t="s">
        <v>121</v>
      </c>
      <c r="F306" s="9" t="s">
        <v>96</v>
      </c>
      <c r="G306" s="9" t="s">
        <v>3187</v>
      </c>
      <c r="H306" s="9" t="s">
        <v>2522</v>
      </c>
      <c r="I306" s="9" t="s">
        <v>3181</v>
      </c>
      <c r="J306" s="9" t="s">
        <v>3182</v>
      </c>
      <c r="K306" s="9" t="s">
        <v>3183</v>
      </c>
      <c r="L306" s="9" t="s">
        <v>3146</v>
      </c>
      <c r="M306" s="9" t="s">
        <v>2514</v>
      </c>
      <c r="N306" s="9" t="s">
        <v>189</v>
      </c>
      <c r="O306" s="9" t="s">
        <v>189</v>
      </c>
      <c r="P306" s="9" t="s">
        <v>640</v>
      </c>
      <c r="Q306" s="9" t="s">
        <v>2515</v>
      </c>
      <c r="R306" s="9" t="s">
        <v>849</v>
      </c>
      <c r="S306" s="9" t="s">
        <v>3151</v>
      </c>
      <c r="T306" s="9" t="s">
        <v>3184</v>
      </c>
      <c r="U306" s="19" t="n">
        <v>45</v>
      </c>
      <c r="V306" s="9"/>
      <c r="W306" s="9"/>
      <c r="X306" s="9" t="s">
        <v>3188</v>
      </c>
      <c r="Y306" s="23" t="n">
        <v>6.607E-005</v>
      </c>
      <c r="Z306" s="23" t="n">
        <v>0.002</v>
      </c>
      <c r="AA306" s="23" t="n">
        <v>24</v>
      </c>
      <c r="AB306" s="9" t="s">
        <v>3146</v>
      </c>
      <c r="AC306" s="9" t="s">
        <v>3185</v>
      </c>
      <c r="AD306" s="23" t="s">
        <v>197</v>
      </c>
      <c r="AE306" s="23" t="s">
        <v>197</v>
      </c>
      <c r="AF306" s="23" t="s">
        <v>197</v>
      </c>
      <c r="AG306" s="23" t="s">
        <v>197</v>
      </c>
      <c r="AH306" s="23" t="s">
        <v>197</v>
      </c>
      <c r="AI306" s="23" t="s">
        <v>197</v>
      </c>
      <c r="AJ306" s="23" t="n">
        <v>100</v>
      </c>
      <c r="AK306" s="23" t="s">
        <v>197</v>
      </c>
      <c r="AL306" s="23" t="s">
        <v>197</v>
      </c>
      <c r="AM306" s="23" t="s">
        <v>197</v>
      </c>
      <c r="AN306" s="9" t="s">
        <v>2518</v>
      </c>
      <c r="AO306" s="23" t="s">
        <v>197</v>
      </c>
      <c r="AP306" s="23" t="n">
        <v>2.5</v>
      </c>
      <c r="AQ306" s="23" t="n">
        <v>6</v>
      </c>
    </row>
    <row r="307" customFormat="false" ht="21.75" hidden="false" customHeight="true" outlineLevel="0" collapsed="false">
      <c r="B307" s="14" t="n">
        <v>303</v>
      </c>
      <c r="C307" s="7" t="s">
        <v>82</v>
      </c>
      <c r="D307" s="7" t="s">
        <v>23</v>
      </c>
      <c r="E307" s="7" t="s">
        <v>121</v>
      </c>
      <c r="F307" s="7" t="s">
        <v>96</v>
      </c>
      <c r="G307" s="7" t="s">
        <v>3189</v>
      </c>
      <c r="H307" s="7" t="s">
        <v>2525</v>
      </c>
      <c r="I307" s="7" t="s">
        <v>3181</v>
      </c>
      <c r="J307" s="7" t="s">
        <v>3182</v>
      </c>
      <c r="K307" s="7" t="s">
        <v>3183</v>
      </c>
      <c r="L307" s="7" t="s">
        <v>3146</v>
      </c>
      <c r="M307" s="7" t="s">
        <v>2514</v>
      </c>
      <c r="N307" s="7" t="s">
        <v>189</v>
      </c>
      <c r="O307" s="7" t="s">
        <v>189</v>
      </c>
      <c r="P307" s="7" t="s">
        <v>640</v>
      </c>
      <c r="Q307" s="7" t="s">
        <v>2515</v>
      </c>
      <c r="R307" s="7" t="s">
        <v>849</v>
      </c>
      <c r="S307" s="7" t="s">
        <v>3151</v>
      </c>
      <c r="T307" s="7" t="s">
        <v>3184</v>
      </c>
      <c r="U307" s="18" t="n">
        <v>70</v>
      </c>
      <c r="V307" s="7"/>
      <c r="W307" s="7"/>
      <c r="X307" s="7" t="s">
        <v>203</v>
      </c>
      <c r="Y307" s="22" t="n">
        <v>0.00010065</v>
      </c>
      <c r="Z307" s="22" t="n">
        <v>0.004</v>
      </c>
      <c r="AA307" s="22" t="n">
        <v>24</v>
      </c>
      <c r="AB307" s="7" t="s">
        <v>3146</v>
      </c>
      <c r="AC307" s="7" t="s">
        <v>3185</v>
      </c>
      <c r="AD307" s="22" t="s">
        <v>197</v>
      </c>
      <c r="AE307" s="22" t="s">
        <v>197</v>
      </c>
      <c r="AF307" s="22" t="s">
        <v>197</v>
      </c>
      <c r="AG307" s="22" t="s">
        <v>197</v>
      </c>
      <c r="AH307" s="22" t="s">
        <v>197</v>
      </c>
      <c r="AI307" s="22" t="s">
        <v>197</v>
      </c>
      <c r="AJ307" s="22" t="n">
        <v>100</v>
      </c>
      <c r="AK307" s="22" t="s">
        <v>197</v>
      </c>
      <c r="AL307" s="22" t="s">
        <v>197</v>
      </c>
      <c r="AM307" s="22" t="s">
        <v>197</v>
      </c>
      <c r="AN307" s="7" t="s">
        <v>2518</v>
      </c>
      <c r="AO307" s="22" t="s">
        <v>197</v>
      </c>
      <c r="AP307" s="22" t="n">
        <v>2.5</v>
      </c>
      <c r="AQ307" s="22" t="n">
        <v>6</v>
      </c>
    </row>
    <row r="308" customFormat="false" ht="21.75" hidden="false" customHeight="true" outlineLevel="0" collapsed="false">
      <c r="B308" s="15" t="n">
        <v>304</v>
      </c>
      <c r="C308" s="9" t="s">
        <v>82</v>
      </c>
      <c r="D308" s="9" t="s">
        <v>23</v>
      </c>
      <c r="E308" s="9" t="s">
        <v>121</v>
      </c>
      <c r="F308" s="9" t="s">
        <v>96</v>
      </c>
      <c r="G308" s="9" t="s">
        <v>3190</v>
      </c>
      <c r="H308" s="9" t="s">
        <v>2527</v>
      </c>
      <c r="I308" s="9" t="s">
        <v>3181</v>
      </c>
      <c r="J308" s="9" t="s">
        <v>3182</v>
      </c>
      <c r="K308" s="9" t="s">
        <v>3183</v>
      </c>
      <c r="L308" s="9" t="s">
        <v>3146</v>
      </c>
      <c r="M308" s="9" t="s">
        <v>2514</v>
      </c>
      <c r="N308" s="9" t="s">
        <v>189</v>
      </c>
      <c r="O308" s="9" t="s">
        <v>189</v>
      </c>
      <c r="P308" s="9" t="s">
        <v>640</v>
      </c>
      <c r="Q308" s="9" t="s">
        <v>2515</v>
      </c>
      <c r="R308" s="9" t="s">
        <v>849</v>
      </c>
      <c r="S308" s="9" t="s">
        <v>3151</v>
      </c>
      <c r="T308" s="9" t="s">
        <v>3184</v>
      </c>
      <c r="U308" s="19" t="n">
        <v>105</v>
      </c>
      <c r="V308" s="9"/>
      <c r="W308" s="9"/>
      <c r="X308" s="9" t="s">
        <v>205</v>
      </c>
      <c r="Y308" s="23" t="n">
        <v>0.00011592</v>
      </c>
      <c r="Z308" s="23" t="n">
        <v>0.005</v>
      </c>
      <c r="AA308" s="23" t="n">
        <v>24</v>
      </c>
      <c r="AB308" s="9" t="s">
        <v>3146</v>
      </c>
      <c r="AC308" s="9" t="s">
        <v>3185</v>
      </c>
      <c r="AD308" s="23" t="s">
        <v>197</v>
      </c>
      <c r="AE308" s="23" t="s">
        <v>197</v>
      </c>
      <c r="AF308" s="23" t="s">
        <v>197</v>
      </c>
      <c r="AG308" s="23" t="s">
        <v>197</v>
      </c>
      <c r="AH308" s="23" t="s">
        <v>197</v>
      </c>
      <c r="AI308" s="23" t="s">
        <v>197</v>
      </c>
      <c r="AJ308" s="23" t="n">
        <v>120</v>
      </c>
      <c r="AK308" s="23" t="s">
        <v>197</v>
      </c>
      <c r="AL308" s="23" t="s">
        <v>197</v>
      </c>
      <c r="AM308" s="23" t="s">
        <v>197</v>
      </c>
      <c r="AN308" s="9" t="s">
        <v>2518</v>
      </c>
      <c r="AO308" s="23" t="s">
        <v>197</v>
      </c>
      <c r="AP308" s="23" t="n">
        <v>2.5</v>
      </c>
      <c r="AQ308" s="23" t="n">
        <v>6</v>
      </c>
    </row>
    <row r="309" customFormat="false" ht="21.75" hidden="false" customHeight="true" outlineLevel="0" collapsed="false">
      <c r="B309" s="14" t="n">
        <v>305</v>
      </c>
      <c r="C309" s="7" t="s">
        <v>82</v>
      </c>
      <c r="D309" s="7" t="s">
        <v>23</v>
      </c>
      <c r="E309" s="7" t="s">
        <v>121</v>
      </c>
      <c r="F309" s="7" t="s">
        <v>97</v>
      </c>
      <c r="G309" s="7" t="s">
        <v>3191</v>
      </c>
      <c r="H309" s="7" t="s">
        <v>2529</v>
      </c>
      <c r="I309" s="7" t="s">
        <v>2872</v>
      </c>
      <c r="J309" s="7" t="s">
        <v>3192</v>
      </c>
      <c r="K309" s="7" t="s">
        <v>3183</v>
      </c>
      <c r="L309" s="7" t="s">
        <v>3146</v>
      </c>
      <c r="M309" s="7" t="s">
        <v>2514</v>
      </c>
      <c r="N309" s="7" t="s">
        <v>189</v>
      </c>
      <c r="O309" s="7" t="s">
        <v>189</v>
      </c>
      <c r="P309" s="7" t="s">
        <v>640</v>
      </c>
      <c r="Q309" s="7" t="s">
        <v>2515</v>
      </c>
      <c r="R309" s="7" t="s">
        <v>2723</v>
      </c>
      <c r="S309" s="7" t="s">
        <v>3151</v>
      </c>
      <c r="T309" s="7" t="s">
        <v>2875</v>
      </c>
      <c r="U309" s="18" t="n">
        <v>20</v>
      </c>
      <c r="V309" s="7"/>
      <c r="W309" s="7"/>
      <c r="X309" s="7" t="s">
        <v>195</v>
      </c>
      <c r="Y309" s="22" t="n">
        <v>7.716E-005</v>
      </c>
      <c r="Z309" s="22" t="n">
        <v>0.003</v>
      </c>
      <c r="AA309" s="22" t="n">
        <v>24</v>
      </c>
      <c r="AB309" s="7" t="s">
        <v>3146</v>
      </c>
      <c r="AC309" s="7" t="s">
        <v>3185</v>
      </c>
      <c r="AD309" s="22" t="s">
        <v>197</v>
      </c>
      <c r="AE309" s="22" t="s">
        <v>197</v>
      </c>
      <c r="AF309" s="22" t="s">
        <v>197</v>
      </c>
      <c r="AG309" s="22" t="s">
        <v>197</v>
      </c>
      <c r="AH309" s="22" t="s">
        <v>197</v>
      </c>
      <c r="AI309" s="22" t="s">
        <v>197</v>
      </c>
      <c r="AJ309" s="22" t="n">
        <v>49</v>
      </c>
      <c r="AK309" s="22" t="s">
        <v>197</v>
      </c>
      <c r="AL309" s="22" t="s">
        <v>197</v>
      </c>
      <c r="AM309" s="22" t="s">
        <v>197</v>
      </c>
      <c r="AN309" s="7" t="s">
        <v>2518</v>
      </c>
      <c r="AO309" s="22" t="s">
        <v>197</v>
      </c>
      <c r="AP309" s="22" t="n">
        <v>2.5</v>
      </c>
      <c r="AQ309" s="22" t="n">
        <v>6</v>
      </c>
    </row>
    <row r="310" customFormat="false" ht="21.75" hidden="false" customHeight="true" outlineLevel="0" collapsed="false">
      <c r="B310" s="15" t="n">
        <v>306</v>
      </c>
      <c r="C310" s="9" t="s">
        <v>82</v>
      </c>
      <c r="D310" s="9" t="s">
        <v>23</v>
      </c>
      <c r="E310" s="9" t="s">
        <v>121</v>
      </c>
      <c r="F310" s="9" t="s">
        <v>97</v>
      </c>
      <c r="G310" s="9" t="s">
        <v>3193</v>
      </c>
      <c r="H310" s="9" t="s">
        <v>2535</v>
      </c>
      <c r="I310" s="9" t="s">
        <v>2872</v>
      </c>
      <c r="J310" s="9" t="s">
        <v>3192</v>
      </c>
      <c r="K310" s="9" t="s">
        <v>3183</v>
      </c>
      <c r="L310" s="9" t="s">
        <v>3146</v>
      </c>
      <c r="M310" s="9" t="s">
        <v>2514</v>
      </c>
      <c r="N310" s="9" t="s">
        <v>189</v>
      </c>
      <c r="O310" s="9" t="s">
        <v>189</v>
      </c>
      <c r="P310" s="9" t="s">
        <v>640</v>
      </c>
      <c r="Q310" s="9" t="s">
        <v>2515</v>
      </c>
      <c r="R310" s="9" t="s">
        <v>2723</v>
      </c>
      <c r="S310" s="9" t="s">
        <v>3151</v>
      </c>
      <c r="T310" s="9" t="s">
        <v>2875</v>
      </c>
      <c r="U310" s="19" t="n">
        <v>30</v>
      </c>
      <c r="V310" s="9"/>
      <c r="W310" s="9"/>
      <c r="X310" s="9" t="s">
        <v>199</v>
      </c>
      <c r="Y310" s="23" t="n">
        <v>9.088E-005</v>
      </c>
      <c r="Z310" s="23" t="n">
        <v>0.004</v>
      </c>
      <c r="AA310" s="23" t="n">
        <v>24</v>
      </c>
      <c r="AB310" s="9" t="s">
        <v>3146</v>
      </c>
      <c r="AC310" s="9" t="s">
        <v>3185</v>
      </c>
      <c r="AD310" s="23" t="s">
        <v>197</v>
      </c>
      <c r="AE310" s="23" t="s">
        <v>197</v>
      </c>
      <c r="AF310" s="23" t="s">
        <v>197</v>
      </c>
      <c r="AG310" s="23" t="s">
        <v>197</v>
      </c>
      <c r="AH310" s="23" t="s">
        <v>197</v>
      </c>
      <c r="AI310" s="23" t="s">
        <v>197</v>
      </c>
      <c r="AJ310" s="23" t="n">
        <v>54</v>
      </c>
      <c r="AK310" s="23" t="s">
        <v>197</v>
      </c>
      <c r="AL310" s="23" t="s">
        <v>197</v>
      </c>
      <c r="AM310" s="23" t="s">
        <v>197</v>
      </c>
      <c r="AN310" s="9" t="s">
        <v>2518</v>
      </c>
      <c r="AO310" s="23" t="s">
        <v>197</v>
      </c>
      <c r="AP310" s="23" t="n">
        <v>2.5</v>
      </c>
      <c r="AQ310" s="23" t="n">
        <v>6</v>
      </c>
    </row>
    <row r="311" customFormat="false" ht="21.75" hidden="false" customHeight="true" outlineLevel="0" collapsed="false">
      <c r="B311" s="14" t="n">
        <v>307</v>
      </c>
      <c r="C311" s="7" t="s">
        <v>82</v>
      </c>
      <c r="D311" s="7" t="s">
        <v>23</v>
      </c>
      <c r="E311" s="7" t="s">
        <v>121</v>
      </c>
      <c r="F311" s="7" t="s">
        <v>97</v>
      </c>
      <c r="G311" s="7" t="s">
        <v>3194</v>
      </c>
      <c r="H311" s="7" t="s">
        <v>2537</v>
      </c>
      <c r="I311" s="7" t="s">
        <v>2872</v>
      </c>
      <c r="J311" s="7" t="s">
        <v>3192</v>
      </c>
      <c r="K311" s="7" t="s">
        <v>3183</v>
      </c>
      <c r="L311" s="7" t="s">
        <v>3146</v>
      </c>
      <c r="M311" s="7" t="s">
        <v>2514</v>
      </c>
      <c r="N311" s="7" t="s">
        <v>189</v>
      </c>
      <c r="O311" s="7" t="s">
        <v>189</v>
      </c>
      <c r="P311" s="7" t="s">
        <v>640</v>
      </c>
      <c r="Q311" s="7" t="s">
        <v>2515</v>
      </c>
      <c r="R311" s="7" t="s">
        <v>2723</v>
      </c>
      <c r="S311" s="7" t="s">
        <v>3151</v>
      </c>
      <c r="T311" s="7" t="s">
        <v>2875</v>
      </c>
      <c r="U311" s="18" t="n">
        <v>40</v>
      </c>
      <c r="V311" s="7"/>
      <c r="W311" s="7"/>
      <c r="X311" s="7" t="s">
        <v>3195</v>
      </c>
      <c r="Y311" s="22" t="n">
        <v>7.42E-005</v>
      </c>
      <c r="Z311" s="22" t="n">
        <v>0.003</v>
      </c>
      <c r="AA311" s="22" t="n">
        <v>24</v>
      </c>
      <c r="AB311" s="7" t="s">
        <v>3146</v>
      </c>
      <c r="AC311" s="7" t="s">
        <v>3185</v>
      </c>
      <c r="AD311" s="22" t="s">
        <v>197</v>
      </c>
      <c r="AE311" s="22" t="s">
        <v>197</v>
      </c>
      <c r="AF311" s="22" t="s">
        <v>197</v>
      </c>
      <c r="AG311" s="22" t="s">
        <v>197</v>
      </c>
      <c r="AH311" s="22" t="s">
        <v>197</v>
      </c>
      <c r="AI311" s="22" t="s">
        <v>197</v>
      </c>
      <c r="AJ311" s="22" t="n">
        <v>48</v>
      </c>
      <c r="AK311" s="22" t="s">
        <v>197</v>
      </c>
      <c r="AL311" s="22" t="s">
        <v>197</v>
      </c>
      <c r="AM311" s="22" t="s">
        <v>197</v>
      </c>
      <c r="AN311" s="7" t="s">
        <v>2518</v>
      </c>
      <c r="AO311" s="22" t="s">
        <v>197</v>
      </c>
      <c r="AP311" s="22" t="n">
        <v>2.5</v>
      </c>
      <c r="AQ311" s="22" t="n">
        <v>6</v>
      </c>
    </row>
    <row r="312" customFormat="false" ht="21.75" hidden="false" customHeight="true" outlineLevel="0" collapsed="false">
      <c r="B312" s="15" t="n">
        <v>308</v>
      </c>
      <c r="C312" s="9" t="s">
        <v>82</v>
      </c>
      <c r="D312" s="9" t="s">
        <v>23</v>
      </c>
      <c r="E312" s="9" t="s">
        <v>121</v>
      </c>
      <c r="F312" s="9" t="s">
        <v>97</v>
      </c>
      <c r="G312" s="9" t="s">
        <v>3196</v>
      </c>
      <c r="H312" s="9" t="s">
        <v>2540</v>
      </c>
      <c r="I312" s="9" t="s">
        <v>2872</v>
      </c>
      <c r="J312" s="9" t="s">
        <v>3192</v>
      </c>
      <c r="K312" s="9" t="s">
        <v>3183</v>
      </c>
      <c r="L312" s="9" t="s">
        <v>3146</v>
      </c>
      <c r="M312" s="9" t="s">
        <v>2514</v>
      </c>
      <c r="N312" s="9" t="s">
        <v>189</v>
      </c>
      <c r="O312" s="9" t="s">
        <v>189</v>
      </c>
      <c r="P312" s="9" t="s">
        <v>640</v>
      </c>
      <c r="Q312" s="9" t="s">
        <v>2515</v>
      </c>
      <c r="R312" s="9" t="s">
        <v>2723</v>
      </c>
      <c r="S312" s="9" t="s">
        <v>3151</v>
      </c>
      <c r="T312" s="9" t="s">
        <v>2875</v>
      </c>
      <c r="U312" s="19" t="n">
        <v>60</v>
      </c>
      <c r="V312" s="9"/>
      <c r="W312" s="9"/>
      <c r="X312" s="9" t="s">
        <v>203</v>
      </c>
      <c r="Y312" s="23" t="n">
        <v>5.886E-005</v>
      </c>
      <c r="Z312" s="23" t="n">
        <v>0.002</v>
      </c>
      <c r="AA312" s="23" t="n">
        <v>24</v>
      </c>
      <c r="AB312" s="9" t="s">
        <v>3146</v>
      </c>
      <c r="AC312" s="9" t="s">
        <v>3185</v>
      </c>
      <c r="AD312" s="23" t="s">
        <v>197</v>
      </c>
      <c r="AE312" s="23" t="s">
        <v>197</v>
      </c>
      <c r="AF312" s="23" t="s">
        <v>197</v>
      </c>
      <c r="AG312" s="23" t="s">
        <v>197</v>
      </c>
      <c r="AH312" s="23" t="s">
        <v>197</v>
      </c>
      <c r="AI312" s="23" t="s">
        <v>197</v>
      </c>
      <c r="AJ312" s="23" t="n">
        <v>43</v>
      </c>
      <c r="AK312" s="23" t="s">
        <v>197</v>
      </c>
      <c r="AL312" s="23" t="s">
        <v>197</v>
      </c>
      <c r="AM312" s="23" t="s">
        <v>197</v>
      </c>
      <c r="AN312" s="9" t="s">
        <v>2518</v>
      </c>
      <c r="AO312" s="23" t="s">
        <v>197</v>
      </c>
      <c r="AP312" s="23" t="n">
        <v>2.5</v>
      </c>
      <c r="AQ312" s="23" t="n">
        <v>6</v>
      </c>
    </row>
    <row r="313" customFormat="false" ht="21.75" hidden="false" customHeight="true" outlineLevel="0" collapsed="false">
      <c r="B313" s="14" t="n">
        <v>309</v>
      </c>
      <c r="C313" s="7" t="s">
        <v>82</v>
      </c>
      <c r="D313" s="7" t="s">
        <v>23</v>
      </c>
      <c r="E313" s="7" t="s">
        <v>121</v>
      </c>
      <c r="F313" s="7" t="s">
        <v>97</v>
      </c>
      <c r="G313" s="7" t="s">
        <v>3197</v>
      </c>
      <c r="H313" s="7" t="s">
        <v>2542</v>
      </c>
      <c r="I313" s="7" t="s">
        <v>2872</v>
      </c>
      <c r="J313" s="7" t="s">
        <v>3192</v>
      </c>
      <c r="K313" s="7" t="s">
        <v>3183</v>
      </c>
      <c r="L313" s="7" t="s">
        <v>3146</v>
      </c>
      <c r="M313" s="7" t="s">
        <v>2514</v>
      </c>
      <c r="N313" s="7" t="s">
        <v>189</v>
      </c>
      <c r="O313" s="7" t="s">
        <v>189</v>
      </c>
      <c r="P313" s="7" t="s">
        <v>640</v>
      </c>
      <c r="Q313" s="7" t="s">
        <v>2515</v>
      </c>
      <c r="R313" s="7" t="s">
        <v>2723</v>
      </c>
      <c r="S313" s="7" t="s">
        <v>3151</v>
      </c>
      <c r="T313" s="7" t="s">
        <v>2875</v>
      </c>
      <c r="U313" s="18" t="n">
        <v>90</v>
      </c>
      <c r="V313" s="7"/>
      <c r="W313" s="7"/>
      <c r="X313" s="7" t="s">
        <v>205</v>
      </c>
      <c r="Y313" s="22" t="n">
        <v>0.00010389</v>
      </c>
      <c r="Z313" s="22" t="n">
        <v>0.005</v>
      </c>
      <c r="AA313" s="22" t="n">
        <v>24</v>
      </c>
      <c r="AB313" s="7" t="s">
        <v>3146</v>
      </c>
      <c r="AC313" s="7" t="s">
        <v>3185</v>
      </c>
      <c r="AD313" s="22" t="s">
        <v>197</v>
      </c>
      <c r="AE313" s="22" t="s">
        <v>197</v>
      </c>
      <c r="AF313" s="22" t="s">
        <v>197</v>
      </c>
      <c r="AG313" s="22" t="s">
        <v>197</v>
      </c>
      <c r="AH313" s="22" t="s">
        <v>197</v>
      </c>
      <c r="AI313" s="22" t="s">
        <v>197</v>
      </c>
      <c r="AJ313" s="22" t="n">
        <v>58</v>
      </c>
      <c r="AK313" s="22" t="s">
        <v>197</v>
      </c>
      <c r="AL313" s="22" t="s">
        <v>197</v>
      </c>
      <c r="AM313" s="22" t="s">
        <v>197</v>
      </c>
      <c r="AN313" s="7" t="s">
        <v>2518</v>
      </c>
      <c r="AO313" s="22" t="s">
        <v>197</v>
      </c>
      <c r="AP313" s="22" t="n">
        <v>2.5</v>
      </c>
      <c r="AQ313" s="22" t="n">
        <v>6</v>
      </c>
    </row>
    <row r="314" customFormat="false" ht="21.75" hidden="false" customHeight="true" outlineLevel="0" collapsed="false">
      <c r="B314" s="15" t="n">
        <v>310</v>
      </c>
      <c r="C314" s="9" t="s">
        <v>82</v>
      </c>
      <c r="D314" s="9" t="s">
        <v>23</v>
      </c>
      <c r="E314" s="9" t="s">
        <v>121</v>
      </c>
      <c r="F314" s="9" t="s">
        <v>98</v>
      </c>
      <c r="G314" s="9" t="s">
        <v>391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19"/>
      <c r="V314" s="9"/>
      <c r="W314" s="9"/>
      <c r="X314" s="9" t="s">
        <v>3198</v>
      </c>
      <c r="Y314" s="23" t="s">
        <v>197</v>
      </c>
      <c r="Z314" s="23" t="s">
        <v>197</v>
      </c>
      <c r="AA314" s="23" t="s">
        <v>197</v>
      </c>
      <c r="AB314" s="9" t="s">
        <v>197</v>
      </c>
      <c r="AC314" s="9" t="s">
        <v>197</v>
      </c>
      <c r="AD314" s="23" t="s">
        <v>197</v>
      </c>
      <c r="AE314" s="23" t="s">
        <v>197</v>
      </c>
      <c r="AF314" s="23" t="s">
        <v>197</v>
      </c>
      <c r="AG314" s="23" t="s">
        <v>197</v>
      </c>
      <c r="AH314" s="23" t="s">
        <v>197</v>
      </c>
      <c r="AI314" s="23" t="s">
        <v>197</v>
      </c>
      <c r="AJ314" s="23" t="s">
        <v>197</v>
      </c>
      <c r="AK314" s="23" t="s">
        <v>197</v>
      </c>
      <c r="AL314" s="23" t="s">
        <v>197</v>
      </c>
      <c r="AM314" s="23" t="s">
        <v>197</v>
      </c>
      <c r="AN314" s="9" t="s">
        <v>197</v>
      </c>
      <c r="AO314" s="23" t="s">
        <v>197</v>
      </c>
      <c r="AP314" s="23" t="s">
        <v>197</v>
      </c>
      <c r="AQ314" s="23" t="s">
        <v>197</v>
      </c>
    </row>
    <row r="315" customFormat="false" ht="21.75" hidden="false" customHeight="true" outlineLevel="0" collapsed="false">
      <c r="B315" s="14" t="n">
        <v>311</v>
      </c>
      <c r="C315" s="7" t="s">
        <v>82</v>
      </c>
      <c r="D315" s="7" t="s">
        <v>23</v>
      </c>
      <c r="E315" s="7" t="s">
        <v>121</v>
      </c>
      <c r="F315" s="7" t="s">
        <v>99</v>
      </c>
      <c r="G315" s="7" t="s">
        <v>391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18"/>
      <c r="V315" s="7"/>
      <c r="W315" s="7"/>
      <c r="X315" s="7" t="s">
        <v>3199</v>
      </c>
      <c r="Y315" s="22" t="s">
        <v>197</v>
      </c>
      <c r="Z315" s="22" t="s">
        <v>197</v>
      </c>
      <c r="AA315" s="22" t="s">
        <v>197</v>
      </c>
      <c r="AB315" s="7" t="s">
        <v>197</v>
      </c>
      <c r="AC315" s="7" t="s">
        <v>197</v>
      </c>
      <c r="AD315" s="22" t="s">
        <v>197</v>
      </c>
      <c r="AE315" s="22" t="s">
        <v>197</v>
      </c>
      <c r="AF315" s="22" t="s">
        <v>197</v>
      </c>
      <c r="AG315" s="22" t="s">
        <v>197</v>
      </c>
      <c r="AH315" s="22" t="s">
        <v>197</v>
      </c>
      <c r="AI315" s="22" t="s">
        <v>197</v>
      </c>
      <c r="AJ315" s="22" t="s">
        <v>197</v>
      </c>
      <c r="AK315" s="22" t="s">
        <v>197</v>
      </c>
      <c r="AL315" s="22" t="s">
        <v>197</v>
      </c>
      <c r="AM315" s="22" t="s">
        <v>197</v>
      </c>
      <c r="AN315" s="7" t="s">
        <v>197</v>
      </c>
      <c r="AO315" s="22" t="s">
        <v>197</v>
      </c>
      <c r="AP315" s="22" t="s">
        <v>197</v>
      </c>
      <c r="AQ315" s="22" t="s">
        <v>197</v>
      </c>
    </row>
    <row r="316" customFormat="false" ht="21.75" hidden="false" customHeight="true" outlineLevel="0" collapsed="false">
      <c r="B316" s="15" t="n">
        <v>312</v>
      </c>
      <c r="C316" s="9" t="s">
        <v>82</v>
      </c>
      <c r="D316" s="9" t="s">
        <v>23</v>
      </c>
      <c r="E316" s="9" t="s">
        <v>121</v>
      </c>
      <c r="F316" s="9" t="s">
        <v>100</v>
      </c>
      <c r="G316" s="9" t="s">
        <v>391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19"/>
      <c r="V316" s="9"/>
      <c r="W316" s="9"/>
      <c r="X316" s="9" t="s">
        <v>3200</v>
      </c>
      <c r="Y316" s="23" t="s">
        <v>197</v>
      </c>
      <c r="Z316" s="23" t="s">
        <v>197</v>
      </c>
      <c r="AA316" s="23" t="s">
        <v>197</v>
      </c>
      <c r="AB316" s="9" t="s">
        <v>197</v>
      </c>
      <c r="AC316" s="9" t="s">
        <v>197</v>
      </c>
      <c r="AD316" s="23" t="s">
        <v>197</v>
      </c>
      <c r="AE316" s="23" t="s">
        <v>197</v>
      </c>
      <c r="AF316" s="23" t="s">
        <v>197</v>
      </c>
      <c r="AG316" s="23" t="s">
        <v>197</v>
      </c>
      <c r="AH316" s="23" t="s">
        <v>197</v>
      </c>
      <c r="AI316" s="23" t="s">
        <v>197</v>
      </c>
      <c r="AJ316" s="23" t="s">
        <v>197</v>
      </c>
      <c r="AK316" s="23" t="s">
        <v>197</v>
      </c>
      <c r="AL316" s="23" t="s">
        <v>197</v>
      </c>
      <c r="AM316" s="23" t="s">
        <v>197</v>
      </c>
      <c r="AN316" s="9" t="s">
        <v>197</v>
      </c>
      <c r="AO316" s="23" t="s">
        <v>197</v>
      </c>
      <c r="AP316" s="23" t="s">
        <v>197</v>
      </c>
      <c r="AQ316" s="23" t="s">
        <v>197</v>
      </c>
    </row>
    <row r="317" customFormat="false" ht="21.75" hidden="false" customHeight="true" outlineLevel="0" collapsed="false">
      <c r="B317" s="14" t="n">
        <v>313</v>
      </c>
      <c r="C317" s="7" t="s">
        <v>82</v>
      </c>
      <c r="D317" s="7" t="s">
        <v>23</v>
      </c>
      <c r="E317" s="7" t="s">
        <v>121</v>
      </c>
      <c r="F317" s="7" t="s">
        <v>101</v>
      </c>
      <c r="G317" s="7" t="s">
        <v>391</v>
      </c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18"/>
      <c r="V317" s="7"/>
      <c r="W317" s="7"/>
      <c r="X317" s="7" t="s">
        <v>3201</v>
      </c>
      <c r="Y317" s="22" t="s">
        <v>197</v>
      </c>
      <c r="Z317" s="22" t="s">
        <v>197</v>
      </c>
      <c r="AA317" s="22" t="s">
        <v>197</v>
      </c>
      <c r="AB317" s="7" t="s">
        <v>197</v>
      </c>
      <c r="AC317" s="7" t="s">
        <v>197</v>
      </c>
      <c r="AD317" s="22" t="s">
        <v>197</v>
      </c>
      <c r="AE317" s="22" t="s">
        <v>197</v>
      </c>
      <c r="AF317" s="22" t="s">
        <v>197</v>
      </c>
      <c r="AG317" s="22" t="s">
        <v>197</v>
      </c>
      <c r="AH317" s="22" t="s">
        <v>197</v>
      </c>
      <c r="AI317" s="22" t="s">
        <v>197</v>
      </c>
      <c r="AJ317" s="22" t="s">
        <v>197</v>
      </c>
      <c r="AK317" s="22" t="s">
        <v>197</v>
      </c>
      <c r="AL317" s="22" t="s">
        <v>197</v>
      </c>
      <c r="AM317" s="22" t="s">
        <v>197</v>
      </c>
      <c r="AN317" s="7" t="s">
        <v>197</v>
      </c>
      <c r="AO317" s="22" t="s">
        <v>197</v>
      </c>
      <c r="AP317" s="22" t="s">
        <v>197</v>
      </c>
      <c r="AQ317" s="22" t="s">
        <v>197</v>
      </c>
    </row>
    <row r="318" customFormat="false" ht="21.75" hidden="false" customHeight="true" outlineLevel="0" collapsed="false">
      <c r="B318" s="15" t="n">
        <v>314</v>
      </c>
      <c r="C318" s="9" t="s">
        <v>82</v>
      </c>
      <c r="D318" s="9" t="s">
        <v>23</v>
      </c>
      <c r="E318" s="9" t="s">
        <v>121</v>
      </c>
      <c r="F318" s="9" t="s">
        <v>102</v>
      </c>
      <c r="G318" s="9" t="s">
        <v>3202</v>
      </c>
      <c r="H318" s="9" t="s">
        <v>2601</v>
      </c>
      <c r="I318" s="9" t="s">
        <v>3203</v>
      </c>
      <c r="J318" s="9" t="s">
        <v>3204</v>
      </c>
      <c r="K318" s="9" t="s">
        <v>2697</v>
      </c>
      <c r="L318" s="9" t="s">
        <v>3146</v>
      </c>
      <c r="M318" s="9" t="s">
        <v>2698</v>
      </c>
      <c r="N318" s="9" t="s">
        <v>189</v>
      </c>
      <c r="O318" s="9" t="s">
        <v>189</v>
      </c>
      <c r="P318" s="9" t="s">
        <v>640</v>
      </c>
      <c r="Q318" s="9" t="s">
        <v>3205</v>
      </c>
      <c r="R318" s="9" t="s">
        <v>1190</v>
      </c>
      <c r="S318" s="9" t="s">
        <v>3151</v>
      </c>
      <c r="T318" s="9" t="s">
        <v>3206</v>
      </c>
      <c r="U318" s="19" t="n">
        <v>19</v>
      </c>
      <c r="V318" s="9"/>
      <c r="W318" s="9"/>
      <c r="X318" s="9" t="s">
        <v>195</v>
      </c>
      <c r="Y318" s="23" t="n">
        <v>0.00024764</v>
      </c>
      <c r="Z318" s="23" t="n">
        <v>0.003</v>
      </c>
      <c r="AA318" s="23" t="n">
        <v>24</v>
      </c>
      <c r="AB318" s="9" t="s">
        <v>3146</v>
      </c>
      <c r="AC318" s="9" t="s">
        <v>3185</v>
      </c>
      <c r="AD318" s="23" t="s">
        <v>197</v>
      </c>
      <c r="AE318" s="23" t="s">
        <v>197</v>
      </c>
      <c r="AF318" s="23" t="s">
        <v>197</v>
      </c>
      <c r="AG318" s="23" t="s">
        <v>197</v>
      </c>
      <c r="AH318" s="23" t="s">
        <v>197</v>
      </c>
      <c r="AI318" s="23" t="s">
        <v>197</v>
      </c>
      <c r="AJ318" s="23" t="s">
        <v>197</v>
      </c>
      <c r="AK318" s="23" t="s">
        <v>197</v>
      </c>
      <c r="AL318" s="23" t="s">
        <v>197</v>
      </c>
      <c r="AM318" s="23" t="s">
        <v>197</v>
      </c>
      <c r="AN318" s="9" t="s">
        <v>197</v>
      </c>
      <c r="AO318" s="23" t="s">
        <v>197</v>
      </c>
      <c r="AP318" s="23" t="n">
        <v>1.05</v>
      </c>
      <c r="AQ318" s="23" t="n">
        <v>1.4</v>
      </c>
    </row>
    <row r="319" customFormat="false" ht="21.75" hidden="false" customHeight="true" outlineLevel="0" collapsed="false">
      <c r="B319" s="14" t="n">
        <v>315</v>
      </c>
      <c r="C319" s="7" t="s">
        <v>82</v>
      </c>
      <c r="D319" s="7" t="s">
        <v>23</v>
      </c>
      <c r="E319" s="7" t="s">
        <v>121</v>
      </c>
      <c r="F319" s="7" t="s">
        <v>102</v>
      </c>
      <c r="G319" s="7" t="s">
        <v>3207</v>
      </c>
      <c r="H319" s="7" t="s">
        <v>2607</v>
      </c>
      <c r="I319" s="7" t="s">
        <v>3203</v>
      </c>
      <c r="J319" s="7" t="s">
        <v>3204</v>
      </c>
      <c r="K319" s="7" t="s">
        <v>2697</v>
      </c>
      <c r="L319" s="7" t="s">
        <v>3146</v>
      </c>
      <c r="M319" s="7" t="s">
        <v>2698</v>
      </c>
      <c r="N319" s="7" t="s">
        <v>189</v>
      </c>
      <c r="O319" s="7" t="s">
        <v>189</v>
      </c>
      <c r="P319" s="7" t="s">
        <v>640</v>
      </c>
      <c r="Q319" s="7" t="s">
        <v>3205</v>
      </c>
      <c r="R319" s="7" t="s">
        <v>1190</v>
      </c>
      <c r="S319" s="7" t="s">
        <v>3151</v>
      </c>
      <c r="T319" s="7" t="s">
        <v>3206</v>
      </c>
      <c r="U319" s="18" t="n">
        <v>25</v>
      </c>
      <c r="V319" s="7"/>
      <c r="W319" s="7"/>
      <c r="X319" s="7" t="s">
        <v>199</v>
      </c>
      <c r="Y319" s="22" t="n">
        <v>0.0002367</v>
      </c>
      <c r="Z319" s="22" t="n">
        <v>0.003</v>
      </c>
      <c r="AA319" s="22" t="n">
        <v>24</v>
      </c>
      <c r="AB319" s="7" t="s">
        <v>3146</v>
      </c>
      <c r="AC319" s="7" t="s">
        <v>3185</v>
      </c>
      <c r="AD319" s="22" t="s">
        <v>197</v>
      </c>
      <c r="AE319" s="22" t="s">
        <v>197</v>
      </c>
      <c r="AF319" s="22" t="s">
        <v>197</v>
      </c>
      <c r="AG319" s="22" t="s">
        <v>197</v>
      </c>
      <c r="AH319" s="22" t="s">
        <v>197</v>
      </c>
      <c r="AI319" s="22" t="s">
        <v>197</v>
      </c>
      <c r="AJ319" s="22" t="s">
        <v>197</v>
      </c>
      <c r="AK319" s="22" t="s">
        <v>197</v>
      </c>
      <c r="AL319" s="22" t="s">
        <v>197</v>
      </c>
      <c r="AM319" s="22" t="s">
        <v>197</v>
      </c>
      <c r="AN319" s="7" t="s">
        <v>197</v>
      </c>
      <c r="AO319" s="22" t="s">
        <v>197</v>
      </c>
      <c r="AP319" s="22" t="n">
        <v>1.05</v>
      </c>
      <c r="AQ319" s="22" t="n">
        <v>1.4</v>
      </c>
    </row>
    <row r="320" customFormat="false" ht="21.75" hidden="false" customHeight="true" outlineLevel="0" collapsed="false">
      <c r="B320" s="15" t="n">
        <v>316</v>
      </c>
      <c r="C320" s="9" t="s">
        <v>82</v>
      </c>
      <c r="D320" s="9" t="s">
        <v>23</v>
      </c>
      <c r="E320" s="9" t="s">
        <v>121</v>
      </c>
      <c r="F320" s="9" t="s">
        <v>102</v>
      </c>
      <c r="G320" s="9" t="s">
        <v>3208</v>
      </c>
      <c r="H320" s="9" t="s">
        <v>2609</v>
      </c>
      <c r="I320" s="9" t="s">
        <v>3203</v>
      </c>
      <c r="J320" s="9" t="s">
        <v>3204</v>
      </c>
      <c r="K320" s="9" t="s">
        <v>2697</v>
      </c>
      <c r="L320" s="9" t="s">
        <v>3146</v>
      </c>
      <c r="M320" s="9" t="s">
        <v>2698</v>
      </c>
      <c r="N320" s="9" t="s">
        <v>189</v>
      </c>
      <c r="O320" s="9" t="s">
        <v>189</v>
      </c>
      <c r="P320" s="9" t="s">
        <v>640</v>
      </c>
      <c r="Q320" s="9" t="s">
        <v>3205</v>
      </c>
      <c r="R320" s="9" t="s">
        <v>1190</v>
      </c>
      <c r="S320" s="9" t="s">
        <v>3151</v>
      </c>
      <c r="T320" s="9" t="s">
        <v>3206</v>
      </c>
      <c r="U320" s="19" t="n">
        <v>35</v>
      </c>
      <c r="V320" s="9"/>
      <c r="W320" s="9"/>
      <c r="X320" s="9" t="s">
        <v>3209</v>
      </c>
      <c r="Y320" s="23" t="n">
        <v>0.00037442</v>
      </c>
      <c r="Z320" s="23" t="n">
        <v>0.005</v>
      </c>
      <c r="AA320" s="23" t="n">
        <v>24</v>
      </c>
      <c r="AB320" s="9" t="s">
        <v>3146</v>
      </c>
      <c r="AC320" s="9" t="s">
        <v>3185</v>
      </c>
      <c r="AD320" s="23" t="s">
        <v>197</v>
      </c>
      <c r="AE320" s="23" t="s">
        <v>197</v>
      </c>
      <c r="AF320" s="23" t="s">
        <v>197</v>
      </c>
      <c r="AG320" s="23" t="s">
        <v>197</v>
      </c>
      <c r="AH320" s="23" t="s">
        <v>197</v>
      </c>
      <c r="AI320" s="23" t="s">
        <v>197</v>
      </c>
      <c r="AJ320" s="23" t="s">
        <v>197</v>
      </c>
      <c r="AK320" s="23" t="s">
        <v>197</v>
      </c>
      <c r="AL320" s="23" t="s">
        <v>197</v>
      </c>
      <c r="AM320" s="23" t="s">
        <v>197</v>
      </c>
      <c r="AN320" s="9" t="s">
        <v>197</v>
      </c>
      <c r="AO320" s="23" t="s">
        <v>197</v>
      </c>
      <c r="AP320" s="23" t="n">
        <v>1.05</v>
      </c>
      <c r="AQ320" s="23" t="n">
        <v>1.4</v>
      </c>
    </row>
    <row r="321" customFormat="false" ht="21.75" hidden="false" customHeight="true" outlineLevel="0" collapsed="false">
      <c r="B321" s="14" t="n">
        <v>317</v>
      </c>
      <c r="C321" s="7" t="s">
        <v>82</v>
      </c>
      <c r="D321" s="7" t="s">
        <v>23</v>
      </c>
      <c r="E321" s="7" t="s">
        <v>121</v>
      </c>
      <c r="F321" s="7" t="s">
        <v>102</v>
      </c>
      <c r="G321" s="7" t="s">
        <v>3210</v>
      </c>
      <c r="H321" s="7" t="s">
        <v>2612</v>
      </c>
      <c r="I321" s="7" t="s">
        <v>3203</v>
      </c>
      <c r="J321" s="7" t="s">
        <v>3204</v>
      </c>
      <c r="K321" s="7" t="s">
        <v>2697</v>
      </c>
      <c r="L321" s="7" t="s">
        <v>3146</v>
      </c>
      <c r="M321" s="7" t="s">
        <v>2698</v>
      </c>
      <c r="N321" s="7" t="s">
        <v>189</v>
      </c>
      <c r="O321" s="7" t="s">
        <v>189</v>
      </c>
      <c r="P321" s="7" t="s">
        <v>640</v>
      </c>
      <c r="Q321" s="7" t="s">
        <v>3205</v>
      </c>
      <c r="R321" s="7" t="s">
        <v>1190</v>
      </c>
      <c r="S321" s="7" t="s">
        <v>3151</v>
      </c>
      <c r="T321" s="7" t="s">
        <v>3206</v>
      </c>
      <c r="U321" s="18" t="n">
        <v>55</v>
      </c>
      <c r="V321" s="7"/>
      <c r="W321" s="7"/>
      <c r="X321" s="7" t="s">
        <v>203</v>
      </c>
      <c r="Y321" s="22" t="n">
        <v>0.00029654</v>
      </c>
      <c r="Z321" s="22" t="n">
        <v>0.004</v>
      </c>
      <c r="AA321" s="22" t="n">
        <v>24</v>
      </c>
      <c r="AB321" s="7" t="s">
        <v>3146</v>
      </c>
      <c r="AC321" s="7" t="s">
        <v>3185</v>
      </c>
      <c r="AD321" s="22" t="s">
        <v>197</v>
      </c>
      <c r="AE321" s="22" t="s">
        <v>197</v>
      </c>
      <c r="AF321" s="22" t="s">
        <v>197</v>
      </c>
      <c r="AG321" s="22" t="s">
        <v>197</v>
      </c>
      <c r="AH321" s="22" t="s">
        <v>197</v>
      </c>
      <c r="AI321" s="22" t="s">
        <v>197</v>
      </c>
      <c r="AJ321" s="22" t="s">
        <v>197</v>
      </c>
      <c r="AK321" s="22" t="s">
        <v>197</v>
      </c>
      <c r="AL321" s="22" t="s">
        <v>197</v>
      </c>
      <c r="AM321" s="22" t="s">
        <v>197</v>
      </c>
      <c r="AN321" s="7" t="s">
        <v>197</v>
      </c>
      <c r="AO321" s="22" t="s">
        <v>197</v>
      </c>
      <c r="AP321" s="22" t="n">
        <v>1.05</v>
      </c>
      <c r="AQ321" s="22" t="n">
        <v>1.4</v>
      </c>
    </row>
    <row r="322" customFormat="false" ht="21.75" hidden="false" customHeight="true" outlineLevel="0" collapsed="false">
      <c r="B322" s="15" t="n">
        <v>318</v>
      </c>
      <c r="C322" s="9" t="s">
        <v>82</v>
      </c>
      <c r="D322" s="9" t="s">
        <v>23</v>
      </c>
      <c r="E322" s="9" t="s">
        <v>121</v>
      </c>
      <c r="F322" s="9" t="s">
        <v>102</v>
      </c>
      <c r="G322" s="9" t="s">
        <v>3211</v>
      </c>
      <c r="H322" s="9" t="s">
        <v>2614</v>
      </c>
      <c r="I322" s="9" t="s">
        <v>3203</v>
      </c>
      <c r="J322" s="9" t="s">
        <v>3204</v>
      </c>
      <c r="K322" s="9" t="s">
        <v>2697</v>
      </c>
      <c r="L322" s="9" t="s">
        <v>3146</v>
      </c>
      <c r="M322" s="9" t="s">
        <v>2698</v>
      </c>
      <c r="N322" s="9" t="s">
        <v>189</v>
      </c>
      <c r="O322" s="9" t="s">
        <v>189</v>
      </c>
      <c r="P322" s="9" t="s">
        <v>640</v>
      </c>
      <c r="Q322" s="9" t="s">
        <v>3205</v>
      </c>
      <c r="R322" s="9" t="s">
        <v>1190</v>
      </c>
      <c r="S322" s="9" t="s">
        <v>3151</v>
      </c>
      <c r="T322" s="9" t="s">
        <v>3206</v>
      </c>
      <c r="U322" s="19" t="n">
        <v>80</v>
      </c>
      <c r="V322" s="9"/>
      <c r="W322" s="9"/>
      <c r="X322" s="9" t="s">
        <v>205</v>
      </c>
      <c r="Y322" s="23" t="n">
        <v>0.00026696</v>
      </c>
      <c r="Z322" s="23" t="n">
        <v>0.004</v>
      </c>
      <c r="AA322" s="23" t="n">
        <v>24</v>
      </c>
      <c r="AB322" s="9" t="s">
        <v>3146</v>
      </c>
      <c r="AC322" s="9" t="s">
        <v>3185</v>
      </c>
      <c r="AD322" s="23" t="s">
        <v>197</v>
      </c>
      <c r="AE322" s="23" t="s">
        <v>197</v>
      </c>
      <c r="AF322" s="23" t="s">
        <v>197</v>
      </c>
      <c r="AG322" s="23" t="s">
        <v>197</v>
      </c>
      <c r="AH322" s="23" t="s">
        <v>197</v>
      </c>
      <c r="AI322" s="23" t="s">
        <v>197</v>
      </c>
      <c r="AJ322" s="23" t="s">
        <v>197</v>
      </c>
      <c r="AK322" s="23" t="s">
        <v>197</v>
      </c>
      <c r="AL322" s="23" t="s">
        <v>197</v>
      </c>
      <c r="AM322" s="23" t="s">
        <v>197</v>
      </c>
      <c r="AN322" s="9" t="s">
        <v>197</v>
      </c>
      <c r="AO322" s="23" t="s">
        <v>197</v>
      </c>
      <c r="AP322" s="23" t="n">
        <v>1.05</v>
      </c>
      <c r="AQ322" s="23" t="n">
        <v>1.4</v>
      </c>
    </row>
    <row r="323" customFormat="false" ht="21.75" hidden="false" customHeight="true" outlineLevel="0" collapsed="false">
      <c r="B323" s="14" t="n">
        <v>319</v>
      </c>
      <c r="C323" s="7" t="s">
        <v>82</v>
      </c>
      <c r="D323" s="7" t="s">
        <v>23</v>
      </c>
      <c r="E323" s="7" t="s">
        <v>121</v>
      </c>
      <c r="F323" s="7" t="s">
        <v>103</v>
      </c>
      <c r="G323" s="7" t="s">
        <v>391</v>
      </c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18"/>
      <c r="V323" s="7"/>
      <c r="W323" s="7"/>
      <c r="X323" s="7" t="s">
        <v>3212</v>
      </c>
      <c r="Y323" s="22" t="s">
        <v>197</v>
      </c>
      <c r="Z323" s="22" t="s">
        <v>197</v>
      </c>
      <c r="AA323" s="22" t="s">
        <v>197</v>
      </c>
      <c r="AB323" s="7" t="s">
        <v>197</v>
      </c>
      <c r="AC323" s="7" t="s">
        <v>197</v>
      </c>
      <c r="AD323" s="22" t="s">
        <v>197</v>
      </c>
      <c r="AE323" s="22" t="s">
        <v>197</v>
      </c>
      <c r="AF323" s="22" t="s">
        <v>197</v>
      </c>
      <c r="AG323" s="22" t="s">
        <v>197</v>
      </c>
      <c r="AH323" s="22" t="s">
        <v>197</v>
      </c>
      <c r="AI323" s="22" t="s">
        <v>197</v>
      </c>
      <c r="AJ323" s="22" t="s">
        <v>197</v>
      </c>
      <c r="AK323" s="22" t="s">
        <v>197</v>
      </c>
      <c r="AL323" s="22" t="s">
        <v>197</v>
      </c>
      <c r="AM323" s="22" t="s">
        <v>197</v>
      </c>
      <c r="AN323" s="7" t="s">
        <v>197</v>
      </c>
      <c r="AO323" s="22" t="s">
        <v>197</v>
      </c>
      <c r="AP323" s="22" t="s">
        <v>197</v>
      </c>
      <c r="AQ323" s="22" t="s">
        <v>197</v>
      </c>
    </row>
    <row r="324" customFormat="false" ht="21.75" hidden="false" customHeight="true" outlineLevel="0" collapsed="false">
      <c r="B324" s="15" t="n">
        <v>320</v>
      </c>
      <c r="C324" s="9" t="s">
        <v>82</v>
      </c>
      <c r="D324" s="9" t="s">
        <v>23</v>
      </c>
      <c r="E324" s="9" t="s">
        <v>121</v>
      </c>
      <c r="F324" s="9" t="s">
        <v>104</v>
      </c>
      <c r="G324" s="9" t="s">
        <v>3213</v>
      </c>
      <c r="H324" s="9" t="s">
        <v>2617</v>
      </c>
      <c r="I324" s="9" t="s">
        <v>3214</v>
      </c>
      <c r="J324" s="9" t="s">
        <v>2918</v>
      </c>
      <c r="K324" s="9" t="s">
        <v>3215</v>
      </c>
      <c r="L324" s="9" t="s">
        <v>3146</v>
      </c>
      <c r="M324" s="9" t="s">
        <v>2514</v>
      </c>
      <c r="N324" s="9" t="s">
        <v>189</v>
      </c>
      <c r="O324" s="9" t="s">
        <v>189</v>
      </c>
      <c r="P324" s="9" t="s">
        <v>640</v>
      </c>
      <c r="Q324" s="9" t="s">
        <v>2765</v>
      </c>
      <c r="R324" s="9" t="s">
        <v>1842</v>
      </c>
      <c r="S324" s="9" t="s">
        <v>3151</v>
      </c>
      <c r="T324" s="9" t="s">
        <v>2621</v>
      </c>
      <c r="U324" s="19" t="n">
        <v>25</v>
      </c>
      <c r="V324" s="9"/>
      <c r="W324" s="9"/>
      <c r="X324" s="9" t="s">
        <v>195</v>
      </c>
      <c r="Y324" s="23" t="n">
        <v>0.00048624</v>
      </c>
      <c r="Z324" s="23" t="n">
        <v>0.007</v>
      </c>
      <c r="AA324" s="23" t="n">
        <v>24</v>
      </c>
      <c r="AB324" s="9" t="s">
        <v>3146</v>
      </c>
      <c r="AC324" s="9" t="s">
        <v>3185</v>
      </c>
      <c r="AD324" s="23" t="s">
        <v>197</v>
      </c>
      <c r="AE324" s="23" t="s">
        <v>197</v>
      </c>
      <c r="AF324" s="23" t="s">
        <v>197</v>
      </c>
      <c r="AG324" s="23" t="s">
        <v>197</v>
      </c>
      <c r="AH324" s="23" t="s">
        <v>197</v>
      </c>
      <c r="AI324" s="23" t="s">
        <v>197</v>
      </c>
      <c r="AJ324" s="23" t="s">
        <v>197</v>
      </c>
      <c r="AK324" s="23" t="s">
        <v>197</v>
      </c>
      <c r="AL324" s="23" t="s">
        <v>197</v>
      </c>
      <c r="AM324" s="23" t="s">
        <v>197</v>
      </c>
      <c r="AN324" s="9" t="s">
        <v>197</v>
      </c>
      <c r="AO324" s="23" t="s">
        <v>197</v>
      </c>
      <c r="AP324" s="23" t="s">
        <v>197</v>
      </c>
      <c r="AQ324" s="23" t="s">
        <v>197</v>
      </c>
    </row>
    <row r="325" customFormat="false" ht="21.75" hidden="false" customHeight="true" outlineLevel="0" collapsed="false">
      <c r="B325" s="14" t="n">
        <v>321</v>
      </c>
      <c r="C325" s="7" t="s">
        <v>82</v>
      </c>
      <c r="D325" s="7" t="s">
        <v>23</v>
      </c>
      <c r="E325" s="7" t="s">
        <v>121</v>
      </c>
      <c r="F325" s="7" t="s">
        <v>104</v>
      </c>
      <c r="G325" s="7" t="s">
        <v>3216</v>
      </c>
      <c r="H325" s="7" t="s">
        <v>2623</v>
      </c>
      <c r="I325" s="7" t="s">
        <v>3214</v>
      </c>
      <c r="J325" s="7" t="s">
        <v>2918</v>
      </c>
      <c r="K325" s="7" t="s">
        <v>3215</v>
      </c>
      <c r="L325" s="7" t="s">
        <v>3146</v>
      </c>
      <c r="M325" s="7" t="s">
        <v>2514</v>
      </c>
      <c r="N325" s="7" t="s">
        <v>189</v>
      </c>
      <c r="O325" s="7" t="s">
        <v>189</v>
      </c>
      <c r="P325" s="7" t="s">
        <v>640</v>
      </c>
      <c r="Q325" s="7" t="s">
        <v>2765</v>
      </c>
      <c r="R325" s="7" t="s">
        <v>1842</v>
      </c>
      <c r="S325" s="7" t="s">
        <v>3151</v>
      </c>
      <c r="T325" s="7" t="s">
        <v>2621</v>
      </c>
      <c r="U325" s="18" t="n">
        <v>35</v>
      </c>
      <c r="V325" s="7"/>
      <c r="W325" s="7"/>
      <c r="X325" s="7" t="s">
        <v>199</v>
      </c>
      <c r="Y325" s="22" t="n">
        <v>0.00050304</v>
      </c>
      <c r="Z325" s="22" t="n">
        <v>0.007</v>
      </c>
      <c r="AA325" s="22" t="n">
        <v>24</v>
      </c>
      <c r="AB325" s="7" t="s">
        <v>3146</v>
      </c>
      <c r="AC325" s="7" t="s">
        <v>3185</v>
      </c>
      <c r="AD325" s="22" t="s">
        <v>197</v>
      </c>
      <c r="AE325" s="22" t="s">
        <v>197</v>
      </c>
      <c r="AF325" s="22" t="s">
        <v>197</v>
      </c>
      <c r="AG325" s="22" t="s">
        <v>197</v>
      </c>
      <c r="AH325" s="22" t="s">
        <v>197</v>
      </c>
      <c r="AI325" s="22" t="s">
        <v>197</v>
      </c>
      <c r="AJ325" s="22" t="s">
        <v>197</v>
      </c>
      <c r="AK325" s="22" t="s">
        <v>197</v>
      </c>
      <c r="AL325" s="22" t="s">
        <v>197</v>
      </c>
      <c r="AM325" s="22" t="s">
        <v>197</v>
      </c>
      <c r="AN325" s="7" t="s">
        <v>197</v>
      </c>
      <c r="AO325" s="22" t="s">
        <v>197</v>
      </c>
      <c r="AP325" s="22" t="s">
        <v>197</v>
      </c>
      <c r="AQ325" s="22" t="s">
        <v>197</v>
      </c>
    </row>
    <row r="326" customFormat="false" ht="21.75" hidden="false" customHeight="true" outlineLevel="0" collapsed="false">
      <c r="B326" s="15" t="n">
        <v>322</v>
      </c>
      <c r="C326" s="9" t="s">
        <v>82</v>
      </c>
      <c r="D326" s="9" t="s">
        <v>23</v>
      </c>
      <c r="E326" s="9" t="s">
        <v>121</v>
      </c>
      <c r="F326" s="9" t="s">
        <v>104</v>
      </c>
      <c r="G326" s="9" t="s">
        <v>3217</v>
      </c>
      <c r="H326" s="9" t="s">
        <v>2625</v>
      </c>
      <c r="I326" s="9" t="s">
        <v>3214</v>
      </c>
      <c r="J326" s="9" t="s">
        <v>2918</v>
      </c>
      <c r="K326" s="9" t="s">
        <v>3215</v>
      </c>
      <c r="L326" s="9" t="s">
        <v>3146</v>
      </c>
      <c r="M326" s="9" t="s">
        <v>2514</v>
      </c>
      <c r="N326" s="9" t="s">
        <v>189</v>
      </c>
      <c r="O326" s="9" t="s">
        <v>189</v>
      </c>
      <c r="P326" s="9" t="s">
        <v>640</v>
      </c>
      <c r="Q326" s="9" t="s">
        <v>2765</v>
      </c>
      <c r="R326" s="9" t="s">
        <v>1842</v>
      </c>
      <c r="S326" s="9" t="s">
        <v>3151</v>
      </c>
      <c r="T326" s="9" t="s">
        <v>2621</v>
      </c>
      <c r="U326" s="19" t="n">
        <v>50</v>
      </c>
      <c r="V326" s="9"/>
      <c r="W326" s="9"/>
      <c r="X326" s="9" t="s">
        <v>3218</v>
      </c>
      <c r="Y326" s="23" t="n">
        <v>0.00052908</v>
      </c>
      <c r="Z326" s="23" t="n">
        <v>0.007</v>
      </c>
      <c r="AA326" s="23" t="n">
        <v>24</v>
      </c>
      <c r="AB326" s="9" t="s">
        <v>3146</v>
      </c>
      <c r="AC326" s="9" t="s">
        <v>3185</v>
      </c>
      <c r="AD326" s="23" t="s">
        <v>197</v>
      </c>
      <c r="AE326" s="23" t="s">
        <v>197</v>
      </c>
      <c r="AF326" s="23" t="s">
        <v>197</v>
      </c>
      <c r="AG326" s="23" t="s">
        <v>197</v>
      </c>
      <c r="AH326" s="23" t="s">
        <v>197</v>
      </c>
      <c r="AI326" s="23" t="s">
        <v>197</v>
      </c>
      <c r="AJ326" s="23" t="s">
        <v>197</v>
      </c>
      <c r="AK326" s="23" t="s">
        <v>197</v>
      </c>
      <c r="AL326" s="23" t="s">
        <v>197</v>
      </c>
      <c r="AM326" s="23" t="s">
        <v>197</v>
      </c>
      <c r="AN326" s="9" t="s">
        <v>197</v>
      </c>
      <c r="AO326" s="23" t="s">
        <v>197</v>
      </c>
      <c r="AP326" s="23" t="s">
        <v>197</v>
      </c>
      <c r="AQ326" s="23" t="s">
        <v>197</v>
      </c>
    </row>
    <row r="327" customFormat="false" ht="21.75" hidden="false" customHeight="true" outlineLevel="0" collapsed="false">
      <c r="B327" s="14" t="n">
        <v>323</v>
      </c>
      <c r="C327" s="7" t="s">
        <v>82</v>
      </c>
      <c r="D327" s="7" t="s">
        <v>23</v>
      </c>
      <c r="E327" s="7" t="s">
        <v>121</v>
      </c>
      <c r="F327" s="7" t="s">
        <v>104</v>
      </c>
      <c r="G327" s="7" t="s">
        <v>3219</v>
      </c>
      <c r="H327" s="7" t="s">
        <v>2628</v>
      </c>
      <c r="I327" s="7" t="s">
        <v>3214</v>
      </c>
      <c r="J327" s="7" t="s">
        <v>2918</v>
      </c>
      <c r="K327" s="7" t="s">
        <v>3215</v>
      </c>
      <c r="L327" s="7" t="s">
        <v>3146</v>
      </c>
      <c r="M327" s="7" t="s">
        <v>2514</v>
      </c>
      <c r="N327" s="7" t="s">
        <v>189</v>
      </c>
      <c r="O327" s="7" t="s">
        <v>189</v>
      </c>
      <c r="P327" s="7" t="s">
        <v>640</v>
      </c>
      <c r="Q327" s="7" t="s">
        <v>2765</v>
      </c>
      <c r="R327" s="7" t="s">
        <v>1842</v>
      </c>
      <c r="S327" s="7" t="s">
        <v>3151</v>
      </c>
      <c r="T327" s="7" t="s">
        <v>2621</v>
      </c>
      <c r="U327" s="18" t="n">
        <v>75</v>
      </c>
      <c r="V327" s="7"/>
      <c r="W327" s="7"/>
      <c r="X327" s="7" t="s">
        <v>203</v>
      </c>
      <c r="Y327" s="22" t="n">
        <v>0.00075024</v>
      </c>
      <c r="Z327" s="22" t="n">
        <v>0.011</v>
      </c>
      <c r="AA327" s="22" t="n">
        <v>24</v>
      </c>
      <c r="AB327" s="7" t="s">
        <v>3146</v>
      </c>
      <c r="AC327" s="7" t="s">
        <v>3185</v>
      </c>
      <c r="AD327" s="22" t="s">
        <v>197</v>
      </c>
      <c r="AE327" s="22" t="s">
        <v>197</v>
      </c>
      <c r="AF327" s="22" t="s">
        <v>197</v>
      </c>
      <c r="AG327" s="22" t="s">
        <v>197</v>
      </c>
      <c r="AH327" s="22" t="s">
        <v>197</v>
      </c>
      <c r="AI327" s="22" t="s">
        <v>197</v>
      </c>
      <c r="AJ327" s="22" t="s">
        <v>197</v>
      </c>
      <c r="AK327" s="22" t="s">
        <v>197</v>
      </c>
      <c r="AL327" s="22" t="s">
        <v>197</v>
      </c>
      <c r="AM327" s="22" t="s">
        <v>197</v>
      </c>
      <c r="AN327" s="7" t="s">
        <v>197</v>
      </c>
      <c r="AO327" s="22" t="s">
        <v>197</v>
      </c>
      <c r="AP327" s="22" t="s">
        <v>197</v>
      </c>
      <c r="AQ327" s="22" t="s">
        <v>197</v>
      </c>
    </row>
    <row r="328" customFormat="false" ht="21.75" hidden="false" customHeight="true" outlineLevel="0" collapsed="false">
      <c r="B328" s="15" t="n">
        <v>324</v>
      </c>
      <c r="C328" s="9" t="s">
        <v>82</v>
      </c>
      <c r="D328" s="9" t="s">
        <v>23</v>
      </c>
      <c r="E328" s="9" t="s">
        <v>121</v>
      </c>
      <c r="F328" s="9" t="s">
        <v>104</v>
      </c>
      <c r="G328" s="9" t="s">
        <v>3220</v>
      </c>
      <c r="H328" s="9" t="s">
        <v>2630</v>
      </c>
      <c r="I328" s="9" t="s">
        <v>3214</v>
      </c>
      <c r="J328" s="9" t="s">
        <v>2918</v>
      </c>
      <c r="K328" s="9" t="s">
        <v>3215</v>
      </c>
      <c r="L328" s="9" t="s">
        <v>3146</v>
      </c>
      <c r="M328" s="9" t="s">
        <v>2514</v>
      </c>
      <c r="N328" s="9" t="s">
        <v>189</v>
      </c>
      <c r="O328" s="9" t="s">
        <v>189</v>
      </c>
      <c r="P328" s="9" t="s">
        <v>640</v>
      </c>
      <c r="Q328" s="9" t="s">
        <v>2765</v>
      </c>
      <c r="R328" s="9" t="s">
        <v>1842</v>
      </c>
      <c r="S328" s="9" t="s">
        <v>3151</v>
      </c>
      <c r="T328" s="9" t="s">
        <v>2621</v>
      </c>
      <c r="U328" s="19" t="n">
        <v>110</v>
      </c>
      <c r="V328" s="9"/>
      <c r="W328" s="9"/>
      <c r="X328" s="9" t="s">
        <v>205</v>
      </c>
      <c r="Y328" s="23" t="n">
        <v>0.000531</v>
      </c>
      <c r="Z328" s="23" t="n">
        <v>0.007</v>
      </c>
      <c r="AA328" s="23" t="n">
        <v>24</v>
      </c>
      <c r="AB328" s="9" t="s">
        <v>3146</v>
      </c>
      <c r="AC328" s="9" t="s">
        <v>3185</v>
      </c>
      <c r="AD328" s="23" t="s">
        <v>197</v>
      </c>
      <c r="AE328" s="23" t="s">
        <v>197</v>
      </c>
      <c r="AF328" s="23" t="s">
        <v>197</v>
      </c>
      <c r="AG328" s="23" t="s">
        <v>197</v>
      </c>
      <c r="AH328" s="23" t="s">
        <v>197</v>
      </c>
      <c r="AI328" s="23" t="s">
        <v>197</v>
      </c>
      <c r="AJ328" s="23" t="s">
        <v>197</v>
      </c>
      <c r="AK328" s="23" t="s">
        <v>197</v>
      </c>
      <c r="AL328" s="23" t="s">
        <v>197</v>
      </c>
      <c r="AM328" s="23" t="s">
        <v>197</v>
      </c>
      <c r="AN328" s="9" t="s">
        <v>197</v>
      </c>
      <c r="AO328" s="23" t="s">
        <v>197</v>
      </c>
      <c r="AP328" s="23" t="s">
        <v>197</v>
      </c>
      <c r="AQ328" s="23" t="s">
        <v>197</v>
      </c>
    </row>
    <row r="329" customFormat="false" ht="21.75" hidden="false" customHeight="true" outlineLevel="0" collapsed="false">
      <c r="B329" s="14" t="n">
        <v>325</v>
      </c>
      <c r="C329" s="7" t="s">
        <v>82</v>
      </c>
      <c r="D329" s="7" t="s">
        <v>23</v>
      </c>
      <c r="E329" s="7" t="s">
        <v>121</v>
      </c>
      <c r="F329" s="7" t="s">
        <v>105</v>
      </c>
      <c r="G329" s="7" t="s">
        <v>3221</v>
      </c>
      <c r="H329" s="7" t="s">
        <v>2632</v>
      </c>
      <c r="I329" s="7" t="s">
        <v>3222</v>
      </c>
      <c r="J329" s="7" t="s">
        <v>3032</v>
      </c>
      <c r="K329" s="7" t="s">
        <v>3215</v>
      </c>
      <c r="L329" s="7" t="s">
        <v>3146</v>
      </c>
      <c r="M329" s="7" t="s">
        <v>2514</v>
      </c>
      <c r="N329" s="7" t="s">
        <v>189</v>
      </c>
      <c r="O329" s="7" t="s">
        <v>189</v>
      </c>
      <c r="P329" s="7" t="s">
        <v>640</v>
      </c>
      <c r="Q329" s="7" t="s">
        <v>2765</v>
      </c>
      <c r="R329" s="7" t="s">
        <v>604</v>
      </c>
      <c r="S329" s="7" t="s">
        <v>3151</v>
      </c>
      <c r="T329" s="7" t="s">
        <v>2926</v>
      </c>
      <c r="U329" s="18" t="n">
        <v>25</v>
      </c>
      <c r="V329" s="7"/>
      <c r="W329" s="7"/>
      <c r="X329" s="7" t="s">
        <v>195</v>
      </c>
      <c r="Y329" s="22" t="n">
        <v>0.00065224</v>
      </c>
      <c r="Z329" s="22" t="n">
        <v>0.035</v>
      </c>
      <c r="AA329" s="22" t="n">
        <v>24</v>
      </c>
      <c r="AB329" s="7" t="s">
        <v>3146</v>
      </c>
      <c r="AC329" s="7" t="s">
        <v>3185</v>
      </c>
      <c r="AD329" s="22" t="s">
        <v>197</v>
      </c>
      <c r="AE329" s="22" t="s">
        <v>197</v>
      </c>
      <c r="AF329" s="22" t="s">
        <v>197</v>
      </c>
      <c r="AG329" s="22" t="s">
        <v>197</v>
      </c>
      <c r="AH329" s="22" t="s">
        <v>197</v>
      </c>
      <c r="AI329" s="22" t="s">
        <v>197</v>
      </c>
      <c r="AJ329" s="22" t="s">
        <v>197</v>
      </c>
      <c r="AK329" s="22" t="s">
        <v>197</v>
      </c>
      <c r="AL329" s="22" t="s">
        <v>197</v>
      </c>
      <c r="AM329" s="22" t="s">
        <v>197</v>
      </c>
      <c r="AN329" s="7" t="s">
        <v>197</v>
      </c>
      <c r="AO329" s="22" t="s">
        <v>197</v>
      </c>
      <c r="AP329" s="22" t="s">
        <v>197</v>
      </c>
      <c r="AQ329" s="22" t="s">
        <v>197</v>
      </c>
    </row>
    <row r="330" customFormat="false" ht="21.75" hidden="false" customHeight="true" outlineLevel="0" collapsed="false">
      <c r="B330" s="15" t="n">
        <v>326</v>
      </c>
      <c r="C330" s="9" t="s">
        <v>82</v>
      </c>
      <c r="D330" s="9" t="s">
        <v>23</v>
      </c>
      <c r="E330" s="9" t="s">
        <v>121</v>
      </c>
      <c r="F330" s="9" t="s">
        <v>105</v>
      </c>
      <c r="G330" s="9" t="s">
        <v>3223</v>
      </c>
      <c r="H330" s="9" t="s">
        <v>2637</v>
      </c>
      <c r="I330" s="9" t="s">
        <v>3222</v>
      </c>
      <c r="J330" s="9" t="s">
        <v>3032</v>
      </c>
      <c r="K330" s="9" t="s">
        <v>3215</v>
      </c>
      <c r="L330" s="9" t="s">
        <v>3146</v>
      </c>
      <c r="M330" s="9" t="s">
        <v>2514</v>
      </c>
      <c r="N330" s="9" t="s">
        <v>189</v>
      </c>
      <c r="O330" s="9" t="s">
        <v>189</v>
      </c>
      <c r="P330" s="9" t="s">
        <v>640</v>
      </c>
      <c r="Q330" s="9" t="s">
        <v>2765</v>
      </c>
      <c r="R330" s="9" t="s">
        <v>604</v>
      </c>
      <c r="S330" s="9" t="s">
        <v>3151</v>
      </c>
      <c r="T330" s="9" t="s">
        <v>2926</v>
      </c>
      <c r="U330" s="19" t="n">
        <v>40</v>
      </c>
      <c r="V330" s="9"/>
      <c r="W330" s="9"/>
      <c r="X330" s="9" t="s">
        <v>199</v>
      </c>
      <c r="Y330" s="23" t="n">
        <v>0.00060172</v>
      </c>
      <c r="Z330" s="23" t="n">
        <v>0.03</v>
      </c>
      <c r="AA330" s="23" t="n">
        <v>24</v>
      </c>
      <c r="AB330" s="9" t="s">
        <v>3146</v>
      </c>
      <c r="AC330" s="9" t="s">
        <v>3185</v>
      </c>
      <c r="AD330" s="23" t="s">
        <v>197</v>
      </c>
      <c r="AE330" s="23" t="s">
        <v>197</v>
      </c>
      <c r="AF330" s="23" t="s">
        <v>197</v>
      </c>
      <c r="AG330" s="23" t="s">
        <v>197</v>
      </c>
      <c r="AH330" s="23" t="s">
        <v>197</v>
      </c>
      <c r="AI330" s="23" t="s">
        <v>197</v>
      </c>
      <c r="AJ330" s="23" t="s">
        <v>197</v>
      </c>
      <c r="AK330" s="23" t="s">
        <v>197</v>
      </c>
      <c r="AL330" s="23" t="s">
        <v>197</v>
      </c>
      <c r="AM330" s="23" t="s">
        <v>197</v>
      </c>
      <c r="AN330" s="9" t="s">
        <v>197</v>
      </c>
      <c r="AO330" s="23" t="s">
        <v>197</v>
      </c>
      <c r="AP330" s="23" t="s">
        <v>197</v>
      </c>
      <c r="AQ330" s="23" t="s">
        <v>197</v>
      </c>
    </row>
    <row r="331" customFormat="false" ht="21.75" hidden="false" customHeight="true" outlineLevel="0" collapsed="false">
      <c r="B331" s="14" t="n">
        <v>327</v>
      </c>
      <c r="C331" s="7" t="s">
        <v>82</v>
      </c>
      <c r="D331" s="7" t="s">
        <v>23</v>
      </c>
      <c r="E331" s="7" t="s">
        <v>121</v>
      </c>
      <c r="F331" s="7" t="s">
        <v>105</v>
      </c>
      <c r="G331" s="7" t="s">
        <v>3224</v>
      </c>
      <c r="H331" s="7" t="s">
        <v>2639</v>
      </c>
      <c r="I331" s="7" t="s">
        <v>3222</v>
      </c>
      <c r="J331" s="7" t="s">
        <v>3032</v>
      </c>
      <c r="K331" s="7" t="s">
        <v>3215</v>
      </c>
      <c r="L331" s="7" t="s">
        <v>3146</v>
      </c>
      <c r="M331" s="7" t="s">
        <v>2514</v>
      </c>
      <c r="N331" s="7" t="s">
        <v>189</v>
      </c>
      <c r="O331" s="7" t="s">
        <v>189</v>
      </c>
      <c r="P331" s="7" t="s">
        <v>640</v>
      </c>
      <c r="Q331" s="7" t="s">
        <v>2765</v>
      </c>
      <c r="R331" s="7" t="s">
        <v>604</v>
      </c>
      <c r="S331" s="7" t="s">
        <v>3151</v>
      </c>
      <c r="T331" s="7" t="s">
        <v>2926</v>
      </c>
      <c r="U331" s="18" t="n">
        <v>55</v>
      </c>
      <c r="V331" s="7"/>
      <c r="W331" s="7"/>
      <c r="X331" s="7" t="s">
        <v>3225</v>
      </c>
      <c r="Y331" s="22" t="n">
        <v>0.00078904</v>
      </c>
      <c r="Z331" s="22" t="n">
        <v>0.049</v>
      </c>
      <c r="AA331" s="22" t="n">
        <v>24</v>
      </c>
      <c r="AB331" s="7" t="s">
        <v>3146</v>
      </c>
      <c r="AC331" s="7" t="s">
        <v>3185</v>
      </c>
      <c r="AD331" s="22" t="s">
        <v>197</v>
      </c>
      <c r="AE331" s="22" t="s">
        <v>197</v>
      </c>
      <c r="AF331" s="22" t="s">
        <v>197</v>
      </c>
      <c r="AG331" s="22" t="s">
        <v>197</v>
      </c>
      <c r="AH331" s="22" t="s">
        <v>197</v>
      </c>
      <c r="AI331" s="22" t="s">
        <v>197</v>
      </c>
      <c r="AJ331" s="22" t="s">
        <v>197</v>
      </c>
      <c r="AK331" s="22" t="s">
        <v>197</v>
      </c>
      <c r="AL331" s="22" t="s">
        <v>197</v>
      </c>
      <c r="AM331" s="22" t="s">
        <v>197</v>
      </c>
      <c r="AN331" s="7" t="s">
        <v>197</v>
      </c>
      <c r="AO331" s="22" t="s">
        <v>197</v>
      </c>
      <c r="AP331" s="22" t="s">
        <v>197</v>
      </c>
      <c r="AQ331" s="22" t="s">
        <v>197</v>
      </c>
    </row>
    <row r="332" customFormat="false" ht="21.75" hidden="false" customHeight="true" outlineLevel="0" collapsed="false">
      <c r="B332" s="15" t="n">
        <v>328</v>
      </c>
      <c r="C332" s="9" t="s">
        <v>82</v>
      </c>
      <c r="D332" s="9" t="s">
        <v>23</v>
      </c>
      <c r="E332" s="9" t="s">
        <v>121</v>
      </c>
      <c r="F332" s="9" t="s">
        <v>105</v>
      </c>
      <c r="G332" s="9" t="s">
        <v>3226</v>
      </c>
      <c r="H332" s="9" t="s">
        <v>2642</v>
      </c>
      <c r="I332" s="9" t="s">
        <v>3222</v>
      </c>
      <c r="J332" s="9" t="s">
        <v>3032</v>
      </c>
      <c r="K332" s="9" t="s">
        <v>3215</v>
      </c>
      <c r="L332" s="9" t="s">
        <v>3146</v>
      </c>
      <c r="M332" s="9" t="s">
        <v>2514</v>
      </c>
      <c r="N332" s="9" t="s">
        <v>189</v>
      </c>
      <c r="O332" s="9" t="s">
        <v>189</v>
      </c>
      <c r="P332" s="9" t="s">
        <v>640</v>
      </c>
      <c r="Q332" s="9" t="s">
        <v>2765</v>
      </c>
      <c r="R332" s="9" t="s">
        <v>604</v>
      </c>
      <c r="S332" s="9" t="s">
        <v>3151</v>
      </c>
      <c r="T332" s="9" t="s">
        <v>2926</v>
      </c>
      <c r="U332" s="19" t="n">
        <v>80</v>
      </c>
      <c r="V332" s="9"/>
      <c r="W332" s="9"/>
      <c r="X332" s="9" t="s">
        <v>203</v>
      </c>
      <c r="Y332" s="23" t="n">
        <v>0.00051484</v>
      </c>
      <c r="Z332" s="23" t="n">
        <v>0.021</v>
      </c>
      <c r="AA332" s="23" t="n">
        <v>24</v>
      </c>
      <c r="AB332" s="9" t="s">
        <v>3146</v>
      </c>
      <c r="AC332" s="9" t="s">
        <v>3185</v>
      </c>
      <c r="AD332" s="23" t="s">
        <v>197</v>
      </c>
      <c r="AE332" s="23" t="s">
        <v>197</v>
      </c>
      <c r="AF332" s="23" t="s">
        <v>197</v>
      </c>
      <c r="AG332" s="23" t="s">
        <v>197</v>
      </c>
      <c r="AH332" s="23" t="s">
        <v>197</v>
      </c>
      <c r="AI332" s="23" t="s">
        <v>197</v>
      </c>
      <c r="AJ332" s="23" t="s">
        <v>197</v>
      </c>
      <c r="AK332" s="23" t="s">
        <v>197</v>
      </c>
      <c r="AL332" s="23" t="s">
        <v>197</v>
      </c>
      <c r="AM332" s="23" t="s">
        <v>197</v>
      </c>
      <c r="AN332" s="9" t="s">
        <v>197</v>
      </c>
      <c r="AO332" s="23" t="s">
        <v>197</v>
      </c>
      <c r="AP332" s="23" t="s">
        <v>197</v>
      </c>
      <c r="AQ332" s="23" t="s">
        <v>197</v>
      </c>
    </row>
    <row r="333" customFormat="false" ht="21.75" hidden="false" customHeight="true" outlineLevel="0" collapsed="false">
      <c r="B333" s="14" t="n">
        <v>329</v>
      </c>
      <c r="C333" s="7" t="s">
        <v>82</v>
      </c>
      <c r="D333" s="7" t="s">
        <v>23</v>
      </c>
      <c r="E333" s="7" t="s">
        <v>121</v>
      </c>
      <c r="F333" s="7" t="s">
        <v>105</v>
      </c>
      <c r="G333" s="7" t="s">
        <v>3227</v>
      </c>
      <c r="H333" s="7" t="s">
        <v>2644</v>
      </c>
      <c r="I333" s="7" t="s">
        <v>3222</v>
      </c>
      <c r="J333" s="7" t="s">
        <v>3032</v>
      </c>
      <c r="K333" s="7" t="s">
        <v>3215</v>
      </c>
      <c r="L333" s="7" t="s">
        <v>3146</v>
      </c>
      <c r="M333" s="7" t="s">
        <v>2514</v>
      </c>
      <c r="N333" s="7" t="s">
        <v>189</v>
      </c>
      <c r="O333" s="7" t="s">
        <v>189</v>
      </c>
      <c r="P333" s="7" t="s">
        <v>640</v>
      </c>
      <c r="Q333" s="7" t="s">
        <v>2765</v>
      </c>
      <c r="R333" s="7" t="s">
        <v>604</v>
      </c>
      <c r="S333" s="7" t="s">
        <v>3151</v>
      </c>
      <c r="T333" s="7" t="s">
        <v>2926</v>
      </c>
      <c r="U333" s="18" t="n">
        <v>120</v>
      </c>
      <c r="V333" s="7"/>
      <c r="W333" s="7"/>
      <c r="X333" s="7" t="s">
        <v>205</v>
      </c>
      <c r="Y333" s="22" t="n">
        <v>0.00084364</v>
      </c>
      <c r="Z333" s="22" t="n">
        <v>0.054</v>
      </c>
      <c r="AA333" s="22" t="n">
        <v>24</v>
      </c>
      <c r="AB333" s="7" t="s">
        <v>3146</v>
      </c>
      <c r="AC333" s="7" t="s">
        <v>3185</v>
      </c>
      <c r="AD333" s="22" t="s">
        <v>197</v>
      </c>
      <c r="AE333" s="22" t="s">
        <v>197</v>
      </c>
      <c r="AF333" s="22" t="s">
        <v>197</v>
      </c>
      <c r="AG333" s="22" t="s">
        <v>197</v>
      </c>
      <c r="AH333" s="22" t="s">
        <v>197</v>
      </c>
      <c r="AI333" s="22" t="s">
        <v>197</v>
      </c>
      <c r="AJ333" s="22" t="s">
        <v>197</v>
      </c>
      <c r="AK333" s="22" t="s">
        <v>197</v>
      </c>
      <c r="AL333" s="22" t="s">
        <v>197</v>
      </c>
      <c r="AM333" s="22" t="s">
        <v>197</v>
      </c>
      <c r="AN333" s="7" t="s">
        <v>197</v>
      </c>
      <c r="AO333" s="22" t="s">
        <v>197</v>
      </c>
      <c r="AP333" s="22" t="s">
        <v>197</v>
      </c>
      <c r="AQ333" s="22" t="s">
        <v>197</v>
      </c>
    </row>
    <row r="334" customFormat="false" ht="21.75" hidden="false" customHeight="true" outlineLevel="0" collapsed="false">
      <c r="B334" s="15" t="n">
        <v>330</v>
      </c>
      <c r="C334" s="9" t="s">
        <v>82</v>
      </c>
      <c r="D334" s="9" t="s">
        <v>23</v>
      </c>
      <c r="E334" s="9" t="s">
        <v>121</v>
      </c>
      <c r="F334" s="9" t="s">
        <v>106</v>
      </c>
      <c r="G334" s="9" t="s">
        <v>391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19"/>
      <c r="V334" s="9"/>
      <c r="W334" s="9"/>
      <c r="X334" s="9" t="s">
        <v>3228</v>
      </c>
      <c r="Y334" s="23" t="s">
        <v>197</v>
      </c>
      <c r="Z334" s="23" t="s">
        <v>197</v>
      </c>
      <c r="AA334" s="23" t="s">
        <v>197</v>
      </c>
      <c r="AB334" s="9" t="s">
        <v>197</v>
      </c>
      <c r="AC334" s="9" t="s">
        <v>197</v>
      </c>
      <c r="AD334" s="23" t="s">
        <v>197</v>
      </c>
      <c r="AE334" s="23" t="s">
        <v>197</v>
      </c>
      <c r="AF334" s="23" t="s">
        <v>197</v>
      </c>
      <c r="AG334" s="23" t="s">
        <v>197</v>
      </c>
      <c r="AH334" s="23" t="s">
        <v>197</v>
      </c>
      <c r="AI334" s="23" t="s">
        <v>197</v>
      </c>
      <c r="AJ334" s="23" t="s">
        <v>197</v>
      </c>
      <c r="AK334" s="23" t="s">
        <v>197</v>
      </c>
      <c r="AL334" s="23" t="s">
        <v>197</v>
      </c>
      <c r="AM334" s="23" t="s">
        <v>197</v>
      </c>
      <c r="AN334" s="9" t="s">
        <v>197</v>
      </c>
      <c r="AO334" s="23" t="s">
        <v>197</v>
      </c>
      <c r="AP334" s="23" t="s">
        <v>197</v>
      </c>
      <c r="AQ334" s="23" t="s">
        <v>197</v>
      </c>
    </row>
    <row r="335" customFormat="false" ht="21.75" hidden="false" customHeight="true" outlineLevel="0" collapsed="false">
      <c r="B335" s="14" t="n">
        <v>331</v>
      </c>
      <c r="C335" s="7" t="s">
        <v>82</v>
      </c>
      <c r="D335" s="7" t="s">
        <v>23</v>
      </c>
      <c r="E335" s="7" t="s">
        <v>121</v>
      </c>
      <c r="F335" s="7" t="s">
        <v>107</v>
      </c>
      <c r="G335" s="7" t="s">
        <v>391</v>
      </c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18"/>
      <c r="V335" s="7"/>
      <c r="W335" s="7"/>
      <c r="X335" s="7" t="s">
        <v>3229</v>
      </c>
      <c r="Y335" s="22" t="s">
        <v>197</v>
      </c>
      <c r="Z335" s="22" t="s">
        <v>197</v>
      </c>
      <c r="AA335" s="22" t="s">
        <v>197</v>
      </c>
      <c r="AB335" s="7" t="s">
        <v>197</v>
      </c>
      <c r="AC335" s="7" t="s">
        <v>197</v>
      </c>
      <c r="AD335" s="22" t="s">
        <v>197</v>
      </c>
      <c r="AE335" s="22" t="s">
        <v>197</v>
      </c>
      <c r="AF335" s="22" t="s">
        <v>197</v>
      </c>
      <c r="AG335" s="22" t="s">
        <v>197</v>
      </c>
      <c r="AH335" s="22" t="s">
        <v>197</v>
      </c>
      <c r="AI335" s="22" t="s">
        <v>197</v>
      </c>
      <c r="AJ335" s="22" t="s">
        <v>197</v>
      </c>
      <c r="AK335" s="22" t="s">
        <v>197</v>
      </c>
      <c r="AL335" s="22" t="s">
        <v>197</v>
      </c>
      <c r="AM335" s="22" t="s">
        <v>197</v>
      </c>
      <c r="AN335" s="7" t="s">
        <v>197</v>
      </c>
      <c r="AO335" s="22" t="s">
        <v>197</v>
      </c>
      <c r="AP335" s="22" t="s">
        <v>197</v>
      </c>
      <c r="AQ335" s="22" t="s">
        <v>197</v>
      </c>
    </row>
    <row r="336" customFormat="false" ht="21.75" hidden="false" customHeight="true" outlineLevel="0" collapsed="false">
      <c r="B336" s="15" t="n">
        <v>332</v>
      </c>
      <c r="C336" s="9" t="s">
        <v>82</v>
      </c>
      <c r="D336" s="9" t="s">
        <v>23</v>
      </c>
      <c r="E336" s="9" t="s">
        <v>121</v>
      </c>
      <c r="F336" s="9" t="s">
        <v>108</v>
      </c>
      <c r="G336" s="9" t="s">
        <v>391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19"/>
      <c r="V336" s="9"/>
      <c r="W336" s="9"/>
      <c r="X336" s="9" t="s">
        <v>3230</v>
      </c>
      <c r="Y336" s="23" t="s">
        <v>197</v>
      </c>
      <c r="Z336" s="23" t="s">
        <v>197</v>
      </c>
      <c r="AA336" s="23" t="s">
        <v>197</v>
      </c>
      <c r="AB336" s="9" t="s">
        <v>197</v>
      </c>
      <c r="AC336" s="9" t="s">
        <v>197</v>
      </c>
      <c r="AD336" s="23" t="s">
        <v>197</v>
      </c>
      <c r="AE336" s="23" t="s">
        <v>197</v>
      </c>
      <c r="AF336" s="23" t="s">
        <v>197</v>
      </c>
      <c r="AG336" s="23" t="s">
        <v>197</v>
      </c>
      <c r="AH336" s="23" t="s">
        <v>197</v>
      </c>
      <c r="AI336" s="23" t="s">
        <v>197</v>
      </c>
      <c r="AJ336" s="23" t="s">
        <v>197</v>
      </c>
      <c r="AK336" s="23" t="s">
        <v>197</v>
      </c>
      <c r="AL336" s="23" t="s">
        <v>197</v>
      </c>
      <c r="AM336" s="23" t="s">
        <v>197</v>
      </c>
      <c r="AN336" s="9" t="s">
        <v>197</v>
      </c>
      <c r="AO336" s="23" t="s">
        <v>197</v>
      </c>
      <c r="AP336" s="23" t="s">
        <v>197</v>
      </c>
      <c r="AQ336" s="23" t="s">
        <v>197</v>
      </c>
    </row>
    <row r="337" customFormat="false" ht="21.75" hidden="false" customHeight="true" outlineLevel="0" collapsed="false">
      <c r="B337" s="14" t="n">
        <v>333</v>
      </c>
      <c r="C337" s="7" t="s">
        <v>83</v>
      </c>
      <c r="D337" s="7" t="s">
        <v>20</v>
      </c>
      <c r="E337" s="7" t="s">
        <v>121</v>
      </c>
      <c r="F337" s="7" t="s">
        <v>93</v>
      </c>
      <c r="G337" s="7" t="s">
        <v>391</v>
      </c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18"/>
      <c r="V337" s="7"/>
      <c r="W337" s="7"/>
      <c r="X337" s="7" t="s">
        <v>3231</v>
      </c>
      <c r="Y337" s="22" t="s">
        <v>197</v>
      </c>
      <c r="Z337" s="22" t="s">
        <v>197</v>
      </c>
      <c r="AA337" s="22" t="s">
        <v>197</v>
      </c>
      <c r="AB337" s="7" t="s">
        <v>197</v>
      </c>
      <c r="AC337" s="7" t="s">
        <v>197</v>
      </c>
      <c r="AD337" s="22" t="s">
        <v>197</v>
      </c>
      <c r="AE337" s="22" t="s">
        <v>197</v>
      </c>
      <c r="AF337" s="22" t="s">
        <v>197</v>
      </c>
      <c r="AG337" s="22" t="s">
        <v>197</v>
      </c>
      <c r="AH337" s="22" t="s">
        <v>197</v>
      </c>
      <c r="AI337" s="22" t="s">
        <v>197</v>
      </c>
      <c r="AJ337" s="22" t="s">
        <v>197</v>
      </c>
      <c r="AK337" s="22" t="s">
        <v>197</v>
      </c>
      <c r="AL337" s="22" t="s">
        <v>197</v>
      </c>
      <c r="AM337" s="22" t="s">
        <v>197</v>
      </c>
      <c r="AN337" s="7" t="s">
        <v>197</v>
      </c>
      <c r="AO337" s="22" t="s">
        <v>197</v>
      </c>
      <c r="AP337" s="22" t="s">
        <v>197</v>
      </c>
      <c r="AQ337" s="22" t="s">
        <v>197</v>
      </c>
    </row>
    <row r="338" customFormat="false" ht="21.75" hidden="false" customHeight="true" outlineLevel="0" collapsed="false">
      <c r="B338" s="15" t="n">
        <v>334</v>
      </c>
      <c r="C338" s="9" t="s">
        <v>83</v>
      </c>
      <c r="D338" s="9" t="s">
        <v>20</v>
      </c>
      <c r="E338" s="9" t="s">
        <v>121</v>
      </c>
      <c r="F338" s="9" t="s">
        <v>94</v>
      </c>
      <c r="G338" s="9" t="s">
        <v>391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19"/>
      <c r="V338" s="9"/>
      <c r="W338" s="9"/>
      <c r="X338" s="9" t="s">
        <v>3232</v>
      </c>
      <c r="Y338" s="23" t="s">
        <v>197</v>
      </c>
      <c r="Z338" s="23" t="s">
        <v>197</v>
      </c>
      <c r="AA338" s="23" t="s">
        <v>197</v>
      </c>
      <c r="AB338" s="9" t="s">
        <v>197</v>
      </c>
      <c r="AC338" s="9" t="s">
        <v>197</v>
      </c>
      <c r="AD338" s="23" t="s">
        <v>197</v>
      </c>
      <c r="AE338" s="23" t="s">
        <v>197</v>
      </c>
      <c r="AF338" s="23" t="s">
        <v>197</v>
      </c>
      <c r="AG338" s="23" t="s">
        <v>197</v>
      </c>
      <c r="AH338" s="23" t="s">
        <v>197</v>
      </c>
      <c r="AI338" s="23" t="s">
        <v>197</v>
      </c>
      <c r="AJ338" s="23" t="s">
        <v>197</v>
      </c>
      <c r="AK338" s="23" t="s">
        <v>197</v>
      </c>
      <c r="AL338" s="23" t="s">
        <v>197</v>
      </c>
      <c r="AM338" s="23" t="s">
        <v>197</v>
      </c>
      <c r="AN338" s="9" t="s">
        <v>197</v>
      </c>
      <c r="AO338" s="23" t="s">
        <v>197</v>
      </c>
      <c r="AP338" s="23" t="s">
        <v>197</v>
      </c>
      <c r="AQ338" s="23" t="s">
        <v>197</v>
      </c>
    </row>
    <row r="339" customFormat="false" ht="21.75" hidden="false" customHeight="true" outlineLevel="0" collapsed="false">
      <c r="B339" s="14" t="n">
        <v>335</v>
      </c>
      <c r="C339" s="7" t="s">
        <v>83</v>
      </c>
      <c r="D339" s="7" t="s">
        <v>20</v>
      </c>
      <c r="E339" s="7" t="s">
        <v>121</v>
      </c>
      <c r="F339" s="7" t="s">
        <v>95</v>
      </c>
      <c r="G339" s="7" t="s">
        <v>3233</v>
      </c>
      <c r="H339" s="7" t="s">
        <v>2510</v>
      </c>
      <c r="I339" s="7" t="s">
        <v>2695</v>
      </c>
      <c r="J339" s="7" t="s">
        <v>3234</v>
      </c>
      <c r="K339" s="7" t="s">
        <v>2697</v>
      </c>
      <c r="L339" s="7" t="s">
        <v>3235</v>
      </c>
      <c r="M339" s="7" t="s">
        <v>2698</v>
      </c>
      <c r="N339" s="7" t="s">
        <v>189</v>
      </c>
      <c r="O339" s="7" t="s">
        <v>189</v>
      </c>
      <c r="P339" s="7" t="s">
        <v>3236</v>
      </c>
      <c r="Q339" s="7" t="s">
        <v>2712</v>
      </c>
      <c r="R339" s="7" t="s">
        <v>1486</v>
      </c>
      <c r="S339" s="7" t="s">
        <v>3237</v>
      </c>
      <c r="T339" s="7" t="s">
        <v>3174</v>
      </c>
      <c r="U339" s="18" t="n">
        <v>9</v>
      </c>
      <c r="V339" s="7"/>
      <c r="W339" s="7"/>
      <c r="X339" s="7" t="s">
        <v>195</v>
      </c>
      <c r="Y339" s="22" t="n">
        <v>5.013E-005</v>
      </c>
      <c r="Z339" s="22" t="n">
        <v>0.05</v>
      </c>
      <c r="AA339" s="22" t="n">
        <v>24</v>
      </c>
      <c r="AB339" s="7" t="s">
        <v>3235</v>
      </c>
      <c r="AC339" s="7" t="s">
        <v>2701</v>
      </c>
      <c r="AD339" s="22" t="s">
        <v>197</v>
      </c>
      <c r="AE339" s="22" t="s">
        <v>197</v>
      </c>
      <c r="AF339" s="22" t="s">
        <v>197</v>
      </c>
      <c r="AG339" s="22" t="s">
        <v>197</v>
      </c>
      <c r="AH339" s="22" t="s">
        <v>197</v>
      </c>
      <c r="AI339" s="22" t="s">
        <v>197</v>
      </c>
      <c r="AJ339" s="22" t="n">
        <v>60</v>
      </c>
      <c r="AK339" s="22" t="s">
        <v>197</v>
      </c>
      <c r="AL339" s="22" t="s">
        <v>197</v>
      </c>
      <c r="AM339" s="22" t="s">
        <v>197</v>
      </c>
      <c r="AN339" s="7" t="s">
        <v>2518</v>
      </c>
      <c r="AO339" s="22" t="s">
        <v>197</v>
      </c>
      <c r="AP339" s="22" t="n">
        <v>2.5</v>
      </c>
      <c r="AQ339" s="22" t="n">
        <v>6</v>
      </c>
    </row>
    <row r="340" customFormat="false" ht="21.75" hidden="false" customHeight="true" outlineLevel="0" collapsed="false">
      <c r="B340" s="15" t="n">
        <v>336</v>
      </c>
      <c r="C340" s="9" t="s">
        <v>83</v>
      </c>
      <c r="D340" s="9" t="s">
        <v>20</v>
      </c>
      <c r="E340" s="9" t="s">
        <v>121</v>
      </c>
      <c r="F340" s="9" t="s">
        <v>95</v>
      </c>
      <c r="G340" s="9" t="s">
        <v>3238</v>
      </c>
      <c r="H340" s="9" t="s">
        <v>2520</v>
      </c>
      <c r="I340" s="9" t="s">
        <v>2695</v>
      </c>
      <c r="J340" s="9" t="s">
        <v>3234</v>
      </c>
      <c r="K340" s="9" t="s">
        <v>2697</v>
      </c>
      <c r="L340" s="9" t="s">
        <v>3235</v>
      </c>
      <c r="M340" s="9" t="s">
        <v>2698</v>
      </c>
      <c r="N340" s="9" t="s">
        <v>189</v>
      </c>
      <c r="O340" s="9" t="s">
        <v>189</v>
      </c>
      <c r="P340" s="9" t="s">
        <v>3236</v>
      </c>
      <c r="Q340" s="9" t="s">
        <v>2712</v>
      </c>
      <c r="R340" s="9" t="s">
        <v>1486</v>
      </c>
      <c r="S340" s="9" t="s">
        <v>3237</v>
      </c>
      <c r="T340" s="9" t="s">
        <v>3174</v>
      </c>
      <c r="U340" s="19" t="n">
        <v>14</v>
      </c>
      <c r="V340" s="9"/>
      <c r="W340" s="9"/>
      <c r="X340" s="9" t="s">
        <v>199</v>
      </c>
      <c r="Y340" s="23" t="n">
        <v>4.4E-005</v>
      </c>
      <c r="Z340" s="23" t="n">
        <v>0.044</v>
      </c>
      <c r="AA340" s="23" t="n">
        <v>24</v>
      </c>
      <c r="AB340" s="9" t="s">
        <v>3235</v>
      </c>
      <c r="AC340" s="9" t="s">
        <v>2701</v>
      </c>
      <c r="AD340" s="23" t="s">
        <v>197</v>
      </c>
      <c r="AE340" s="23" t="s">
        <v>197</v>
      </c>
      <c r="AF340" s="23" t="s">
        <v>197</v>
      </c>
      <c r="AG340" s="23" t="s">
        <v>197</v>
      </c>
      <c r="AH340" s="23" t="s">
        <v>197</v>
      </c>
      <c r="AI340" s="23" t="s">
        <v>197</v>
      </c>
      <c r="AJ340" s="23" t="n">
        <v>80</v>
      </c>
      <c r="AK340" s="23" t="s">
        <v>197</v>
      </c>
      <c r="AL340" s="23" t="s">
        <v>197</v>
      </c>
      <c r="AM340" s="23" t="s">
        <v>197</v>
      </c>
      <c r="AN340" s="9" t="s">
        <v>2518</v>
      </c>
      <c r="AO340" s="23" t="s">
        <v>197</v>
      </c>
      <c r="AP340" s="23" t="n">
        <v>2.5</v>
      </c>
      <c r="AQ340" s="23" t="n">
        <v>6</v>
      </c>
    </row>
    <row r="341" customFormat="false" ht="21.75" hidden="false" customHeight="true" outlineLevel="0" collapsed="false">
      <c r="B341" s="14" t="n">
        <v>337</v>
      </c>
      <c r="C341" s="7" t="s">
        <v>83</v>
      </c>
      <c r="D341" s="7" t="s">
        <v>20</v>
      </c>
      <c r="E341" s="7" t="s">
        <v>121</v>
      </c>
      <c r="F341" s="7" t="s">
        <v>95</v>
      </c>
      <c r="G341" s="7" t="s">
        <v>3239</v>
      </c>
      <c r="H341" s="7" t="s">
        <v>2522</v>
      </c>
      <c r="I341" s="7" t="s">
        <v>2695</v>
      </c>
      <c r="J341" s="7" t="s">
        <v>3234</v>
      </c>
      <c r="K341" s="7" t="s">
        <v>2697</v>
      </c>
      <c r="L341" s="7" t="s">
        <v>3235</v>
      </c>
      <c r="M341" s="7" t="s">
        <v>2698</v>
      </c>
      <c r="N341" s="7" t="s">
        <v>189</v>
      </c>
      <c r="O341" s="7" t="s">
        <v>189</v>
      </c>
      <c r="P341" s="7" t="s">
        <v>3236</v>
      </c>
      <c r="Q341" s="7" t="s">
        <v>2712</v>
      </c>
      <c r="R341" s="7" t="s">
        <v>1486</v>
      </c>
      <c r="S341" s="7" t="s">
        <v>3237</v>
      </c>
      <c r="T341" s="7" t="s">
        <v>3174</v>
      </c>
      <c r="U341" s="18" t="n">
        <v>18</v>
      </c>
      <c r="V341" s="7"/>
      <c r="W341" s="7"/>
      <c r="X341" s="7" t="s">
        <v>3240</v>
      </c>
      <c r="Y341" s="22" t="n">
        <v>4.833E-005</v>
      </c>
      <c r="Z341" s="22" t="n">
        <v>0.048</v>
      </c>
      <c r="AA341" s="22" t="n">
        <v>24</v>
      </c>
      <c r="AB341" s="7" t="s">
        <v>3235</v>
      </c>
      <c r="AC341" s="7" t="s">
        <v>2701</v>
      </c>
      <c r="AD341" s="22" t="s">
        <v>197</v>
      </c>
      <c r="AE341" s="22" t="s">
        <v>197</v>
      </c>
      <c r="AF341" s="22" t="s">
        <v>197</v>
      </c>
      <c r="AG341" s="22" t="s">
        <v>197</v>
      </c>
      <c r="AH341" s="22" t="s">
        <v>197</v>
      </c>
      <c r="AI341" s="22" t="s">
        <v>197</v>
      </c>
      <c r="AJ341" s="22" t="n">
        <v>100</v>
      </c>
      <c r="AK341" s="22" t="s">
        <v>197</v>
      </c>
      <c r="AL341" s="22" t="s">
        <v>197</v>
      </c>
      <c r="AM341" s="22" t="s">
        <v>197</v>
      </c>
      <c r="AN341" s="7" t="s">
        <v>2518</v>
      </c>
      <c r="AO341" s="22" t="s">
        <v>197</v>
      </c>
      <c r="AP341" s="22" t="n">
        <v>2.5</v>
      </c>
      <c r="AQ341" s="22" t="n">
        <v>6</v>
      </c>
    </row>
    <row r="342" customFormat="false" ht="21.75" hidden="false" customHeight="true" outlineLevel="0" collapsed="false">
      <c r="B342" s="15" t="n">
        <v>338</v>
      </c>
      <c r="C342" s="9" t="s">
        <v>83</v>
      </c>
      <c r="D342" s="9" t="s">
        <v>20</v>
      </c>
      <c r="E342" s="9" t="s">
        <v>121</v>
      </c>
      <c r="F342" s="9" t="s">
        <v>95</v>
      </c>
      <c r="G342" s="9" t="s">
        <v>3241</v>
      </c>
      <c r="H342" s="9" t="s">
        <v>2706</v>
      </c>
      <c r="I342" s="9" t="s">
        <v>2695</v>
      </c>
      <c r="J342" s="9" t="s">
        <v>3234</v>
      </c>
      <c r="K342" s="9" t="s">
        <v>2697</v>
      </c>
      <c r="L342" s="9" t="s">
        <v>3235</v>
      </c>
      <c r="M342" s="9" t="s">
        <v>2698</v>
      </c>
      <c r="N342" s="9" t="s">
        <v>189</v>
      </c>
      <c r="O342" s="9" t="s">
        <v>189</v>
      </c>
      <c r="P342" s="9" t="s">
        <v>3236</v>
      </c>
      <c r="Q342" s="9" t="s">
        <v>2712</v>
      </c>
      <c r="R342" s="9" t="s">
        <v>1486</v>
      </c>
      <c r="S342" s="9" t="s">
        <v>3237</v>
      </c>
      <c r="T342" s="9" t="s">
        <v>3174</v>
      </c>
      <c r="U342" s="19" t="n">
        <v>25</v>
      </c>
      <c r="V342" s="9"/>
      <c r="W342" s="9"/>
      <c r="X342" s="9" t="s">
        <v>203</v>
      </c>
      <c r="Y342" s="23" t="n">
        <v>5.19E-005</v>
      </c>
      <c r="Z342" s="23" t="n">
        <v>0.052</v>
      </c>
      <c r="AA342" s="23" t="n">
        <v>24</v>
      </c>
      <c r="AB342" s="9" t="s">
        <v>3235</v>
      </c>
      <c r="AC342" s="9" t="s">
        <v>2701</v>
      </c>
      <c r="AD342" s="23" t="s">
        <v>197</v>
      </c>
      <c r="AE342" s="23" t="s">
        <v>197</v>
      </c>
      <c r="AF342" s="23" t="s">
        <v>197</v>
      </c>
      <c r="AG342" s="23" t="s">
        <v>197</v>
      </c>
      <c r="AH342" s="23" t="s">
        <v>197</v>
      </c>
      <c r="AI342" s="23" t="s">
        <v>197</v>
      </c>
      <c r="AJ342" s="23" t="n">
        <v>100</v>
      </c>
      <c r="AK342" s="23" t="s">
        <v>197</v>
      </c>
      <c r="AL342" s="23" t="s">
        <v>197</v>
      </c>
      <c r="AM342" s="23" t="s">
        <v>197</v>
      </c>
      <c r="AN342" s="9" t="s">
        <v>2518</v>
      </c>
      <c r="AO342" s="23" t="s">
        <v>197</v>
      </c>
      <c r="AP342" s="23" t="n">
        <v>2.5</v>
      </c>
      <c r="AQ342" s="23" t="n">
        <v>6</v>
      </c>
    </row>
    <row r="343" customFormat="false" ht="21.75" hidden="false" customHeight="true" outlineLevel="0" collapsed="false">
      <c r="B343" s="14" t="n">
        <v>339</v>
      </c>
      <c r="C343" s="7" t="s">
        <v>83</v>
      </c>
      <c r="D343" s="7" t="s">
        <v>20</v>
      </c>
      <c r="E343" s="7" t="s">
        <v>121</v>
      </c>
      <c r="F343" s="7" t="s">
        <v>95</v>
      </c>
      <c r="G343" s="7" t="s">
        <v>3242</v>
      </c>
      <c r="H343" s="7" t="s">
        <v>2527</v>
      </c>
      <c r="I343" s="7" t="s">
        <v>2695</v>
      </c>
      <c r="J343" s="7" t="s">
        <v>3234</v>
      </c>
      <c r="K343" s="7" t="s">
        <v>2697</v>
      </c>
      <c r="L343" s="7" t="s">
        <v>3235</v>
      </c>
      <c r="M343" s="7" t="s">
        <v>2698</v>
      </c>
      <c r="N343" s="7" t="s">
        <v>189</v>
      </c>
      <c r="O343" s="7" t="s">
        <v>189</v>
      </c>
      <c r="P343" s="7" t="s">
        <v>3236</v>
      </c>
      <c r="Q343" s="7" t="s">
        <v>2712</v>
      </c>
      <c r="R343" s="7" t="s">
        <v>1486</v>
      </c>
      <c r="S343" s="7" t="s">
        <v>3237</v>
      </c>
      <c r="T343" s="7" t="s">
        <v>3174</v>
      </c>
      <c r="U343" s="18" t="n">
        <v>35</v>
      </c>
      <c r="V343" s="7"/>
      <c r="W343" s="7"/>
      <c r="X343" s="7" t="s">
        <v>205</v>
      </c>
      <c r="Y343" s="22" t="n">
        <v>5.722E-005</v>
      </c>
      <c r="Z343" s="22" t="n">
        <v>0.057</v>
      </c>
      <c r="AA343" s="22" t="n">
        <v>24</v>
      </c>
      <c r="AB343" s="7" t="s">
        <v>3235</v>
      </c>
      <c r="AC343" s="7" t="s">
        <v>2701</v>
      </c>
      <c r="AD343" s="22" t="s">
        <v>197</v>
      </c>
      <c r="AE343" s="22" t="s">
        <v>197</v>
      </c>
      <c r="AF343" s="22" t="s">
        <v>197</v>
      </c>
      <c r="AG343" s="22" t="s">
        <v>197</v>
      </c>
      <c r="AH343" s="22" t="s">
        <v>197</v>
      </c>
      <c r="AI343" s="22" t="s">
        <v>197</v>
      </c>
      <c r="AJ343" s="22" t="n">
        <v>120</v>
      </c>
      <c r="AK343" s="22" t="s">
        <v>197</v>
      </c>
      <c r="AL343" s="22" t="s">
        <v>197</v>
      </c>
      <c r="AM343" s="22" t="s">
        <v>197</v>
      </c>
      <c r="AN343" s="7" t="s">
        <v>2518</v>
      </c>
      <c r="AO343" s="22" t="s">
        <v>197</v>
      </c>
      <c r="AP343" s="22" t="n">
        <v>2.5</v>
      </c>
      <c r="AQ343" s="22" t="n">
        <v>6</v>
      </c>
    </row>
    <row r="344" customFormat="false" ht="21.75" hidden="false" customHeight="true" outlineLevel="0" collapsed="false">
      <c r="B344" s="15" t="n">
        <v>340</v>
      </c>
      <c r="C344" s="9" t="s">
        <v>83</v>
      </c>
      <c r="D344" s="9" t="s">
        <v>20</v>
      </c>
      <c r="E344" s="9" t="s">
        <v>121</v>
      </c>
      <c r="F344" s="9" t="s">
        <v>96</v>
      </c>
      <c r="G344" s="9" t="s">
        <v>3243</v>
      </c>
      <c r="H344" s="9" t="s">
        <v>2510</v>
      </c>
      <c r="I344" s="9" t="s">
        <v>3244</v>
      </c>
      <c r="J344" s="9" t="s">
        <v>3245</v>
      </c>
      <c r="K344" s="9" t="s">
        <v>3246</v>
      </c>
      <c r="L344" s="9" t="s">
        <v>3235</v>
      </c>
      <c r="M344" s="9" t="s">
        <v>2514</v>
      </c>
      <c r="N344" s="9" t="s">
        <v>189</v>
      </c>
      <c r="O344" s="9" t="s">
        <v>189</v>
      </c>
      <c r="P344" s="9" t="s">
        <v>3236</v>
      </c>
      <c r="Q344" s="9" t="s">
        <v>2712</v>
      </c>
      <c r="R344" s="9" t="s">
        <v>849</v>
      </c>
      <c r="S344" s="9" t="s">
        <v>3237</v>
      </c>
      <c r="T344" s="9" t="s">
        <v>3247</v>
      </c>
      <c r="U344" s="19" t="n">
        <v>20</v>
      </c>
      <c r="V344" s="9"/>
      <c r="W344" s="9"/>
      <c r="X344" s="9" t="s">
        <v>195</v>
      </c>
      <c r="Y344" s="23" t="n">
        <v>7.547E-005</v>
      </c>
      <c r="Z344" s="23" t="n">
        <v>0.003</v>
      </c>
      <c r="AA344" s="23" t="n">
        <v>24</v>
      </c>
      <c r="AB344" s="9" t="s">
        <v>3235</v>
      </c>
      <c r="AC344" s="9" t="s">
        <v>3248</v>
      </c>
      <c r="AD344" s="23" t="s">
        <v>197</v>
      </c>
      <c r="AE344" s="23" t="s">
        <v>197</v>
      </c>
      <c r="AF344" s="23" t="s">
        <v>197</v>
      </c>
      <c r="AG344" s="23" t="s">
        <v>197</v>
      </c>
      <c r="AH344" s="23" t="s">
        <v>197</v>
      </c>
      <c r="AI344" s="23" t="s">
        <v>197</v>
      </c>
      <c r="AJ344" s="23" t="n">
        <v>60</v>
      </c>
      <c r="AK344" s="23" t="s">
        <v>197</v>
      </c>
      <c r="AL344" s="23" t="s">
        <v>197</v>
      </c>
      <c r="AM344" s="23" t="s">
        <v>197</v>
      </c>
      <c r="AN344" s="9" t="s">
        <v>2518</v>
      </c>
      <c r="AO344" s="23" t="s">
        <v>197</v>
      </c>
      <c r="AP344" s="23" t="n">
        <v>2.5</v>
      </c>
      <c r="AQ344" s="23" t="n">
        <v>6</v>
      </c>
    </row>
    <row r="345" customFormat="false" ht="21.75" hidden="false" customHeight="true" outlineLevel="0" collapsed="false">
      <c r="B345" s="14" t="n">
        <v>341</v>
      </c>
      <c r="C345" s="7" t="s">
        <v>83</v>
      </c>
      <c r="D345" s="7" t="s">
        <v>20</v>
      </c>
      <c r="E345" s="7" t="s">
        <v>121</v>
      </c>
      <c r="F345" s="7" t="s">
        <v>96</v>
      </c>
      <c r="G345" s="7" t="s">
        <v>3249</v>
      </c>
      <c r="H345" s="7" t="s">
        <v>2520</v>
      </c>
      <c r="I345" s="7" t="s">
        <v>3244</v>
      </c>
      <c r="J345" s="7" t="s">
        <v>3245</v>
      </c>
      <c r="K345" s="7" t="s">
        <v>3246</v>
      </c>
      <c r="L345" s="7" t="s">
        <v>3235</v>
      </c>
      <c r="M345" s="7" t="s">
        <v>2514</v>
      </c>
      <c r="N345" s="7" t="s">
        <v>189</v>
      </c>
      <c r="O345" s="7" t="s">
        <v>189</v>
      </c>
      <c r="P345" s="7" t="s">
        <v>3236</v>
      </c>
      <c r="Q345" s="7" t="s">
        <v>2712</v>
      </c>
      <c r="R345" s="7" t="s">
        <v>849</v>
      </c>
      <c r="S345" s="7" t="s">
        <v>3237</v>
      </c>
      <c r="T345" s="7" t="s">
        <v>3247</v>
      </c>
      <c r="U345" s="18" t="n">
        <v>30</v>
      </c>
      <c r="V345" s="7"/>
      <c r="W345" s="7"/>
      <c r="X345" s="7" t="s">
        <v>199</v>
      </c>
      <c r="Y345" s="22" t="n">
        <v>9.963E-005</v>
      </c>
      <c r="Z345" s="22" t="n">
        <v>0.004</v>
      </c>
      <c r="AA345" s="22" t="n">
        <v>24</v>
      </c>
      <c r="AB345" s="7" t="s">
        <v>3235</v>
      </c>
      <c r="AC345" s="7" t="s">
        <v>3248</v>
      </c>
      <c r="AD345" s="22" t="s">
        <v>197</v>
      </c>
      <c r="AE345" s="22" t="s">
        <v>197</v>
      </c>
      <c r="AF345" s="22" t="s">
        <v>197</v>
      </c>
      <c r="AG345" s="22" t="s">
        <v>197</v>
      </c>
      <c r="AH345" s="22" t="s">
        <v>197</v>
      </c>
      <c r="AI345" s="22" t="s">
        <v>197</v>
      </c>
      <c r="AJ345" s="22" t="n">
        <v>80</v>
      </c>
      <c r="AK345" s="22" t="s">
        <v>197</v>
      </c>
      <c r="AL345" s="22" t="s">
        <v>197</v>
      </c>
      <c r="AM345" s="22" t="s">
        <v>197</v>
      </c>
      <c r="AN345" s="7" t="s">
        <v>2518</v>
      </c>
      <c r="AO345" s="22" t="s">
        <v>197</v>
      </c>
      <c r="AP345" s="22" t="n">
        <v>2.5</v>
      </c>
      <c r="AQ345" s="22" t="n">
        <v>6</v>
      </c>
    </row>
    <row r="346" customFormat="false" ht="21.75" hidden="false" customHeight="true" outlineLevel="0" collapsed="false">
      <c r="B346" s="15" t="n">
        <v>342</v>
      </c>
      <c r="C346" s="9" t="s">
        <v>83</v>
      </c>
      <c r="D346" s="9" t="s">
        <v>20</v>
      </c>
      <c r="E346" s="9" t="s">
        <v>121</v>
      </c>
      <c r="F346" s="9" t="s">
        <v>96</v>
      </c>
      <c r="G346" s="9" t="s">
        <v>3250</v>
      </c>
      <c r="H346" s="9" t="s">
        <v>2522</v>
      </c>
      <c r="I346" s="9" t="s">
        <v>3244</v>
      </c>
      <c r="J346" s="9" t="s">
        <v>3245</v>
      </c>
      <c r="K346" s="9" t="s">
        <v>3246</v>
      </c>
      <c r="L346" s="9" t="s">
        <v>3235</v>
      </c>
      <c r="M346" s="9" t="s">
        <v>2514</v>
      </c>
      <c r="N346" s="9" t="s">
        <v>189</v>
      </c>
      <c r="O346" s="9" t="s">
        <v>189</v>
      </c>
      <c r="P346" s="9" t="s">
        <v>3236</v>
      </c>
      <c r="Q346" s="9" t="s">
        <v>2712</v>
      </c>
      <c r="R346" s="9" t="s">
        <v>849</v>
      </c>
      <c r="S346" s="9" t="s">
        <v>3237</v>
      </c>
      <c r="T346" s="9" t="s">
        <v>3247</v>
      </c>
      <c r="U346" s="19" t="n">
        <v>40</v>
      </c>
      <c r="V346" s="9"/>
      <c r="W346" s="9"/>
      <c r="X346" s="9" t="s">
        <v>3251</v>
      </c>
      <c r="Y346" s="23" t="n">
        <v>9.283E-005</v>
      </c>
      <c r="Z346" s="23" t="n">
        <v>0.004</v>
      </c>
      <c r="AA346" s="23" t="n">
        <v>24</v>
      </c>
      <c r="AB346" s="9" t="s">
        <v>3235</v>
      </c>
      <c r="AC346" s="9" t="s">
        <v>3248</v>
      </c>
      <c r="AD346" s="23" t="s">
        <v>197</v>
      </c>
      <c r="AE346" s="23" t="s">
        <v>197</v>
      </c>
      <c r="AF346" s="23" t="s">
        <v>197</v>
      </c>
      <c r="AG346" s="23" t="s">
        <v>197</v>
      </c>
      <c r="AH346" s="23" t="s">
        <v>197</v>
      </c>
      <c r="AI346" s="23" t="s">
        <v>197</v>
      </c>
      <c r="AJ346" s="23" t="n">
        <v>100</v>
      </c>
      <c r="AK346" s="23" t="s">
        <v>197</v>
      </c>
      <c r="AL346" s="23" t="s">
        <v>197</v>
      </c>
      <c r="AM346" s="23" t="s">
        <v>197</v>
      </c>
      <c r="AN346" s="9" t="s">
        <v>2518</v>
      </c>
      <c r="AO346" s="23" t="s">
        <v>197</v>
      </c>
      <c r="AP346" s="23" t="n">
        <v>2.5</v>
      </c>
      <c r="AQ346" s="23" t="n">
        <v>6</v>
      </c>
    </row>
    <row r="347" customFormat="false" ht="21.75" hidden="false" customHeight="true" outlineLevel="0" collapsed="false">
      <c r="B347" s="14" t="n">
        <v>343</v>
      </c>
      <c r="C347" s="7" t="s">
        <v>83</v>
      </c>
      <c r="D347" s="7" t="s">
        <v>20</v>
      </c>
      <c r="E347" s="7" t="s">
        <v>121</v>
      </c>
      <c r="F347" s="7" t="s">
        <v>96</v>
      </c>
      <c r="G347" s="7" t="s">
        <v>3252</v>
      </c>
      <c r="H347" s="7" t="s">
        <v>2525</v>
      </c>
      <c r="I347" s="7" t="s">
        <v>3244</v>
      </c>
      <c r="J347" s="7" t="s">
        <v>3245</v>
      </c>
      <c r="K347" s="7" t="s">
        <v>3246</v>
      </c>
      <c r="L347" s="7" t="s">
        <v>3235</v>
      </c>
      <c r="M347" s="7" t="s">
        <v>2514</v>
      </c>
      <c r="N347" s="7" t="s">
        <v>189</v>
      </c>
      <c r="O347" s="7" t="s">
        <v>189</v>
      </c>
      <c r="P347" s="7" t="s">
        <v>3236</v>
      </c>
      <c r="Q347" s="7" t="s">
        <v>2712</v>
      </c>
      <c r="R347" s="7" t="s">
        <v>849</v>
      </c>
      <c r="S347" s="7" t="s">
        <v>3237</v>
      </c>
      <c r="T347" s="7" t="s">
        <v>3247</v>
      </c>
      <c r="U347" s="18" t="n">
        <v>60</v>
      </c>
      <c r="V347" s="7"/>
      <c r="W347" s="7"/>
      <c r="X347" s="7" t="s">
        <v>203</v>
      </c>
      <c r="Y347" s="22" t="n">
        <v>0.00010379</v>
      </c>
      <c r="Z347" s="22" t="n">
        <v>0.004</v>
      </c>
      <c r="AA347" s="22" t="n">
        <v>24</v>
      </c>
      <c r="AB347" s="7" t="s">
        <v>3235</v>
      </c>
      <c r="AC347" s="7" t="s">
        <v>3248</v>
      </c>
      <c r="AD347" s="22" t="s">
        <v>197</v>
      </c>
      <c r="AE347" s="22" t="s">
        <v>197</v>
      </c>
      <c r="AF347" s="22" t="s">
        <v>197</v>
      </c>
      <c r="AG347" s="22" t="s">
        <v>197</v>
      </c>
      <c r="AH347" s="22" t="s">
        <v>197</v>
      </c>
      <c r="AI347" s="22" t="s">
        <v>197</v>
      </c>
      <c r="AJ347" s="22" t="n">
        <v>100</v>
      </c>
      <c r="AK347" s="22" t="s">
        <v>197</v>
      </c>
      <c r="AL347" s="22" t="s">
        <v>197</v>
      </c>
      <c r="AM347" s="22" t="s">
        <v>197</v>
      </c>
      <c r="AN347" s="7" t="s">
        <v>2518</v>
      </c>
      <c r="AO347" s="22" t="s">
        <v>197</v>
      </c>
      <c r="AP347" s="22" t="n">
        <v>2.5</v>
      </c>
      <c r="AQ347" s="22" t="n">
        <v>6</v>
      </c>
    </row>
    <row r="348" customFormat="false" ht="21.75" hidden="false" customHeight="true" outlineLevel="0" collapsed="false">
      <c r="B348" s="15" t="n">
        <v>344</v>
      </c>
      <c r="C348" s="9" t="s">
        <v>83</v>
      </c>
      <c r="D348" s="9" t="s">
        <v>20</v>
      </c>
      <c r="E348" s="9" t="s">
        <v>121</v>
      </c>
      <c r="F348" s="9" t="s">
        <v>96</v>
      </c>
      <c r="G348" s="9" t="s">
        <v>3253</v>
      </c>
      <c r="H348" s="9" t="s">
        <v>2527</v>
      </c>
      <c r="I348" s="9" t="s">
        <v>3244</v>
      </c>
      <c r="J348" s="9" t="s">
        <v>3245</v>
      </c>
      <c r="K348" s="9" t="s">
        <v>3246</v>
      </c>
      <c r="L348" s="9" t="s">
        <v>3235</v>
      </c>
      <c r="M348" s="9" t="s">
        <v>2514</v>
      </c>
      <c r="N348" s="9" t="s">
        <v>189</v>
      </c>
      <c r="O348" s="9" t="s">
        <v>189</v>
      </c>
      <c r="P348" s="9" t="s">
        <v>3236</v>
      </c>
      <c r="Q348" s="9" t="s">
        <v>2712</v>
      </c>
      <c r="R348" s="9" t="s">
        <v>849</v>
      </c>
      <c r="S348" s="9" t="s">
        <v>3237</v>
      </c>
      <c r="T348" s="9" t="s">
        <v>3247</v>
      </c>
      <c r="U348" s="19" t="n">
        <v>90</v>
      </c>
      <c r="V348" s="9"/>
      <c r="W348" s="9"/>
      <c r="X348" s="9" t="s">
        <v>205</v>
      </c>
      <c r="Y348" s="23" t="n">
        <v>6.851E-005</v>
      </c>
      <c r="Z348" s="23" t="n">
        <v>0.002</v>
      </c>
      <c r="AA348" s="23" t="n">
        <v>24</v>
      </c>
      <c r="AB348" s="9" t="s">
        <v>3235</v>
      </c>
      <c r="AC348" s="9" t="s">
        <v>3248</v>
      </c>
      <c r="AD348" s="23" t="s">
        <v>197</v>
      </c>
      <c r="AE348" s="23" t="s">
        <v>197</v>
      </c>
      <c r="AF348" s="23" t="s">
        <v>197</v>
      </c>
      <c r="AG348" s="23" t="s">
        <v>197</v>
      </c>
      <c r="AH348" s="23" t="s">
        <v>197</v>
      </c>
      <c r="AI348" s="23" t="s">
        <v>197</v>
      </c>
      <c r="AJ348" s="23" t="n">
        <v>120</v>
      </c>
      <c r="AK348" s="23" t="s">
        <v>197</v>
      </c>
      <c r="AL348" s="23" t="s">
        <v>197</v>
      </c>
      <c r="AM348" s="23" t="s">
        <v>197</v>
      </c>
      <c r="AN348" s="9" t="s">
        <v>2518</v>
      </c>
      <c r="AO348" s="23" t="s">
        <v>197</v>
      </c>
      <c r="AP348" s="23" t="n">
        <v>2.5</v>
      </c>
      <c r="AQ348" s="23" t="n">
        <v>6</v>
      </c>
    </row>
    <row r="349" customFormat="false" ht="21.75" hidden="false" customHeight="true" outlineLevel="0" collapsed="false">
      <c r="B349" s="14" t="n">
        <v>345</v>
      </c>
      <c r="C349" s="7" t="s">
        <v>83</v>
      </c>
      <c r="D349" s="7" t="s">
        <v>20</v>
      </c>
      <c r="E349" s="7" t="s">
        <v>121</v>
      </c>
      <c r="F349" s="7" t="s">
        <v>97</v>
      </c>
      <c r="G349" s="7" t="s">
        <v>3254</v>
      </c>
      <c r="H349" s="7" t="s">
        <v>2529</v>
      </c>
      <c r="I349" s="7" t="s">
        <v>3255</v>
      </c>
      <c r="J349" s="7" t="s">
        <v>3256</v>
      </c>
      <c r="K349" s="7" t="s">
        <v>3246</v>
      </c>
      <c r="L349" s="7" t="s">
        <v>3235</v>
      </c>
      <c r="M349" s="7" t="s">
        <v>2514</v>
      </c>
      <c r="N349" s="7" t="s">
        <v>189</v>
      </c>
      <c r="O349" s="7" t="s">
        <v>189</v>
      </c>
      <c r="P349" s="7" t="s">
        <v>3236</v>
      </c>
      <c r="Q349" s="7" t="s">
        <v>2712</v>
      </c>
      <c r="R349" s="7" t="s">
        <v>2723</v>
      </c>
      <c r="S349" s="7" t="s">
        <v>3237</v>
      </c>
      <c r="T349" s="7" t="s">
        <v>2875</v>
      </c>
      <c r="U349" s="18" t="n">
        <v>19</v>
      </c>
      <c r="V349" s="7"/>
      <c r="W349" s="7"/>
      <c r="X349" s="7" t="s">
        <v>195</v>
      </c>
      <c r="Y349" s="22" t="n">
        <v>6.453E-005</v>
      </c>
      <c r="Z349" s="22" t="n">
        <v>0.003</v>
      </c>
      <c r="AA349" s="22" t="n">
        <v>24</v>
      </c>
      <c r="AB349" s="7" t="s">
        <v>3235</v>
      </c>
      <c r="AC349" s="7" t="s">
        <v>3248</v>
      </c>
      <c r="AD349" s="22" t="s">
        <v>197</v>
      </c>
      <c r="AE349" s="22" t="s">
        <v>197</v>
      </c>
      <c r="AF349" s="22" t="s">
        <v>197</v>
      </c>
      <c r="AG349" s="22" t="s">
        <v>197</v>
      </c>
      <c r="AH349" s="22" t="s">
        <v>197</v>
      </c>
      <c r="AI349" s="22" t="s">
        <v>197</v>
      </c>
      <c r="AJ349" s="22" t="n">
        <v>45</v>
      </c>
      <c r="AK349" s="22" t="s">
        <v>197</v>
      </c>
      <c r="AL349" s="22" t="s">
        <v>197</v>
      </c>
      <c r="AM349" s="22" t="s">
        <v>197</v>
      </c>
      <c r="AN349" s="7" t="s">
        <v>2518</v>
      </c>
      <c r="AO349" s="22" t="s">
        <v>197</v>
      </c>
      <c r="AP349" s="22" t="n">
        <v>2.5</v>
      </c>
      <c r="AQ349" s="22" t="n">
        <v>6</v>
      </c>
    </row>
    <row r="350" customFormat="false" ht="21.75" hidden="false" customHeight="true" outlineLevel="0" collapsed="false">
      <c r="B350" s="15" t="n">
        <v>346</v>
      </c>
      <c r="C350" s="9" t="s">
        <v>83</v>
      </c>
      <c r="D350" s="9" t="s">
        <v>20</v>
      </c>
      <c r="E350" s="9" t="s">
        <v>121</v>
      </c>
      <c r="F350" s="9" t="s">
        <v>97</v>
      </c>
      <c r="G350" s="9" t="s">
        <v>3257</v>
      </c>
      <c r="H350" s="9" t="s">
        <v>2535</v>
      </c>
      <c r="I350" s="9" t="s">
        <v>3255</v>
      </c>
      <c r="J350" s="9" t="s">
        <v>3256</v>
      </c>
      <c r="K350" s="9" t="s">
        <v>3246</v>
      </c>
      <c r="L350" s="9" t="s">
        <v>3235</v>
      </c>
      <c r="M350" s="9" t="s">
        <v>2514</v>
      </c>
      <c r="N350" s="9" t="s">
        <v>189</v>
      </c>
      <c r="O350" s="9" t="s">
        <v>189</v>
      </c>
      <c r="P350" s="9" t="s">
        <v>3236</v>
      </c>
      <c r="Q350" s="9" t="s">
        <v>2712</v>
      </c>
      <c r="R350" s="9" t="s">
        <v>2723</v>
      </c>
      <c r="S350" s="9" t="s">
        <v>3237</v>
      </c>
      <c r="T350" s="9" t="s">
        <v>2875</v>
      </c>
      <c r="U350" s="19" t="n">
        <v>25</v>
      </c>
      <c r="V350" s="9"/>
      <c r="W350" s="9"/>
      <c r="X350" s="9" t="s">
        <v>199</v>
      </c>
      <c r="Y350" s="23" t="n">
        <v>5.932E-005</v>
      </c>
      <c r="Z350" s="23" t="n">
        <v>0.002</v>
      </c>
      <c r="AA350" s="23" t="n">
        <v>24</v>
      </c>
      <c r="AB350" s="9" t="s">
        <v>3235</v>
      </c>
      <c r="AC350" s="9" t="s">
        <v>3248</v>
      </c>
      <c r="AD350" s="23" t="s">
        <v>197</v>
      </c>
      <c r="AE350" s="23" t="s">
        <v>197</v>
      </c>
      <c r="AF350" s="23" t="s">
        <v>197</v>
      </c>
      <c r="AG350" s="23" t="s">
        <v>197</v>
      </c>
      <c r="AH350" s="23" t="s">
        <v>197</v>
      </c>
      <c r="AI350" s="23" t="s">
        <v>197</v>
      </c>
      <c r="AJ350" s="23" t="n">
        <v>43</v>
      </c>
      <c r="AK350" s="23" t="s">
        <v>197</v>
      </c>
      <c r="AL350" s="23" t="s">
        <v>197</v>
      </c>
      <c r="AM350" s="23" t="s">
        <v>197</v>
      </c>
      <c r="AN350" s="9" t="s">
        <v>2518</v>
      </c>
      <c r="AO350" s="23" t="s">
        <v>197</v>
      </c>
      <c r="AP350" s="23" t="n">
        <v>2.5</v>
      </c>
      <c r="AQ350" s="23" t="n">
        <v>6</v>
      </c>
    </row>
    <row r="351" customFormat="false" ht="21.75" hidden="false" customHeight="true" outlineLevel="0" collapsed="false">
      <c r="B351" s="14" t="n">
        <v>347</v>
      </c>
      <c r="C351" s="7" t="s">
        <v>83</v>
      </c>
      <c r="D351" s="7" t="s">
        <v>20</v>
      </c>
      <c r="E351" s="7" t="s">
        <v>121</v>
      </c>
      <c r="F351" s="7" t="s">
        <v>97</v>
      </c>
      <c r="G351" s="7" t="s">
        <v>3258</v>
      </c>
      <c r="H351" s="7" t="s">
        <v>2537</v>
      </c>
      <c r="I351" s="7" t="s">
        <v>3255</v>
      </c>
      <c r="J351" s="7" t="s">
        <v>3256</v>
      </c>
      <c r="K351" s="7" t="s">
        <v>3246</v>
      </c>
      <c r="L351" s="7" t="s">
        <v>3235</v>
      </c>
      <c r="M351" s="7" t="s">
        <v>2514</v>
      </c>
      <c r="N351" s="7" t="s">
        <v>189</v>
      </c>
      <c r="O351" s="7" t="s">
        <v>189</v>
      </c>
      <c r="P351" s="7" t="s">
        <v>3236</v>
      </c>
      <c r="Q351" s="7" t="s">
        <v>2712</v>
      </c>
      <c r="R351" s="7" t="s">
        <v>2723</v>
      </c>
      <c r="S351" s="7" t="s">
        <v>3237</v>
      </c>
      <c r="T351" s="7" t="s">
        <v>2875</v>
      </c>
      <c r="U351" s="18" t="n">
        <v>35</v>
      </c>
      <c r="V351" s="7"/>
      <c r="W351" s="7"/>
      <c r="X351" s="7" t="s">
        <v>3259</v>
      </c>
      <c r="Y351" s="22" t="n">
        <v>7.752E-005</v>
      </c>
      <c r="Z351" s="22" t="n">
        <v>0.003</v>
      </c>
      <c r="AA351" s="22" t="n">
        <v>24</v>
      </c>
      <c r="AB351" s="7" t="s">
        <v>3235</v>
      </c>
      <c r="AC351" s="7" t="s">
        <v>3248</v>
      </c>
      <c r="AD351" s="22" t="s">
        <v>197</v>
      </c>
      <c r="AE351" s="22" t="s">
        <v>197</v>
      </c>
      <c r="AF351" s="22" t="s">
        <v>197</v>
      </c>
      <c r="AG351" s="22" t="s">
        <v>197</v>
      </c>
      <c r="AH351" s="22" t="s">
        <v>197</v>
      </c>
      <c r="AI351" s="22" t="s">
        <v>197</v>
      </c>
      <c r="AJ351" s="22" t="n">
        <v>49</v>
      </c>
      <c r="AK351" s="22" t="s">
        <v>197</v>
      </c>
      <c r="AL351" s="22" t="s">
        <v>197</v>
      </c>
      <c r="AM351" s="22" t="s">
        <v>197</v>
      </c>
      <c r="AN351" s="7" t="s">
        <v>2518</v>
      </c>
      <c r="AO351" s="22" t="s">
        <v>197</v>
      </c>
      <c r="AP351" s="22" t="n">
        <v>2.5</v>
      </c>
      <c r="AQ351" s="22" t="n">
        <v>6</v>
      </c>
    </row>
    <row r="352" customFormat="false" ht="21.75" hidden="false" customHeight="true" outlineLevel="0" collapsed="false">
      <c r="B352" s="15" t="n">
        <v>348</v>
      </c>
      <c r="C352" s="9" t="s">
        <v>83</v>
      </c>
      <c r="D352" s="9" t="s">
        <v>20</v>
      </c>
      <c r="E352" s="9" t="s">
        <v>121</v>
      </c>
      <c r="F352" s="9" t="s">
        <v>97</v>
      </c>
      <c r="G352" s="9" t="s">
        <v>3260</v>
      </c>
      <c r="H352" s="9" t="s">
        <v>2540</v>
      </c>
      <c r="I352" s="9" t="s">
        <v>3255</v>
      </c>
      <c r="J352" s="9" t="s">
        <v>3256</v>
      </c>
      <c r="K352" s="9" t="s">
        <v>3246</v>
      </c>
      <c r="L352" s="9" t="s">
        <v>3235</v>
      </c>
      <c r="M352" s="9" t="s">
        <v>2514</v>
      </c>
      <c r="N352" s="9" t="s">
        <v>189</v>
      </c>
      <c r="O352" s="9" t="s">
        <v>189</v>
      </c>
      <c r="P352" s="9" t="s">
        <v>3236</v>
      </c>
      <c r="Q352" s="9" t="s">
        <v>2712</v>
      </c>
      <c r="R352" s="9" t="s">
        <v>2723</v>
      </c>
      <c r="S352" s="9" t="s">
        <v>3237</v>
      </c>
      <c r="T352" s="9" t="s">
        <v>2875</v>
      </c>
      <c r="U352" s="19" t="n">
        <v>55</v>
      </c>
      <c r="V352" s="9"/>
      <c r="W352" s="9"/>
      <c r="X352" s="9" t="s">
        <v>203</v>
      </c>
      <c r="Y352" s="23" t="n">
        <v>5.548E-005</v>
      </c>
      <c r="Z352" s="23" t="n">
        <v>0.002</v>
      </c>
      <c r="AA352" s="23" t="n">
        <v>24</v>
      </c>
      <c r="AB352" s="9" t="s">
        <v>3235</v>
      </c>
      <c r="AC352" s="9" t="s">
        <v>3248</v>
      </c>
      <c r="AD352" s="23" t="s">
        <v>197</v>
      </c>
      <c r="AE352" s="23" t="s">
        <v>197</v>
      </c>
      <c r="AF352" s="23" t="s">
        <v>197</v>
      </c>
      <c r="AG352" s="23" t="s">
        <v>197</v>
      </c>
      <c r="AH352" s="23" t="s">
        <v>197</v>
      </c>
      <c r="AI352" s="23" t="s">
        <v>197</v>
      </c>
      <c r="AJ352" s="23" t="n">
        <v>42</v>
      </c>
      <c r="AK352" s="23" t="s">
        <v>197</v>
      </c>
      <c r="AL352" s="23" t="s">
        <v>197</v>
      </c>
      <c r="AM352" s="23" t="s">
        <v>197</v>
      </c>
      <c r="AN352" s="9" t="s">
        <v>2518</v>
      </c>
      <c r="AO352" s="23" t="s">
        <v>197</v>
      </c>
      <c r="AP352" s="23" t="n">
        <v>2.5</v>
      </c>
      <c r="AQ352" s="23" t="n">
        <v>6</v>
      </c>
    </row>
    <row r="353" customFormat="false" ht="21.75" hidden="false" customHeight="true" outlineLevel="0" collapsed="false">
      <c r="B353" s="14" t="n">
        <v>349</v>
      </c>
      <c r="C353" s="7" t="s">
        <v>83</v>
      </c>
      <c r="D353" s="7" t="s">
        <v>20</v>
      </c>
      <c r="E353" s="7" t="s">
        <v>121</v>
      </c>
      <c r="F353" s="7" t="s">
        <v>97</v>
      </c>
      <c r="G353" s="7" t="s">
        <v>3261</v>
      </c>
      <c r="H353" s="7" t="s">
        <v>2542</v>
      </c>
      <c r="I353" s="7" t="s">
        <v>3255</v>
      </c>
      <c r="J353" s="7" t="s">
        <v>3256</v>
      </c>
      <c r="K353" s="7" t="s">
        <v>3246</v>
      </c>
      <c r="L353" s="7" t="s">
        <v>3235</v>
      </c>
      <c r="M353" s="7" t="s">
        <v>2514</v>
      </c>
      <c r="N353" s="7" t="s">
        <v>189</v>
      </c>
      <c r="O353" s="7" t="s">
        <v>189</v>
      </c>
      <c r="P353" s="7" t="s">
        <v>3236</v>
      </c>
      <c r="Q353" s="7" t="s">
        <v>2712</v>
      </c>
      <c r="R353" s="7" t="s">
        <v>2723</v>
      </c>
      <c r="S353" s="7" t="s">
        <v>3237</v>
      </c>
      <c r="T353" s="7" t="s">
        <v>2875</v>
      </c>
      <c r="U353" s="18" t="n">
        <v>80</v>
      </c>
      <c r="V353" s="7"/>
      <c r="W353" s="7"/>
      <c r="X353" s="7" t="s">
        <v>205</v>
      </c>
      <c r="Y353" s="22" t="n">
        <v>5.127E-005</v>
      </c>
      <c r="Z353" s="22" t="n">
        <v>0.002</v>
      </c>
      <c r="AA353" s="22" t="n">
        <v>24</v>
      </c>
      <c r="AB353" s="7" t="s">
        <v>3235</v>
      </c>
      <c r="AC353" s="7" t="s">
        <v>3248</v>
      </c>
      <c r="AD353" s="22" t="s">
        <v>197</v>
      </c>
      <c r="AE353" s="22" t="s">
        <v>197</v>
      </c>
      <c r="AF353" s="22" t="s">
        <v>197</v>
      </c>
      <c r="AG353" s="22" t="s">
        <v>197</v>
      </c>
      <c r="AH353" s="22" t="s">
        <v>197</v>
      </c>
      <c r="AI353" s="22" t="s">
        <v>197</v>
      </c>
      <c r="AJ353" s="22" t="n">
        <v>40</v>
      </c>
      <c r="AK353" s="22" t="s">
        <v>197</v>
      </c>
      <c r="AL353" s="22" t="s">
        <v>197</v>
      </c>
      <c r="AM353" s="22" t="s">
        <v>197</v>
      </c>
      <c r="AN353" s="7" t="s">
        <v>2518</v>
      </c>
      <c r="AO353" s="22" t="s">
        <v>197</v>
      </c>
      <c r="AP353" s="22" t="n">
        <v>2.5</v>
      </c>
      <c r="AQ353" s="22" t="n">
        <v>6</v>
      </c>
    </row>
    <row r="354" customFormat="false" ht="21.75" hidden="false" customHeight="true" outlineLevel="0" collapsed="false">
      <c r="B354" s="15" t="n">
        <v>350</v>
      </c>
      <c r="C354" s="9" t="s">
        <v>83</v>
      </c>
      <c r="D354" s="9" t="s">
        <v>20</v>
      </c>
      <c r="E354" s="9" t="s">
        <v>121</v>
      </c>
      <c r="F354" s="9" t="s">
        <v>98</v>
      </c>
      <c r="G354" s="9" t="s">
        <v>3262</v>
      </c>
      <c r="H354" s="9" t="s">
        <v>2544</v>
      </c>
      <c r="I354" s="9" t="s">
        <v>3263</v>
      </c>
      <c r="J354" s="9" t="s">
        <v>3264</v>
      </c>
      <c r="K354" s="9" t="s">
        <v>3246</v>
      </c>
      <c r="L354" s="9" t="s">
        <v>3235</v>
      </c>
      <c r="M354" s="9" t="s">
        <v>2514</v>
      </c>
      <c r="N354" s="9" t="s">
        <v>189</v>
      </c>
      <c r="O354" s="9" t="s">
        <v>189</v>
      </c>
      <c r="P354" s="9" t="s">
        <v>3236</v>
      </c>
      <c r="Q354" s="9" t="s">
        <v>2712</v>
      </c>
      <c r="R354" s="9" t="s">
        <v>2547</v>
      </c>
      <c r="S354" s="9" t="s">
        <v>3237</v>
      </c>
      <c r="T354" s="9" t="s">
        <v>3265</v>
      </c>
      <c r="U354" s="19" t="n">
        <v>35</v>
      </c>
      <c r="V354" s="9"/>
      <c r="W354" s="9"/>
      <c r="X354" s="9" t="s">
        <v>195</v>
      </c>
      <c r="Y354" s="23" t="n">
        <v>0.00013926</v>
      </c>
      <c r="Z354" s="23" t="n">
        <v>0.006</v>
      </c>
      <c r="AA354" s="23" t="n">
        <v>24</v>
      </c>
      <c r="AB354" s="9" t="s">
        <v>3235</v>
      </c>
      <c r="AC354" s="9" t="s">
        <v>3248</v>
      </c>
      <c r="AD354" s="23" t="s">
        <v>197</v>
      </c>
      <c r="AE354" s="23" t="s">
        <v>197</v>
      </c>
      <c r="AF354" s="23" t="s">
        <v>197</v>
      </c>
      <c r="AG354" s="23" t="s">
        <v>197</v>
      </c>
      <c r="AH354" s="23" t="s">
        <v>197</v>
      </c>
      <c r="AI354" s="23" t="s">
        <v>197</v>
      </c>
      <c r="AJ354" s="23" t="n">
        <v>114</v>
      </c>
      <c r="AK354" s="23" t="s">
        <v>197</v>
      </c>
      <c r="AL354" s="23" t="s">
        <v>197</v>
      </c>
      <c r="AM354" s="23" t="s">
        <v>197</v>
      </c>
      <c r="AN354" s="9" t="s">
        <v>2549</v>
      </c>
      <c r="AO354" s="23" t="s">
        <v>197</v>
      </c>
      <c r="AP354" s="23" t="n">
        <v>2.5</v>
      </c>
      <c r="AQ354" s="23" t="n">
        <v>6</v>
      </c>
    </row>
    <row r="355" customFormat="false" ht="21.75" hidden="false" customHeight="true" outlineLevel="0" collapsed="false">
      <c r="B355" s="14" t="n">
        <v>351</v>
      </c>
      <c r="C355" s="7" t="s">
        <v>83</v>
      </c>
      <c r="D355" s="7" t="s">
        <v>20</v>
      </c>
      <c r="E355" s="7" t="s">
        <v>121</v>
      </c>
      <c r="F355" s="7" t="s">
        <v>98</v>
      </c>
      <c r="G355" s="7" t="s">
        <v>3266</v>
      </c>
      <c r="H355" s="7" t="s">
        <v>2551</v>
      </c>
      <c r="I355" s="7" t="s">
        <v>3263</v>
      </c>
      <c r="J355" s="7" t="s">
        <v>3264</v>
      </c>
      <c r="K355" s="7" t="s">
        <v>3246</v>
      </c>
      <c r="L355" s="7" t="s">
        <v>3235</v>
      </c>
      <c r="M355" s="7" t="s">
        <v>2514</v>
      </c>
      <c r="N355" s="7" t="s">
        <v>189</v>
      </c>
      <c r="O355" s="7" t="s">
        <v>189</v>
      </c>
      <c r="P355" s="7" t="s">
        <v>3236</v>
      </c>
      <c r="Q355" s="7" t="s">
        <v>2712</v>
      </c>
      <c r="R355" s="7" t="s">
        <v>2547</v>
      </c>
      <c r="S355" s="7" t="s">
        <v>3237</v>
      </c>
      <c r="T355" s="7" t="s">
        <v>3265</v>
      </c>
      <c r="U355" s="18" t="n">
        <v>50</v>
      </c>
      <c r="V355" s="7"/>
      <c r="W355" s="7"/>
      <c r="X355" s="7" t="s">
        <v>199</v>
      </c>
      <c r="Y355" s="22" t="n">
        <v>0.0001212</v>
      </c>
      <c r="Z355" s="22" t="n">
        <v>0.005</v>
      </c>
      <c r="AA355" s="22" t="n">
        <v>24</v>
      </c>
      <c r="AB355" s="7" t="s">
        <v>3235</v>
      </c>
      <c r="AC355" s="7" t="s">
        <v>3248</v>
      </c>
      <c r="AD355" s="22" t="s">
        <v>197</v>
      </c>
      <c r="AE355" s="22" t="s">
        <v>197</v>
      </c>
      <c r="AF355" s="22" t="s">
        <v>197</v>
      </c>
      <c r="AG355" s="22" t="s">
        <v>197</v>
      </c>
      <c r="AH355" s="22" t="s">
        <v>197</v>
      </c>
      <c r="AI355" s="22" t="s">
        <v>197</v>
      </c>
      <c r="AJ355" s="22" t="n">
        <v>104</v>
      </c>
      <c r="AK355" s="22" t="s">
        <v>197</v>
      </c>
      <c r="AL355" s="22" t="s">
        <v>197</v>
      </c>
      <c r="AM355" s="22" t="s">
        <v>197</v>
      </c>
      <c r="AN355" s="7" t="s">
        <v>2549</v>
      </c>
      <c r="AO355" s="22" t="s">
        <v>197</v>
      </c>
      <c r="AP355" s="22" t="n">
        <v>2.5</v>
      </c>
      <c r="AQ355" s="22" t="n">
        <v>6</v>
      </c>
    </row>
    <row r="356" customFormat="false" ht="21.75" hidden="false" customHeight="true" outlineLevel="0" collapsed="false">
      <c r="B356" s="15" t="n">
        <v>352</v>
      </c>
      <c r="C356" s="9" t="s">
        <v>83</v>
      </c>
      <c r="D356" s="9" t="s">
        <v>20</v>
      </c>
      <c r="E356" s="9" t="s">
        <v>121</v>
      </c>
      <c r="F356" s="9" t="s">
        <v>98</v>
      </c>
      <c r="G356" s="9" t="s">
        <v>3267</v>
      </c>
      <c r="H356" s="9" t="s">
        <v>2553</v>
      </c>
      <c r="I356" s="9" t="s">
        <v>3263</v>
      </c>
      <c r="J356" s="9" t="s">
        <v>3264</v>
      </c>
      <c r="K356" s="9" t="s">
        <v>3246</v>
      </c>
      <c r="L356" s="9" t="s">
        <v>3235</v>
      </c>
      <c r="M356" s="9" t="s">
        <v>2514</v>
      </c>
      <c r="N356" s="9" t="s">
        <v>189</v>
      </c>
      <c r="O356" s="9" t="s">
        <v>189</v>
      </c>
      <c r="P356" s="9" t="s">
        <v>3236</v>
      </c>
      <c r="Q356" s="9" t="s">
        <v>2712</v>
      </c>
      <c r="R356" s="9" t="s">
        <v>2547</v>
      </c>
      <c r="S356" s="9" t="s">
        <v>3237</v>
      </c>
      <c r="T356" s="9" t="s">
        <v>3265</v>
      </c>
      <c r="U356" s="19" t="n">
        <v>70</v>
      </c>
      <c r="V356" s="9"/>
      <c r="W356" s="9"/>
      <c r="X356" s="9" t="s">
        <v>3268</v>
      </c>
      <c r="Y356" s="23" t="n">
        <v>0.00013774</v>
      </c>
      <c r="Z356" s="23" t="n">
        <v>0.005</v>
      </c>
      <c r="AA356" s="23" t="n">
        <v>24</v>
      </c>
      <c r="AB356" s="9" t="s">
        <v>3235</v>
      </c>
      <c r="AC356" s="9" t="s">
        <v>3248</v>
      </c>
      <c r="AD356" s="23" t="s">
        <v>197</v>
      </c>
      <c r="AE356" s="23" t="s">
        <v>197</v>
      </c>
      <c r="AF356" s="23" t="s">
        <v>197</v>
      </c>
      <c r="AG356" s="23" t="s">
        <v>197</v>
      </c>
      <c r="AH356" s="23" t="s">
        <v>197</v>
      </c>
      <c r="AI356" s="23" t="s">
        <v>197</v>
      </c>
      <c r="AJ356" s="23" t="n">
        <v>113</v>
      </c>
      <c r="AK356" s="23" t="s">
        <v>197</v>
      </c>
      <c r="AL356" s="23" t="s">
        <v>197</v>
      </c>
      <c r="AM356" s="23" t="s">
        <v>197</v>
      </c>
      <c r="AN356" s="9" t="s">
        <v>2549</v>
      </c>
      <c r="AO356" s="23" t="s">
        <v>197</v>
      </c>
      <c r="AP356" s="23" t="n">
        <v>2.5</v>
      </c>
      <c r="AQ356" s="23" t="n">
        <v>6</v>
      </c>
    </row>
    <row r="357" customFormat="false" ht="21.75" hidden="false" customHeight="true" outlineLevel="0" collapsed="false">
      <c r="B357" s="14" t="n">
        <v>353</v>
      </c>
      <c r="C357" s="7" t="s">
        <v>83</v>
      </c>
      <c r="D357" s="7" t="s">
        <v>20</v>
      </c>
      <c r="E357" s="7" t="s">
        <v>121</v>
      </c>
      <c r="F357" s="7" t="s">
        <v>98</v>
      </c>
      <c r="G357" s="7" t="s">
        <v>3269</v>
      </c>
      <c r="H357" s="7" t="s">
        <v>2556</v>
      </c>
      <c r="I357" s="7" t="s">
        <v>3263</v>
      </c>
      <c r="J357" s="7" t="s">
        <v>3264</v>
      </c>
      <c r="K357" s="7" t="s">
        <v>3246</v>
      </c>
      <c r="L357" s="7" t="s">
        <v>3235</v>
      </c>
      <c r="M357" s="7" t="s">
        <v>2514</v>
      </c>
      <c r="N357" s="7" t="s">
        <v>189</v>
      </c>
      <c r="O357" s="7" t="s">
        <v>189</v>
      </c>
      <c r="P357" s="7" t="s">
        <v>3236</v>
      </c>
      <c r="Q357" s="7" t="s">
        <v>2712</v>
      </c>
      <c r="R357" s="7" t="s">
        <v>2547</v>
      </c>
      <c r="S357" s="7" t="s">
        <v>3237</v>
      </c>
      <c r="T357" s="7" t="s">
        <v>3265</v>
      </c>
      <c r="U357" s="18" t="n">
        <v>105</v>
      </c>
      <c r="V357" s="7"/>
      <c r="W357" s="7"/>
      <c r="X357" s="7" t="s">
        <v>203</v>
      </c>
      <c r="Y357" s="22" t="n">
        <v>0.0001041</v>
      </c>
      <c r="Z357" s="22" t="n">
        <v>0.004</v>
      </c>
      <c r="AA357" s="22" t="n">
        <v>24</v>
      </c>
      <c r="AB357" s="7" t="s">
        <v>3235</v>
      </c>
      <c r="AC357" s="7" t="s">
        <v>3248</v>
      </c>
      <c r="AD357" s="22" t="s">
        <v>197</v>
      </c>
      <c r="AE357" s="22" t="s">
        <v>197</v>
      </c>
      <c r="AF357" s="22" t="s">
        <v>197</v>
      </c>
      <c r="AG357" s="22" t="s">
        <v>197</v>
      </c>
      <c r="AH357" s="22" t="s">
        <v>197</v>
      </c>
      <c r="AI357" s="22" t="s">
        <v>197</v>
      </c>
      <c r="AJ357" s="22" t="n">
        <v>94</v>
      </c>
      <c r="AK357" s="22" t="s">
        <v>197</v>
      </c>
      <c r="AL357" s="22" t="s">
        <v>197</v>
      </c>
      <c r="AM357" s="22" t="s">
        <v>197</v>
      </c>
      <c r="AN357" s="7" t="s">
        <v>2549</v>
      </c>
      <c r="AO357" s="22" t="s">
        <v>197</v>
      </c>
      <c r="AP357" s="22" t="n">
        <v>2.5</v>
      </c>
      <c r="AQ357" s="22" t="n">
        <v>6</v>
      </c>
    </row>
    <row r="358" customFormat="false" ht="21.75" hidden="false" customHeight="true" outlineLevel="0" collapsed="false">
      <c r="B358" s="15" t="n">
        <v>354</v>
      </c>
      <c r="C358" s="9" t="s">
        <v>83</v>
      </c>
      <c r="D358" s="9" t="s">
        <v>20</v>
      </c>
      <c r="E358" s="9" t="s">
        <v>121</v>
      </c>
      <c r="F358" s="9" t="s">
        <v>98</v>
      </c>
      <c r="G358" s="9" t="s">
        <v>3270</v>
      </c>
      <c r="H358" s="9" t="s">
        <v>2558</v>
      </c>
      <c r="I358" s="9" t="s">
        <v>3263</v>
      </c>
      <c r="J358" s="9" t="s">
        <v>3264</v>
      </c>
      <c r="K358" s="9" t="s">
        <v>3246</v>
      </c>
      <c r="L358" s="9" t="s">
        <v>3235</v>
      </c>
      <c r="M358" s="9" t="s">
        <v>2514</v>
      </c>
      <c r="N358" s="9" t="s">
        <v>189</v>
      </c>
      <c r="O358" s="9" t="s">
        <v>189</v>
      </c>
      <c r="P358" s="9" t="s">
        <v>3236</v>
      </c>
      <c r="Q358" s="9" t="s">
        <v>2712</v>
      </c>
      <c r="R358" s="9" t="s">
        <v>2547</v>
      </c>
      <c r="S358" s="9" t="s">
        <v>3237</v>
      </c>
      <c r="T358" s="9" t="s">
        <v>3265</v>
      </c>
      <c r="U358" s="19" t="n">
        <v>155</v>
      </c>
      <c r="V358" s="9"/>
      <c r="W358" s="9"/>
      <c r="X358" s="9" t="s">
        <v>205</v>
      </c>
      <c r="Y358" s="23" t="n">
        <v>0.00014332</v>
      </c>
      <c r="Z358" s="23" t="n">
        <v>0.006</v>
      </c>
      <c r="AA358" s="23" t="n">
        <v>24</v>
      </c>
      <c r="AB358" s="9" t="s">
        <v>3235</v>
      </c>
      <c r="AC358" s="9" t="s">
        <v>3248</v>
      </c>
      <c r="AD358" s="23" t="s">
        <v>197</v>
      </c>
      <c r="AE358" s="23" t="s">
        <v>197</v>
      </c>
      <c r="AF358" s="23" t="s">
        <v>197</v>
      </c>
      <c r="AG358" s="23" t="s">
        <v>197</v>
      </c>
      <c r="AH358" s="23" t="s">
        <v>197</v>
      </c>
      <c r="AI358" s="23" t="s">
        <v>197</v>
      </c>
      <c r="AJ358" s="23" t="n">
        <v>116</v>
      </c>
      <c r="AK358" s="23" t="s">
        <v>197</v>
      </c>
      <c r="AL358" s="23" t="s">
        <v>197</v>
      </c>
      <c r="AM358" s="23" t="s">
        <v>197</v>
      </c>
      <c r="AN358" s="9" t="s">
        <v>2549</v>
      </c>
      <c r="AO358" s="23" t="s">
        <v>197</v>
      </c>
      <c r="AP358" s="23" t="n">
        <v>2.5</v>
      </c>
      <c r="AQ358" s="23" t="n">
        <v>6</v>
      </c>
    </row>
    <row r="359" customFormat="false" ht="21.75" hidden="false" customHeight="true" outlineLevel="0" collapsed="false">
      <c r="B359" s="14" t="n">
        <v>355</v>
      </c>
      <c r="C359" s="7" t="s">
        <v>83</v>
      </c>
      <c r="D359" s="7" t="s">
        <v>20</v>
      </c>
      <c r="E359" s="7" t="s">
        <v>121</v>
      </c>
      <c r="F359" s="7" t="s">
        <v>99</v>
      </c>
      <c r="G359" s="7" t="s">
        <v>391</v>
      </c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18"/>
      <c r="V359" s="7"/>
      <c r="W359" s="7"/>
      <c r="X359" s="7" t="s">
        <v>3271</v>
      </c>
      <c r="Y359" s="22" t="s">
        <v>197</v>
      </c>
      <c r="Z359" s="22" t="s">
        <v>197</v>
      </c>
      <c r="AA359" s="22" t="s">
        <v>197</v>
      </c>
      <c r="AB359" s="7" t="s">
        <v>197</v>
      </c>
      <c r="AC359" s="7" t="s">
        <v>197</v>
      </c>
      <c r="AD359" s="22" t="s">
        <v>197</v>
      </c>
      <c r="AE359" s="22" t="s">
        <v>197</v>
      </c>
      <c r="AF359" s="22" t="s">
        <v>197</v>
      </c>
      <c r="AG359" s="22" t="s">
        <v>197</v>
      </c>
      <c r="AH359" s="22" t="s">
        <v>197</v>
      </c>
      <c r="AI359" s="22" t="s">
        <v>197</v>
      </c>
      <c r="AJ359" s="22" t="s">
        <v>197</v>
      </c>
      <c r="AK359" s="22" t="s">
        <v>197</v>
      </c>
      <c r="AL359" s="22" t="s">
        <v>197</v>
      </c>
      <c r="AM359" s="22" t="s">
        <v>197</v>
      </c>
      <c r="AN359" s="7" t="s">
        <v>197</v>
      </c>
      <c r="AO359" s="22" t="s">
        <v>197</v>
      </c>
      <c r="AP359" s="22" t="s">
        <v>197</v>
      </c>
      <c r="AQ359" s="22" t="s">
        <v>197</v>
      </c>
    </row>
    <row r="360" customFormat="false" ht="21.75" hidden="false" customHeight="true" outlineLevel="0" collapsed="false">
      <c r="B360" s="15" t="n">
        <v>356</v>
      </c>
      <c r="C360" s="9" t="s">
        <v>83</v>
      </c>
      <c r="D360" s="9" t="s">
        <v>20</v>
      </c>
      <c r="E360" s="9" t="s">
        <v>121</v>
      </c>
      <c r="F360" s="9" t="s">
        <v>100</v>
      </c>
      <c r="G360" s="9" t="s">
        <v>391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19"/>
      <c r="V360" s="9"/>
      <c r="W360" s="9"/>
      <c r="X360" s="9" t="s">
        <v>3272</v>
      </c>
      <c r="Y360" s="23" t="s">
        <v>197</v>
      </c>
      <c r="Z360" s="23" t="s">
        <v>197</v>
      </c>
      <c r="AA360" s="23" t="s">
        <v>197</v>
      </c>
      <c r="AB360" s="9" t="s">
        <v>197</v>
      </c>
      <c r="AC360" s="9" t="s">
        <v>197</v>
      </c>
      <c r="AD360" s="23" t="s">
        <v>197</v>
      </c>
      <c r="AE360" s="23" t="s">
        <v>197</v>
      </c>
      <c r="AF360" s="23" t="s">
        <v>197</v>
      </c>
      <c r="AG360" s="23" t="s">
        <v>197</v>
      </c>
      <c r="AH360" s="23" t="s">
        <v>197</v>
      </c>
      <c r="AI360" s="23" t="s">
        <v>197</v>
      </c>
      <c r="AJ360" s="23" t="s">
        <v>197</v>
      </c>
      <c r="AK360" s="23" t="s">
        <v>197</v>
      </c>
      <c r="AL360" s="23" t="s">
        <v>197</v>
      </c>
      <c r="AM360" s="23" t="s">
        <v>197</v>
      </c>
      <c r="AN360" s="9" t="s">
        <v>197</v>
      </c>
      <c r="AO360" s="23" t="s">
        <v>197</v>
      </c>
      <c r="AP360" s="23" t="s">
        <v>197</v>
      </c>
      <c r="AQ360" s="23" t="s">
        <v>197</v>
      </c>
    </row>
    <row r="361" customFormat="false" ht="21.75" hidden="false" customHeight="true" outlineLevel="0" collapsed="false">
      <c r="B361" s="14" t="n">
        <v>357</v>
      </c>
      <c r="C361" s="7" t="s">
        <v>83</v>
      </c>
      <c r="D361" s="7" t="s">
        <v>20</v>
      </c>
      <c r="E361" s="7" t="s">
        <v>121</v>
      </c>
      <c r="F361" s="7" t="s">
        <v>101</v>
      </c>
      <c r="G361" s="7" t="s">
        <v>3273</v>
      </c>
      <c r="H361" s="7" t="s">
        <v>2583</v>
      </c>
      <c r="I361" s="7" t="s">
        <v>3274</v>
      </c>
      <c r="J361" s="7" t="s">
        <v>3275</v>
      </c>
      <c r="K361" s="7" t="s">
        <v>3246</v>
      </c>
      <c r="L361" s="7" t="s">
        <v>3235</v>
      </c>
      <c r="M361" s="7" t="s">
        <v>2514</v>
      </c>
      <c r="N361" s="7" t="s">
        <v>189</v>
      </c>
      <c r="O361" s="7" t="s">
        <v>189</v>
      </c>
      <c r="P361" s="7" t="s">
        <v>3236</v>
      </c>
      <c r="Q361" s="7" t="s">
        <v>3276</v>
      </c>
      <c r="R361" s="7" t="s">
        <v>3277</v>
      </c>
      <c r="S361" s="7" t="s">
        <v>3237</v>
      </c>
      <c r="T361" s="7" t="s">
        <v>3278</v>
      </c>
      <c r="U361" s="18" t="n">
        <v>320</v>
      </c>
      <c r="V361" s="7"/>
      <c r="W361" s="7"/>
      <c r="X361" s="7" t="s">
        <v>195</v>
      </c>
      <c r="Y361" s="22" t="n">
        <v>0.055</v>
      </c>
      <c r="Z361" s="22" t="n">
        <v>0.075</v>
      </c>
      <c r="AA361" s="22" t="n">
        <v>24</v>
      </c>
      <c r="AB361" s="7" t="s">
        <v>3235</v>
      </c>
      <c r="AC361" s="7" t="s">
        <v>3279</v>
      </c>
      <c r="AD361" s="22" t="s">
        <v>197</v>
      </c>
      <c r="AE361" s="22" t="s">
        <v>197</v>
      </c>
      <c r="AF361" s="22" t="s">
        <v>197</v>
      </c>
      <c r="AG361" s="22" t="s">
        <v>197</v>
      </c>
      <c r="AH361" s="22" t="s">
        <v>197</v>
      </c>
      <c r="AI361" s="22" t="s">
        <v>197</v>
      </c>
      <c r="AJ361" s="22" t="n">
        <v>650</v>
      </c>
      <c r="AK361" s="22" t="s">
        <v>197</v>
      </c>
      <c r="AL361" s="22" t="n">
        <v>50</v>
      </c>
      <c r="AM361" s="22" t="s">
        <v>197</v>
      </c>
      <c r="AN361" s="7" t="s">
        <v>2590</v>
      </c>
      <c r="AO361" s="22" t="s">
        <v>197</v>
      </c>
      <c r="AP361" s="22" t="n">
        <v>6</v>
      </c>
      <c r="AQ361" s="22" t="n">
        <v>50</v>
      </c>
    </row>
    <row r="362" customFormat="false" ht="21.75" hidden="false" customHeight="true" outlineLevel="0" collapsed="false">
      <c r="B362" s="15" t="n">
        <v>358</v>
      </c>
      <c r="C362" s="9" t="s">
        <v>83</v>
      </c>
      <c r="D362" s="9" t="s">
        <v>20</v>
      </c>
      <c r="E362" s="9" t="s">
        <v>121</v>
      </c>
      <c r="F362" s="9" t="s">
        <v>101</v>
      </c>
      <c r="G362" s="9" t="s">
        <v>3280</v>
      </c>
      <c r="H362" s="9" t="s">
        <v>2592</v>
      </c>
      <c r="I362" s="9" t="s">
        <v>3274</v>
      </c>
      <c r="J362" s="9" t="s">
        <v>3275</v>
      </c>
      <c r="K362" s="9" t="s">
        <v>3246</v>
      </c>
      <c r="L362" s="9" t="s">
        <v>3235</v>
      </c>
      <c r="M362" s="9" t="s">
        <v>2514</v>
      </c>
      <c r="N362" s="9" t="s">
        <v>189</v>
      </c>
      <c r="O362" s="9" t="s">
        <v>189</v>
      </c>
      <c r="P362" s="9" t="s">
        <v>3236</v>
      </c>
      <c r="Q362" s="9" t="s">
        <v>3276</v>
      </c>
      <c r="R362" s="9" t="s">
        <v>3277</v>
      </c>
      <c r="S362" s="9" t="s">
        <v>3237</v>
      </c>
      <c r="T362" s="9" t="s">
        <v>3278</v>
      </c>
      <c r="U362" s="19" t="n">
        <v>480</v>
      </c>
      <c r="V362" s="9"/>
      <c r="W362" s="9"/>
      <c r="X362" s="9" t="s">
        <v>199</v>
      </c>
      <c r="Y362" s="23" t="n">
        <v>0.059</v>
      </c>
      <c r="Z362" s="23" t="n">
        <v>0.079</v>
      </c>
      <c r="AA362" s="23" t="n">
        <v>24</v>
      </c>
      <c r="AB362" s="9" t="s">
        <v>3235</v>
      </c>
      <c r="AC362" s="9" t="s">
        <v>3279</v>
      </c>
      <c r="AD362" s="23" t="s">
        <v>197</v>
      </c>
      <c r="AE362" s="23" t="s">
        <v>197</v>
      </c>
      <c r="AF362" s="23" t="s">
        <v>197</v>
      </c>
      <c r="AG362" s="23" t="s">
        <v>197</v>
      </c>
      <c r="AH362" s="23" t="s">
        <v>197</v>
      </c>
      <c r="AI362" s="23" t="s">
        <v>197</v>
      </c>
      <c r="AJ362" s="23" t="n">
        <v>980</v>
      </c>
      <c r="AK362" s="23" t="s">
        <v>197</v>
      </c>
      <c r="AL362" s="23" t="n">
        <v>70</v>
      </c>
      <c r="AM362" s="23" t="s">
        <v>197</v>
      </c>
      <c r="AN362" s="9" t="s">
        <v>2590</v>
      </c>
      <c r="AO362" s="23" t="s">
        <v>197</v>
      </c>
      <c r="AP362" s="23" t="n">
        <v>6</v>
      </c>
      <c r="AQ362" s="23" t="n">
        <v>70</v>
      </c>
    </row>
    <row r="363" customFormat="false" ht="21.75" hidden="false" customHeight="true" outlineLevel="0" collapsed="false">
      <c r="B363" s="14" t="n">
        <v>359</v>
      </c>
      <c r="C363" s="7" t="s">
        <v>83</v>
      </c>
      <c r="D363" s="7" t="s">
        <v>20</v>
      </c>
      <c r="E363" s="7" t="s">
        <v>121</v>
      </c>
      <c r="F363" s="7" t="s">
        <v>101</v>
      </c>
      <c r="G363" s="7" t="s">
        <v>3281</v>
      </c>
      <c r="H363" s="7" t="s">
        <v>2594</v>
      </c>
      <c r="I363" s="7" t="s">
        <v>3274</v>
      </c>
      <c r="J363" s="7" t="s">
        <v>3275</v>
      </c>
      <c r="K363" s="7" t="s">
        <v>3246</v>
      </c>
      <c r="L363" s="7" t="s">
        <v>3235</v>
      </c>
      <c r="M363" s="7" t="s">
        <v>2514</v>
      </c>
      <c r="N363" s="7" t="s">
        <v>189</v>
      </c>
      <c r="O363" s="7" t="s">
        <v>189</v>
      </c>
      <c r="P363" s="7" t="s">
        <v>3236</v>
      </c>
      <c r="Q363" s="7" t="s">
        <v>3276</v>
      </c>
      <c r="R363" s="7" t="s">
        <v>3277</v>
      </c>
      <c r="S363" s="7" t="s">
        <v>3237</v>
      </c>
      <c r="T363" s="7" t="s">
        <v>3278</v>
      </c>
      <c r="U363" s="18" t="n">
        <v>640</v>
      </c>
      <c r="V363" s="7"/>
      <c r="W363" s="7"/>
      <c r="X363" s="7" t="s">
        <v>3282</v>
      </c>
      <c r="Y363" s="22" t="n">
        <v>0.044</v>
      </c>
      <c r="Z363" s="22" t="n">
        <v>0.064</v>
      </c>
      <c r="AA363" s="22" t="n">
        <v>24</v>
      </c>
      <c r="AB363" s="7" t="s">
        <v>3235</v>
      </c>
      <c r="AC363" s="7" t="s">
        <v>3279</v>
      </c>
      <c r="AD363" s="22" t="s">
        <v>197</v>
      </c>
      <c r="AE363" s="22" t="s">
        <v>197</v>
      </c>
      <c r="AF363" s="22" t="s">
        <v>197</v>
      </c>
      <c r="AG363" s="22" t="s">
        <v>197</v>
      </c>
      <c r="AH363" s="22" t="s">
        <v>197</v>
      </c>
      <c r="AI363" s="22" t="s">
        <v>197</v>
      </c>
      <c r="AJ363" s="22" t="n">
        <v>1100</v>
      </c>
      <c r="AK363" s="22" t="s">
        <v>197</v>
      </c>
      <c r="AL363" s="22" t="n">
        <v>100</v>
      </c>
      <c r="AM363" s="22" t="s">
        <v>197</v>
      </c>
      <c r="AN363" s="7" t="s">
        <v>2590</v>
      </c>
      <c r="AO363" s="22" t="s">
        <v>197</v>
      </c>
      <c r="AP363" s="22" t="n">
        <v>6</v>
      </c>
      <c r="AQ363" s="22" t="n">
        <v>100</v>
      </c>
    </row>
    <row r="364" customFormat="false" ht="21.75" hidden="false" customHeight="true" outlineLevel="0" collapsed="false">
      <c r="B364" s="15" t="n">
        <v>360</v>
      </c>
      <c r="C364" s="9" t="s">
        <v>83</v>
      </c>
      <c r="D364" s="9" t="s">
        <v>20</v>
      </c>
      <c r="E364" s="9" t="s">
        <v>121</v>
      </c>
      <c r="F364" s="9" t="s">
        <v>101</v>
      </c>
      <c r="G364" s="9" t="s">
        <v>3283</v>
      </c>
      <c r="H364" s="9" t="s">
        <v>2597</v>
      </c>
      <c r="I364" s="9" t="s">
        <v>3274</v>
      </c>
      <c r="J364" s="9" t="s">
        <v>3275</v>
      </c>
      <c r="K364" s="9" t="s">
        <v>3246</v>
      </c>
      <c r="L364" s="9" t="s">
        <v>3235</v>
      </c>
      <c r="M364" s="9" t="s">
        <v>2514</v>
      </c>
      <c r="N364" s="9" t="s">
        <v>189</v>
      </c>
      <c r="O364" s="9" t="s">
        <v>189</v>
      </c>
      <c r="P364" s="9" t="s">
        <v>3236</v>
      </c>
      <c r="Q364" s="9" t="s">
        <v>3276</v>
      </c>
      <c r="R364" s="9" t="s">
        <v>3277</v>
      </c>
      <c r="S364" s="9" t="s">
        <v>3237</v>
      </c>
      <c r="T364" s="9" t="s">
        <v>3278</v>
      </c>
      <c r="U364" s="19" t="n">
        <v>960</v>
      </c>
      <c r="V364" s="9"/>
      <c r="W364" s="9"/>
      <c r="X364" s="9" t="s">
        <v>203</v>
      </c>
      <c r="Y364" s="23" t="n">
        <v>0.053</v>
      </c>
      <c r="Z364" s="23" t="n">
        <v>0.073</v>
      </c>
      <c r="AA364" s="23" t="n">
        <v>24</v>
      </c>
      <c r="AB364" s="9" t="s">
        <v>3235</v>
      </c>
      <c r="AC364" s="9" t="s">
        <v>3279</v>
      </c>
      <c r="AD364" s="23" t="s">
        <v>197</v>
      </c>
      <c r="AE364" s="23" t="s">
        <v>197</v>
      </c>
      <c r="AF364" s="23" t="s">
        <v>197</v>
      </c>
      <c r="AG364" s="23" t="s">
        <v>197</v>
      </c>
      <c r="AH364" s="23" t="s">
        <v>197</v>
      </c>
      <c r="AI364" s="23" t="s">
        <v>197</v>
      </c>
      <c r="AJ364" s="23" t="n">
        <v>1300</v>
      </c>
      <c r="AK364" s="23" t="s">
        <v>197</v>
      </c>
      <c r="AL364" s="23" t="n">
        <v>100</v>
      </c>
      <c r="AM364" s="23" t="s">
        <v>197</v>
      </c>
      <c r="AN364" s="9" t="s">
        <v>2590</v>
      </c>
      <c r="AO364" s="23" t="s">
        <v>197</v>
      </c>
      <c r="AP364" s="23" t="n">
        <v>6</v>
      </c>
      <c r="AQ364" s="23" t="n">
        <v>100</v>
      </c>
    </row>
    <row r="365" customFormat="false" ht="21.75" hidden="false" customHeight="true" outlineLevel="0" collapsed="false">
      <c r="B365" s="14" t="n">
        <v>361</v>
      </c>
      <c r="C365" s="7" t="s">
        <v>83</v>
      </c>
      <c r="D365" s="7" t="s">
        <v>20</v>
      </c>
      <c r="E365" s="7" t="s">
        <v>121</v>
      </c>
      <c r="F365" s="7" t="s">
        <v>101</v>
      </c>
      <c r="G365" s="7" t="s">
        <v>3284</v>
      </c>
      <c r="H365" s="7" t="s">
        <v>2599</v>
      </c>
      <c r="I365" s="7" t="s">
        <v>3274</v>
      </c>
      <c r="J365" s="7" t="s">
        <v>3275</v>
      </c>
      <c r="K365" s="7" t="s">
        <v>3246</v>
      </c>
      <c r="L365" s="7" t="s">
        <v>3235</v>
      </c>
      <c r="M365" s="7" t="s">
        <v>2514</v>
      </c>
      <c r="N365" s="7" t="s">
        <v>189</v>
      </c>
      <c r="O365" s="7" t="s">
        <v>189</v>
      </c>
      <c r="P365" s="7" t="s">
        <v>3236</v>
      </c>
      <c r="Q365" s="7" t="s">
        <v>3276</v>
      </c>
      <c r="R365" s="7" t="s">
        <v>3277</v>
      </c>
      <c r="S365" s="7" t="s">
        <v>3237</v>
      </c>
      <c r="T365" s="7" t="s">
        <v>3278</v>
      </c>
      <c r="U365" s="18" t="n">
        <v>1405</v>
      </c>
      <c r="V365" s="7"/>
      <c r="W365" s="7"/>
      <c r="X365" s="7" t="s">
        <v>205</v>
      </c>
      <c r="Y365" s="22" t="n">
        <v>0.041</v>
      </c>
      <c r="Z365" s="22" t="n">
        <v>0.061</v>
      </c>
      <c r="AA365" s="22" t="n">
        <v>24</v>
      </c>
      <c r="AB365" s="7" t="s">
        <v>3235</v>
      </c>
      <c r="AC365" s="7" t="s">
        <v>3279</v>
      </c>
      <c r="AD365" s="22" t="s">
        <v>197</v>
      </c>
      <c r="AE365" s="22" t="s">
        <v>197</v>
      </c>
      <c r="AF365" s="22" t="s">
        <v>197</v>
      </c>
      <c r="AG365" s="22" t="s">
        <v>197</v>
      </c>
      <c r="AH365" s="22" t="s">
        <v>197</v>
      </c>
      <c r="AI365" s="22" t="s">
        <v>197</v>
      </c>
      <c r="AJ365" s="22" t="n">
        <v>1500</v>
      </c>
      <c r="AK365" s="22" t="s">
        <v>197</v>
      </c>
      <c r="AL365" s="22" t="n">
        <v>150</v>
      </c>
      <c r="AM365" s="22" t="s">
        <v>197</v>
      </c>
      <c r="AN365" s="7" t="s">
        <v>2590</v>
      </c>
      <c r="AO365" s="22" t="s">
        <v>197</v>
      </c>
      <c r="AP365" s="22" t="n">
        <v>6</v>
      </c>
      <c r="AQ365" s="22" t="n">
        <v>150</v>
      </c>
    </row>
    <row r="366" customFormat="false" ht="21.75" hidden="false" customHeight="true" outlineLevel="0" collapsed="false">
      <c r="B366" s="15" t="n">
        <v>362</v>
      </c>
      <c r="C366" s="9" t="s">
        <v>83</v>
      </c>
      <c r="D366" s="9" t="s">
        <v>20</v>
      </c>
      <c r="E366" s="9" t="s">
        <v>121</v>
      </c>
      <c r="F366" s="9" t="s">
        <v>102</v>
      </c>
      <c r="G366" s="9" t="s">
        <v>391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19"/>
      <c r="V366" s="9"/>
      <c r="W366" s="9"/>
      <c r="X366" s="9" t="s">
        <v>3285</v>
      </c>
      <c r="Y366" s="23" t="s">
        <v>197</v>
      </c>
      <c r="Z366" s="23" t="s">
        <v>197</v>
      </c>
      <c r="AA366" s="23" t="s">
        <v>197</v>
      </c>
      <c r="AB366" s="9" t="s">
        <v>197</v>
      </c>
      <c r="AC366" s="9" t="s">
        <v>197</v>
      </c>
      <c r="AD366" s="23" t="s">
        <v>197</v>
      </c>
      <c r="AE366" s="23" t="s">
        <v>197</v>
      </c>
      <c r="AF366" s="23" t="s">
        <v>197</v>
      </c>
      <c r="AG366" s="23" t="s">
        <v>197</v>
      </c>
      <c r="AH366" s="23" t="s">
        <v>197</v>
      </c>
      <c r="AI366" s="23" t="s">
        <v>197</v>
      </c>
      <c r="AJ366" s="23" t="s">
        <v>197</v>
      </c>
      <c r="AK366" s="23" t="s">
        <v>197</v>
      </c>
      <c r="AL366" s="23" t="s">
        <v>197</v>
      </c>
      <c r="AM366" s="23" t="s">
        <v>197</v>
      </c>
      <c r="AN366" s="9" t="s">
        <v>197</v>
      </c>
      <c r="AO366" s="23" t="s">
        <v>197</v>
      </c>
      <c r="AP366" s="23" t="s">
        <v>197</v>
      </c>
      <c r="AQ366" s="23" t="s">
        <v>197</v>
      </c>
    </row>
    <row r="367" customFormat="false" ht="21.75" hidden="false" customHeight="true" outlineLevel="0" collapsed="false">
      <c r="B367" s="14" t="n">
        <v>363</v>
      </c>
      <c r="C367" s="7" t="s">
        <v>83</v>
      </c>
      <c r="D367" s="7" t="s">
        <v>20</v>
      </c>
      <c r="E367" s="7" t="s">
        <v>121</v>
      </c>
      <c r="F367" s="7" t="s">
        <v>103</v>
      </c>
      <c r="G367" s="7" t="s">
        <v>391</v>
      </c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18"/>
      <c r="V367" s="7"/>
      <c r="W367" s="7"/>
      <c r="X367" s="7" t="s">
        <v>3286</v>
      </c>
      <c r="Y367" s="22" t="s">
        <v>197</v>
      </c>
      <c r="Z367" s="22" t="s">
        <v>197</v>
      </c>
      <c r="AA367" s="22" t="s">
        <v>197</v>
      </c>
      <c r="AB367" s="7" t="s">
        <v>197</v>
      </c>
      <c r="AC367" s="7" t="s">
        <v>197</v>
      </c>
      <c r="AD367" s="22" t="s">
        <v>197</v>
      </c>
      <c r="AE367" s="22" t="s">
        <v>197</v>
      </c>
      <c r="AF367" s="22" t="s">
        <v>197</v>
      </c>
      <c r="AG367" s="22" t="s">
        <v>197</v>
      </c>
      <c r="AH367" s="22" t="s">
        <v>197</v>
      </c>
      <c r="AI367" s="22" t="s">
        <v>197</v>
      </c>
      <c r="AJ367" s="22" t="s">
        <v>197</v>
      </c>
      <c r="AK367" s="22" t="s">
        <v>197</v>
      </c>
      <c r="AL367" s="22" t="s">
        <v>197</v>
      </c>
      <c r="AM367" s="22" t="s">
        <v>197</v>
      </c>
      <c r="AN367" s="7" t="s">
        <v>197</v>
      </c>
      <c r="AO367" s="22" t="s">
        <v>197</v>
      </c>
      <c r="AP367" s="22" t="s">
        <v>197</v>
      </c>
      <c r="AQ367" s="22" t="s">
        <v>197</v>
      </c>
    </row>
    <row r="368" customFormat="false" ht="21.75" hidden="false" customHeight="true" outlineLevel="0" collapsed="false">
      <c r="B368" s="15" t="n">
        <v>364</v>
      </c>
      <c r="C368" s="9" t="s">
        <v>83</v>
      </c>
      <c r="D368" s="9" t="s">
        <v>20</v>
      </c>
      <c r="E368" s="9" t="s">
        <v>121</v>
      </c>
      <c r="F368" s="9" t="s">
        <v>104</v>
      </c>
      <c r="G368" s="9" t="s">
        <v>3287</v>
      </c>
      <c r="H368" s="9" t="s">
        <v>2617</v>
      </c>
      <c r="I368" s="9" t="s">
        <v>3288</v>
      </c>
      <c r="J368" s="9" t="s">
        <v>2918</v>
      </c>
      <c r="K368" s="9" t="s">
        <v>3289</v>
      </c>
      <c r="L368" s="9" t="s">
        <v>3235</v>
      </c>
      <c r="M368" s="9" t="s">
        <v>2514</v>
      </c>
      <c r="N368" s="9" t="s">
        <v>189</v>
      </c>
      <c r="O368" s="9" t="s">
        <v>189</v>
      </c>
      <c r="P368" s="9" t="s">
        <v>3236</v>
      </c>
      <c r="Q368" s="9" t="s">
        <v>3290</v>
      </c>
      <c r="R368" s="9" t="s">
        <v>521</v>
      </c>
      <c r="S368" s="9" t="s">
        <v>3237</v>
      </c>
      <c r="T368" s="9" t="s">
        <v>2621</v>
      </c>
      <c r="U368" s="19" t="n">
        <v>30</v>
      </c>
      <c r="V368" s="9"/>
      <c r="W368" s="9"/>
      <c r="X368" s="9" t="s">
        <v>195</v>
      </c>
      <c r="Y368" s="23" t="n">
        <v>0.00049292</v>
      </c>
      <c r="Z368" s="23" t="n">
        <v>0.007</v>
      </c>
      <c r="AA368" s="23" t="n">
        <v>24</v>
      </c>
      <c r="AB368" s="9" t="s">
        <v>3235</v>
      </c>
      <c r="AC368" s="9" t="s">
        <v>3248</v>
      </c>
      <c r="AD368" s="23" t="s">
        <v>197</v>
      </c>
      <c r="AE368" s="23" t="s">
        <v>197</v>
      </c>
      <c r="AF368" s="23" t="s">
        <v>197</v>
      </c>
      <c r="AG368" s="23" t="s">
        <v>197</v>
      </c>
      <c r="AH368" s="23" t="s">
        <v>197</v>
      </c>
      <c r="AI368" s="23" t="s">
        <v>197</v>
      </c>
      <c r="AJ368" s="23" t="s">
        <v>197</v>
      </c>
      <c r="AK368" s="23" t="s">
        <v>197</v>
      </c>
      <c r="AL368" s="23" t="s">
        <v>197</v>
      </c>
      <c r="AM368" s="23" t="s">
        <v>197</v>
      </c>
      <c r="AN368" s="9" t="s">
        <v>197</v>
      </c>
      <c r="AO368" s="23" t="s">
        <v>197</v>
      </c>
      <c r="AP368" s="23" t="s">
        <v>197</v>
      </c>
      <c r="AQ368" s="23" t="s">
        <v>197</v>
      </c>
    </row>
    <row r="369" customFormat="false" ht="21.75" hidden="false" customHeight="true" outlineLevel="0" collapsed="false">
      <c r="B369" s="14" t="n">
        <v>365</v>
      </c>
      <c r="C369" s="7" t="s">
        <v>83</v>
      </c>
      <c r="D369" s="7" t="s">
        <v>20</v>
      </c>
      <c r="E369" s="7" t="s">
        <v>121</v>
      </c>
      <c r="F369" s="7" t="s">
        <v>104</v>
      </c>
      <c r="G369" s="7" t="s">
        <v>3291</v>
      </c>
      <c r="H369" s="7" t="s">
        <v>2623</v>
      </c>
      <c r="I369" s="7" t="s">
        <v>3288</v>
      </c>
      <c r="J369" s="7" t="s">
        <v>2918</v>
      </c>
      <c r="K369" s="7" t="s">
        <v>3289</v>
      </c>
      <c r="L369" s="7" t="s">
        <v>3235</v>
      </c>
      <c r="M369" s="7" t="s">
        <v>2514</v>
      </c>
      <c r="N369" s="7" t="s">
        <v>189</v>
      </c>
      <c r="O369" s="7" t="s">
        <v>189</v>
      </c>
      <c r="P369" s="7" t="s">
        <v>3236</v>
      </c>
      <c r="Q369" s="7" t="s">
        <v>3290</v>
      </c>
      <c r="R369" s="7" t="s">
        <v>521</v>
      </c>
      <c r="S369" s="7" t="s">
        <v>3237</v>
      </c>
      <c r="T369" s="7" t="s">
        <v>2621</v>
      </c>
      <c r="U369" s="18" t="n">
        <v>45</v>
      </c>
      <c r="V369" s="7"/>
      <c r="W369" s="7"/>
      <c r="X369" s="7" t="s">
        <v>199</v>
      </c>
      <c r="Y369" s="22" t="n">
        <v>0.00066812</v>
      </c>
      <c r="Z369" s="22" t="n">
        <v>0.01</v>
      </c>
      <c r="AA369" s="22" t="n">
        <v>24</v>
      </c>
      <c r="AB369" s="7" t="s">
        <v>3235</v>
      </c>
      <c r="AC369" s="7" t="s">
        <v>3248</v>
      </c>
      <c r="AD369" s="22" t="s">
        <v>197</v>
      </c>
      <c r="AE369" s="22" t="s">
        <v>197</v>
      </c>
      <c r="AF369" s="22" t="s">
        <v>197</v>
      </c>
      <c r="AG369" s="22" t="s">
        <v>197</v>
      </c>
      <c r="AH369" s="22" t="s">
        <v>197</v>
      </c>
      <c r="AI369" s="22" t="s">
        <v>197</v>
      </c>
      <c r="AJ369" s="22" t="s">
        <v>197</v>
      </c>
      <c r="AK369" s="22" t="s">
        <v>197</v>
      </c>
      <c r="AL369" s="22" t="s">
        <v>197</v>
      </c>
      <c r="AM369" s="22" t="s">
        <v>197</v>
      </c>
      <c r="AN369" s="7" t="s">
        <v>197</v>
      </c>
      <c r="AO369" s="22" t="s">
        <v>197</v>
      </c>
      <c r="AP369" s="22" t="s">
        <v>197</v>
      </c>
      <c r="AQ369" s="22" t="s">
        <v>197</v>
      </c>
    </row>
    <row r="370" customFormat="false" ht="21.75" hidden="false" customHeight="true" outlineLevel="0" collapsed="false">
      <c r="B370" s="15" t="n">
        <v>366</v>
      </c>
      <c r="C370" s="9" t="s">
        <v>83</v>
      </c>
      <c r="D370" s="9" t="s">
        <v>20</v>
      </c>
      <c r="E370" s="9" t="s">
        <v>121</v>
      </c>
      <c r="F370" s="9" t="s">
        <v>104</v>
      </c>
      <c r="G370" s="9" t="s">
        <v>3292</v>
      </c>
      <c r="H370" s="9" t="s">
        <v>2625</v>
      </c>
      <c r="I370" s="9" t="s">
        <v>3288</v>
      </c>
      <c r="J370" s="9" t="s">
        <v>2918</v>
      </c>
      <c r="K370" s="9" t="s">
        <v>3289</v>
      </c>
      <c r="L370" s="9" t="s">
        <v>3235</v>
      </c>
      <c r="M370" s="9" t="s">
        <v>2514</v>
      </c>
      <c r="N370" s="9" t="s">
        <v>189</v>
      </c>
      <c r="O370" s="9" t="s">
        <v>189</v>
      </c>
      <c r="P370" s="9" t="s">
        <v>3236</v>
      </c>
      <c r="Q370" s="9" t="s">
        <v>3290</v>
      </c>
      <c r="R370" s="9" t="s">
        <v>521</v>
      </c>
      <c r="S370" s="9" t="s">
        <v>3237</v>
      </c>
      <c r="T370" s="9" t="s">
        <v>2621</v>
      </c>
      <c r="U370" s="19" t="n">
        <v>60</v>
      </c>
      <c r="V370" s="9"/>
      <c r="W370" s="9"/>
      <c r="X370" s="9" t="s">
        <v>3293</v>
      </c>
      <c r="Y370" s="23" t="n">
        <v>0.00068252</v>
      </c>
      <c r="Z370" s="23" t="n">
        <v>0.01</v>
      </c>
      <c r="AA370" s="23" t="n">
        <v>24</v>
      </c>
      <c r="AB370" s="9" t="s">
        <v>3235</v>
      </c>
      <c r="AC370" s="9" t="s">
        <v>3248</v>
      </c>
      <c r="AD370" s="23" t="s">
        <v>197</v>
      </c>
      <c r="AE370" s="23" t="s">
        <v>197</v>
      </c>
      <c r="AF370" s="23" t="s">
        <v>197</v>
      </c>
      <c r="AG370" s="23" t="s">
        <v>197</v>
      </c>
      <c r="AH370" s="23" t="s">
        <v>197</v>
      </c>
      <c r="AI370" s="23" t="s">
        <v>197</v>
      </c>
      <c r="AJ370" s="23" t="s">
        <v>197</v>
      </c>
      <c r="AK370" s="23" t="s">
        <v>197</v>
      </c>
      <c r="AL370" s="23" t="s">
        <v>197</v>
      </c>
      <c r="AM370" s="23" t="s">
        <v>197</v>
      </c>
      <c r="AN370" s="9" t="s">
        <v>197</v>
      </c>
      <c r="AO370" s="23" t="s">
        <v>197</v>
      </c>
      <c r="AP370" s="23" t="s">
        <v>197</v>
      </c>
      <c r="AQ370" s="23" t="s">
        <v>197</v>
      </c>
    </row>
    <row r="371" customFormat="false" ht="21.75" hidden="false" customHeight="true" outlineLevel="0" collapsed="false">
      <c r="B371" s="14" t="n">
        <v>367</v>
      </c>
      <c r="C371" s="7" t="s">
        <v>83</v>
      </c>
      <c r="D371" s="7" t="s">
        <v>20</v>
      </c>
      <c r="E371" s="7" t="s">
        <v>121</v>
      </c>
      <c r="F371" s="7" t="s">
        <v>104</v>
      </c>
      <c r="G371" s="7" t="s">
        <v>3294</v>
      </c>
      <c r="H371" s="7" t="s">
        <v>2628</v>
      </c>
      <c r="I371" s="7" t="s">
        <v>3288</v>
      </c>
      <c r="J371" s="7" t="s">
        <v>2918</v>
      </c>
      <c r="K371" s="7" t="s">
        <v>3289</v>
      </c>
      <c r="L371" s="7" t="s">
        <v>3235</v>
      </c>
      <c r="M371" s="7" t="s">
        <v>2514</v>
      </c>
      <c r="N371" s="7" t="s">
        <v>189</v>
      </c>
      <c r="O371" s="7" t="s">
        <v>189</v>
      </c>
      <c r="P371" s="7" t="s">
        <v>3236</v>
      </c>
      <c r="Q371" s="7" t="s">
        <v>3290</v>
      </c>
      <c r="R371" s="7" t="s">
        <v>521</v>
      </c>
      <c r="S371" s="7" t="s">
        <v>3237</v>
      </c>
      <c r="T371" s="7" t="s">
        <v>2621</v>
      </c>
      <c r="U371" s="18" t="n">
        <v>90</v>
      </c>
      <c r="V371" s="7"/>
      <c r="W371" s="7"/>
      <c r="X371" s="7" t="s">
        <v>203</v>
      </c>
      <c r="Y371" s="22" t="n">
        <v>0.00060284</v>
      </c>
      <c r="Z371" s="22" t="n">
        <v>0.009</v>
      </c>
      <c r="AA371" s="22" t="n">
        <v>24</v>
      </c>
      <c r="AB371" s="7" t="s">
        <v>3235</v>
      </c>
      <c r="AC371" s="7" t="s">
        <v>3248</v>
      </c>
      <c r="AD371" s="22" t="s">
        <v>197</v>
      </c>
      <c r="AE371" s="22" t="s">
        <v>197</v>
      </c>
      <c r="AF371" s="22" t="s">
        <v>197</v>
      </c>
      <c r="AG371" s="22" t="s">
        <v>197</v>
      </c>
      <c r="AH371" s="22" t="s">
        <v>197</v>
      </c>
      <c r="AI371" s="22" t="s">
        <v>197</v>
      </c>
      <c r="AJ371" s="22" t="s">
        <v>197</v>
      </c>
      <c r="AK371" s="22" t="s">
        <v>197</v>
      </c>
      <c r="AL371" s="22" t="s">
        <v>197</v>
      </c>
      <c r="AM371" s="22" t="s">
        <v>197</v>
      </c>
      <c r="AN371" s="7" t="s">
        <v>197</v>
      </c>
      <c r="AO371" s="22" t="s">
        <v>197</v>
      </c>
      <c r="AP371" s="22" t="s">
        <v>197</v>
      </c>
      <c r="AQ371" s="22" t="s">
        <v>197</v>
      </c>
    </row>
    <row r="372" customFormat="false" ht="21.75" hidden="false" customHeight="true" outlineLevel="0" collapsed="false">
      <c r="B372" s="15" t="n">
        <v>368</v>
      </c>
      <c r="C372" s="9" t="s">
        <v>83</v>
      </c>
      <c r="D372" s="9" t="s">
        <v>20</v>
      </c>
      <c r="E372" s="9" t="s">
        <v>121</v>
      </c>
      <c r="F372" s="9" t="s">
        <v>104</v>
      </c>
      <c r="G372" s="9" t="s">
        <v>3295</v>
      </c>
      <c r="H372" s="9" t="s">
        <v>2630</v>
      </c>
      <c r="I372" s="9" t="s">
        <v>3288</v>
      </c>
      <c r="J372" s="9" t="s">
        <v>2918</v>
      </c>
      <c r="K372" s="9" t="s">
        <v>3289</v>
      </c>
      <c r="L372" s="9" t="s">
        <v>3235</v>
      </c>
      <c r="M372" s="9" t="s">
        <v>2514</v>
      </c>
      <c r="N372" s="9" t="s">
        <v>189</v>
      </c>
      <c r="O372" s="9" t="s">
        <v>189</v>
      </c>
      <c r="P372" s="9" t="s">
        <v>3236</v>
      </c>
      <c r="Q372" s="9" t="s">
        <v>3290</v>
      </c>
      <c r="R372" s="9" t="s">
        <v>521</v>
      </c>
      <c r="S372" s="9" t="s">
        <v>3237</v>
      </c>
      <c r="T372" s="9" t="s">
        <v>2621</v>
      </c>
      <c r="U372" s="19" t="n">
        <v>135</v>
      </c>
      <c r="V372" s="9"/>
      <c r="W372" s="9"/>
      <c r="X372" s="9" t="s">
        <v>205</v>
      </c>
      <c r="Y372" s="23" t="n">
        <v>0.00048612</v>
      </c>
      <c r="Z372" s="23" t="n">
        <v>0.007</v>
      </c>
      <c r="AA372" s="23" t="n">
        <v>24</v>
      </c>
      <c r="AB372" s="9" t="s">
        <v>3235</v>
      </c>
      <c r="AC372" s="9" t="s">
        <v>3248</v>
      </c>
      <c r="AD372" s="23" t="s">
        <v>197</v>
      </c>
      <c r="AE372" s="23" t="s">
        <v>197</v>
      </c>
      <c r="AF372" s="23" t="s">
        <v>197</v>
      </c>
      <c r="AG372" s="23" t="s">
        <v>197</v>
      </c>
      <c r="AH372" s="23" t="s">
        <v>197</v>
      </c>
      <c r="AI372" s="23" t="s">
        <v>197</v>
      </c>
      <c r="AJ372" s="23" t="s">
        <v>197</v>
      </c>
      <c r="AK372" s="23" t="s">
        <v>197</v>
      </c>
      <c r="AL372" s="23" t="s">
        <v>197</v>
      </c>
      <c r="AM372" s="23" t="s">
        <v>197</v>
      </c>
      <c r="AN372" s="9" t="s">
        <v>197</v>
      </c>
      <c r="AO372" s="23" t="s">
        <v>197</v>
      </c>
      <c r="AP372" s="23" t="s">
        <v>197</v>
      </c>
      <c r="AQ372" s="23" t="s">
        <v>197</v>
      </c>
    </row>
    <row r="373" customFormat="false" ht="21.75" hidden="false" customHeight="true" outlineLevel="0" collapsed="false">
      <c r="B373" s="14" t="n">
        <v>369</v>
      </c>
      <c r="C373" s="7" t="s">
        <v>83</v>
      </c>
      <c r="D373" s="7" t="s">
        <v>20</v>
      </c>
      <c r="E373" s="7" t="s">
        <v>121</v>
      </c>
      <c r="F373" s="7" t="s">
        <v>105</v>
      </c>
      <c r="G373" s="7" t="s">
        <v>3296</v>
      </c>
      <c r="H373" s="7" t="s">
        <v>2632</v>
      </c>
      <c r="I373" s="7" t="s">
        <v>3297</v>
      </c>
      <c r="J373" s="7" t="s">
        <v>3032</v>
      </c>
      <c r="K373" s="7" t="s">
        <v>3289</v>
      </c>
      <c r="L373" s="7" t="s">
        <v>3235</v>
      </c>
      <c r="M373" s="7" t="s">
        <v>2514</v>
      </c>
      <c r="N373" s="7" t="s">
        <v>189</v>
      </c>
      <c r="O373" s="7" t="s">
        <v>189</v>
      </c>
      <c r="P373" s="7" t="s">
        <v>3236</v>
      </c>
      <c r="Q373" s="7" t="s">
        <v>3290</v>
      </c>
      <c r="R373" s="7" t="s">
        <v>689</v>
      </c>
      <c r="S373" s="7" t="s">
        <v>3237</v>
      </c>
      <c r="T373" s="7" t="s">
        <v>2926</v>
      </c>
      <c r="U373" s="18" t="n">
        <v>30</v>
      </c>
      <c r="V373" s="7"/>
      <c r="W373" s="7"/>
      <c r="X373" s="7" t="s">
        <v>195</v>
      </c>
      <c r="Y373" s="22" t="n">
        <v>0.00077256</v>
      </c>
      <c r="Z373" s="22" t="n">
        <v>0.047</v>
      </c>
      <c r="AA373" s="22" t="n">
        <v>24</v>
      </c>
      <c r="AB373" s="7" t="s">
        <v>3235</v>
      </c>
      <c r="AC373" s="7" t="s">
        <v>3248</v>
      </c>
      <c r="AD373" s="22" t="s">
        <v>197</v>
      </c>
      <c r="AE373" s="22" t="s">
        <v>197</v>
      </c>
      <c r="AF373" s="22" t="s">
        <v>197</v>
      </c>
      <c r="AG373" s="22" t="s">
        <v>197</v>
      </c>
      <c r="AH373" s="22" t="s">
        <v>197</v>
      </c>
      <c r="AI373" s="22" t="s">
        <v>197</v>
      </c>
      <c r="AJ373" s="22" t="s">
        <v>197</v>
      </c>
      <c r="AK373" s="22" t="s">
        <v>197</v>
      </c>
      <c r="AL373" s="22" t="s">
        <v>197</v>
      </c>
      <c r="AM373" s="22" t="s">
        <v>197</v>
      </c>
      <c r="AN373" s="7" t="s">
        <v>197</v>
      </c>
      <c r="AO373" s="22" t="s">
        <v>197</v>
      </c>
      <c r="AP373" s="22" t="s">
        <v>197</v>
      </c>
      <c r="AQ373" s="22" t="s">
        <v>197</v>
      </c>
    </row>
    <row r="374" customFormat="false" ht="21.75" hidden="false" customHeight="true" outlineLevel="0" collapsed="false">
      <c r="B374" s="15" t="n">
        <v>370</v>
      </c>
      <c r="C374" s="9" t="s">
        <v>83</v>
      </c>
      <c r="D374" s="9" t="s">
        <v>20</v>
      </c>
      <c r="E374" s="9" t="s">
        <v>121</v>
      </c>
      <c r="F374" s="9" t="s">
        <v>105</v>
      </c>
      <c r="G374" s="9" t="s">
        <v>3292</v>
      </c>
      <c r="H374" s="9" t="s">
        <v>2637</v>
      </c>
      <c r="I374" s="9" t="s">
        <v>3297</v>
      </c>
      <c r="J374" s="9" t="s">
        <v>3032</v>
      </c>
      <c r="K374" s="9" t="s">
        <v>3289</v>
      </c>
      <c r="L374" s="9" t="s">
        <v>3235</v>
      </c>
      <c r="M374" s="9" t="s">
        <v>2514</v>
      </c>
      <c r="N374" s="9" t="s">
        <v>189</v>
      </c>
      <c r="O374" s="9" t="s">
        <v>189</v>
      </c>
      <c r="P374" s="9" t="s">
        <v>3236</v>
      </c>
      <c r="Q374" s="9" t="s">
        <v>3290</v>
      </c>
      <c r="R374" s="9" t="s">
        <v>689</v>
      </c>
      <c r="S374" s="9" t="s">
        <v>3237</v>
      </c>
      <c r="T374" s="9" t="s">
        <v>2926</v>
      </c>
      <c r="U374" s="19" t="n">
        <v>50</v>
      </c>
      <c r="V374" s="9"/>
      <c r="W374" s="9"/>
      <c r="X374" s="9" t="s">
        <v>199</v>
      </c>
      <c r="Y374" s="23" t="n">
        <v>0.00078252</v>
      </c>
      <c r="Z374" s="23" t="n">
        <v>0.048</v>
      </c>
      <c r="AA374" s="23" t="n">
        <v>24</v>
      </c>
      <c r="AB374" s="9" t="s">
        <v>3235</v>
      </c>
      <c r="AC374" s="9" t="s">
        <v>3248</v>
      </c>
      <c r="AD374" s="23" t="s">
        <v>197</v>
      </c>
      <c r="AE374" s="23" t="s">
        <v>197</v>
      </c>
      <c r="AF374" s="23" t="s">
        <v>197</v>
      </c>
      <c r="AG374" s="23" t="s">
        <v>197</v>
      </c>
      <c r="AH374" s="23" t="s">
        <v>197</v>
      </c>
      <c r="AI374" s="23" t="s">
        <v>197</v>
      </c>
      <c r="AJ374" s="23" t="s">
        <v>197</v>
      </c>
      <c r="AK374" s="23" t="s">
        <v>197</v>
      </c>
      <c r="AL374" s="23" t="s">
        <v>197</v>
      </c>
      <c r="AM374" s="23" t="s">
        <v>197</v>
      </c>
      <c r="AN374" s="9" t="s">
        <v>197</v>
      </c>
      <c r="AO374" s="23" t="s">
        <v>197</v>
      </c>
      <c r="AP374" s="23" t="s">
        <v>197</v>
      </c>
      <c r="AQ374" s="23" t="s">
        <v>197</v>
      </c>
    </row>
    <row r="375" customFormat="false" ht="21.75" hidden="false" customHeight="true" outlineLevel="0" collapsed="false">
      <c r="B375" s="14" t="n">
        <v>371</v>
      </c>
      <c r="C375" s="7" t="s">
        <v>83</v>
      </c>
      <c r="D375" s="7" t="s">
        <v>20</v>
      </c>
      <c r="E375" s="7" t="s">
        <v>121</v>
      </c>
      <c r="F375" s="7" t="s">
        <v>105</v>
      </c>
      <c r="G375" s="7" t="s">
        <v>3298</v>
      </c>
      <c r="H375" s="7" t="s">
        <v>2639</v>
      </c>
      <c r="I375" s="7" t="s">
        <v>3297</v>
      </c>
      <c r="J375" s="7" t="s">
        <v>3032</v>
      </c>
      <c r="K375" s="7" t="s">
        <v>3289</v>
      </c>
      <c r="L375" s="7" t="s">
        <v>3235</v>
      </c>
      <c r="M375" s="7" t="s">
        <v>2514</v>
      </c>
      <c r="N375" s="7" t="s">
        <v>189</v>
      </c>
      <c r="O375" s="7" t="s">
        <v>189</v>
      </c>
      <c r="P375" s="7" t="s">
        <v>3236</v>
      </c>
      <c r="Q375" s="7" t="s">
        <v>3290</v>
      </c>
      <c r="R375" s="7" t="s">
        <v>689</v>
      </c>
      <c r="S375" s="7" t="s">
        <v>3237</v>
      </c>
      <c r="T375" s="7" t="s">
        <v>2926</v>
      </c>
      <c r="U375" s="18" t="n">
        <v>65</v>
      </c>
      <c r="V375" s="7"/>
      <c r="W375" s="7"/>
      <c r="X375" s="7" t="s">
        <v>3299</v>
      </c>
      <c r="Y375" s="22" t="n">
        <v>0.0008848</v>
      </c>
      <c r="Z375" s="22" t="n">
        <v>0.058</v>
      </c>
      <c r="AA375" s="22" t="n">
        <v>24</v>
      </c>
      <c r="AB375" s="7" t="s">
        <v>3235</v>
      </c>
      <c r="AC375" s="7" t="s">
        <v>3248</v>
      </c>
      <c r="AD375" s="22" t="s">
        <v>197</v>
      </c>
      <c r="AE375" s="22" t="s">
        <v>197</v>
      </c>
      <c r="AF375" s="22" t="s">
        <v>197</v>
      </c>
      <c r="AG375" s="22" t="s">
        <v>197</v>
      </c>
      <c r="AH375" s="22" t="s">
        <v>197</v>
      </c>
      <c r="AI375" s="22" t="s">
        <v>197</v>
      </c>
      <c r="AJ375" s="22" t="s">
        <v>197</v>
      </c>
      <c r="AK375" s="22" t="s">
        <v>197</v>
      </c>
      <c r="AL375" s="22" t="s">
        <v>197</v>
      </c>
      <c r="AM375" s="22" t="s">
        <v>197</v>
      </c>
      <c r="AN375" s="7" t="s">
        <v>197</v>
      </c>
      <c r="AO375" s="22" t="s">
        <v>197</v>
      </c>
      <c r="AP375" s="22" t="s">
        <v>197</v>
      </c>
      <c r="AQ375" s="22" t="s">
        <v>197</v>
      </c>
    </row>
    <row r="376" customFormat="false" ht="21.75" hidden="false" customHeight="true" outlineLevel="0" collapsed="false">
      <c r="B376" s="15" t="n">
        <v>372</v>
      </c>
      <c r="C376" s="9" t="s">
        <v>83</v>
      </c>
      <c r="D376" s="9" t="s">
        <v>20</v>
      </c>
      <c r="E376" s="9" t="s">
        <v>121</v>
      </c>
      <c r="F376" s="9" t="s">
        <v>105</v>
      </c>
      <c r="G376" s="9" t="s">
        <v>3300</v>
      </c>
      <c r="H376" s="9" t="s">
        <v>2642</v>
      </c>
      <c r="I376" s="9" t="s">
        <v>3297</v>
      </c>
      <c r="J376" s="9" t="s">
        <v>3032</v>
      </c>
      <c r="K376" s="9" t="s">
        <v>3289</v>
      </c>
      <c r="L376" s="9" t="s">
        <v>3235</v>
      </c>
      <c r="M376" s="9" t="s">
        <v>2514</v>
      </c>
      <c r="N376" s="9" t="s">
        <v>189</v>
      </c>
      <c r="O376" s="9" t="s">
        <v>189</v>
      </c>
      <c r="P376" s="9" t="s">
        <v>3236</v>
      </c>
      <c r="Q376" s="9" t="s">
        <v>3290</v>
      </c>
      <c r="R376" s="9" t="s">
        <v>689</v>
      </c>
      <c r="S376" s="9" t="s">
        <v>3237</v>
      </c>
      <c r="T376" s="9" t="s">
        <v>2926</v>
      </c>
      <c r="U376" s="19" t="n">
        <v>100</v>
      </c>
      <c r="V376" s="9"/>
      <c r="W376" s="9"/>
      <c r="X376" s="9" t="s">
        <v>203</v>
      </c>
      <c r="Y376" s="23" t="n">
        <v>0.00058784</v>
      </c>
      <c r="Z376" s="23" t="n">
        <v>0.029</v>
      </c>
      <c r="AA376" s="23" t="n">
        <v>24</v>
      </c>
      <c r="AB376" s="9" t="s">
        <v>3235</v>
      </c>
      <c r="AC376" s="9" t="s">
        <v>3248</v>
      </c>
      <c r="AD376" s="23" t="s">
        <v>197</v>
      </c>
      <c r="AE376" s="23" t="s">
        <v>197</v>
      </c>
      <c r="AF376" s="23" t="s">
        <v>197</v>
      </c>
      <c r="AG376" s="23" t="s">
        <v>197</v>
      </c>
      <c r="AH376" s="23" t="s">
        <v>197</v>
      </c>
      <c r="AI376" s="23" t="s">
        <v>197</v>
      </c>
      <c r="AJ376" s="23" t="s">
        <v>197</v>
      </c>
      <c r="AK376" s="23" t="s">
        <v>197</v>
      </c>
      <c r="AL376" s="23" t="s">
        <v>197</v>
      </c>
      <c r="AM376" s="23" t="s">
        <v>197</v>
      </c>
      <c r="AN376" s="9" t="s">
        <v>197</v>
      </c>
      <c r="AO376" s="23" t="s">
        <v>197</v>
      </c>
      <c r="AP376" s="23" t="s">
        <v>197</v>
      </c>
      <c r="AQ376" s="23" t="s">
        <v>197</v>
      </c>
    </row>
    <row r="377" customFormat="false" ht="21.75" hidden="false" customHeight="true" outlineLevel="0" collapsed="false">
      <c r="B377" s="14" t="n">
        <v>373</v>
      </c>
      <c r="C377" s="7" t="s">
        <v>83</v>
      </c>
      <c r="D377" s="7" t="s">
        <v>20</v>
      </c>
      <c r="E377" s="7" t="s">
        <v>121</v>
      </c>
      <c r="F377" s="7" t="s">
        <v>105</v>
      </c>
      <c r="G377" s="7" t="s">
        <v>3301</v>
      </c>
      <c r="H377" s="7" t="s">
        <v>2644</v>
      </c>
      <c r="I377" s="7" t="s">
        <v>3297</v>
      </c>
      <c r="J377" s="7" t="s">
        <v>3032</v>
      </c>
      <c r="K377" s="7" t="s">
        <v>3289</v>
      </c>
      <c r="L377" s="7" t="s">
        <v>3235</v>
      </c>
      <c r="M377" s="7" t="s">
        <v>2514</v>
      </c>
      <c r="N377" s="7" t="s">
        <v>189</v>
      </c>
      <c r="O377" s="7" t="s">
        <v>189</v>
      </c>
      <c r="P377" s="7" t="s">
        <v>3236</v>
      </c>
      <c r="Q377" s="7" t="s">
        <v>3290</v>
      </c>
      <c r="R377" s="7" t="s">
        <v>689</v>
      </c>
      <c r="S377" s="7" t="s">
        <v>3237</v>
      </c>
      <c r="T377" s="7" t="s">
        <v>2926</v>
      </c>
      <c r="U377" s="18" t="n">
        <v>145</v>
      </c>
      <c r="V377" s="7"/>
      <c r="W377" s="7"/>
      <c r="X377" s="7" t="s">
        <v>205</v>
      </c>
      <c r="Y377" s="22" t="n">
        <v>0.00062204</v>
      </c>
      <c r="Z377" s="22" t="n">
        <v>0.032</v>
      </c>
      <c r="AA377" s="22" t="n">
        <v>24</v>
      </c>
      <c r="AB377" s="7" t="s">
        <v>3235</v>
      </c>
      <c r="AC377" s="7" t="s">
        <v>3248</v>
      </c>
      <c r="AD377" s="22" t="s">
        <v>197</v>
      </c>
      <c r="AE377" s="22" t="s">
        <v>197</v>
      </c>
      <c r="AF377" s="22" t="s">
        <v>197</v>
      </c>
      <c r="AG377" s="22" t="s">
        <v>197</v>
      </c>
      <c r="AH377" s="22" t="s">
        <v>197</v>
      </c>
      <c r="AI377" s="22" t="s">
        <v>197</v>
      </c>
      <c r="AJ377" s="22" t="s">
        <v>197</v>
      </c>
      <c r="AK377" s="22" t="s">
        <v>197</v>
      </c>
      <c r="AL377" s="22" t="s">
        <v>197</v>
      </c>
      <c r="AM377" s="22" t="s">
        <v>197</v>
      </c>
      <c r="AN377" s="7" t="s">
        <v>197</v>
      </c>
      <c r="AO377" s="22" t="s">
        <v>197</v>
      </c>
      <c r="AP377" s="22" t="s">
        <v>197</v>
      </c>
      <c r="AQ377" s="22" t="s">
        <v>197</v>
      </c>
    </row>
    <row r="378" customFormat="false" ht="21.75" hidden="false" customHeight="true" outlineLevel="0" collapsed="false">
      <c r="B378" s="15" t="n">
        <v>374</v>
      </c>
      <c r="C378" s="9" t="s">
        <v>83</v>
      </c>
      <c r="D378" s="9" t="s">
        <v>20</v>
      </c>
      <c r="E378" s="9" t="s">
        <v>121</v>
      </c>
      <c r="F378" s="9" t="s">
        <v>106</v>
      </c>
      <c r="G378" s="9" t="s">
        <v>391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19"/>
      <c r="V378" s="9"/>
      <c r="W378" s="9"/>
      <c r="X378" s="9" t="s">
        <v>3302</v>
      </c>
      <c r="Y378" s="23" t="s">
        <v>197</v>
      </c>
      <c r="Z378" s="23" t="s">
        <v>197</v>
      </c>
      <c r="AA378" s="23" t="s">
        <v>197</v>
      </c>
      <c r="AB378" s="9" t="s">
        <v>197</v>
      </c>
      <c r="AC378" s="9" t="s">
        <v>197</v>
      </c>
      <c r="AD378" s="23" t="s">
        <v>197</v>
      </c>
      <c r="AE378" s="23" t="s">
        <v>197</v>
      </c>
      <c r="AF378" s="23" t="s">
        <v>197</v>
      </c>
      <c r="AG378" s="23" t="s">
        <v>197</v>
      </c>
      <c r="AH378" s="23" t="s">
        <v>197</v>
      </c>
      <c r="AI378" s="23" t="s">
        <v>197</v>
      </c>
      <c r="AJ378" s="23" t="s">
        <v>197</v>
      </c>
      <c r="AK378" s="23" t="s">
        <v>197</v>
      </c>
      <c r="AL378" s="23" t="s">
        <v>197</v>
      </c>
      <c r="AM378" s="23" t="s">
        <v>197</v>
      </c>
      <c r="AN378" s="9" t="s">
        <v>197</v>
      </c>
      <c r="AO378" s="23" t="s">
        <v>197</v>
      </c>
      <c r="AP378" s="23" t="s">
        <v>197</v>
      </c>
      <c r="AQ378" s="23" t="s">
        <v>197</v>
      </c>
    </row>
    <row r="379" customFormat="false" ht="21.75" hidden="false" customHeight="true" outlineLevel="0" collapsed="false">
      <c r="B379" s="14" t="n">
        <v>375</v>
      </c>
      <c r="C379" s="7" t="s">
        <v>83</v>
      </c>
      <c r="D379" s="7" t="s">
        <v>20</v>
      </c>
      <c r="E379" s="7" t="s">
        <v>121</v>
      </c>
      <c r="F379" s="7" t="s">
        <v>107</v>
      </c>
      <c r="G379" s="7" t="s">
        <v>391</v>
      </c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18"/>
      <c r="V379" s="7"/>
      <c r="W379" s="7"/>
      <c r="X379" s="7" t="s">
        <v>3303</v>
      </c>
      <c r="Y379" s="22" t="s">
        <v>197</v>
      </c>
      <c r="Z379" s="22" t="s">
        <v>197</v>
      </c>
      <c r="AA379" s="22" t="s">
        <v>197</v>
      </c>
      <c r="AB379" s="7" t="s">
        <v>197</v>
      </c>
      <c r="AC379" s="7" t="s">
        <v>197</v>
      </c>
      <c r="AD379" s="22" t="s">
        <v>197</v>
      </c>
      <c r="AE379" s="22" t="s">
        <v>197</v>
      </c>
      <c r="AF379" s="22" t="s">
        <v>197</v>
      </c>
      <c r="AG379" s="22" t="s">
        <v>197</v>
      </c>
      <c r="AH379" s="22" t="s">
        <v>197</v>
      </c>
      <c r="AI379" s="22" t="s">
        <v>197</v>
      </c>
      <c r="AJ379" s="22" t="s">
        <v>197</v>
      </c>
      <c r="AK379" s="22" t="s">
        <v>197</v>
      </c>
      <c r="AL379" s="22" t="s">
        <v>197</v>
      </c>
      <c r="AM379" s="22" t="s">
        <v>197</v>
      </c>
      <c r="AN379" s="7" t="s">
        <v>197</v>
      </c>
      <c r="AO379" s="22" t="s">
        <v>197</v>
      </c>
      <c r="AP379" s="22" t="s">
        <v>197</v>
      </c>
      <c r="AQ379" s="22" t="s">
        <v>197</v>
      </c>
    </row>
    <row r="380" customFormat="false" ht="21.75" hidden="false" customHeight="true" outlineLevel="0" collapsed="false">
      <c r="B380" s="15" t="n">
        <v>376</v>
      </c>
      <c r="C380" s="9" t="s">
        <v>83</v>
      </c>
      <c r="D380" s="9" t="s">
        <v>20</v>
      </c>
      <c r="E380" s="9" t="s">
        <v>121</v>
      </c>
      <c r="F380" s="9" t="s">
        <v>108</v>
      </c>
      <c r="G380" s="9" t="s">
        <v>3304</v>
      </c>
      <c r="H380" s="9" t="s">
        <v>2661</v>
      </c>
      <c r="I380" s="9" t="s">
        <v>3305</v>
      </c>
      <c r="J380" s="9" t="s">
        <v>3041</v>
      </c>
      <c r="K380" s="9" t="s">
        <v>3246</v>
      </c>
      <c r="L380" s="9" t="s">
        <v>3235</v>
      </c>
      <c r="M380" s="9" t="s">
        <v>2514</v>
      </c>
      <c r="N380" s="9" t="s">
        <v>189</v>
      </c>
      <c r="O380" s="9" t="s">
        <v>189</v>
      </c>
      <c r="P380" s="9" t="s">
        <v>3236</v>
      </c>
      <c r="Q380" s="9" t="s">
        <v>3306</v>
      </c>
      <c r="R380" s="9" t="s">
        <v>701</v>
      </c>
      <c r="S380" s="9" t="s">
        <v>3237</v>
      </c>
      <c r="T380" s="9" t="s">
        <v>3307</v>
      </c>
      <c r="U380" s="19" t="n">
        <v>12</v>
      </c>
      <c r="V380" s="9"/>
      <c r="W380" s="9"/>
      <c r="X380" s="9" t="s">
        <v>195</v>
      </c>
      <c r="Y380" s="23" t="n">
        <v>0.00024808</v>
      </c>
      <c r="Z380" s="23" t="n">
        <v>0.001</v>
      </c>
      <c r="AA380" s="23" t="n">
        <v>24</v>
      </c>
      <c r="AB380" s="9" t="s">
        <v>3235</v>
      </c>
      <c r="AC380" s="9" t="s">
        <v>3308</v>
      </c>
      <c r="AD380" s="23" t="s">
        <v>197</v>
      </c>
      <c r="AE380" s="23" t="s">
        <v>197</v>
      </c>
      <c r="AF380" s="23" t="s">
        <v>197</v>
      </c>
      <c r="AG380" s="23" t="s">
        <v>197</v>
      </c>
      <c r="AH380" s="23" t="s">
        <v>197</v>
      </c>
      <c r="AI380" s="23" t="s">
        <v>197</v>
      </c>
      <c r="AJ380" s="23" t="s">
        <v>197</v>
      </c>
      <c r="AK380" s="23" t="s">
        <v>197</v>
      </c>
      <c r="AL380" s="23" t="s">
        <v>197</v>
      </c>
      <c r="AM380" s="23" t="s">
        <v>197</v>
      </c>
      <c r="AN380" s="9" t="s">
        <v>197</v>
      </c>
      <c r="AO380" s="23" t="s">
        <v>197</v>
      </c>
      <c r="AP380" s="23" t="s">
        <v>197</v>
      </c>
      <c r="AQ380" s="23" t="s">
        <v>197</v>
      </c>
    </row>
    <row r="381" customFormat="false" ht="21.75" hidden="false" customHeight="true" outlineLevel="0" collapsed="false">
      <c r="B381" s="14" t="n">
        <v>377</v>
      </c>
      <c r="C381" s="7" t="s">
        <v>83</v>
      </c>
      <c r="D381" s="7" t="s">
        <v>20</v>
      </c>
      <c r="E381" s="7" t="s">
        <v>121</v>
      </c>
      <c r="F381" s="7" t="s">
        <v>108</v>
      </c>
      <c r="G381" s="7" t="s">
        <v>3309</v>
      </c>
      <c r="H381" s="7" t="s">
        <v>2667</v>
      </c>
      <c r="I381" s="7" t="s">
        <v>3305</v>
      </c>
      <c r="J381" s="7" t="s">
        <v>3041</v>
      </c>
      <c r="K381" s="7" t="s">
        <v>3246</v>
      </c>
      <c r="L381" s="7" t="s">
        <v>3235</v>
      </c>
      <c r="M381" s="7" t="s">
        <v>2514</v>
      </c>
      <c r="N381" s="7" t="s">
        <v>189</v>
      </c>
      <c r="O381" s="7" t="s">
        <v>189</v>
      </c>
      <c r="P381" s="7" t="s">
        <v>3236</v>
      </c>
      <c r="Q381" s="7" t="s">
        <v>3306</v>
      </c>
      <c r="R381" s="7" t="s">
        <v>701</v>
      </c>
      <c r="S381" s="7" t="s">
        <v>3237</v>
      </c>
      <c r="T381" s="7" t="s">
        <v>3307</v>
      </c>
      <c r="U381" s="18" t="n">
        <v>18</v>
      </c>
      <c r="V381" s="7"/>
      <c r="W381" s="7"/>
      <c r="X381" s="7" t="s">
        <v>199</v>
      </c>
      <c r="Y381" s="22" t="n">
        <v>0.00053988</v>
      </c>
      <c r="Z381" s="22" t="n">
        <v>0.003</v>
      </c>
      <c r="AA381" s="22" t="n">
        <v>24</v>
      </c>
      <c r="AB381" s="7" t="s">
        <v>3235</v>
      </c>
      <c r="AC381" s="7" t="s">
        <v>3308</v>
      </c>
      <c r="AD381" s="22" t="s">
        <v>197</v>
      </c>
      <c r="AE381" s="22" t="s">
        <v>197</v>
      </c>
      <c r="AF381" s="22" t="s">
        <v>197</v>
      </c>
      <c r="AG381" s="22" t="s">
        <v>197</v>
      </c>
      <c r="AH381" s="22" t="s">
        <v>197</v>
      </c>
      <c r="AI381" s="22" t="s">
        <v>197</v>
      </c>
      <c r="AJ381" s="22" t="s">
        <v>197</v>
      </c>
      <c r="AK381" s="22" t="s">
        <v>197</v>
      </c>
      <c r="AL381" s="22" t="s">
        <v>197</v>
      </c>
      <c r="AM381" s="22" t="s">
        <v>197</v>
      </c>
      <c r="AN381" s="7" t="s">
        <v>197</v>
      </c>
      <c r="AO381" s="22" t="s">
        <v>197</v>
      </c>
      <c r="AP381" s="22" t="s">
        <v>197</v>
      </c>
      <c r="AQ381" s="22" t="s">
        <v>197</v>
      </c>
    </row>
    <row r="382" customFormat="false" ht="21.75" hidden="false" customHeight="true" outlineLevel="0" collapsed="false">
      <c r="B382" s="15" t="n">
        <v>378</v>
      </c>
      <c r="C382" s="9" t="s">
        <v>83</v>
      </c>
      <c r="D382" s="9" t="s">
        <v>20</v>
      </c>
      <c r="E382" s="9" t="s">
        <v>121</v>
      </c>
      <c r="F382" s="9" t="s">
        <v>108</v>
      </c>
      <c r="G382" s="9" t="s">
        <v>3310</v>
      </c>
      <c r="H382" s="9" t="s">
        <v>2669</v>
      </c>
      <c r="I382" s="9" t="s">
        <v>3305</v>
      </c>
      <c r="J382" s="9" t="s">
        <v>3041</v>
      </c>
      <c r="K382" s="9" t="s">
        <v>3246</v>
      </c>
      <c r="L382" s="9" t="s">
        <v>3235</v>
      </c>
      <c r="M382" s="9" t="s">
        <v>2514</v>
      </c>
      <c r="N382" s="9" t="s">
        <v>189</v>
      </c>
      <c r="O382" s="9" t="s">
        <v>189</v>
      </c>
      <c r="P382" s="9" t="s">
        <v>3236</v>
      </c>
      <c r="Q382" s="9" t="s">
        <v>3306</v>
      </c>
      <c r="R382" s="9" t="s">
        <v>701</v>
      </c>
      <c r="S382" s="9" t="s">
        <v>3237</v>
      </c>
      <c r="T382" s="9" t="s">
        <v>3307</v>
      </c>
      <c r="U382" s="19" t="n">
        <v>20</v>
      </c>
      <c r="V382" s="9"/>
      <c r="W382" s="9"/>
      <c r="X382" s="9" t="s">
        <v>3311</v>
      </c>
      <c r="Y382" s="23" t="n">
        <v>0.00026932</v>
      </c>
      <c r="Z382" s="23" t="n">
        <v>0.001</v>
      </c>
      <c r="AA382" s="23" t="n">
        <v>24</v>
      </c>
      <c r="AB382" s="9" t="s">
        <v>3235</v>
      </c>
      <c r="AC382" s="9" t="s">
        <v>3308</v>
      </c>
      <c r="AD382" s="23" t="s">
        <v>197</v>
      </c>
      <c r="AE382" s="23" t="s">
        <v>197</v>
      </c>
      <c r="AF382" s="23" t="s">
        <v>197</v>
      </c>
      <c r="AG382" s="23" t="s">
        <v>197</v>
      </c>
      <c r="AH382" s="23" t="s">
        <v>197</v>
      </c>
      <c r="AI382" s="23" t="s">
        <v>197</v>
      </c>
      <c r="AJ382" s="23" t="s">
        <v>197</v>
      </c>
      <c r="AK382" s="23" t="s">
        <v>197</v>
      </c>
      <c r="AL382" s="23" t="s">
        <v>197</v>
      </c>
      <c r="AM382" s="23" t="s">
        <v>197</v>
      </c>
      <c r="AN382" s="9" t="s">
        <v>197</v>
      </c>
      <c r="AO382" s="23" t="s">
        <v>197</v>
      </c>
      <c r="AP382" s="23" t="s">
        <v>197</v>
      </c>
      <c r="AQ382" s="23" t="s">
        <v>197</v>
      </c>
    </row>
    <row r="383" customFormat="false" ht="21.75" hidden="false" customHeight="true" outlineLevel="0" collapsed="false">
      <c r="B383" s="14" t="n">
        <v>379</v>
      </c>
      <c r="C383" s="7" t="s">
        <v>83</v>
      </c>
      <c r="D383" s="7" t="s">
        <v>20</v>
      </c>
      <c r="E383" s="7" t="s">
        <v>121</v>
      </c>
      <c r="F383" s="7" t="s">
        <v>108</v>
      </c>
      <c r="G383" s="7" t="s">
        <v>3312</v>
      </c>
      <c r="H383" s="7" t="s">
        <v>2672</v>
      </c>
      <c r="I383" s="7" t="s">
        <v>3305</v>
      </c>
      <c r="J383" s="7" t="s">
        <v>3041</v>
      </c>
      <c r="K383" s="7" t="s">
        <v>3246</v>
      </c>
      <c r="L383" s="7" t="s">
        <v>3235</v>
      </c>
      <c r="M383" s="7" t="s">
        <v>2514</v>
      </c>
      <c r="N383" s="7" t="s">
        <v>189</v>
      </c>
      <c r="O383" s="7" t="s">
        <v>189</v>
      </c>
      <c r="P383" s="7" t="s">
        <v>3236</v>
      </c>
      <c r="Q383" s="7" t="s">
        <v>3306</v>
      </c>
      <c r="R383" s="7" t="s">
        <v>701</v>
      </c>
      <c r="S383" s="7" t="s">
        <v>3237</v>
      </c>
      <c r="T383" s="7" t="s">
        <v>3307</v>
      </c>
      <c r="U383" s="18" t="n">
        <v>35</v>
      </c>
      <c r="V383" s="7"/>
      <c r="W383" s="7"/>
      <c r="X383" s="7" t="s">
        <v>203</v>
      </c>
      <c r="Y383" s="22" t="n">
        <v>0.00055368</v>
      </c>
      <c r="Z383" s="22" t="n">
        <v>0.003</v>
      </c>
      <c r="AA383" s="22" t="n">
        <v>24</v>
      </c>
      <c r="AB383" s="7" t="s">
        <v>3235</v>
      </c>
      <c r="AC383" s="7" t="s">
        <v>3308</v>
      </c>
      <c r="AD383" s="22" t="s">
        <v>197</v>
      </c>
      <c r="AE383" s="22" t="s">
        <v>197</v>
      </c>
      <c r="AF383" s="22" t="s">
        <v>197</v>
      </c>
      <c r="AG383" s="22" t="s">
        <v>197</v>
      </c>
      <c r="AH383" s="22" t="s">
        <v>197</v>
      </c>
      <c r="AI383" s="22" t="s">
        <v>197</v>
      </c>
      <c r="AJ383" s="22" t="s">
        <v>197</v>
      </c>
      <c r="AK383" s="22" t="s">
        <v>197</v>
      </c>
      <c r="AL383" s="22" t="s">
        <v>197</v>
      </c>
      <c r="AM383" s="22" t="s">
        <v>197</v>
      </c>
      <c r="AN383" s="7" t="s">
        <v>197</v>
      </c>
      <c r="AO383" s="22" t="s">
        <v>197</v>
      </c>
      <c r="AP383" s="22" t="s">
        <v>197</v>
      </c>
      <c r="AQ383" s="22" t="s">
        <v>197</v>
      </c>
    </row>
    <row r="384" customFormat="false" ht="21.75" hidden="false" customHeight="true" outlineLevel="0" collapsed="false">
      <c r="B384" s="15" t="n">
        <v>380</v>
      </c>
      <c r="C384" s="9" t="s">
        <v>83</v>
      </c>
      <c r="D384" s="9" t="s">
        <v>20</v>
      </c>
      <c r="E384" s="9" t="s">
        <v>121</v>
      </c>
      <c r="F384" s="9" t="s">
        <v>108</v>
      </c>
      <c r="G384" s="9" t="s">
        <v>3313</v>
      </c>
      <c r="H384" s="9" t="s">
        <v>2674</v>
      </c>
      <c r="I384" s="9" t="s">
        <v>3305</v>
      </c>
      <c r="J384" s="9" t="s">
        <v>3041</v>
      </c>
      <c r="K384" s="9" t="s">
        <v>3246</v>
      </c>
      <c r="L384" s="9" t="s">
        <v>3235</v>
      </c>
      <c r="M384" s="9" t="s">
        <v>2514</v>
      </c>
      <c r="N384" s="9" t="s">
        <v>189</v>
      </c>
      <c r="O384" s="9" t="s">
        <v>189</v>
      </c>
      <c r="P384" s="9" t="s">
        <v>3236</v>
      </c>
      <c r="Q384" s="9" t="s">
        <v>3306</v>
      </c>
      <c r="R384" s="9" t="s">
        <v>701</v>
      </c>
      <c r="S384" s="9" t="s">
        <v>3237</v>
      </c>
      <c r="T384" s="9" t="s">
        <v>3307</v>
      </c>
      <c r="U384" s="19" t="n">
        <v>50</v>
      </c>
      <c r="V384" s="9"/>
      <c r="W384" s="9"/>
      <c r="X384" s="9" t="s">
        <v>205</v>
      </c>
      <c r="Y384" s="23" t="n">
        <v>0.00047728</v>
      </c>
      <c r="Z384" s="23" t="n">
        <v>0.002</v>
      </c>
      <c r="AA384" s="23" t="n">
        <v>24</v>
      </c>
      <c r="AB384" s="9" t="s">
        <v>3235</v>
      </c>
      <c r="AC384" s="9" t="s">
        <v>3308</v>
      </c>
      <c r="AD384" s="23" t="s">
        <v>197</v>
      </c>
      <c r="AE384" s="23" t="s">
        <v>197</v>
      </c>
      <c r="AF384" s="23" t="s">
        <v>197</v>
      </c>
      <c r="AG384" s="23" t="s">
        <v>197</v>
      </c>
      <c r="AH384" s="23" t="s">
        <v>197</v>
      </c>
      <c r="AI384" s="23" t="s">
        <v>197</v>
      </c>
      <c r="AJ384" s="23" t="s">
        <v>197</v>
      </c>
      <c r="AK384" s="23" t="s">
        <v>197</v>
      </c>
      <c r="AL384" s="23" t="s">
        <v>197</v>
      </c>
      <c r="AM384" s="23" t="s">
        <v>197</v>
      </c>
      <c r="AN384" s="9" t="s">
        <v>197</v>
      </c>
      <c r="AO384" s="23" t="s">
        <v>197</v>
      </c>
      <c r="AP384" s="23" t="s">
        <v>197</v>
      </c>
      <c r="AQ384" s="23" t="s">
        <v>197</v>
      </c>
    </row>
    <row r="385" customFormat="false" ht="21.75" hidden="false" customHeight="true" outlineLevel="0" collapsed="false">
      <c r="B385" s="14" t="n">
        <v>381</v>
      </c>
      <c r="C385" s="7" t="s">
        <v>84</v>
      </c>
      <c r="D385" s="7" t="s">
        <v>20</v>
      </c>
      <c r="E385" s="7" t="s">
        <v>126</v>
      </c>
      <c r="F385" s="7" t="s">
        <v>93</v>
      </c>
      <c r="G385" s="7" t="s">
        <v>391</v>
      </c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18"/>
      <c r="V385" s="7"/>
      <c r="W385" s="7"/>
      <c r="X385" s="7" t="s">
        <v>3314</v>
      </c>
      <c r="Y385" s="22" t="s">
        <v>197</v>
      </c>
      <c r="Z385" s="22" t="s">
        <v>197</v>
      </c>
      <c r="AA385" s="22" t="s">
        <v>197</v>
      </c>
      <c r="AB385" s="7" t="s">
        <v>197</v>
      </c>
      <c r="AC385" s="7" t="s">
        <v>197</v>
      </c>
      <c r="AD385" s="22" t="s">
        <v>197</v>
      </c>
      <c r="AE385" s="22" t="s">
        <v>197</v>
      </c>
      <c r="AF385" s="22" t="s">
        <v>197</v>
      </c>
      <c r="AG385" s="22" t="s">
        <v>197</v>
      </c>
      <c r="AH385" s="22" t="s">
        <v>197</v>
      </c>
      <c r="AI385" s="22" t="s">
        <v>197</v>
      </c>
      <c r="AJ385" s="22" t="s">
        <v>197</v>
      </c>
      <c r="AK385" s="22" t="s">
        <v>197</v>
      </c>
      <c r="AL385" s="22" t="s">
        <v>197</v>
      </c>
      <c r="AM385" s="22" t="s">
        <v>197</v>
      </c>
      <c r="AN385" s="7" t="s">
        <v>197</v>
      </c>
      <c r="AO385" s="22" t="s">
        <v>197</v>
      </c>
      <c r="AP385" s="22" t="s">
        <v>197</v>
      </c>
      <c r="AQ385" s="22" t="s">
        <v>197</v>
      </c>
    </row>
    <row r="386" customFormat="false" ht="21.75" hidden="false" customHeight="true" outlineLevel="0" collapsed="false">
      <c r="B386" s="15" t="n">
        <v>382</v>
      </c>
      <c r="C386" s="9" t="s">
        <v>84</v>
      </c>
      <c r="D386" s="9" t="s">
        <v>20</v>
      </c>
      <c r="E386" s="9" t="s">
        <v>126</v>
      </c>
      <c r="F386" s="9" t="s">
        <v>94</v>
      </c>
      <c r="G386" s="9" t="s">
        <v>391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19"/>
      <c r="V386" s="9"/>
      <c r="W386" s="9"/>
      <c r="X386" s="9" t="s">
        <v>3315</v>
      </c>
      <c r="Y386" s="23" t="s">
        <v>197</v>
      </c>
      <c r="Z386" s="23" t="s">
        <v>197</v>
      </c>
      <c r="AA386" s="23" t="s">
        <v>197</v>
      </c>
      <c r="AB386" s="9" t="s">
        <v>197</v>
      </c>
      <c r="AC386" s="9" t="s">
        <v>197</v>
      </c>
      <c r="AD386" s="23" t="s">
        <v>197</v>
      </c>
      <c r="AE386" s="23" t="s">
        <v>197</v>
      </c>
      <c r="AF386" s="23" t="s">
        <v>197</v>
      </c>
      <c r="AG386" s="23" t="s">
        <v>197</v>
      </c>
      <c r="AH386" s="23" t="s">
        <v>197</v>
      </c>
      <c r="AI386" s="23" t="s">
        <v>197</v>
      </c>
      <c r="AJ386" s="23" t="s">
        <v>197</v>
      </c>
      <c r="AK386" s="23" t="s">
        <v>197</v>
      </c>
      <c r="AL386" s="23" t="s">
        <v>197</v>
      </c>
      <c r="AM386" s="23" t="s">
        <v>197</v>
      </c>
      <c r="AN386" s="9" t="s">
        <v>197</v>
      </c>
      <c r="AO386" s="23" t="s">
        <v>197</v>
      </c>
      <c r="AP386" s="23" t="s">
        <v>197</v>
      </c>
      <c r="AQ386" s="23" t="s">
        <v>197</v>
      </c>
    </row>
    <row r="387" customFormat="false" ht="21.75" hidden="false" customHeight="true" outlineLevel="0" collapsed="false">
      <c r="B387" s="14" t="n">
        <v>383</v>
      </c>
      <c r="C387" s="7" t="s">
        <v>84</v>
      </c>
      <c r="D387" s="7" t="s">
        <v>20</v>
      </c>
      <c r="E387" s="7" t="s">
        <v>126</v>
      </c>
      <c r="F387" s="7" t="s">
        <v>95</v>
      </c>
      <c r="G387" s="7" t="s">
        <v>3316</v>
      </c>
      <c r="H387" s="7" t="s">
        <v>2510</v>
      </c>
      <c r="I387" s="7" t="s">
        <v>2695</v>
      </c>
      <c r="J387" s="7" t="s">
        <v>3317</v>
      </c>
      <c r="K387" s="7" t="s">
        <v>2697</v>
      </c>
      <c r="L387" s="7" t="s">
        <v>3318</v>
      </c>
      <c r="M387" s="7" t="s">
        <v>2698</v>
      </c>
      <c r="N387" s="7" t="s">
        <v>189</v>
      </c>
      <c r="O387" s="7" t="s">
        <v>189</v>
      </c>
      <c r="P387" s="7" t="s">
        <v>3319</v>
      </c>
      <c r="Q387" s="7" t="s">
        <v>3320</v>
      </c>
      <c r="R387" s="7" t="s">
        <v>849</v>
      </c>
      <c r="S387" s="7" t="s">
        <v>3321</v>
      </c>
      <c r="T387" s="7" t="s">
        <v>3174</v>
      </c>
      <c r="U387" s="18" t="n">
        <v>11</v>
      </c>
      <c r="V387" s="7"/>
      <c r="W387" s="7"/>
      <c r="X387" s="7" t="s">
        <v>195</v>
      </c>
      <c r="Y387" s="22" t="n">
        <v>3.577E-005</v>
      </c>
      <c r="Z387" s="22" t="n">
        <v>0.036</v>
      </c>
      <c r="AA387" s="22" t="n">
        <v>24</v>
      </c>
      <c r="AB387" s="7" t="s">
        <v>3318</v>
      </c>
      <c r="AC387" s="7" t="s">
        <v>2701</v>
      </c>
      <c r="AD387" s="22" t="s">
        <v>197</v>
      </c>
      <c r="AE387" s="22" t="s">
        <v>197</v>
      </c>
      <c r="AF387" s="22" t="s">
        <v>197</v>
      </c>
      <c r="AG387" s="22" t="s">
        <v>197</v>
      </c>
      <c r="AH387" s="22" t="s">
        <v>197</v>
      </c>
      <c r="AI387" s="22" t="s">
        <v>197</v>
      </c>
      <c r="AJ387" s="22" t="n">
        <v>60</v>
      </c>
      <c r="AK387" s="22" t="s">
        <v>197</v>
      </c>
      <c r="AL387" s="22" t="s">
        <v>197</v>
      </c>
      <c r="AM387" s="22" t="s">
        <v>197</v>
      </c>
      <c r="AN387" s="7" t="s">
        <v>2518</v>
      </c>
      <c r="AO387" s="22" t="s">
        <v>197</v>
      </c>
      <c r="AP387" s="22" t="n">
        <v>2.5</v>
      </c>
      <c r="AQ387" s="22" t="n">
        <v>6</v>
      </c>
    </row>
    <row r="388" customFormat="false" ht="21.75" hidden="false" customHeight="true" outlineLevel="0" collapsed="false">
      <c r="B388" s="15" t="n">
        <v>384</v>
      </c>
      <c r="C388" s="9" t="s">
        <v>84</v>
      </c>
      <c r="D388" s="9" t="s">
        <v>20</v>
      </c>
      <c r="E388" s="9" t="s">
        <v>126</v>
      </c>
      <c r="F388" s="9" t="s">
        <v>95</v>
      </c>
      <c r="G388" s="9" t="s">
        <v>3322</v>
      </c>
      <c r="H388" s="9" t="s">
        <v>2520</v>
      </c>
      <c r="I388" s="9" t="s">
        <v>2695</v>
      </c>
      <c r="J388" s="9" t="s">
        <v>3317</v>
      </c>
      <c r="K388" s="9" t="s">
        <v>2697</v>
      </c>
      <c r="L388" s="9" t="s">
        <v>3318</v>
      </c>
      <c r="M388" s="9" t="s">
        <v>2698</v>
      </c>
      <c r="N388" s="9" t="s">
        <v>189</v>
      </c>
      <c r="O388" s="9" t="s">
        <v>189</v>
      </c>
      <c r="P388" s="9" t="s">
        <v>3319</v>
      </c>
      <c r="Q388" s="9" t="s">
        <v>3320</v>
      </c>
      <c r="R388" s="9" t="s">
        <v>849</v>
      </c>
      <c r="S388" s="9" t="s">
        <v>3321</v>
      </c>
      <c r="T388" s="9" t="s">
        <v>3174</v>
      </c>
      <c r="U388" s="19" t="n">
        <v>16</v>
      </c>
      <c r="V388" s="9"/>
      <c r="W388" s="9"/>
      <c r="X388" s="9" t="s">
        <v>199</v>
      </c>
      <c r="Y388" s="23" t="n">
        <v>5.219E-005</v>
      </c>
      <c r="Z388" s="23" t="n">
        <v>0.052</v>
      </c>
      <c r="AA388" s="23" t="n">
        <v>24</v>
      </c>
      <c r="AB388" s="9" t="s">
        <v>3318</v>
      </c>
      <c r="AC388" s="9" t="s">
        <v>2701</v>
      </c>
      <c r="AD388" s="23" t="s">
        <v>197</v>
      </c>
      <c r="AE388" s="23" t="s">
        <v>197</v>
      </c>
      <c r="AF388" s="23" t="s">
        <v>197</v>
      </c>
      <c r="AG388" s="23" t="s">
        <v>197</v>
      </c>
      <c r="AH388" s="23" t="s">
        <v>197</v>
      </c>
      <c r="AI388" s="23" t="s">
        <v>197</v>
      </c>
      <c r="AJ388" s="23" t="n">
        <v>80</v>
      </c>
      <c r="AK388" s="23" t="s">
        <v>197</v>
      </c>
      <c r="AL388" s="23" t="s">
        <v>197</v>
      </c>
      <c r="AM388" s="23" t="s">
        <v>197</v>
      </c>
      <c r="AN388" s="9" t="s">
        <v>2518</v>
      </c>
      <c r="AO388" s="23" t="s">
        <v>197</v>
      </c>
      <c r="AP388" s="23" t="n">
        <v>2.5</v>
      </c>
      <c r="AQ388" s="23" t="n">
        <v>6</v>
      </c>
    </row>
    <row r="389" customFormat="false" ht="21.75" hidden="false" customHeight="true" outlineLevel="0" collapsed="false">
      <c r="B389" s="14" t="n">
        <v>385</v>
      </c>
      <c r="C389" s="7" t="s">
        <v>84</v>
      </c>
      <c r="D389" s="7" t="s">
        <v>20</v>
      </c>
      <c r="E389" s="7" t="s">
        <v>126</v>
      </c>
      <c r="F389" s="7" t="s">
        <v>95</v>
      </c>
      <c r="G389" s="7" t="s">
        <v>3323</v>
      </c>
      <c r="H389" s="7" t="s">
        <v>2522</v>
      </c>
      <c r="I389" s="7" t="s">
        <v>2695</v>
      </c>
      <c r="J389" s="7" t="s">
        <v>3317</v>
      </c>
      <c r="K389" s="7" t="s">
        <v>2697</v>
      </c>
      <c r="L389" s="7" t="s">
        <v>3318</v>
      </c>
      <c r="M389" s="7" t="s">
        <v>2698</v>
      </c>
      <c r="N389" s="7" t="s">
        <v>189</v>
      </c>
      <c r="O389" s="7" t="s">
        <v>189</v>
      </c>
      <c r="P389" s="7" t="s">
        <v>3319</v>
      </c>
      <c r="Q389" s="7" t="s">
        <v>3320</v>
      </c>
      <c r="R389" s="7" t="s">
        <v>849</v>
      </c>
      <c r="S389" s="7" t="s">
        <v>3321</v>
      </c>
      <c r="T389" s="7" t="s">
        <v>3174</v>
      </c>
      <c r="U389" s="18" t="n">
        <v>20</v>
      </c>
      <c r="V389" s="7"/>
      <c r="W389" s="7"/>
      <c r="X389" s="7" t="s">
        <v>3324</v>
      </c>
      <c r="Y389" s="22" t="n">
        <v>3.039E-005</v>
      </c>
      <c r="Z389" s="22" t="n">
        <v>0.03</v>
      </c>
      <c r="AA389" s="22" t="n">
        <v>24</v>
      </c>
      <c r="AB389" s="7" t="s">
        <v>3318</v>
      </c>
      <c r="AC389" s="7" t="s">
        <v>2701</v>
      </c>
      <c r="AD389" s="22" t="s">
        <v>197</v>
      </c>
      <c r="AE389" s="22" t="s">
        <v>197</v>
      </c>
      <c r="AF389" s="22" t="s">
        <v>197</v>
      </c>
      <c r="AG389" s="22" t="s">
        <v>197</v>
      </c>
      <c r="AH389" s="22" t="s">
        <v>197</v>
      </c>
      <c r="AI389" s="22" t="s">
        <v>197</v>
      </c>
      <c r="AJ389" s="22" t="n">
        <v>100</v>
      </c>
      <c r="AK389" s="22" t="s">
        <v>197</v>
      </c>
      <c r="AL389" s="22" t="s">
        <v>197</v>
      </c>
      <c r="AM389" s="22" t="s">
        <v>197</v>
      </c>
      <c r="AN389" s="7" t="s">
        <v>2518</v>
      </c>
      <c r="AO389" s="22" t="s">
        <v>197</v>
      </c>
      <c r="AP389" s="22" t="n">
        <v>2.5</v>
      </c>
      <c r="AQ389" s="22" t="n">
        <v>6</v>
      </c>
    </row>
    <row r="390" customFormat="false" ht="21.75" hidden="false" customHeight="true" outlineLevel="0" collapsed="false">
      <c r="B390" s="15" t="n">
        <v>386</v>
      </c>
      <c r="C390" s="9" t="s">
        <v>84</v>
      </c>
      <c r="D390" s="9" t="s">
        <v>20</v>
      </c>
      <c r="E390" s="9" t="s">
        <v>126</v>
      </c>
      <c r="F390" s="9" t="s">
        <v>95</v>
      </c>
      <c r="G390" s="9" t="s">
        <v>3325</v>
      </c>
      <c r="H390" s="9" t="s">
        <v>2706</v>
      </c>
      <c r="I390" s="9" t="s">
        <v>2695</v>
      </c>
      <c r="J390" s="9" t="s">
        <v>3317</v>
      </c>
      <c r="K390" s="9" t="s">
        <v>2697</v>
      </c>
      <c r="L390" s="9" t="s">
        <v>3318</v>
      </c>
      <c r="M390" s="9" t="s">
        <v>2698</v>
      </c>
      <c r="N390" s="9" t="s">
        <v>189</v>
      </c>
      <c r="O390" s="9" t="s">
        <v>189</v>
      </c>
      <c r="P390" s="9" t="s">
        <v>3319</v>
      </c>
      <c r="Q390" s="9" t="s">
        <v>3320</v>
      </c>
      <c r="R390" s="9" t="s">
        <v>849</v>
      </c>
      <c r="S390" s="9" t="s">
        <v>3321</v>
      </c>
      <c r="T390" s="9" t="s">
        <v>3174</v>
      </c>
      <c r="U390" s="19" t="n">
        <v>30</v>
      </c>
      <c r="V390" s="9"/>
      <c r="W390" s="9"/>
      <c r="X390" s="9" t="s">
        <v>203</v>
      </c>
      <c r="Y390" s="23" t="n">
        <v>5.443E-005</v>
      </c>
      <c r="Z390" s="23" t="n">
        <v>0.054</v>
      </c>
      <c r="AA390" s="23" t="n">
        <v>24</v>
      </c>
      <c r="AB390" s="9" t="s">
        <v>3318</v>
      </c>
      <c r="AC390" s="9" t="s">
        <v>2701</v>
      </c>
      <c r="AD390" s="23" t="s">
        <v>197</v>
      </c>
      <c r="AE390" s="23" t="s">
        <v>197</v>
      </c>
      <c r="AF390" s="23" t="s">
        <v>197</v>
      </c>
      <c r="AG390" s="23" t="s">
        <v>197</v>
      </c>
      <c r="AH390" s="23" t="s">
        <v>197</v>
      </c>
      <c r="AI390" s="23" t="s">
        <v>197</v>
      </c>
      <c r="AJ390" s="23" t="n">
        <v>100</v>
      </c>
      <c r="AK390" s="23" t="s">
        <v>197</v>
      </c>
      <c r="AL390" s="23" t="s">
        <v>197</v>
      </c>
      <c r="AM390" s="23" t="s">
        <v>197</v>
      </c>
      <c r="AN390" s="9" t="s">
        <v>2518</v>
      </c>
      <c r="AO390" s="23" t="s">
        <v>197</v>
      </c>
      <c r="AP390" s="23" t="n">
        <v>2.5</v>
      </c>
      <c r="AQ390" s="23" t="n">
        <v>6</v>
      </c>
    </row>
    <row r="391" customFormat="false" ht="21.75" hidden="false" customHeight="true" outlineLevel="0" collapsed="false">
      <c r="B391" s="14" t="n">
        <v>387</v>
      </c>
      <c r="C391" s="7" t="s">
        <v>84</v>
      </c>
      <c r="D391" s="7" t="s">
        <v>20</v>
      </c>
      <c r="E391" s="7" t="s">
        <v>126</v>
      </c>
      <c r="F391" s="7" t="s">
        <v>95</v>
      </c>
      <c r="G391" s="7" t="s">
        <v>3326</v>
      </c>
      <c r="H391" s="7" t="s">
        <v>2527</v>
      </c>
      <c r="I391" s="7" t="s">
        <v>2695</v>
      </c>
      <c r="J391" s="7" t="s">
        <v>3317</v>
      </c>
      <c r="K391" s="7" t="s">
        <v>2697</v>
      </c>
      <c r="L391" s="7" t="s">
        <v>3318</v>
      </c>
      <c r="M391" s="7" t="s">
        <v>2698</v>
      </c>
      <c r="N391" s="7" t="s">
        <v>189</v>
      </c>
      <c r="O391" s="7" t="s">
        <v>189</v>
      </c>
      <c r="P391" s="7" t="s">
        <v>3319</v>
      </c>
      <c r="Q391" s="7" t="s">
        <v>3320</v>
      </c>
      <c r="R391" s="7" t="s">
        <v>849</v>
      </c>
      <c r="S391" s="7" t="s">
        <v>3321</v>
      </c>
      <c r="T391" s="7" t="s">
        <v>3174</v>
      </c>
      <c r="U391" s="18" t="n">
        <v>45</v>
      </c>
      <c r="V391" s="7"/>
      <c r="W391" s="7"/>
      <c r="X391" s="7" t="s">
        <v>205</v>
      </c>
      <c r="Y391" s="22" t="n">
        <v>4.868E-005</v>
      </c>
      <c r="Z391" s="22" t="n">
        <v>0.049</v>
      </c>
      <c r="AA391" s="22" t="n">
        <v>24</v>
      </c>
      <c r="AB391" s="7" t="s">
        <v>3318</v>
      </c>
      <c r="AC391" s="7" t="s">
        <v>2701</v>
      </c>
      <c r="AD391" s="22" t="s">
        <v>197</v>
      </c>
      <c r="AE391" s="22" t="s">
        <v>197</v>
      </c>
      <c r="AF391" s="22" t="s">
        <v>197</v>
      </c>
      <c r="AG391" s="22" t="s">
        <v>197</v>
      </c>
      <c r="AH391" s="22" t="s">
        <v>197</v>
      </c>
      <c r="AI391" s="22" t="s">
        <v>197</v>
      </c>
      <c r="AJ391" s="22" t="n">
        <v>120</v>
      </c>
      <c r="AK391" s="22" t="s">
        <v>197</v>
      </c>
      <c r="AL391" s="22" t="s">
        <v>197</v>
      </c>
      <c r="AM391" s="22" t="s">
        <v>197</v>
      </c>
      <c r="AN391" s="7" t="s">
        <v>2518</v>
      </c>
      <c r="AO391" s="22" t="s">
        <v>197</v>
      </c>
      <c r="AP391" s="22" t="n">
        <v>2.5</v>
      </c>
      <c r="AQ391" s="22" t="n">
        <v>6</v>
      </c>
    </row>
    <row r="392" customFormat="false" ht="21.75" hidden="false" customHeight="true" outlineLevel="0" collapsed="false">
      <c r="B392" s="15" t="n">
        <v>388</v>
      </c>
      <c r="C392" s="9" t="s">
        <v>84</v>
      </c>
      <c r="D392" s="9" t="s">
        <v>20</v>
      </c>
      <c r="E392" s="9" t="s">
        <v>126</v>
      </c>
      <c r="F392" s="9" t="s">
        <v>96</v>
      </c>
      <c r="G392" s="9" t="s">
        <v>3327</v>
      </c>
      <c r="H392" s="9" t="s">
        <v>2510</v>
      </c>
      <c r="I392" s="9" t="s">
        <v>2862</v>
      </c>
      <c r="J392" s="9" t="s">
        <v>3182</v>
      </c>
      <c r="K392" s="9" t="s">
        <v>3328</v>
      </c>
      <c r="L392" s="9" t="s">
        <v>3318</v>
      </c>
      <c r="M392" s="9" t="s">
        <v>2514</v>
      </c>
      <c r="N392" s="9" t="s">
        <v>189</v>
      </c>
      <c r="O392" s="9" t="s">
        <v>189</v>
      </c>
      <c r="P392" s="9" t="s">
        <v>3319</v>
      </c>
      <c r="Q392" s="9" t="s">
        <v>3320</v>
      </c>
      <c r="R392" s="9" t="s">
        <v>2874</v>
      </c>
      <c r="S392" s="9" t="s">
        <v>3321</v>
      </c>
      <c r="T392" s="9" t="s">
        <v>3329</v>
      </c>
      <c r="U392" s="19" t="n">
        <v>20</v>
      </c>
      <c r="V392" s="9"/>
      <c r="W392" s="9"/>
      <c r="X392" s="9" t="s">
        <v>195</v>
      </c>
      <c r="Y392" s="23" t="n">
        <v>8.849E-005</v>
      </c>
      <c r="Z392" s="23" t="n">
        <v>0.003</v>
      </c>
      <c r="AA392" s="23" t="n">
        <v>24</v>
      </c>
      <c r="AB392" s="9" t="s">
        <v>3318</v>
      </c>
      <c r="AC392" s="9" t="s">
        <v>3330</v>
      </c>
      <c r="AD392" s="23" t="s">
        <v>197</v>
      </c>
      <c r="AE392" s="23" t="s">
        <v>197</v>
      </c>
      <c r="AF392" s="23" t="s">
        <v>197</v>
      </c>
      <c r="AG392" s="23" t="s">
        <v>197</v>
      </c>
      <c r="AH392" s="23" t="s">
        <v>197</v>
      </c>
      <c r="AI392" s="23" t="s">
        <v>197</v>
      </c>
      <c r="AJ392" s="23" t="n">
        <v>60</v>
      </c>
      <c r="AK392" s="23" t="s">
        <v>197</v>
      </c>
      <c r="AL392" s="23" t="s">
        <v>197</v>
      </c>
      <c r="AM392" s="23" t="s">
        <v>197</v>
      </c>
      <c r="AN392" s="9" t="s">
        <v>2518</v>
      </c>
      <c r="AO392" s="23" t="s">
        <v>197</v>
      </c>
      <c r="AP392" s="23" t="n">
        <v>2.5</v>
      </c>
      <c r="AQ392" s="23" t="n">
        <v>6</v>
      </c>
    </row>
    <row r="393" customFormat="false" ht="21.75" hidden="false" customHeight="true" outlineLevel="0" collapsed="false">
      <c r="B393" s="14" t="n">
        <v>389</v>
      </c>
      <c r="C393" s="7" t="s">
        <v>84</v>
      </c>
      <c r="D393" s="7" t="s">
        <v>20</v>
      </c>
      <c r="E393" s="7" t="s">
        <v>126</v>
      </c>
      <c r="F393" s="7" t="s">
        <v>96</v>
      </c>
      <c r="G393" s="7" t="s">
        <v>3331</v>
      </c>
      <c r="H393" s="7" t="s">
        <v>2520</v>
      </c>
      <c r="I393" s="7" t="s">
        <v>2862</v>
      </c>
      <c r="J393" s="7" t="s">
        <v>3182</v>
      </c>
      <c r="K393" s="7" t="s">
        <v>3328</v>
      </c>
      <c r="L393" s="7" t="s">
        <v>3318</v>
      </c>
      <c r="M393" s="7" t="s">
        <v>2514</v>
      </c>
      <c r="N393" s="7" t="s">
        <v>189</v>
      </c>
      <c r="O393" s="7" t="s">
        <v>189</v>
      </c>
      <c r="P393" s="7" t="s">
        <v>3319</v>
      </c>
      <c r="Q393" s="7" t="s">
        <v>3320</v>
      </c>
      <c r="R393" s="7" t="s">
        <v>2874</v>
      </c>
      <c r="S393" s="7" t="s">
        <v>3321</v>
      </c>
      <c r="T393" s="7" t="s">
        <v>3329</v>
      </c>
      <c r="U393" s="18" t="n">
        <v>30</v>
      </c>
      <c r="V393" s="7"/>
      <c r="W393" s="7"/>
      <c r="X393" s="7" t="s">
        <v>199</v>
      </c>
      <c r="Y393" s="22" t="n">
        <v>8.102E-005</v>
      </c>
      <c r="Z393" s="22" t="n">
        <v>0.003</v>
      </c>
      <c r="AA393" s="22" t="n">
        <v>24</v>
      </c>
      <c r="AB393" s="7" t="s">
        <v>3318</v>
      </c>
      <c r="AC393" s="7" t="s">
        <v>3330</v>
      </c>
      <c r="AD393" s="22" t="s">
        <v>197</v>
      </c>
      <c r="AE393" s="22" t="s">
        <v>197</v>
      </c>
      <c r="AF393" s="22" t="s">
        <v>197</v>
      </c>
      <c r="AG393" s="22" t="s">
        <v>197</v>
      </c>
      <c r="AH393" s="22" t="s">
        <v>197</v>
      </c>
      <c r="AI393" s="22" t="s">
        <v>197</v>
      </c>
      <c r="AJ393" s="22" t="n">
        <v>80</v>
      </c>
      <c r="AK393" s="22" t="s">
        <v>197</v>
      </c>
      <c r="AL393" s="22" t="s">
        <v>197</v>
      </c>
      <c r="AM393" s="22" t="s">
        <v>197</v>
      </c>
      <c r="AN393" s="7" t="s">
        <v>2518</v>
      </c>
      <c r="AO393" s="22" t="s">
        <v>197</v>
      </c>
      <c r="AP393" s="22" t="n">
        <v>2.5</v>
      </c>
      <c r="AQ393" s="22" t="n">
        <v>6</v>
      </c>
    </row>
    <row r="394" customFormat="false" ht="21.75" hidden="false" customHeight="true" outlineLevel="0" collapsed="false">
      <c r="B394" s="15" t="n">
        <v>390</v>
      </c>
      <c r="C394" s="9" t="s">
        <v>84</v>
      </c>
      <c r="D394" s="9" t="s">
        <v>20</v>
      </c>
      <c r="E394" s="9" t="s">
        <v>126</v>
      </c>
      <c r="F394" s="9" t="s">
        <v>96</v>
      </c>
      <c r="G394" s="9" t="s">
        <v>3332</v>
      </c>
      <c r="H394" s="9" t="s">
        <v>2522</v>
      </c>
      <c r="I394" s="9" t="s">
        <v>2862</v>
      </c>
      <c r="J394" s="9" t="s">
        <v>3182</v>
      </c>
      <c r="K394" s="9" t="s">
        <v>3328</v>
      </c>
      <c r="L394" s="9" t="s">
        <v>3318</v>
      </c>
      <c r="M394" s="9" t="s">
        <v>2514</v>
      </c>
      <c r="N394" s="9" t="s">
        <v>189</v>
      </c>
      <c r="O394" s="9" t="s">
        <v>189</v>
      </c>
      <c r="P394" s="9" t="s">
        <v>3319</v>
      </c>
      <c r="Q394" s="9" t="s">
        <v>3320</v>
      </c>
      <c r="R394" s="9" t="s">
        <v>2874</v>
      </c>
      <c r="S394" s="9" t="s">
        <v>3321</v>
      </c>
      <c r="T394" s="9" t="s">
        <v>3329</v>
      </c>
      <c r="U394" s="19" t="n">
        <v>45</v>
      </c>
      <c r="V394" s="9"/>
      <c r="W394" s="9"/>
      <c r="X394" s="9" t="s">
        <v>3333</v>
      </c>
      <c r="Y394" s="23" t="n">
        <v>8.474E-005</v>
      </c>
      <c r="Z394" s="23" t="n">
        <v>0.003</v>
      </c>
      <c r="AA394" s="23" t="n">
        <v>24</v>
      </c>
      <c r="AB394" s="9" t="s">
        <v>3318</v>
      </c>
      <c r="AC394" s="9" t="s">
        <v>3330</v>
      </c>
      <c r="AD394" s="23" t="s">
        <v>197</v>
      </c>
      <c r="AE394" s="23" t="s">
        <v>197</v>
      </c>
      <c r="AF394" s="23" t="s">
        <v>197</v>
      </c>
      <c r="AG394" s="23" t="s">
        <v>197</v>
      </c>
      <c r="AH394" s="23" t="s">
        <v>197</v>
      </c>
      <c r="AI394" s="23" t="s">
        <v>197</v>
      </c>
      <c r="AJ394" s="23" t="n">
        <v>100</v>
      </c>
      <c r="AK394" s="23" t="s">
        <v>197</v>
      </c>
      <c r="AL394" s="23" t="s">
        <v>197</v>
      </c>
      <c r="AM394" s="23" t="s">
        <v>197</v>
      </c>
      <c r="AN394" s="9" t="s">
        <v>2518</v>
      </c>
      <c r="AO394" s="23" t="s">
        <v>197</v>
      </c>
      <c r="AP394" s="23" t="n">
        <v>2.5</v>
      </c>
      <c r="AQ394" s="23" t="n">
        <v>6</v>
      </c>
    </row>
    <row r="395" customFormat="false" ht="21.75" hidden="false" customHeight="true" outlineLevel="0" collapsed="false">
      <c r="B395" s="14" t="n">
        <v>391</v>
      </c>
      <c r="C395" s="7" t="s">
        <v>84</v>
      </c>
      <c r="D395" s="7" t="s">
        <v>20</v>
      </c>
      <c r="E395" s="7" t="s">
        <v>126</v>
      </c>
      <c r="F395" s="7" t="s">
        <v>96</v>
      </c>
      <c r="G395" s="7" t="s">
        <v>3334</v>
      </c>
      <c r="H395" s="7" t="s">
        <v>2525</v>
      </c>
      <c r="I395" s="7" t="s">
        <v>2862</v>
      </c>
      <c r="J395" s="7" t="s">
        <v>3182</v>
      </c>
      <c r="K395" s="7" t="s">
        <v>3328</v>
      </c>
      <c r="L395" s="7" t="s">
        <v>3318</v>
      </c>
      <c r="M395" s="7" t="s">
        <v>2514</v>
      </c>
      <c r="N395" s="7" t="s">
        <v>189</v>
      </c>
      <c r="O395" s="7" t="s">
        <v>189</v>
      </c>
      <c r="P395" s="7" t="s">
        <v>3319</v>
      </c>
      <c r="Q395" s="7" t="s">
        <v>3320</v>
      </c>
      <c r="R395" s="7" t="s">
        <v>2874</v>
      </c>
      <c r="S395" s="7" t="s">
        <v>3321</v>
      </c>
      <c r="T395" s="7" t="s">
        <v>3329</v>
      </c>
      <c r="U395" s="18" t="n">
        <v>65</v>
      </c>
      <c r="V395" s="7"/>
      <c r="W395" s="7"/>
      <c r="X395" s="7" t="s">
        <v>203</v>
      </c>
      <c r="Y395" s="22" t="n">
        <v>6.668E-005</v>
      </c>
      <c r="Z395" s="22" t="n">
        <v>0.002</v>
      </c>
      <c r="AA395" s="22" t="n">
        <v>24</v>
      </c>
      <c r="AB395" s="7" t="s">
        <v>3318</v>
      </c>
      <c r="AC395" s="7" t="s">
        <v>3330</v>
      </c>
      <c r="AD395" s="22" t="s">
        <v>197</v>
      </c>
      <c r="AE395" s="22" t="s">
        <v>197</v>
      </c>
      <c r="AF395" s="22" t="s">
        <v>197</v>
      </c>
      <c r="AG395" s="22" t="s">
        <v>197</v>
      </c>
      <c r="AH395" s="22" t="s">
        <v>197</v>
      </c>
      <c r="AI395" s="22" t="s">
        <v>197</v>
      </c>
      <c r="AJ395" s="22" t="n">
        <v>100</v>
      </c>
      <c r="AK395" s="22" t="s">
        <v>197</v>
      </c>
      <c r="AL395" s="22" t="s">
        <v>197</v>
      </c>
      <c r="AM395" s="22" t="s">
        <v>197</v>
      </c>
      <c r="AN395" s="7" t="s">
        <v>2518</v>
      </c>
      <c r="AO395" s="22" t="s">
        <v>197</v>
      </c>
      <c r="AP395" s="22" t="n">
        <v>2.5</v>
      </c>
      <c r="AQ395" s="22" t="n">
        <v>6</v>
      </c>
    </row>
    <row r="396" customFormat="false" ht="21.75" hidden="false" customHeight="true" outlineLevel="0" collapsed="false">
      <c r="B396" s="15" t="n">
        <v>392</v>
      </c>
      <c r="C396" s="9" t="s">
        <v>84</v>
      </c>
      <c r="D396" s="9" t="s">
        <v>20</v>
      </c>
      <c r="E396" s="9" t="s">
        <v>126</v>
      </c>
      <c r="F396" s="9" t="s">
        <v>96</v>
      </c>
      <c r="G396" s="9" t="s">
        <v>3335</v>
      </c>
      <c r="H396" s="9" t="s">
        <v>2527</v>
      </c>
      <c r="I396" s="9" t="s">
        <v>2862</v>
      </c>
      <c r="J396" s="9" t="s">
        <v>3182</v>
      </c>
      <c r="K396" s="9" t="s">
        <v>3328</v>
      </c>
      <c r="L396" s="9" t="s">
        <v>3318</v>
      </c>
      <c r="M396" s="9" t="s">
        <v>2514</v>
      </c>
      <c r="N396" s="9" t="s">
        <v>189</v>
      </c>
      <c r="O396" s="9" t="s">
        <v>189</v>
      </c>
      <c r="P396" s="9" t="s">
        <v>3319</v>
      </c>
      <c r="Q396" s="9" t="s">
        <v>3320</v>
      </c>
      <c r="R396" s="9" t="s">
        <v>2874</v>
      </c>
      <c r="S396" s="9" t="s">
        <v>3321</v>
      </c>
      <c r="T396" s="9" t="s">
        <v>3329</v>
      </c>
      <c r="U396" s="19" t="n">
        <v>100</v>
      </c>
      <c r="V396" s="9"/>
      <c r="W396" s="9"/>
      <c r="X396" s="9" t="s">
        <v>205</v>
      </c>
      <c r="Y396" s="23" t="n">
        <v>8.051E-005</v>
      </c>
      <c r="Z396" s="23" t="n">
        <v>0.003</v>
      </c>
      <c r="AA396" s="23" t="n">
        <v>24</v>
      </c>
      <c r="AB396" s="9" t="s">
        <v>3318</v>
      </c>
      <c r="AC396" s="9" t="s">
        <v>3330</v>
      </c>
      <c r="AD396" s="23" t="s">
        <v>197</v>
      </c>
      <c r="AE396" s="23" t="s">
        <v>197</v>
      </c>
      <c r="AF396" s="23" t="s">
        <v>197</v>
      </c>
      <c r="AG396" s="23" t="s">
        <v>197</v>
      </c>
      <c r="AH396" s="23" t="s">
        <v>197</v>
      </c>
      <c r="AI396" s="23" t="s">
        <v>197</v>
      </c>
      <c r="AJ396" s="23" t="n">
        <v>120</v>
      </c>
      <c r="AK396" s="23" t="s">
        <v>197</v>
      </c>
      <c r="AL396" s="23" t="s">
        <v>197</v>
      </c>
      <c r="AM396" s="23" t="s">
        <v>197</v>
      </c>
      <c r="AN396" s="9" t="s">
        <v>2518</v>
      </c>
      <c r="AO396" s="23" t="s">
        <v>197</v>
      </c>
      <c r="AP396" s="23" t="n">
        <v>2.5</v>
      </c>
      <c r="AQ396" s="23" t="n">
        <v>6</v>
      </c>
    </row>
    <row r="397" customFormat="false" ht="21.75" hidden="false" customHeight="true" outlineLevel="0" collapsed="false">
      <c r="B397" s="14" t="n">
        <v>393</v>
      </c>
      <c r="C397" s="7" t="s">
        <v>84</v>
      </c>
      <c r="D397" s="7" t="s">
        <v>20</v>
      </c>
      <c r="E397" s="7" t="s">
        <v>126</v>
      </c>
      <c r="F397" s="7" t="s">
        <v>97</v>
      </c>
      <c r="G397" s="7" t="s">
        <v>3336</v>
      </c>
      <c r="H397" s="7" t="s">
        <v>2529</v>
      </c>
      <c r="I397" s="7" t="s">
        <v>2872</v>
      </c>
      <c r="J397" s="7" t="s">
        <v>3192</v>
      </c>
      <c r="K397" s="7" t="s">
        <v>3328</v>
      </c>
      <c r="L397" s="7" t="s">
        <v>3318</v>
      </c>
      <c r="M397" s="7" t="s">
        <v>2514</v>
      </c>
      <c r="N397" s="7" t="s">
        <v>189</v>
      </c>
      <c r="O397" s="7" t="s">
        <v>189</v>
      </c>
      <c r="P397" s="7" t="s">
        <v>3319</v>
      </c>
      <c r="Q397" s="7" t="s">
        <v>3320</v>
      </c>
      <c r="R397" s="7" t="s">
        <v>849</v>
      </c>
      <c r="S397" s="7" t="s">
        <v>3321</v>
      </c>
      <c r="T397" s="7" t="s">
        <v>2875</v>
      </c>
      <c r="U397" s="18" t="n">
        <v>20</v>
      </c>
      <c r="V397" s="7"/>
      <c r="W397" s="7"/>
      <c r="X397" s="7" t="s">
        <v>195</v>
      </c>
      <c r="Y397" s="22" t="n">
        <v>9.134E-005</v>
      </c>
      <c r="Z397" s="22" t="n">
        <v>0.004</v>
      </c>
      <c r="AA397" s="22" t="n">
        <v>24</v>
      </c>
      <c r="AB397" s="7" t="s">
        <v>3318</v>
      </c>
      <c r="AC397" s="7" t="s">
        <v>3330</v>
      </c>
      <c r="AD397" s="22" t="s">
        <v>197</v>
      </c>
      <c r="AE397" s="22" t="s">
        <v>197</v>
      </c>
      <c r="AF397" s="22" t="s">
        <v>197</v>
      </c>
      <c r="AG397" s="22" t="s">
        <v>197</v>
      </c>
      <c r="AH397" s="22" t="s">
        <v>197</v>
      </c>
      <c r="AI397" s="22" t="s">
        <v>197</v>
      </c>
      <c r="AJ397" s="22" t="n">
        <v>54</v>
      </c>
      <c r="AK397" s="22" t="s">
        <v>197</v>
      </c>
      <c r="AL397" s="22" t="s">
        <v>197</v>
      </c>
      <c r="AM397" s="22" t="s">
        <v>197</v>
      </c>
      <c r="AN397" s="7" t="s">
        <v>2518</v>
      </c>
      <c r="AO397" s="22" t="s">
        <v>197</v>
      </c>
      <c r="AP397" s="22" t="n">
        <v>2.5</v>
      </c>
      <c r="AQ397" s="22" t="n">
        <v>6</v>
      </c>
    </row>
    <row r="398" customFormat="false" ht="21.75" hidden="false" customHeight="true" outlineLevel="0" collapsed="false">
      <c r="B398" s="15" t="n">
        <v>394</v>
      </c>
      <c r="C398" s="9" t="s">
        <v>84</v>
      </c>
      <c r="D398" s="9" t="s">
        <v>20</v>
      </c>
      <c r="E398" s="9" t="s">
        <v>126</v>
      </c>
      <c r="F398" s="9" t="s">
        <v>97</v>
      </c>
      <c r="G398" s="9" t="s">
        <v>3337</v>
      </c>
      <c r="H398" s="9" t="s">
        <v>2535</v>
      </c>
      <c r="I398" s="9" t="s">
        <v>2872</v>
      </c>
      <c r="J398" s="9" t="s">
        <v>3192</v>
      </c>
      <c r="K398" s="9" t="s">
        <v>3328</v>
      </c>
      <c r="L398" s="9" t="s">
        <v>3318</v>
      </c>
      <c r="M398" s="9" t="s">
        <v>2514</v>
      </c>
      <c r="N398" s="9" t="s">
        <v>189</v>
      </c>
      <c r="O398" s="9" t="s">
        <v>189</v>
      </c>
      <c r="P398" s="9" t="s">
        <v>3319</v>
      </c>
      <c r="Q398" s="9" t="s">
        <v>3320</v>
      </c>
      <c r="R398" s="9" t="s">
        <v>849</v>
      </c>
      <c r="S398" s="9" t="s">
        <v>3321</v>
      </c>
      <c r="T398" s="9" t="s">
        <v>2875</v>
      </c>
      <c r="U398" s="19" t="n">
        <v>30</v>
      </c>
      <c r="V398" s="9"/>
      <c r="W398" s="9"/>
      <c r="X398" s="9" t="s">
        <v>199</v>
      </c>
      <c r="Y398" s="23" t="n">
        <v>7.342E-005</v>
      </c>
      <c r="Z398" s="23" t="n">
        <v>0.003</v>
      </c>
      <c r="AA398" s="23" t="n">
        <v>24</v>
      </c>
      <c r="AB398" s="9" t="s">
        <v>3318</v>
      </c>
      <c r="AC398" s="9" t="s">
        <v>3330</v>
      </c>
      <c r="AD398" s="23" t="s">
        <v>197</v>
      </c>
      <c r="AE398" s="23" t="s">
        <v>197</v>
      </c>
      <c r="AF398" s="23" t="s">
        <v>197</v>
      </c>
      <c r="AG398" s="23" t="s">
        <v>197</v>
      </c>
      <c r="AH398" s="23" t="s">
        <v>197</v>
      </c>
      <c r="AI398" s="23" t="s">
        <v>197</v>
      </c>
      <c r="AJ398" s="23" t="n">
        <v>48</v>
      </c>
      <c r="AK398" s="23" t="s">
        <v>197</v>
      </c>
      <c r="AL398" s="23" t="s">
        <v>197</v>
      </c>
      <c r="AM398" s="23" t="s">
        <v>197</v>
      </c>
      <c r="AN398" s="9" t="s">
        <v>2518</v>
      </c>
      <c r="AO398" s="23" t="s">
        <v>197</v>
      </c>
      <c r="AP398" s="23" t="n">
        <v>2.5</v>
      </c>
      <c r="AQ398" s="23" t="n">
        <v>6</v>
      </c>
    </row>
    <row r="399" customFormat="false" ht="21.75" hidden="false" customHeight="true" outlineLevel="0" collapsed="false">
      <c r="B399" s="14" t="n">
        <v>395</v>
      </c>
      <c r="C399" s="7" t="s">
        <v>84</v>
      </c>
      <c r="D399" s="7" t="s">
        <v>20</v>
      </c>
      <c r="E399" s="7" t="s">
        <v>126</v>
      </c>
      <c r="F399" s="7" t="s">
        <v>97</v>
      </c>
      <c r="G399" s="7" t="s">
        <v>3338</v>
      </c>
      <c r="H399" s="7" t="s">
        <v>2537</v>
      </c>
      <c r="I399" s="7" t="s">
        <v>2872</v>
      </c>
      <c r="J399" s="7" t="s">
        <v>3192</v>
      </c>
      <c r="K399" s="7" t="s">
        <v>3328</v>
      </c>
      <c r="L399" s="7" t="s">
        <v>3318</v>
      </c>
      <c r="M399" s="7" t="s">
        <v>2514</v>
      </c>
      <c r="N399" s="7" t="s">
        <v>189</v>
      </c>
      <c r="O399" s="7" t="s">
        <v>189</v>
      </c>
      <c r="P399" s="7" t="s">
        <v>3319</v>
      </c>
      <c r="Q399" s="7" t="s">
        <v>3320</v>
      </c>
      <c r="R399" s="7" t="s">
        <v>849</v>
      </c>
      <c r="S399" s="7" t="s">
        <v>3321</v>
      </c>
      <c r="T399" s="7" t="s">
        <v>2875</v>
      </c>
      <c r="U399" s="18" t="n">
        <v>40</v>
      </c>
      <c r="V399" s="7"/>
      <c r="W399" s="7"/>
      <c r="X399" s="7" t="s">
        <v>3339</v>
      </c>
      <c r="Y399" s="22" t="n">
        <v>6.762E-005</v>
      </c>
      <c r="Z399" s="22" t="n">
        <v>0.003</v>
      </c>
      <c r="AA399" s="22" t="n">
        <v>24</v>
      </c>
      <c r="AB399" s="7" t="s">
        <v>3318</v>
      </c>
      <c r="AC399" s="7" t="s">
        <v>3330</v>
      </c>
      <c r="AD399" s="22" t="s">
        <v>197</v>
      </c>
      <c r="AE399" s="22" t="s">
        <v>197</v>
      </c>
      <c r="AF399" s="22" t="s">
        <v>197</v>
      </c>
      <c r="AG399" s="22" t="s">
        <v>197</v>
      </c>
      <c r="AH399" s="22" t="s">
        <v>197</v>
      </c>
      <c r="AI399" s="22" t="s">
        <v>197</v>
      </c>
      <c r="AJ399" s="22" t="n">
        <v>46</v>
      </c>
      <c r="AK399" s="22" t="s">
        <v>197</v>
      </c>
      <c r="AL399" s="22" t="s">
        <v>197</v>
      </c>
      <c r="AM399" s="22" t="s">
        <v>197</v>
      </c>
      <c r="AN399" s="7" t="s">
        <v>2518</v>
      </c>
      <c r="AO399" s="22" t="s">
        <v>197</v>
      </c>
      <c r="AP399" s="22" t="n">
        <v>2.5</v>
      </c>
      <c r="AQ399" s="22" t="n">
        <v>6</v>
      </c>
    </row>
    <row r="400" customFormat="false" ht="21.75" hidden="false" customHeight="true" outlineLevel="0" collapsed="false">
      <c r="B400" s="15" t="n">
        <v>396</v>
      </c>
      <c r="C400" s="9" t="s">
        <v>84</v>
      </c>
      <c r="D400" s="9" t="s">
        <v>20</v>
      </c>
      <c r="E400" s="9" t="s">
        <v>126</v>
      </c>
      <c r="F400" s="9" t="s">
        <v>97</v>
      </c>
      <c r="G400" s="9" t="s">
        <v>3340</v>
      </c>
      <c r="H400" s="9" t="s">
        <v>2540</v>
      </c>
      <c r="I400" s="9" t="s">
        <v>2872</v>
      </c>
      <c r="J400" s="9" t="s">
        <v>3192</v>
      </c>
      <c r="K400" s="9" t="s">
        <v>3328</v>
      </c>
      <c r="L400" s="9" t="s">
        <v>3318</v>
      </c>
      <c r="M400" s="9" t="s">
        <v>2514</v>
      </c>
      <c r="N400" s="9" t="s">
        <v>189</v>
      </c>
      <c r="O400" s="9" t="s">
        <v>189</v>
      </c>
      <c r="P400" s="9" t="s">
        <v>3319</v>
      </c>
      <c r="Q400" s="9" t="s">
        <v>3320</v>
      </c>
      <c r="R400" s="9" t="s">
        <v>849</v>
      </c>
      <c r="S400" s="9" t="s">
        <v>3321</v>
      </c>
      <c r="T400" s="9" t="s">
        <v>2875</v>
      </c>
      <c r="U400" s="19" t="n">
        <v>60</v>
      </c>
      <c r="V400" s="9"/>
      <c r="W400" s="9"/>
      <c r="X400" s="9" t="s">
        <v>203</v>
      </c>
      <c r="Y400" s="23" t="n">
        <v>9.486E-005</v>
      </c>
      <c r="Z400" s="23" t="n">
        <v>0.004</v>
      </c>
      <c r="AA400" s="23" t="n">
        <v>24</v>
      </c>
      <c r="AB400" s="9" t="s">
        <v>3318</v>
      </c>
      <c r="AC400" s="9" t="s">
        <v>3330</v>
      </c>
      <c r="AD400" s="23" t="s">
        <v>197</v>
      </c>
      <c r="AE400" s="23" t="s">
        <v>197</v>
      </c>
      <c r="AF400" s="23" t="s">
        <v>197</v>
      </c>
      <c r="AG400" s="23" t="s">
        <v>197</v>
      </c>
      <c r="AH400" s="23" t="s">
        <v>197</v>
      </c>
      <c r="AI400" s="23" t="s">
        <v>197</v>
      </c>
      <c r="AJ400" s="23" t="n">
        <v>55</v>
      </c>
      <c r="AK400" s="23" t="s">
        <v>197</v>
      </c>
      <c r="AL400" s="23" t="s">
        <v>197</v>
      </c>
      <c r="AM400" s="23" t="s">
        <v>197</v>
      </c>
      <c r="AN400" s="9" t="s">
        <v>2518</v>
      </c>
      <c r="AO400" s="23" t="s">
        <v>197</v>
      </c>
      <c r="AP400" s="23" t="n">
        <v>2.5</v>
      </c>
      <c r="AQ400" s="23" t="n">
        <v>6</v>
      </c>
    </row>
    <row r="401" customFormat="false" ht="21.75" hidden="false" customHeight="true" outlineLevel="0" collapsed="false">
      <c r="B401" s="14" t="n">
        <v>397</v>
      </c>
      <c r="C401" s="7" t="s">
        <v>84</v>
      </c>
      <c r="D401" s="7" t="s">
        <v>20</v>
      </c>
      <c r="E401" s="7" t="s">
        <v>126</v>
      </c>
      <c r="F401" s="7" t="s">
        <v>97</v>
      </c>
      <c r="G401" s="7" t="s">
        <v>3341</v>
      </c>
      <c r="H401" s="7" t="s">
        <v>2542</v>
      </c>
      <c r="I401" s="7" t="s">
        <v>2872</v>
      </c>
      <c r="J401" s="7" t="s">
        <v>3192</v>
      </c>
      <c r="K401" s="7" t="s">
        <v>3328</v>
      </c>
      <c r="L401" s="7" t="s">
        <v>3318</v>
      </c>
      <c r="M401" s="7" t="s">
        <v>2514</v>
      </c>
      <c r="N401" s="7" t="s">
        <v>189</v>
      </c>
      <c r="O401" s="7" t="s">
        <v>189</v>
      </c>
      <c r="P401" s="7" t="s">
        <v>3319</v>
      </c>
      <c r="Q401" s="7" t="s">
        <v>3320</v>
      </c>
      <c r="R401" s="7" t="s">
        <v>849</v>
      </c>
      <c r="S401" s="7" t="s">
        <v>3321</v>
      </c>
      <c r="T401" s="7" t="s">
        <v>2875</v>
      </c>
      <c r="U401" s="18" t="n">
        <v>85</v>
      </c>
      <c r="V401" s="7"/>
      <c r="W401" s="7"/>
      <c r="X401" s="7" t="s">
        <v>205</v>
      </c>
      <c r="Y401" s="22" t="n">
        <v>5.696E-005</v>
      </c>
      <c r="Z401" s="22" t="n">
        <v>0.002</v>
      </c>
      <c r="AA401" s="22" t="n">
        <v>24</v>
      </c>
      <c r="AB401" s="7" t="s">
        <v>3318</v>
      </c>
      <c r="AC401" s="7" t="s">
        <v>3330</v>
      </c>
      <c r="AD401" s="22" t="s">
        <v>197</v>
      </c>
      <c r="AE401" s="22" t="s">
        <v>197</v>
      </c>
      <c r="AF401" s="22" t="s">
        <v>197</v>
      </c>
      <c r="AG401" s="22" t="s">
        <v>197</v>
      </c>
      <c r="AH401" s="22" t="s">
        <v>197</v>
      </c>
      <c r="AI401" s="22" t="s">
        <v>197</v>
      </c>
      <c r="AJ401" s="22" t="n">
        <v>42</v>
      </c>
      <c r="AK401" s="22" t="s">
        <v>197</v>
      </c>
      <c r="AL401" s="22" t="s">
        <v>197</v>
      </c>
      <c r="AM401" s="22" t="s">
        <v>197</v>
      </c>
      <c r="AN401" s="7" t="s">
        <v>2518</v>
      </c>
      <c r="AO401" s="22" t="s">
        <v>197</v>
      </c>
      <c r="AP401" s="22" t="n">
        <v>2.5</v>
      </c>
      <c r="AQ401" s="22" t="n">
        <v>6</v>
      </c>
    </row>
    <row r="402" customFormat="false" ht="21.75" hidden="false" customHeight="true" outlineLevel="0" collapsed="false">
      <c r="B402" s="15" t="n">
        <v>398</v>
      </c>
      <c r="C402" s="9" t="s">
        <v>84</v>
      </c>
      <c r="D402" s="9" t="s">
        <v>20</v>
      </c>
      <c r="E402" s="9" t="s">
        <v>126</v>
      </c>
      <c r="F402" s="9" t="s">
        <v>98</v>
      </c>
      <c r="G402" s="9" t="s">
        <v>3334</v>
      </c>
      <c r="H402" s="9" t="s">
        <v>2544</v>
      </c>
      <c r="I402" s="9" t="s">
        <v>3342</v>
      </c>
      <c r="J402" s="9" t="s">
        <v>3343</v>
      </c>
      <c r="K402" s="9" t="s">
        <v>3344</v>
      </c>
      <c r="L402" s="9" t="s">
        <v>3318</v>
      </c>
      <c r="M402" s="9" t="s">
        <v>2514</v>
      </c>
      <c r="N402" s="9" t="s">
        <v>189</v>
      </c>
      <c r="O402" s="9" t="s">
        <v>189</v>
      </c>
      <c r="P402" s="9" t="s">
        <v>3319</v>
      </c>
      <c r="Q402" s="9" t="s">
        <v>2712</v>
      </c>
      <c r="R402" s="9" t="s">
        <v>2874</v>
      </c>
      <c r="S402" s="9" t="s">
        <v>3321</v>
      </c>
      <c r="T402" s="9" t="s">
        <v>2548</v>
      </c>
      <c r="U402" s="19" t="n">
        <v>30</v>
      </c>
      <c r="V402" s="9"/>
      <c r="W402" s="9"/>
      <c r="X402" s="9" t="s">
        <v>195</v>
      </c>
      <c r="Y402" s="23" t="n">
        <v>8.779E-005</v>
      </c>
      <c r="Z402" s="23" t="n">
        <v>0.003</v>
      </c>
      <c r="AA402" s="23" t="n">
        <v>24</v>
      </c>
      <c r="AB402" s="9" t="s">
        <v>3318</v>
      </c>
      <c r="AC402" s="9" t="s">
        <v>3330</v>
      </c>
      <c r="AD402" s="23" t="s">
        <v>197</v>
      </c>
      <c r="AE402" s="23" t="s">
        <v>197</v>
      </c>
      <c r="AF402" s="23" t="s">
        <v>197</v>
      </c>
      <c r="AG402" s="23" t="s">
        <v>197</v>
      </c>
      <c r="AH402" s="23" t="s">
        <v>197</v>
      </c>
      <c r="AI402" s="23" t="s">
        <v>197</v>
      </c>
      <c r="AJ402" s="23" t="n">
        <v>84</v>
      </c>
      <c r="AK402" s="23" t="s">
        <v>197</v>
      </c>
      <c r="AL402" s="23" t="s">
        <v>197</v>
      </c>
      <c r="AM402" s="23" t="s">
        <v>197</v>
      </c>
      <c r="AN402" s="9" t="s">
        <v>2549</v>
      </c>
      <c r="AO402" s="23" t="s">
        <v>197</v>
      </c>
      <c r="AP402" s="23" t="n">
        <v>2.5</v>
      </c>
      <c r="AQ402" s="23" t="n">
        <v>6</v>
      </c>
    </row>
    <row r="403" customFormat="false" ht="21.75" hidden="false" customHeight="true" outlineLevel="0" collapsed="false">
      <c r="B403" s="14" t="n">
        <v>399</v>
      </c>
      <c r="C403" s="7" t="s">
        <v>84</v>
      </c>
      <c r="D403" s="7" t="s">
        <v>20</v>
      </c>
      <c r="E403" s="7" t="s">
        <v>126</v>
      </c>
      <c r="F403" s="7" t="s">
        <v>98</v>
      </c>
      <c r="G403" s="7" t="s">
        <v>3345</v>
      </c>
      <c r="H403" s="7" t="s">
        <v>2551</v>
      </c>
      <c r="I403" s="7" t="s">
        <v>3342</v>
      </c>
      <c r="J403" s="7" t="s">
        <v>3343</v>
      </c>
      <c r="K403" s="7" t="s">
        <v>3344</v>
      </c>
      <c r="L403" s="7" t="s">
        <v>3318</v>
      </c>
      <c r="M403" s="7" t="s">
        <v>2514</v>
      </c>
      <c r="N403" s="7" t="s">
        <v>189</v>
      </c>
      <c r="O403" s="7" t="s">
        <v>189</v>
      </c>
      <c r="P403" s="7" t="s">
        <v>3319</v>
      </c>
      <c r="Q403" s="7" t="s">
        <v>2712</v>
      </c>
      <c r="R403" s="7" t="s">
        <v>2874</v>
      </c>
      <c r="S403" s="7" t="s">
        <v>3321</v>
      </c>
      <c r="T403" s="7" t="s">
        <v>2548</v>
      </c>
      <c r="U403" s="18" t="n">
        <v>45</v>
      </c>
      <c r="V403" s="7"/>
      <c r="W403" s="7"/>
      <c r="X403" s="7" t="s">
        <v>199</v>
      </c>
      <c r="Y403" s="22" t="n">
        <v>0.00010766</v>
      </c>
      <c r="Z403" s="22" t="n">
        <v>0.004</v>
      </c>
      <c r="AA403" s="22" t="n">
        <v>24</v>
      </c>
      <c r="AB403" s="7" t="s">
        <v>3318</v>
      </c>
      <c r="AC403" s="7" t="s">
        <v>3330</v>
      </c>
      <c r="AD403" s="22" t="s">
        <v>197</v>
      </c>
      <c r="AE403" s="22" t="s">
        <v>197</v>
      </c>
      <c r="AF403" s="22" t="s">
        <v>197</v>
      </c>
      <c r="AG403" s="22" t="s">
        <v>197</v>
      </c>
      <c r="AH403" s="22" t="s">
        <v>197</v>
      </c>
      <c r="AI403" s="22" t="s">
        <v>197</v>
      </c>
      <c r="AJ403" s="22" t="n">
        <v>96</v>
      </c>
      <c r="AK403" s="22" t="s">
        <v>197</v>
      </c>
      <c r="AL403" s="22" t="s">
        <v>197</v>
      </c>
      <c r="AM403" s="22" t="s">
        <v>197</v>
      </c>
      <c r="AN403" s="7" t="s">
        <v>2549</v>
      </c>
      <c r="AO403" s="22" t="s">
        <v>197</v>
      </c>
      <c r="AP403" s="22" t="n">
        <v>2.5</v>
      </c>
      <c r="AQ403" s="22" t="n">
        <v>6</v>
      </c>
    </row>
    <row r="404" customFormat="false" ht="21.75" hidden="false" customHeight="true" outlineLevel="0" collapsed="false">
      <c r="B404" s="15" t="n">
        <v>400</v>
      </c>
      <c r="C404" s="9" t="s">
        <v>84</v>
      </c>
      <c r="D404" s="9" t="s">
        <v>20</v>
      </c>
      <c r="E404" s="9" t="s">
        <v>126</v>
      </c>
      <c r="F404" s="9" t="s">
        <v>98</v>
      </c>
      <c r="G404" s="9" t="s">
        <v>3346</v>
      </c>
      <c r="H404" s="9" t="s">
        <v>2553</v>
      </c>
      <c r="I404" s="9" t="s">
        <v>3342</v>
      </c>
      <c r="J404" s="9" t="s">
        <v>3343</v>
      </c>
      <c r="K404" s="9" t="s">
        <v>3344</v>
      </c>
      <c r="L404" s="9" t="s">
        <v>3318</v>
      </c>
      <c r="M404" s="9" t="s">
        <v>2514</v>
      </c>
      <c r="N404" s="9" t="s">
        <v>189</v>
      </c>
      <c r="O404" s="9" t="s">
        <v>189</v>
      </c>
      <c r="P404" s="9" t="s">
        <v>3319</v>
      </c>
      <c r="Q404" s="9" t="s">
        <v>2712</v>
      </c>
      <c r="R404" s="9" t="s">
        <v>2874</v>
      </c>
      <c r="S404" s="9" t="s">
        <v>3321</v>
      </c>
      <c r="T404" s="9" t="s">
        <v>2548</v>
      </c>
      <c r="U404" s="19" t="n">
        <v>60</v>
      </c>
      <c r="V404" s="9"/>
      <c r="W404" s="9"/>
      <c r="X404" s="9" t="s">
        <v>3347</v>
      </c>
      <c r="Y404" s="23" t="n">
        <v>0.00011759</v>
      </c>
      <c r="Z404" s="23" t="n">
        <v>0.005</v>
      </c>
      <c r="AA404" s="23" t="n">
        <v>24</v>
      </c>
      <c r="AB404" s="9" t="s">
        <v>3318</v>
      </c>
      <c r="AC404" s="9" t="s">
        <v>3330</v>
      </c>
      <c r="AD404" s="23" t="s">
        <v>197</v>
      </c>
      <c r="AE404" s="23" t="s">
        <v>197</v>
      </c>
      <c r="AF404" s="23" t="s">
        <v>197</v>
      </c>
      <c r="AG404" s="23" t="s">
        <v>197</v>
      </c>
      <c r="AH404" s="23" t="s">
        <v>197</v>
      </c>
      <c r="AI404" s="23" t="s">
        <v>197</v>
      </c>
      <c r="AJ404" s="23" t="n">
        <v>101</v>
      </c>
      <c r="AK404" s="23" t="s">
        <v>197</v>
      </c>
      <c r="AL404" s="23" t="s">
        <v>197</v>
      </c>
      <c r="AM404" s="23" t="s">
        <v>197</v>
      </c>
      <c r="AN404" s="9" t="s">
        <v>2549</v>
      </c>
      <c r="AO404" s="23" t="s">
        <v>197</v>
      </c>
      <c r="AP404" s="23" t="n">
        <v>2.5</v>
      </c>
      <c r="AQ404" s="23" t="n">
        <v>6</v>
      </c>
    </row>
    <row r="405" customFormat="false" ht="21.75" hidden="false" customHeight="true" outlineLevel="0" collapsed="false">
      <c r="B405" s="14" t="n">
        <v>401</v>
      </c>
      <c r="C405" s="7" t="s">
        <v>84</v>
      </c>
      <c r="D405" s="7" t="s">
        <v>20</v>
      </c>
      <c r="E405" s="7" t="s">
        <v>126</v>
      </c>
      <c r="F405" s="7" t="s">
        <v>98</v>
      </c>
      <c r="G405" s="7" t="s">
        <v>3348</v>
      </c>
      <c r="H405" s="7" t="s">
        <v>2556</v>
      </c>
      <c r="I405" s="7" t="s">
        <v>3342</v>
      </c>
      <c r="J405" s="7" t="s">
        <v>3343</v>
      </c>
      <c r="K405" s="7" t="s">
        <v>3344</v>
      </c>
      <c r="L405" s="7" t="s">
        <v>3318</v>
      </c>
      <c r="M405" s="7" t="s">
        <v>2514</v>
      </c>
      <c r="N405" s="7" t="s">
        <v>189</v>
      </c>
      <c r="O405" s="7" t="s">
        <v>189</v>
      </c>
      <c r="P405" s="7" t="s">
        <v>3319</v>
      </c>
      <c r="Q405" s="7" t="s">
        <v>2712</v>
      </c>
      <c r="R405" s="7" t="s">
        <v>2874</v>
      </c>
      <c r="S405" s="7" t="s">
        <v>3321</v>
      </c>
      <c r="T405" s="7" t="s">
        <v>2548</v>
      </c>
      <c r="U405" s="18" t="n">
        <v>95</v>
      </c>
      <c r="V405" s="7"/>
      <c r="W405" s="7"/>
      <c r="X405" s="7" t="s">
        <v>203</v>
      </c>
      <c r="Y405" s="22" t="n">
        <v>0.00013492</v>
      </c>
      <c r="Z405" s="22" t="n">
        <v>0.005</v>
      </c>
      <c r="AA405" s="22" t="n">
        <v>24</v>
      </c>
      <c r="AB405" s="7" t="s">
        <v>3318</v>
      </c>
      <c r="AC405" s="7" t="s">
        <v>3330</v>
      </c>
      <c r="AD405" s="22" t="s">
        <v>197</v>
      </c>
      <c r="AE405" s="22" t="s">
        <v>197</v>
      </c>
      <c r="AF405" s="22" t="s">
        <v>197</v>
      </c>
      <c r="AG405" s="22" t="s">
        <v>197</v>
      </c>
      <c r="AH405" s="22" t="s">
        <v>197</v>
      </c>
      <c r="AI405" s="22" t="s">
        <v>197</v>
      </c>
      <c r="AJ405" s="22" t="n">
        <v>111</v>
      </c>
      <c r="AK405" s="22" t="s">
        <v>197</v>
      </c>
      <c r="AL405" s="22" t="s">
        <v>197</v>
      </c>
      <c r="AM405" s="22" t="s">
        <v>197</v>
      </c>
      <c r="AN405" s="7" t="s">
        <v>2549</v>
      </c>
      <c r="AO405" s="22" t="s">
        <v>197</v>
      </c>
      <c r="AP405" s="22" t="n">
        <v>2.5</v>
      </c>
      <c r="AQ405" s="22" t="n">
        <v>6</v>
      </c>
    </row>
    <row r="406" customFormat="false" ht="21.75" hidden="false" customHeight="true" outlineLevel="0" collapsed="false">
      <c r="B406" s="15" t="n">
        <v>402</v>
      </c>
      <c r="C406" s="9" t="s">
        <v>84</v>
      </c>
      <c r="D406" s="9" t="s">
        <v>20</v>
      </c>
      <c r="E406" s="9" t="s">
        <v>126</v>
      </c>
      <c r="F406" s="9" t="s">
        <v>98</v>
      </c>
      <c r="G406" s="9" t="s">
        <v>3349</v>
      </c>
      <c r="H406" s="9" t="s">
        <v>2558</v>
      </c>
      <c r="I406" s="9" t="s">
        <v>3342</v>
      </c>
      <c r="J406" s="9" t="s">
        <v>3343</v>
      </c>
      <c r="K406" s="9" t="s">
        <v>3344</v>
      </c>
      <c r="L406" s="9" t="s">
        <v>3318</v>
      </c>
      <c r="M406" s="9" t="s">
        <v>2514</v>
      </c>
      <c r="N406" s="9" t="s">
        <v>189</v>
      </c>
      <c r="O406" s="9" t="s">
        <v>189</v>
      </c>
      <c r="P406" s="9" t="s">
        <v>3319</v>
      </c>
      <c r="Q406" s="9" t="s">
        <v>2712</v>
      </c>
      <c r="R406" s="9" t="s">
        <v>2874</v>
      </c>
      <c r="S406" s="9" t="s">
        <v>3321</v>
      </c>
      <c r="T406" s="9" t="s">
        <v>2548</v>
      </c>
      <c r="U406" s="19" t="n">
        <v>140</v>
      </c>
      <c r="V406" s="9"/>
      <c r="W406" s="9"/>
      <c r="X406" s="9" t="s">
        <v>205</v>
      </c>
      <c r="Y406" s="23" t="n">
        <v>0.0001107</v>
      </c>
      <c r="Z406" s="23" t="n">
        <v>0.004</v>
      </c>
      <c r="AA406" s="23" t="n">
        <v>24</v>
      </c>
      <c r="AB406" s="9" t="s">
        <v>3318</v>
      </c>
      <c r="AC406" s="9" t="s">
        <v>3330</v>
      </c>
      <c r="AD406" s="23" t="s">
        <v>197</v>
      </c>
      <c r="AE406" s="23" t="s">
        <v>197</v>
      </c>
      <c r="AF406" s="23" t="s">
        <v>197</v>
      </c>
      <c r="AG406" s="23" t="s">
        <v>197</v>
      </c>
      <c r="AH406" s="23" t="s">
        <v>197</v>
      </c>
      <c r="AI406" s="23" t="s">
        <v>197</v>
      </c>
      <c r="AJ406" s="23" t="n">
        <v>98</v>
      </c>
      <c r="AK406" s="23" t="s">
        <v>197</v>
      </c>
      <c r="AL406" s="23" t="s">
        <v>197</v>
      </c>
      <c r="AM406" s="23" t="s">
        <v>197</v>
      </c>
      <c r="AN406" s="9" t="s">
        <v>2549</v>
      </c>
      <c r="AO406" s="23" t="s">
        <v>197</v>
      </c>
      <c r="AP406" s="23" t="n">
        <v>2.5</v>
      </c>
      <c r="AQ406" s="23" t="n">
        <v>6</v>
      </c>
    </row>
    <row r="407" customFormat="false" ht="21.75" hidden="false" customHeight="true" outlineLevel="0" collapsed="false">
      <c r="B407" s="14" t="n">
        <v>403</v>
      </c>
      <c r="C407" s="7" t="s">
        <v>84</v>
      </c>
      <c r="D407" s="7" t="s">
        <v>20</v>
      </c>
      <c r="E407" s="7" t="s">
        <v>126</v>
      </c>
      <c r="F407" s="7" t="s">
        <v>99</v>
      </c>
      <c r="G407" s="7" t="s">
        <v>391</v>
      </c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18"/>
      <c r="V407" s="7"/>
      <c r="W407" s="7"/>
      <c r="X407" s="7" t="s">
        <v>3350</v>
      </c>
      <c r="Y407" s="22" t="s">
        <v>197</v>
      </c>
      <c r="Z407" s="22" t="s">
        <v>197</v>
      </c>
      <c r="AA407" s="22" t="s">
        <v>197</v>
      </c>
      <c r="AB407" s="7" t="s">
        <v>197</v>
      </c>
      <c r="AC407" s="7" t="s">
        <v>197</v>
      </c>
      <c r="AD407" s="22" t="s">
        <v>197</v>
      </c>
      <c r="AE407" s="22" t="s">
        <v>197</v>
      </c>
      <c r="AF407" s="22" t="s">
        <v>197</v>
      </c>
      <c r="AG407" s="22" t="s">
        <v>197</v>
      </c>
      <c r="AH407" s="22" t="s">
        <v>197</v>
      </c>
      <c r="AI407" s="22" t="s">
        <v>197</v>
      </c>
      <c r="AJ407" s="22" t="s">
        <v>197</v>
      </c>
      <c r="AK407" s="22" t="s">
        <v>197</v>
      </c>
      <c r="AL407" s="22" t="s">
        <v>197</v>
      </c>
      <c r="AM407" s="22" t="s">
        <v>197</v>
      </c>
      <c r="AN407" s="7" t="s">
        <v>197</v>
      </c>
      <c r="AO407" s="22" t="s">
        <v>197</v>
      </c>
      <c r="AP407" s="22" t="s">
        <v>197</v>
      </c>
      <c r="AQ407" s="22" t="s">
        <v>197</v>
      </c>
    </row>
    <row r="408" customFormat="false" ht="21.75" hidden="false" customHeight="true" outlineLevel="0" collapsed="false">
      <c r="B408" s="15" t="n">
        <v>404</v>
      </c>
      <c r="C408" s="9" t="s">
        <v>84</v>
      </c>
      <c r="D408" s="9" t="s">
        <v>20</v>
      </c>
      <c r="E408" s="9" t="s">
        <v>126</v>
      </c>
      <c r="F408" s="9" t="s">
        <v>100</v>
      </c>
      <c r="G408" s="9" t="s">
        <v>391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19"/>
      <c r="V408" s="9"/>
      <c r="W408" s="9"/>
      <c r="X408" s="9" t="s">
        <v>3351</v>
      </c>
      <c r="Y408" s="23" t="s">
        <v>197</v>
      </c>
      <c r="Z408" s="23" t="s">
        <v>197</v>
      </c>
      <c r="AA408" s="23" t="s">
        <v>197</v>
      </c>
      <c r="AB408" s="9" t="s">
        <v>197</v>
      </c>
      <c r="AC408" s="9" t="s">
        <v>197</v>
      </c>
      <c r="AD408" s="23" t="s">
        <v>197</v>
      </c>
      <c r="AE408" s="23" t="s">
        <v>197</v>
      </c>
      <c r="AF408" s="23" t="s">
        <v>197</v>
      </c>
      <c r="AG408" s="23" t="s">
        <v>197</v>
      </c>
      <c r="AH408" s="23" t="s">
        <v>197</v>
      </c>
      <c r="AI408" s="23" t="s">
        <v>197</v>
      </c>
      <c r="AJ408" s="23" t="s">
        <v>197</v>
      </c>
      <c r="AK408" s="23" t="s">
        <v>197</v>
      </c>
      <c r="AL408" s="23" t="s">
        <v>197</v>
      </c>
      <c r="AM408" s="23" t="s">
        <v>197</v>
      </c>
      <c r="AN408" s="9" t="s">
        <v>197</v>
      </c>
      <c r="AO408" s="23" t="s">
        <v>197</v>
      </c>
      <c r="AP408" s="23" t="s">
        <v>197</v>
      </c>
      <c r="AQ408" s="23" t="s">
        <v>197</v>
      </c>
    </row>
    <row r="409" customFormat="false" ht="21.75" hidden="false" customHeight="true" outlineLevel="0" collapsed="false">
      <c r="B409" s="14" t="n">
        <v>405</v>
      </c>
      <c r="C409" s="7" t="s">
        <v>84</v>
      </c>
      <c r="D409" s="7" t="s">
        <v>20</v>
      </c>
      <c r="E409" s="7" t="s">
        <v>126</v>
      </c>
      <c r="F409" s="7" t="s">
        <v>101</v>
      </c>
      <c r="G409" s="7" t="s">
        <v>391</v>
      </c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18"/>
      <c r="V409" s="7"/>
      <c r="W409" s="7"/>
      <c r="X409" s="7" t="s">
        <v>3352</v>
      </c>
      <c r="Y409" s="22" t="s">
        <v>197</v>
      </c>
      <c r="Z409" s="22" t="s">
        <v>197</v>
      </c>
      <c r="AA409" s="22" t="s">
        <v>197</v>
      </c>
      <c r="AB409" s="7" t="s">
        <v>197</v>
      </c>
      <c r="AC409" s="7" t="s">
        <v>197</v>
      </c>
      <c r="AD409" s="22" t="s">
        <v>197</v>
      </c>
      <c r="AE409" s="22" t="s">
        <v>197</v>
      </c>
      <c r="AF409" s="22" t="s">
        <v>197</v>
      </c>
      <c r="AG409" s="22" t="s">
        <v>197</v>
      </c>
      <c r="AH409" s="22" t="s">
        <v>197</v>
      </c>
      <c r="AI409" s="22" t="s">
        <v>197</v>
      </c>
      <c r="AJ409" s="22" t="s">
        <v>197</v>
      </c>
      <c r="AK409" s="22" t="s">
        <v>197</v>
      </c>
      <c r="AL409" s="22" t="s">
        <v>197</v>
      </c>
      <c r="AM409" s="22" t="s">
        <v>197</v>
      </c>
      <c r="AN409" s="7" t="s">
        <v>197</v>
      </c>
      <c r="AO409" s="22" t="s">
        <v>197</v>
      </c>
      <c r="AP409" s="22" t="s">
        <v>197</v>
      </c>
      <c r="AQ409" s="22" t="s">
        <v>197</v>
      </c>
    </row>
    <row r="410" customFormat="false" ht="21.75" hidden="false" customHeight="true" outlineLevel="0" collapsed="false">
      <c r="B410" s="15" t="n">
        <v>406</v>
      </c>
      <c r="C410" s="9" t="s">
        <v>84</v>
      </c>
      <c r="D410" s="9" t="s">
        <v>20</v>
      </c>
      <c r="E410" s="9" t="s">
        <v>126</v>
      </c>
      <c r="F410" s="9" t="s">
        <v>102</v>
      </c>
      <c r="G410" s="9" t="s">
        <v>3353</v>
      </c>
      <c r="H410" s="9" t="s">
        <v>2601</v>
      </c>
      <c r="I410" s="9" t="s">
        <v>2906</v>
      </c>
      <c r="J410" s="9" t="s">
        <v>2603</v>
      </c>
      <c r="K410" s="9" t="s">
        <v>3328</v>
      </c>
      <c r="L410" s="9" t="s">
        <v>3318</v>
      </c>
      <c r="M410" s="9" t="s">
        <v>2514</v>
      </c>
      <c r="N410" s="9" t="s">
        <v>189</v>
      </c>
      <c r="O410" s="9" t="s">
        <v>189</v>
      </c>
      <c r="P410" s="9" t="s">
        <v>3319</v>
      </c>
      <c r="Q410" s="9" t="s">
        <v>3354</v>
      </c>
      <c r="R410" s="9" t="s">
        <v>1707</v>
      </c>
      <c r="S410" s="9" t="s">
        <v>3321</v>
      </c>
      <c r="T410" s="9" t="s">
        <v>3206</v>
      </c>
      <c r="U410" s="19" t="n">
        <v>25</v>
      </c>
      <c r="V410" s="9"/>
      <c r="W410" s="9"/>
      <c r="X410" s="9" t="s">
        <v>195</v>
      </c>
      <c r="Y410" s="23" t="n">
        <v>0.00036472</v>
      </c>
      <c r="Z410" s="23" t="n">
        <v>0.005</v>
      </c>
      <c r="AA410" s="23" t="n">
        <v>24</v>
      </c>
      <c r="AB410" s="9" t="s">
        <v>3318</v>
      </c>
      <c r="AC410" s="9" t="s">
        <v>3330</v>
      </c>
      <c r="AD410" s="23" t="s">
        <v>197</v>
      </c>
      <c r="AE410" s="23" t="s">
        <v>197</v>
      </c>
      <c r="AF410" s="23" t="s">
        <v>197</v>
      </c>
      <c r="AG410" s="23" t="s">
        <v>197</v>
      </c>
      <c r="AH410" s="23" t="s">
        <v>197</v>
      </c>
      <c r="AI410" s="23" t="s">
        <v>197</v>
      </c>
      <c r="AJ410" s="23" t="s">
        <v>197</v>
      </c>
      <c r="AK410" s="23" t="s">
        <v>197</v>
      </c>
      <c r="AL410" s="23" t="s">
        <v>197</v>
      </c>
      <c r="AM410" s="23" t="s">
        <v>197</v>
      </c>
      <c r="AN410" s="9" t="s">
        <v>197</v>
      </c>
      <c r="AO410" s="23" t="s">
        <v>197</v>
      </c>
      <c r="AP410" s="23" t="n">
        <v>1.05</v>
      </c>
      <c r="AQ410" s="23" t="n">
        <v>1.4</v>
      </c>
    </row>
    <row r="411" customFormat="false" ht="21.75" hidden="false" customHeight="true" outlineLevel="0" collapsed="false">
      <c r="B411" s="14" t="n">
        <v>407</v>
      </c>
      <c r="C411" s="7" t="s">
        <v>84</v>
      </c>
      <c r="D411" s="7" t="s">
        <v>20</v>
      </c>
      <c r="E411" s="7" t="s">
        <v>126</v>
      </c>
      <c r="F411" s="7" t="s">
        <v>102</v>
      </c>
      <c r="G411" s="7" t="s">
        <v>3355</v>
      </c>
      <c r="H411" s="7" t="s">
        <v>2607</v>
      </c>
      <c r="I411" s="7" t="s">
        <v>2906</v>
      </c>
      <c r="J411" s="7" t="s">
        <v>2603</v>
      </c>
      <c r="K411" s="7" t="s">
        <v>3328</v>
      </c>
      <c r="L411" s="7" t="s">
        <v>3318</v>
      </c>
      <c r="M411" s="7" t="s">
        <v>2514</v>
      </c>
      <c r="N411" s="7" t="s">
        <v>189</v>
      </c>
      <c r="O411" s="7" t="s">
        <v>189</v>
      </c>
      <c r="P411" s="7" t="s">
        <v>3319</v>
      </c>
      <c r="Q411" s="7" t="s">
        <v>3354</v>
      </c>
      <c r="R411" s="7" t="s">
        <v>1707</v>
      </c>
      <c r="S411" s="7" t="s">
        <v>3321</v>
      </c>
      <c r="T411" s="7" t="s">
        <v>3206</v>
      </c>
      <c r="U411" s="18" t="n">
        <v>35</v>
      </c>
      <c r="V411" s="7"/>
      <c r="W411" s="7"/>
      <c r="X411" s="7" t="s">
        <v>199</v>
      </c>
      <c r="Y411" s="22" t="n">
        <v>0.00027982</v>
      </c>
      <c r="Z411" s="22" t="n">
        <v>0.004</v>
      </c>
      <c r="AA411" s="22" t="n">
        <v>24</v>
      </c>
      <c r="AB411" s="7" t="s">
        <v>3318</v>
      </c>
      <c r="AC411" s="7" t="s">
        <v>3330</v>
      </c>
      <c r="AD411" s="22" t="s">
        <v>197</v>
      </c>
      <c r="AE411" s="22" t="s">
        <v>197</v>
      </c>
      <c r="AF411" s="22" t="s">
        <v>197</v>
      </c>
      <c r="AG411" s="22" t="s">
        <v>197</v>
      </c>
      <c r="AH411" s="22" t="s">
        <v>197</v>
      </c>
      <c r="AI411" s="22" t="s">
        <v>197</v>
      </c>
      <c r="AJ411" s="22" t="s">
        <v>197</v>
      </c>
      <c r="AK411" s="22" t="s">
        <v>197</v>
      </c>
      <c r="AL411" s="22" t="s">
        <v>197</v>
      </c>
      <c r="AM411" s="22" t="s">
        <v>197</v>
      </c>
      <c r="AN411" s="7" t="s">
        <v>197</v>
      </c>
      <c r="AO411" s="22" t="s">
        <v>197</v>
      </c>
      <c r="AP411" s="22" t="n">
        <v>1.05</v>
      </c>
      <c r="AQ411" s="22" t="n">
        <v>1.4</v>
      </c>
    </row>
    <row r="412" customFormat="false" ht="21.75" hidden="false" customHeight="true" outlineLevel="0" collapsed="false">
      <c r="B412" s="15" t="n">
        <v>408</v>
      </c>
      <c r="C412" s="9" t="s">
        <v>84</v>
      </c>
      <c r="D412" s="9" t="s">
        <v>20</v>
      </c>
      <c r="E412" s="9" t="s">
        <v>126</v>
      </c>
      <c r="F412" s="9" t="s">
        <v>102</v>
      </c>
      <c r="G412" s="9" t="s">
        <v>3356</v>
      </c>
      <c r="H412" s="9" t="s">
        <v>2609</v>
      </c>
      <c r="I412" s="9" t="s">
        <v>2906</v>
      </c>
      <c r="J412" s="9" t="s">
        <v>2603</v>
      </c>
      <c r="K412" s="9" t="s">
        <v>3328</v>
      </c>
      <c r="L412" s="9" t="s">
        <v>3318</v>
      </c>
      <c r="M412" s="9" t="s">
        <v>2514</v>
      </c>
      <c r="N412" s="9" t="s">
        <v>189</v>
      </c>
      <c r="O412" s="9" t="s">
        <v>189</v>
      </c>
      <c r="P412" s="9" t="s">
        <v>3319</v>
      </c>
      <c r="Q412" s="9" t="s">
        <v>3354</v>
      </c>
      <c r="R412" s="9" t="s">
        <v>1707</v>
      </c>
      <c r="S412" s="9" t="s">
        <v>3321</v>
      </c>
      <c r="T412" s="9" t="s">
        <v>3206</v>
      </c>
      <c r="U412" s="19" t="n">
        <v>50</v>
      </c>
      <c r="V412" s="9"/>
      <c r="W412" s="9"/>
      <c r="X412" s="9" t="s">
        <v>3357</v>
      </c>
      <c r="Y412" s="23" t="n">
        <v>0.00025316</v>
      </c>
      <c r="Z412" s="23" t="n">
        <v>0.004</v>
      </c>
      <c r="AA412" s="23" t="n">
        <v>24</v>
      </c>
      <c r="AB412" s="9" t="s">
        <v>3318</v>
      </c>
      <c r="AC412" s="9" t="s">
        <v>3330</v>
      </c>
      <c r="AD412" s="23" t="s">
        <v>197</v>
      </c>
      <c r="AE412" s="23" t="s">
        <v>197</v>
      </c>
      <c r="AF412" s="23" t="s">
        <v>197</v>
      </c>
      <c r="AG412" s="23" t="s">
        <v>197</v>
      </c>
      <c r="AH412" s="23" t="s">
        <v>197</v>
      </c>
      <c r="AI412" s="23" t="s">
        <v>197</v>
      </c>
      <c r="AJ412" s="23" t="s">
        <v>197</v>
      </c>
      <c r="AK412" s="23" t="s">
        <v>197</v>
      </c>
      <c r="AL412" s="23" t="s">
        <v>197</v>
      </c>
      <c r="AM412" s="23" t="s">
        <v>197</v>
      </c>
      <c r="AN412" s="9" t="s">
        <v>197</v>
      </c>
      <c r="AO412" s="23" t="s">
        <v>197</v>
      </c>
      <c r="AP412" s="23" t="n">
        <v>1.05</v>
      </c>
      <c r="AQ412" s="23" t="n">
        <v>1.4</v>
      </c>
    </row>
    <row r="413" customFormat="false" ht="21.75" hidden="false" customHeight="true" outlineLevel="0" collapsed="false">
      <c r="B413" s="14" t="n">
        <v>409</v>
      </c>
      <c r="C413" s="7" t="s">
        <v>84</v>
      </c>
      <c r="D413" s="7" t="s">
        <v>20</v>
      </c>
      <c r="E413" s="7" t="s">
        <v>126</v>
      </c>
      <c r="F413" s="7" t="s">
        <v>102</v>
      </c>
      <c r="G413" s="7" t="s">
        <v>3358</v>
      </c>
      <c r="H413" s="7" t="s">
        <v>2612</v>
      </c>
      <c r="I413" s="7" t="s">
        <v>2906</v>
      </c>
      <c r="J413" s="7" t="s">
        <v>2603</v>
      </c>
      <c r="K413" s="7" t="s">
        <v>3328</v>
      </c>
      <c r="L413" s="7" t="s">
        <v>3318</v>
      </c>
      <c r="M413" s="7" t="s">
        <v>2514</v>
      </c>
      <c r="N413" s="7" t="s">
        <v>189</v>
      </c>
      <c r="O413" s="7" t="s">
        <v>189</v>
      </c>
      <c r="P413" s="7" t="s">
        <v>3319</v>
      </c>
      <c r="Q413" s="7" t="s">
        <v>3354</v>
      </c>
      <c r="R413" s="7" t="s">
        <v>1707</v>
      </c>
      <c r="S413" s="7" t="s">
        <v>3321</v>
      </c>
      <c r="T413" s="7" t="s">
        <v>3206</v>
      </c>
      <c r="U413" s="18" t="n">
        <v>75</v>
      </c>
      <c r="V413" s="7"/>
      <c r="W413" s="7"/>
      <c r="X413" s="7" t="s">
        <v>203</v>
      </c>
      <c r="Y413" s="22" t="n">
        <v>0.00031806</v>
      </c>
      <c r="Z413" s="22" t="n">
        <v>0.004</v>
      </c>
      <c r="AA413" s="22" t="n">
        <v>24</v>
      </c>
      <c r="AB413" s="7" t="s">
        <v>3318</v>
      </c>
      <c r="AC413" s="7" t="s">
        <v>3330</v>
      </c>
      <c r="AD413" s="22" t="s">
        <v>197</v>
      </c>
      <c r="AE413" s="22" t="s">
        <v>197</v>
      </c>
      <c r="AF413" s="22" t="s">
        <v>197</v>
      </c>
      <c r="AG413" s="22" t="s">
        <v>197</v>
      </c>
      <c r="AH413" s="22" t="s">
        <v>197</v>
      </c>
      <c r="AI413" s="22" t="s">
        <v>197</v>
      </c>
      <c r="AJ413" s="22" t="s">
        <v>197</v>
      </c>
      <c r="AK413" s="22" t="s">
        <v>197</v>
      </c>
      <c r="AL413" s="22" t="s">
        <v>197</v>
      </c>
      <c r="AM413" s="22" t="s">
        <v>197</v>
      </c>
      <c r="AN413" s="7" t="s">
        <v>197</v>
      </c>
      <c r="AO413" s="22" t="s">
        <v>197</v>
      </c>
      <c r="AP413" s="22" t="n">
        <v>1.05</v>
      </c>
      <c r="AQ413" s="22" t="n">
        <v>1.4</v>
      </c>
    </row>
    <row r="414" customFormat="false" ht="21.75" hidden="false" customHeight="true" outlineLevel="0" collapsed="false">
      <c r="B414" s="15" t="n">
        <v>410</v>
      </c>
      <c r="C414" s="9" t="s">
        <v>84</v>
      </c>
      <c r="D414" s="9" t="s">
        <v>20</v>
      </c>
      <c r="E414" s="9" t="s">
        <v>126</v>
      </c>
      <c r="F414" s="9" t="s">
        <v>102</v>
      </c>
      <c r="G414" s="9" t="s">
        <v>3359</v>
      </c>
      <c r="H414" s="9" t="s">
        <v>2614</v>
      </c>
      <c r="I414" s="9" t="s">
        <v>2906</v>
      </c>
      <c r="J414" s="9" t="s">
        <v>2603</v>
      </c>
      <c r="K414" s="9" t="s">
        <v>3328</v>
      </c>
      <c r="L414" s="9" t="s">
        <v>3318</v>
      </c>
      <c r="M414" s="9" t="s">
        <v>2514</v>
      </c>
      <c r="N414" s="9" t="s">
        <v>189</v>
      </c>
      <c r="O414" s="9" t="s">
        <v>189</v>
      </c>
      <c r="P414" s="9" t="s">
        <v>3319</v>
      </c>
      <c r="Q414" s="9" t="s">
        <v>3354</v>
      </c>
      <c r="R414" s="9" t="s">
        <v>1707</v>
      </c>
      <c r="S414" s="9" t="s">
        <v>3321</v>
      </c>
      <c r="T414" s="9" t="s">
        <v>3206</v>
      </c>
      <c r="U414" s="19" t="n">
        <v>110</v>
      </c>
      <c r="V414" s="9"/>
      <c r="W414" s="9"/>
      <c r="X414" s="9" t="s">
        <v>205</v>
      </c>
      <c r="Y414" s="23" t="n">
        <v>0.00038068</v>
      </c>
      <c r="Z414" s="23" t="n">
        <v>0.005</v>
      </c>
      <c r="AA414" s="23" t="n">
        <v>24</v>
      </c>
      <c r="AB414" s="9" t="s">
        <v>3318</v>
      </c>
      <c r="AC414" s="9" t="s">
        <v>3330</v>
      </c>
      <c r="AD414" s="23" t="s">
        <v>197</v>
      </c>
      <c r="AE414" s="23" t="s">
        <v>197</v>
      </c>
      <c r="AF414" s="23" t="s">
        <v>197</v>
      </c>
      <c r="AG414" s="23" t="s">
        <v>197</v>
      </c>
      <c r="AH414" s="23" t="s">
        <v>197</v>
      </c>
      <c r="AI414" s="23" t="s">
        <v>197</v>
      </c>
      <c r="AJ414" s="23" t="s">
        <v>197</v>
      </c>
      <c r="AK414" s="23" t="s">
        <v>197</v>
      </c>
      <c r="AL414" s="23" t="s">
        <v>197</v>
      </c>
      <c r="AM414" s="23" t="s">
        <v>197</v>
      </c>
      <c r="AN414" s="9" t="s">
        <v>197</v>
      </c>
      <c r="AO414" s="23" t="s">
        <v>197</v>
      </c>
      <c r="AP414" s="23" t="n">
        <v>1.05</v>
      </c>
      <c r="AQ414" s="23" t="n">
        <v>1.4</v>
      </c>
    </row>
    <row r="415" customFormat="false" ht="21.75" hidden="false" customHeight="true" outlineLevel="0" collapsed="false">
      <c r="B415" s="14" t="n">
        <v>411</v>
      </c>
      <c r="C415" s="7" t="s">
        <v>84</v>
      </c>
      <c r="D415" s="7" t="s">
        <v>20</v>
      </c>
      <c r="E415" s="7" t="s">
        <v>126</v>
      </c>
      <c r="F415" s="7" t="s">
        <v>103</v>
      </c>
      <c r="G415" s="7" t="s">
        <v>3360</v>
      </c>
      <c r="H415" s="7" t="s">
        <v>3004</v>
      </c>
      <c r="I415" s="7" t="s">
        <v>3361</v>
      </c>
      <c r="J415" s="7" t="s">
        <v>3362</v>
      </c>
      <c r="K415" s="7" t="s">
        <v>3328</v>
      </c>
      <c r="L415" s="7" t="s">
        <v>3318</v>
      </c>
      <c r="M415" s="7" t="s">
        <v>2514</v>
      </c>
      <c r="N415" s="7" t="s">
        <v>189</v>
      </c>
      <c r="O415" s="7" t="s">
        <v>189</v>
      </c>
      <c r="P415" s="7" t="s">
        <v>3319</v>
      </c>
      <c r="Q415" s="7" t="s">
        <v>3363</v>
      </c>
      <c r="R415" s="7" t="s">
        <v>3364</v>
      </c>
      <c r="S415" s="7" t="s">
        <v>3321</v>
      </c>
      <c r="T415" s="7" t="s">
        <v>3365</v>
      </c>
      <c r="U415" s="18" t="n">
        <v>30</v>
      </c>
      <c r="V415" s="7"/>
      <c r="W415" s="7"/>
      <c r="X415" s="7" t="s">
        <v>195</v>
      </c>
      <c r="Y415" s="22" t="n">
        <v>0.00063568</v>
      </c>
      <c r="Z415" s="22" t="n">
        <v>0.11</v>
      </c>
      <c r="AA415" s="22" t="n">
        <v>24</v>
      </c>
      <c r="AB415" s="7" t="s">
        <v>3318</v>
      </c>
      <c r="AC415" s="7" t="s">
        <v>3011</v>
      </c>
      <c r="AD415" s="22" t="s">
        <v>197</v>
      </c>
      <c r="AE415" s="22" t="s">
        <v>197</v>
      </c>
      <c r="AF415" s="22" t="s">
        <v>197</v>
      </c>
      <c r="AG415" s="22" t="s">
        <v>197</v>
      </c>
      <c r="AH415" s="22" t="s">
        <v>197</v>
      </c>
      <c r="AI415" s="22" t="s">
        <v>197</v>
      </c>
      <c r="AJ415" s="22" t="s">
        <v>197</v>
      </c>
      <c r="AK415" s="22" t="s">
        <v>197</v>
      </c>
      <c r="AL415" s="22" t="s">
        <v>197</v>
      </c>
      <c r="AM415" s="22" t="s">
        <v>197</v>
      </c>
      <c r="AN415" s="7" t="s">
        <v>197</v>
      </c>
      <c r="AO415" s="22" t="n">
        <v>24.3</v>
      </c>
      <c r="AP415" s="22" t="n">
        <v>2</v>
      </c>
      <c r="AQ415" s="22" t="n">
        <v>2.45</v>
      </c>
    </row>
    <row r="416" customFormat="false" ht="21.75" hidden="false" customHeight="true" outlineLevel="0" collapsed="false">
      <c r="B416" s="15" t="n">
        <v>412</v>
      </c>
      <c r="C416" s="9" t="s">
        <v>84</v>
      </c>
      <c r="D416" s="9" t="s">
        <v>20</v>
      </c>
      <c r="E416" s="9" t="s">
        <v>126</v>
      </c>
      <c r="F416" s="9" t="s">
        <v>103</v>
      </c>
      <c r="G416" s="9" t="s">
        <v>3366</v>
      </c>
      <c r="H416" s="9" t="s">
        <v>3013</v>
      </c>
      <c r="I416" s="9" t="s">
        <v>3361</v>
      </c>
      <c r="J416" s="9" t="s">
        <v>3362</v>
      </c>
      <c r="K416" s="9" t="s">
        <v>3328</v>
      </c>
      <c r="L416" s="9" t="s">
        <v>3318</v>
      </c>
      <c r="M416" s="9" t="s">
        <v>2514</v>
      </c>
      <c r="N416" s="9" t="s">
        <v>189</v>
      </c>
      <c r="O416" s="9" t="s">
        <v>189</v>
      </c>
      <c r="P416" s="9" t="s">
        <v>3319</v>
      </c>
      <c r="Q416" s="9" t="s">
        <v>3363</v>
      </c>
      <c r="R416" s="9" t="s">
        <v>3364</v>
      </c>
      <c r="S416" s="9" t="s">
        <v>3321</v>
      </c>
      <c r="T416" s="9" t="s">
        <v>3365</v>
      </c>
      <c r="U416" s="19" t="n">
        <v>45</v>
      </c>
      <c r="V416" s="9"/>
      <c r="W416" s="9"/>
      <c r="X416" s="9" t="s">
        <v>199</v>
      </c>
      <c r="Y416" s="23" t="n">
        <v>0.00028976</v>
      </c>
      <c r="Z416" s="23" t="n">
        <v>0.062</v>
      </c>
      <c r="AA416" s="23" t="n">
        <v>24</v>
      </c>
      <c r="AB416" s="9" t="s">
        <v>3318</v>
      </c>
      <c r="AC416" s="9" t="s">
        <v>3011</v>
      </c>
      <c r="AD416" s="23" t="s">
        <v>197</v>
      </c>
      <c r="AE416" s="23" t="s">
        <v>197</v>
      </c>
      <c r="AF416" s="23" t="s">
        <v>197</v>
      </c>
      <c r="AG416" s="23" t="s">
        <v>197</v>
      </c>
      <c r="AH416" s="23" t="s">
        <v>197</v>
      </c>
      <c r="AI416" s="23" t="s">
        <v>197</v>
      </c>
      <c r="AJ416" s="23" t="s">
        <v>197</v>
      </c>
      <c r="AK416" s="23" t="s">
        <v>197</v>
      </c>
      <c r="AL416" s="23" t="s">
        <v>197</v>
      </c>
      <c r="AM416" s="23" t="s">
        <v>197</v>
      </c>
      <c r="AN416" s="9" t="s">
        <v>197</v>
      </c>
      <c r="AO416" s="23" t="n">
        <v>16.9</v>
      </c>
      <c r="AP416" s="23" t="n">
        <v>2</v>
      </c>
      <c r="AQ416" s="23" t="n">
        <v>2.45</v>
      </c>
    </row>
    <row r="417" customFormat="false" ht="21.75" hidden="false" customHeight="true" outlineLevel="0" collapsed="false">
      <c r="B417" s="14" t="n">
        <v>413</v>
      </c>
      <c r="C417" s="7" t="s">
        <v>84</v>
      </c>
      <c r="D417" s="7" t="s">
        <v>20</v>
      </c>
      <c r="E417" s="7" t="s">
        <v>126</v>
      </c>
      <c r="F417" s="7" t="s">
        <v>103</v>
      </c>
      <c r="G417" s="7" t="s">
        <v>3367</v>
      </c>
      <c r="H417" s="7" t="s">
        <v>3015</v>
      </c>
      <c r="I417" s="7" t="s">
        <v>3361</v>
      </c>
      <c r="J417" s="7" t="s">
        <v>3362</v>
      </c>
      <c r="K417" s="7" t="s">
        <v>3328</v>
      </c>
      <c r="L417" s="7" t="s">
        <v>3318</v>
      </c>
      <c r="M417" s="7" t="s">
        <v>2514</v>
      </c>
      <c r="N417" s="7" t="s">
        <v>189</v>
      </c>
      <c r="O417" s="7" t="s">
        <v>189</v>
      </c>
      <c r="P417" s="7" t="s">
        <v>3319</v>
      </c>
      <c r="Q417" s="7" t="s">
        <v>3363</v>
      </c>
      <c r="R417" s="7" t="s">
        <v>3364</v>
      </c>
      <c r="S417" s="7" t="s">
        <v>3321</v>
      </c>
      <c r="T417" s="7" t="s">
        <v>3365</v>
      </c>
      <c r="U417" s="18" t="n">
        <v>60</v>
      </c>
      <c r="V417" s="7"/>
      <c r="W417" s="7"/>
      <c r="X417" s="7" t="s">
        <v>3368</v>
      </c>
      <c r="Y417" s="22" t="n">
        <v>0.0009408</v>
      </c>
      <c r="Z417" s="22" t="n">
        <v>0.152</v>
      </c>
      <c r="AA417" s="22" t="n">
        <v>24</v>
      </c>
      <c r="AB417" s="7" t="s">
        <v>3318</v>
      </c>
      <c r="AC417" s="7" t="s">
        <v>3011</v>
      </c>
      <c r="AD417" s="22" t="s">
        <v>197</v>
      </c>
      <c r="AE417" s="22" t="s">
        <v>197</v>
      </c>
      <c r="AF417" s="22" t="s">
        <v>197</v>
      </c>
      <c r="AG417" s="22" t="s">
        <v>197</v>
      </c>
      <c r="AH417" s="22" t="s">
        <v>197</v>
      </c>
      <c r="AI417" s="22" t="s">
        <v>197</v>
      </c>
      <c r="AJ417" s="22" t="s">
        <v>197</v>
      </c>
      <c r="AK417" s="22" t="s">
        <v>197</v>
      </c>
      <c r="AL417" s="22" t="s">
        <v>197</v>
      </c>
      <c r="AM417" s="22" t="s">
        <v>197</v>
      </c>
      <c r="AN417" s="7" t="s">
        <v>197</v>
      </c>
      <c r="AO417" s="22" t="n">
        <v>30.7</v>
      </c>
      <c r="AP417" s="22" t="n">
        <v>2</v>
      </c>
      <c r="AQ417" s="22" t="n">
        <v>2.45</v>
      </c>
    </row>
    <row r="418" customFormat="false" ht="21.75" hidden="false" customHeight="true" outlineLevel="0" collapsed="false">
      <c r="B418" s="15" t="n">
        <v>414</v>
      </c>
      <c r="C418" s="9" t="s">
        <v>84</v>
      </c>
      <c r="D418" s="9" t="s">
        <v>20</v>
      </c>
      <c r="E418" s="9" t="s">
        <v>126</v>
      </c>
      <c r="F418" s="9" t="s">
        <v>103</v>
      </c>
      <c r="G418" s="9" t="s">
        <v>3369</v>
      </c>
      <c r="H418" s="9" t="s">
        <v>3018</v>
      </c>
      <c r="I418" s="9" t="s">
        <v>3361</v>
      </c>
      <c r="J418" s="9" t="s">
        <v>3362</v>
      </c>
      <c r="K418" s="9" t="s">
        <v>3328</v>
      </c>
      <c r="L418" s="9" t="s">
        <v>3318</v>
      </c>
      <c r="M418" s="9" t="s">
        <v>2514</v>
      </c>
      <c r="N418" s="9" t="s">
        <v>189</v>
      </c>
      <c r="O418" s="9" t="s">
        <v>189</v>
      </c>
      <c r="P418" s="9" t="s">
        <v>3319</v>
      </c>
      <c r="Q418" s="9" t="s">
        <v>3363</v>
      </c>
      <c r="R418" s="9" t="s">
        <v>3364</v>
      </c>
      <c r="S418" s="9" t="s">
        <v>3321</v>
      </c>
      <c r="T418" s="9" t="s">
        <v>3365</v>
      </c>
      <c r="U418" s="19" t="n">
        <v>90</v>
      </c>
      <c r="V418" s="9"/>
      <c r="W418" s="9"/>
      <c r="X418" s="9" t="s">
        <v>203</v>
      </c>
      <c r="Y418" s="23" t="n">
        <v>0.00061376</v>
      </c>
      <c r="Z418" s="23" t="n">
        <v>0.107</v>
      </c>
      <c r="AA418" s="23" t="n">
        <v>24</v>
      </c>
      <c r="AB418" s="9" t="s">
        <v>3318</v>
      </c>
      <c r="AC418" s="9" t="s">
        <v>3011</v>
      </c>
      <c r="AD418" s="23" t="s">
        <v>197</v>
      </c>
      <c r="AE418" s="23" t="s">
        <v>197</v>
      </c>
      <c r="AF418" s="23" t="s">
        <v>197</v>
      </c>
      <c r="AG418" s="23" t="s">
        <v>197</v>
      </c>
      <c r="AH418" s="23" t="s">
        <v>197</v>
      </c>
      <c r="AI418" s="23" t="s">
        <v>197</v>
      </c>
      <c r="AJ418" s="23" t="s">
        <v>197</v>
      </c>
      <c r="AK418" s="23" t="s">
        <v>197</v>
      </c>
      <c r="AL418" s="23" t="s">
        <v>197</v>
      </c>
      <c r="AM418" s="23" t="s">
        <v>197</v>
      </c>
      <c r="AN418" s="9" t="s">
        <v>197</v>
      </c>
      <c r="AO418" s="23" t="n">
        <v>23.8</v>
      </c>
      <c r="AP418" s="23" t="n">
        <v>2</v>
      </c>
      <c r="AQ418" s="23" t="n">
        <v>2.45</v>
      </c>
    </row>
    <row r="419" customFormat="false" ht="21.75" hidden="false" customHeight="true" outlineLevel="0" collapsed="false">
      <c r="B419" s="14" t="n">
        <v>415</v>
      </c>
      <c r="C419" s="7" t="s">
        <v>84</v>
      </c>
      <c r="D419" s="7" t="s">
        <v>20</v>
      </c>
      <c r="E419" s="7" t="s">
        <v>126</v>
      </c>
      <c r="F419" s="7" t="s">
        <v>103</v>
      </c>
      <c r="G419" s="7" t="s">
        <v>3370</v>
      </c>
      <c r="H419" s="7" t="s">
        <v>3020</v>
      </c>
      <c r="I419" s="7" t="s">
        <v>3361</v>
      </c>
      <c r="J419" s="7" t="s">
        <v>3362</v>
      </c>
      <c r="K419" s="7" t="s">
        <v>3328</v>
      </c>
      <c r="L419" s="7" t="s">
        <v>3318</v>
      </c>
      <c r="M419" s="7" t="s">
        <v>2514</v>
      </c>
      <c r="N419" s="7" t="s">
        <v>189</v>
      </c>
      <c r="O419" s="7" t="s">
        <v>189</v>
      </c>
      <c r="P419" s="7" t="s">
        <v>3319</v>
      </c>
      <c r="Q419" s="7" t="s">
        <v>3363</v>
      </c>
      <c r="R419" s="7" t="s">
        <v>3364</v>
      </c>
      <c r="S419" s="7" t="s">
        <v>3321</v>
      </c>
      <c r="T419" s="7" t="s">
        <v>3365</v>
      </c>
      <c r="U419" s="18" t="n">
        <v>135</v>
      </c>
      <c r="V419" s="7"/>
      <c r="W419" s="7"/>
      <c r="X419" s="7" t="s">
        <v>205</v>
      </c>
      <c r="Y419" s="22" t="n">
        <v>0.00040704</v>
      </c>
      <c r="Z419" s="22" t="n">
        <v>0.078</v>
      </c>
      <c r="AA419" s="22" t="n">
        <v>24</v>
      </c>
      <c r="AB419" s="7" t="s">
        <v>3318</v>
      </c>
      <c r="AC419" s="7" t="s">
        <v>3011</v>
      </c>
      <c r="AD419" s="22" t="s">
        <v>197</v>
      </c>
      <c r="AE419" s="22" t="s">
        <v>197</v>
      </c>
      <c r="AF419" s="22" t="s">
        <v>197</v>
      </c>
      <c r="AG419" s="22" t="s">
        <v>197</v>
      </c>
      <c r="AH419" s="22" t="s">
        <v>197</v>
      </c>
      <c r="AI419" s="22" t="s">
        <v>197</v>
      </c>
      <c r="AJ419" s="22" t="s">
        <v>197</v>
      </c>
      <c r="AK419" s="22" t="s">
        <v>197</v>
      </c>
      <c r="AL419" s="22" t="s">
        <v>197</v>
      </c>
      <c r="AM419" s="22" t="s">
        <v>197</v>
      </c>
      <c r="AN419" s="7" t="s">
        <v>197</v>
      </c>
      <c r="AO419" s="22" t="n">
        <v>19.4</v>
      </c>
      <c r="AP419" s="22" t="n">
        <v>2</v>
      </c>
      <c r="AQ419" s="22" t="n">
        <v>2.45</v>
      </c>
    </row>
    <row r="420" customFormat="false" ht="21.75" hidden="false" customHeight="true" outlineLevel="0" collapsed="false">
      <c r="B420" s="15" t="n">
        <v>416</v>
      </c>
      <c r="C420" s="9" t="s">
        <v>84</v>
      </c>
      <c r="D420" s="9" t="s">
        <v>20</v>
      </c>
      <c r="E420" s="9" t="s">
        <v>126</v>
      </c>
      <c r="F420" s="9" t="s">
        <v>104</v>
      </c>
      <c r="G420" s="9" t="s">
        <v>3371</v>
      </c>
      <c r="H420" s="9" t="s">
        <v>2617</v>
      </c>
      <c r="I420" s="9" t="s">
        <v>3372</v>
      </c>
      <c r="J420" s="9" t="s">
        <v>2918</v>
      </c>
      <c r="K420" s="9" t="s">
        <v>3344</v>
      </c>
      <c r="L420" s="9" t="s">
        <v>3318</v>
      </c>
      <c r="M420" s="9" t="s">
        <v>2514</v>
      </c>
      <c r="N420" s="9" t="s">
        <v>189</v>
      </c>
      <c r="O420" s="9" t="s">
        <v>189</v>
      </c>
      <c r="P420" s="9" t="s">
        <v>3319</v>
      </c>
      <c r="Q420" s="9" t="s">
        <v>3373</v>
      </c>
      <c r="R420" s="9" t="s">
        <v>689</v>
      </c>
      <c r="S420" s="9" t="s">
        <v>3321</v>
      </c>
      <c r="T420" s="9" t="s">
        <v>2621</v>
      </c>
      <c r="U420" s="19" t="n">
        <v>25</v>
      </c>
      <c r="V420" s="9"/>
      <c r="W420" s="9"/>
      <c r="X420" s="9" t="s">
        <v>195</v>
      </c>
      <c r="Y420" s="23" t="n">
        <v>0.0005108</v>
      </c>
      <c r="Z420" s="23" t="n">
        <v>0.007</v>
      </c>
      <c r="AA420" s="23" t="n">
        <v>24</v>
      </c>
      <c r="AB420" s="9" t="s">
        <v>3318</v>
      </c>
      <c r="AC420" s="9" t="s">
        <v>3330</v>
      </c>
      <c r="AD420" s="23" t="s">
        <v>197</v>
      </c>
      <c r="AE420" s="23" t="s">
        <v>197</v>
      </c>
      <c r="AF420" s="23" t="s">
        <v>197</v>
      </c>
      <c r="AG420" s="23" t="s">
        <v>197</v>
      </c>
      <c r="AH420" s="23" t="s">
        <v>197</v>
      </c>
      <c r="AI420" s="23" t="s">
        <v>197</v>
      </c>
      <c r="AJ420" s="23" t="s">
        <v>197</v>
      </c>
      <c r="AK420" s="23" t="s">
        <v>197</v>
      </c>
      <c r="AL420" s="23" t="s">
        <v>197</v>
      </c>
      <c r="AM420" s="23" t="s">
        <v>197</v>
      </c>
      <c r="AN420" s="9" t="s">
        <v>197</v>
      </c>
      <c r="AO420" s="23" t="s">
        <v>197</v>
      </c>
      <c r="AP420" s="23" t="s">
        <v>197</v>
      </c>
      <c r="AQ420" s="23" t="s">
        <v>197</v>
      </c>
    </row>
    <row r="421" customFormat="false" ht="21.75" hidden="false" customHeight="true" outlineLevel="0" collapsed="false">
      <c r="B421" s="14" t="n">
        <v>417</v>
      </c>
      <c r="C421" s="7" t="s">
        <v>84</v>
      </c>
      <c r="D421" s="7" t="s">
        <v>20</v>
      </c>
      <c r="E421" s="7" t="s">
        <v>126</v>
      </c>
      <c r="F421" s="7" t="s">
        <v>104</v>
      </c>
      <c r="G421" s="7" t="s">
        <v>3374</v>
      </c>
      <c r="H421" s="7" t="s">
        <v>2623</v>
      </c>
      <c r="I421" s="7" t="s">
        <v>3372</v>
      </c>
      <c r="J421" s="7" t="s">
        <v>2918</v>
      </c>
      <c r="K421" s="7" t="s">
        <v>3344</v>
      </c>
      <c r="L421" s="7" t="s">
        <v>3318</v>
      </c>
      <c r="M421" s="7" t="s">
        <v>2514</v>
      </c>
      <c r="N421" s="7" t="s">
        <v>189</v>
      </c>
      <c r="O421" s="7" t="s">
        <v>189</v>
      </c>
      <c r="P421" s="7" t="s">
        <v>3319</v>
      </c>
      <c r="Q421" s="7" t="s">
        <v>3373</v>
      </c>
      <c r="R421" s="7" t="s">
        <v>689</v>
      </c>
      <c r="S421" s="7" t="s">
        <v>3321</v>
      </c>
      <c r="T421" s="7" t="s">
        <v>2621</v>
      </c>
      <c r="U421" s="18" t="n">
        <v>40</v>
      </c>
      <c r="V421" s="7"/>
      <c r="W421" s="7"/>
      <c r="X421" s="7" t="s">
        <v>199</v>
      </c>
      <c r="Y421" s="22" t="n">
        <v>0.00062932</v>
      </c>
      <c r="Z421" s="22" t="n">
        <v>0.009</v>
      </c>
      <c r="AA421" s="22" t="n">
        <v>24</v>
      </c>
      <c r="AB421" s="7" t="s">
        <v>3318</v>
      </c>
      <c r="AC421" s="7" t="s">
        <v>3330</v>
      </c>
      <c r="AD421" s="22" t="s">
        <v>197</v>
      </c>
      <c r="AE421" s="22" t="s">
        <v>197</v>
      </c>
      <c r="AF421" s="22" t="s">
        <v>197</v>
      </c>
      <c r="AG421" s="22" t="s">
        <v>197</v>
      </c>
      <c r="AH421" s="22" t="s">
        <v>197</v>
      </c>
      <c r="AI421" s="22" t="s">
        <v>197</v>
      </c>
      <c r="AJ421" s="22" t="s">
        <v>197</v>
      </c>
      <c r="AK421" s="22" t="s">
        <v>197</v>
      </c>
      <c r="AL421" s="22" t="s">
        <v>197</v>
      </c>
      <c r="AM421" s="22" t="s">
        <v>197</v>
      </c>
      <c r="AN421" s="7" t="s">
        <v>197</v>
      </c>
      <c r="AO421" s="22" t="s">
        <v>197</v>
      </c>
      <c r="AP421" s="22" t="s">
        <v>197</v>
      </c>
      <c r="AQ421" s="22" t="s">
        <v>197</v>
      </c>
    </row>
    <row r="422" customFormat="false" ht="21.75" hidden="false" customHeight="true" outlineLevel="0" collapsed="false">
      <c r="B422" s="15" t="n">
        <v>418</v>
      </c>
      <c r="C422" s="9" t="s">
        <v>84</v>
      </c>
      <c r="D422" s="9" t="s">
        <v>20</v>
      </c>
      <c r="E422" s="9" t="s">
        <v>126</v>
      </c>
      <c r="F422" s="9" t="s">
        <v>104</v>
      </c>
      <c r="G422" s="9" t="s">
        <v>3375</v>
      </c>
      <c r="H422" s="9" t="s">
        <v>2625</v>
      </c>
      <c r="I422" s="9" t="s">
        <v>3372</v>
      </c>
      <c r="J422" s="9" t="s">
        <v>2918</v>
      </c>
      <c r="K422" s="9" t="s">
        <v>3344</v>
      </c>
      <c r="L422" s="9" t="s">
        <v>3318</v>
      </c>
      <c r="M422" s="9" t="s">
        <v>2514</v>
      </c>
      <c r="N422" s="9" t="s">
        <v>189</v>
      </c>
      <c r="O422" s="9" t="s">
        <v>189</v>
      </c>
      <c r="P422" s="9" t="s">
        <v>3319</v>
      </c>
      <c r="Q422" s="9" t="s">
        <v>3373</v>
      </c>
      <c r="R422" s="9" t="s">
        <v>689</v>
      </c>
      <c r="S422" s="9" t="s">
        <v>3321</v>
      </c>
      <c r="T422" s="9" t="s">
        <v>2621</v>
      </c>
      <c r="U422" s="19" t="n">
        <v>55</v>
      </c>
      <c r="V422" s="9"/>
      <c r="W422" s="9"/>
      <c r="X422" s="9" t="s">
        <v>3376</v>
      </c>
      <c r="Y422" s="23" t="n">
        <v>0.00056296</v>
      </c>
      <c r="Z422" s="23" t="n">
        <v>0.008</v>
      </c>
      <c r="AA422" s="23" t="n">
        <v>24</v>
      </c>
      <c r="AB422" s="9" t="s">
        <v>3318</v>
      </c>
      <c r="AC422" s="9" t="s">
        <v>3330</v>
      </c>
      <c r="AD422" s="23" t="s">
        <v>197</v>
      </c>
      <c r="AE422" s="23" t="s">
        <v>197</v>
      </c>
      <c r="AF422" s="23" t="s">
        <v>197</v>
      </c>
      <c r="AG422" s="23" t="s">
        <v>197</v>
      </c>
      <c r="AH422" s="23" t="s">
        <v>197</v>
      </c>
      <c r="AI422" s="23" t="s">
        <v>197</v>
      </c>
      <c r="AJ422" s="23" t="s">
        <v>197</v>
      </c>
      <c r="AK422" s="23" t="s">
        <v>197</v>
      </c>
      <c r="AL422" s="23" t="s">
        <v>197</v>
      </c>
      <c r="AM422" s="23" t="s">
        <v>197</v>
      </c>
      <c r="AN422" s="9" t="s">
        <v>197</v>
      </c>
      <c r="AO422" s="23" t="s">
        <v>197</v>
      </c>
      <c r="AP422" s="23" t="s">
        <v>197</v>
      </c>
      <c r="AQ422" s="23" t="s">
        <v>197</v>
      </c>
    </row>
    <row r="423" customFormat="false" ht="21.75" hidden="false" customHeight="true" outlineLevel="0" collapsed="false">
      <c r="B423" s="14" t="n">
        <v>419</v>
      </c>
      <c r="C423" s="7" t="s">
        <v>84</v>
      </c>
      <c r="D423" s="7" t="s">
        <v>20</v>
      </c>
      <c r="E423" s="7" t="s">
        <v>126</v>
      </c>
      <c r="F423" s="7" t="s">
        <v>104</v>
      </c>
      <c r="G423" s="7" t="s">
        <v>3377</v>
      </c>
      <c r="H423" s="7" t="s">
        <v>2628</v>
      </c>
      <c r="I423" s="7" t="s">
        <v>3372</v>
      </c>
      <c r="J423" s="7" t="s">
        <v>2918</v>
      </c>
      <c r="K423" s="7" t="s">
        <v>3344</v>
      </c>
      <c r="L423" s="7" t="s">
        <v>3318</v>
      </c>
      <c r="M423" s="7" t="s">
        <v>2514</v>
      </c>
      <c r="N423" s="7" t="s">
        <v>189</v>
      </c>
      <c r="O423" s="7" t="s">
        <v>189</v>
      </c>
      <c r="P423" s="7" t="s">
        <v>3319</v>
      </c>
      <c r="Q423" s="7" t="s">
        <v>3373</v>
      </c>
      <c r="R423" s="7" t="s">
        <v>689</v>
      </c>
      <c r="S423" s="7" t="s">
        <v>3321</v>
      </c>
      <c r="T423" s="7" t="s">
        <v>2621</v>
      </c>
      <c r="U423" s="18" t="n">
        <v>85</v>
      </c>
      <c r="V423" s="7"/>
      <c r="W423" s="7"/>
      <c r="X423" s="7" t="s">
        <v>203</v>
      </c>
      <c r="Y423" s="22" t="n">
        <v>0.00047404</v>
      </c>
      <c r="Z423" s="22" t="n">
        <v>0.006</v>
      </c>
      <c r="AA423" s="22" t="n">
        <v>24</v>
      </c>
      <c r="AB423" s="7" t="s">
        <v>3318</v>
      </c>
      <c r="AC423" s="7" t="s">
        <v>3330</v>
      </c>
      <c r="AD423" s="22" t="s">
        <v>197</v>
      </c>
      <c r="AE423" s="22" t="s">
        <v>197</v>
      </c>
      <c r="AF423" s="22" t="s">
        <v>197</v>
      </c>
      <c r="AG423" s="22" t="s">
        <v>197</v>
      </c>
      <c r="AH423" s="22" t="s">
        <v>197</v>
      </c>
      <c r="AI423" s="22" t="s">
        <v>197</v>
      </c>
      <c r="AJ423" s="22" t="s">
        <v>197</v>
      </c>
      <c r="AK423" s="22" t="s">
        <v>197</v>
      </c>
      <c r="AL423" s="22" t="s">
        <v>197</v>
      </c>
      <c r="AM423" s="22" t="s">
        <v>197</v>
      </c>
      <c r="AN423" s="7" t="s">
        <v>197</v>
      </c>
      <c r="AO423" s="22" t="s">
        <v>197</v>
      </c>
      <c r="AP423" s="22" t="s">
        <v>197</v>
      </c>
      <c r="AQ423" s="22" t="s">
        <v>197</v>
      </c>
    </row>
    <row r="424" customFormat="false" ht="21.75" hidden="false" customHeight="true" outlineLevel="0" collapsed="false">
      <c r="B424" s="15" t="n">
        <v>420</v>
      </c>
      <c r="C424" s="9" t="s">
        <v>84</v>
      </c>
      <c r="D424" s="9" t="s">
        <v>20</v>
      </c>
      <c r="E424" s="9" t="s">
        <v>126</v>
      </c>
      <c r="F424" s="9" t="s">
        <v>104</v>
      </c>
      <c r="G424" s="9" t="s">
        <v>3378</v>
      </c>
      <c r="H424" s="9" t="s">
        <v>2630</v>
      </c>
      <c r="I424" s="9" t="s">
        <v>3372</v>
      </c>
      <c r="J424" s="9" t="s">
        <v>2918</v>
      </c>
      <c r="K424" s="9" t="s">
        <v>3344</v>
      </c>
      <c r="L424" s="9" t="s">
        <v>3318</v>
      </c>
      <c r="M424" s="9" t="s">
        <v>2514</v>
      </c>
      <c r="N424" s="9" t="s">
        <v>189</v>
      </c>
      <c r="O424" s="9" t="s">
        <v>189</v>
      </c>
      <c r="P424" s="9" t="s">
        <v>3319</v>
      </c>
      <c r="Q424" s="9" t="s">
        <v>3373</v>
      </c>
      <c r="R424" s="9" t="s">
        <v>689</v>
      </c>
      <c r="S424" s="9" t="s">
        <v>3321</v>
      </c>
      <c r="T424" s="9" t="s">
        <v>2621</v>
      </c>
      <c r="U424" s="19" t="n">
        <v>125</v>
      </c>
      <c r="V424" s="9"/>
      <c r="W424" s="9"/>
      <c r="X424" s="9" t="s">
        <v>205</v>
      </c>
      <c r="Y424" s="23" t="n">
        <v>0.00069884</v>
      </c>
      <c r="Z424" s="23" t="n">
        <v>0.01</v>
      </c>
      <c r="AA424" s="23" t="n">
        <v>24</v>
      </c>
      <c r="AB424" s="9" t="s">
        <v>3318</v>
      </c>
      <c r="AC424" s="9" t="s">
        <v>3330</v>
      </c>
      <c r="AD424" s="23" t="s">
        <v>197</v>
      </c>
      <c r="AE424" s="23" t="s">
        <v>197</v>
      </c>
      <c r="AF424" s="23" t="s">
        <v>197</v>
      </c>
      <c r="AG424" s="23" t="s">
        <v>197</v>
      </c>
      <c r="AH424" s="23" t="s">
        <v>197</v>
      </c>
      <c r="AI424" s="23" t="s">
        <v>197</v>
      </c>
      <c r="AJ424" s="23" t="s">
        <v>197</v>
      </c>
      <c r="AK424" s="23" t="s">
        <v>197</v>
      </c>
      <c r="AL424" s="23" t="s">
        <v>197</v>
      </c>
      <c r="AM424" s="23" t="s">
        <v>197</v>
      </c>
      <c r="AN424" s="9" t="s">
        <v>197</v>
      </c>
      <c r="AO424" s="23" t="s">
        <v>197</v>
      </c>
      <c r="AP424" s="23" t="s">
        <v>197</v>
      </c>
      <c r="AQ424" s="23" t="s">
        <v>197</v>
      </c>
    </row>
    <row r="425" customFormat="false" ht="21.75" hidden="false" customHeight="true" outlineLevel="0" collapsed="false">
      <c r="B425" s="14" t="n">
        <v>421</v>
      </c>
      <c r="C425" s="7" t="s">
        <v>84</v>
      </c>
      <c r="D425" s="7" t="s">
        <v>20</v>
      </c>
      <c r="E425" s="7" t="s">
        <v>126</v>
      </c>
      <c r="F425" s="7" t="s">
        <v>105</v>
      </c>
      <c r="G425" s="7" t="s">
        <v>3379</v>
      </c>
      <c r="H425" s="7" t="s">
        <v>2632</v>
      </c>
      <c r="I425" s="7" t="s">
        <v>3380</v>
      </c>
      <c r="J425" s="7" t="s">
        <v>3032</v>
      </c>
      <c r="K425" s="7" t="s">
        <v>3344</v>
      </c>
      <c r="L425" s="7" t="s">
        <v>3318</v>
      </c>
      <c r="M425" s="7" t="s">
        <v>2514</v>
      </c>
      <c r="N425" s="7" t="s">
        <v>189</v>
      </c>
      <c r="O425" s="7" t="s">
        <v>189</v>
      </c>
      <c r="P425" s="7" t="s">
        <v>3319</v>
      </c>
      <c r="Q425" s="7" t="s">
        <v>3373</v>
      </c>
      <c r="R425" s="7" t="s">
        <v>734</v>
      </c>
      <c r="S425" s="7" t="s">
        <v>3321</v>
      </c>
      <c r="T425" s="7" t="s">
        <v>2926</v>
      </c>
      <c r="U425" s="18" t="n">
        <v>30</v>
      </c>
      <c r="V425" s="7"/>
      <c r="W425" s="7"/>
      <c r="X425" s="7" t="s">
        <v>195</v>
      </c>
      <c r="Y425" s="22" t="n">
        <v>0.000865</v>
      </c>
      <c r="Z425" s="22" t="n">
        <v>0.056</v>
      </c>
      <c r="AA425" s="22" t="n">
        <v>24</v>
      </c>
      <c r="AB425" s="7" t="s">
        <v>3318</v>
      </c>
      <c r="AC425" s="7" t="s">
        <v>3330</v>
      </c>
      <c r="AD425" s="22" t="s">
        <v>197</v>
      </c>
      <c r="AE425" s="22" t="s">
        <v>197</v>
      </c>
      <c r="AF425" s="22" t="s">
        <v>197</v>
      </c>
      <c r="AG425" s="22" t="s">
        <v>197</v>
      </c>
      <c r="AH425" s="22" t="s">
        <v>197</v>
      </c>
      <c r="AI425" s="22" t="s">
        <v>197</v>
      </c>
      <c r="AJ425" s="22" t="s">
        <v>197</v>
      </c>
      <c r="AK425" s="22" t="s">
        <v>197</v>
      </c>
      <c r="AL425" s="22" t="s">
        <v>197</v>
      </c>
      <c r="AM425" s="22" t="s">
        <v>197</v>
      </c>
      <c r="AN425" s="7" t="s">
        <v>197</v>
      </c>
      <c r="AO425" s="22" t="s">
        <v>197</v>
      </c>
      <c r="AP425" s="22" t="s">
        <v>197</v>
      </c>
      <c r="AQ425" s="22" t="s">
        <v>197</v>
      </c>
    </row>
    <row r="426" customFormat="false" ht="21.75" hidden="false" customHeight="true" outlineLevel="0" collapsed="false">
      <c r="B426" s="15" t="n">
        <v>422</v>
      </c>
      <c r="C426" s="9" t="s">
        <v>84</v>
      </c>
      <c r="D426" s="9" t="s">
        <v>20</v>
      </c>
      <c r="E426" s="9" t="s">
        <v>126</v>
      </c>
      <c r="F426" s="9" t="s">
        <v>105</v>
      </c>
      <c r="G426" s="9" t="s">
        <v>3381</v>
      </c>
      <c r="H426" s="9" t="s">
        <v>2637</v>
      </c>
      <c r="I426" s="9" t="s">
        <v>3380</v>
      </c>
      <c r="J426" s="9" t="s">
        <v>3032</v>
      </c>
      <c r="K426" s="9" t="s">
        <v>3344</v>
      </c>
      <c r="L426" s="9" t="s">
        <v>3318</v>
      </c>
      <c r="M426" s="9" t="s">
        <v>2514</v>
      </c>
      <c r="N426" s="9" t="s">
        <v>189</v>
      </c>
      <c r="O426" s="9" t="s">
        <v>189</v>
      </c>
      <c r="P426" s="9" t="s">
        <v>3319</v>
      </c>
      <c r="Q426" s="9" t="s">
        <v>3373</v>
      </c>
      <c r="R426" s="9" t="s">
        <v>734</v>
      </c>
      <c r="S426" s="9" t="s">
        <v>3321</v>
      </c>
      <c r="T426" s="9" t="s">
        <v>2926</v>
      </c>
      <c r="U426" s="19" t="n">
        <v>45</v>
      </c>
      <c r="V426" s="9"/>
      <c r="W426" s="9"/>
      <c r="X426" s="9" t="s">
        <v>199</v>
      </c>
      <c r="Y426" s="23" t="n">
        <v>0.0008206</v>
      </c>
      <c r="Z426" s="23" t="n">
        <v>0.052</v>
      </c>
      <c r="AA426" s="23" t="n">
        <v>24</v>
      </c>
      <c r="AB426" s="9" t="s">
        <v>3318</v>
      </c>
      <c r="AC426" s="9" t="s">
        <v>3330</v>
      </c>
      <c r="AD426" s="23" t="s">
        <v>197</v>
      </c>
      <c r="AE426" s="23" t="s">
        <v>197</v>
      </c>
      <c r="AF426" s="23" t="s">
        <v>197</v>
      </c>
      <c r="AG426" s="23" t="s">
        <v>197</v>
      </c>
      <c r="AH426" s="23" t="s">
        <v>197</v>
      </c>
      <c r="AI426" s="23" t="s">
        <v>197</v>
      </c>
      <c r="AJ426" s="23" t="s">
        <v>197</v>
      </c>
      <c r="AK426" s="23" t="s">
        <v>197</v>
      </c>
      <c r="AL426" s="23" t="s">
        <v>197</v>
      </c>
      <c r="AM426" s="23" t="s">
        <v>197</v>
      </c>
      <c r="AN426" s="9" t="s">
        <v>197</v>
      </c>
      <c r="AO426" s="23" t="s">
        <v>197</v>
      </c>
      <c r="AP426" s="23" t="s">
        <v>197</v>
      </c>
      <c r="AQ426" s="23" t="s">
        <v>197</v>
      </c>
    </row>
    <row r="427" customFormat="false" ht="21.75" hidden="false" customHeight="true" outlineLevel="0" collapsed="false">
      <c r="B427" s="14" t="n">
        <v>423</v>
      </c>
      <c r="C427" s="7" t="s">
        <v>84</v>
      </c>
      <c r="D427" s="7" t="s">
        <v>20</v>
      </c>
      <c r="E427" s="7" t="s">
        <v>126</v>
      </c>
      <c r="F427" s="7" t="s">
        <v>105</v>
      </c>
      <c r="G427" s="7" t="s">
        <v>3382</v>
      </c>
      <c r="H427" s="7" t="s">
        <v>2639</v>
      </c>
      <c r="I427" s="7" t="s">
        <v>3380</v>
      </c>
      <c r="J427" s="7" t="s">
        <v>3032</v>
      </c>
      <c r="K427" s="7" t="s">
        <v>3344</v>
      </c>
      <c r="L427" s="7" t="s">
        <v>3318</v>
      </c>
      <c r="M427" s="7" t="s">
        <v>2514</v>
      </c>
      <c r="N427" s="7" t="s">
        <v>189</v>
      </c>
      <c r="O427" s="7" t="s">
        <v>189</v>
      </c>
      <c r="P427" s="7" t="s">
        <v>3319</v>
      </c>
      <c r="Q427" s="7" t="s">
        <v>3373</v>
      </c>
      <c r="R427" s="7" t="s">
        <v>734</v>
      </c>
      <c r="S427" s="7" t="s">
        <v>3321</v>
      </c>
      <c r="T427" s="7" t="s">
        <v>2926</v>
      </c>
      <c r="U427" s="18" t="n">
        <v>60</v>
      </c>
      <c r="V427" s="7"/>
      <c r="W427" s="7"/>
      <c r="X427" s="7" t="s">
        <v>3383</v>
      </c>
      <c r="Y427" s="22" t="n">
        <v>0.00059296</v>
      </c>
      <c r="Z427" s="22" t="n">
        <v>0.029</v>
      </c>
      <c r="AA427" s="22" t="n">
        <v>24</v>
      </c>
      <c r="AB427" s="7" t="s">
        <v>3318</v>
      </c>
      <c r="AC427" s="7" t="s">
        <v>3330</v>
      </c>
      <c r="AD427" s="22" t="s">
        <v>197</v>
      </c>
      <c r="AE427" s="22" t="s">
        <v>197</v>
      </c>
      <c r="AF427" s="22" t="s">
        <v>197</v>
      </c>
      <c r="AG427" s="22" t="s">
        <v>197</v>
      </c>
      <c r="AH427" s="22" t="s">
        <v>197</v>
      </c>
      <c r="AI427" s="22" t="s">
        <v>197</v>
      </c>
      <c r="AJ427" s="22" t="s">
        <v>197</v>
      </c>
      <c r="AK427" s="22" t="s">
        <v>197</v>
      </c>
      <c r="AL427" s="22" t="s">
        <v>197</v>
      </c>
      <c r="AM427" s="22" t="s">
        <v>197</v>
      </c>
      <c r="AN427" s="7" t="s">
        <v>197</v>
      </c>
      <c r="AO427" s="22" t="s">
        <v>197</v>
      </c>
      <c r="AP427" s="22" t="s">
        <v>197</v>
      </c>
      <c r="AQ427" s="22" t="s">
        <v>197</v>
      </c>
    </row>
    <row r="428" customFormat="false" ht="21.75" hidden="false" customHeight="true" outlineLevel="0" collapsed="false">
      <c r="B428" s="15" t="n">
        <v>424</v>
      </c>
      <c r="C428" s="9" t="s">
        <v>84</v>
      </c>
      <c r="D428" s="9" t="s">
        <v>20</v>
      </c>
      <c r="E428" s="9" t="s">
        <v>126</v>
      </c>
      <c r="F428" s="9" t="s">
        <v>105</v>
      </c>
      <c r="G428" s="9" t="s">
        <v>3384</v>
      </c>
      <c r="H428" s="9" t="s">
        <v>2642</v>
      </c>
      <c r="I428" s="9" t="s">
        <v>3380</v>
      </c>
      <c r="J428" s="9" t="s">
        <v>3032</v>
      </c>
      <c r="K428" s="9" t="s">
        <v>3344</v>
      </c>
      <c r="L428" s="9" t="s">
        <v>3318</v>
      </c>
      <c r="M428" s="9" t="s">
        <v>2514</v>
      </c>
      <c r="N428" s="9" t="s">
        <v>189</v>
      </c>
      <c r="O428" s="9" t="s">
        <v>189</v>
      </c>
      <c r="P428" s="9" t="s">
        <v>3319</v>
      </c>
      <c r="Q428" s="9" t="s">
        <v>3373</v>
      </c>
      <c r="R428" s="9" t="s">
        <v>734</v>
      </c>
      <c r="S428" s="9" t="s">
        <v>3321</v>
      </c>
      <c r="T428" s="9" t="s">
        <v>2926</v>
      </c>
      <c r="U428" s="19" t="n">
        <v>90</v>
      </c>
      <c r="V428" s="9"/>
      <c r="W428" s="9"/>
      <c r="X428" s="9" t="s">
        <v>203</v>
      </c>
      <c r="Y428" s="23" t="n">
        <v>0.00070184</v>
      </c>
      <c r="Z428" s="23" t="n">
        <v>0.04</v>
      </c>
      <c r="AA428" s="23" t="n">
        <v>24</v>
      </c>
      <c r="AB428" s="9" t="s">
        <v>3318</v>
      </c>
      <c r="AC428" s="9" t="s">
        <v>3330</v>
      </c>
      <c r="AD428" s="23" t="s">
        <v>197</v>
      </c>
      <c r="AE428" s="23" t="s">
        <v>197</v>
      </c>
      <c r="AF428" s="23" t="s">
        <v>197</v>
      </c>
      <c r="AG428" s="23" t="s">
        <v>197</v>
      </c>
      <c r="AH428" s="23" t="s">
        <v>197</v>
      </c>
      <c r="AI428" s="23" t="s">
        <v>197</v>
      </c>
      <c r="AJ428" s="23" t="s">
        <v>197</v>
      </c>
      <c r="AK428" s="23" t="s">
        <v>197</v>
      </c>
      <c r="AL428" s="23" t="s">
        <v>197</v>
      </c>
      <c r="AM428" s="23" t="s">
        <v>197</v>
      </c>
      <c r="AN428" s="9" t="s">
        <v>197</v>
      </c>
      <c r="AO428" s="23" t="s">
        <v>197</v>
      </c>
      <c r="AP428" s="23" t="s">
        <v>197</v>
      </c>
      <c r="AQ428" s="23" t="s">
        <v>197</v>
      </c>
    </row>
    <row r="429" customFormat="false" ht="21.75" hidden="false" customHeight="true" outlineLevel="0" collapsed="false">
      <c r="B429" s="14" t="n">
        <v>425</v>
      </c>
      <c r="C429" s="7" t="s">
        <v>84</v>
      </c>
      <c r="D429" s="7" t="s">
        <v>20</v>
      </c>
      <c r="E429" s="7" t="s">
        <v>126</v>
      </c>
      <c r="F429" s="7" t="s">
        <v>105</v>
      </c>
      <c r="G429" s="7" t="s">
        <v>3385</v>
      </c>
      <c r="H429" s="7" t="s">
        <v>2644</v>
      </c>
      <c r="I429" s="7" t="s">
        <v>3380</v>
      </c>
      <c r="J429" s="7" t="s">
        <v>3032</v>
      </c>
      <c r="K429" s="7" t="s">
        <v>3344</v>
      </c>
      <c r="L429" s="7" t="s">
        <v>3318</v>
      </c>
      <c r="M429" s="7" t="s">
        <v>2514</v>
      </c>
      <c r="N429" s="7" t="s">
        <v>189</v>
      </c>
      <c r="O429" s="7" t="s">
        <v>189</v>
      </c>
      <c r="P429" s="7" t="s">
        <v>3319</v>
      </c>
      <c r="Q429" s="7" t="s">
        <v>3373</v>
      </c>
      <c r="R429" s="7" t="s">
        <v>734</v>
      </c>
      <c r="S429" s="7" t="s">
        <v>3321</v>
      </c>
      <c r="T429" s="7" t="s">
        <v>2926</v>
      </c>
      <c r="U429" s="18" t="n">
        <v>130</v>
      </c>
      <c r="V429" s="7"/>
      <c r="W429" s="7"/>
      <c r="X429" s="7" t="s">
        <v>205</v>
      </c>
      <c r="Y429" s="22" t="n">
        <v>0.0007648</v>
      </c>
      <c r="Z429" s="22" t="n">
        <v>0.046</v>
      </c>
      <c r="AA429" s="22" t="n">
        <v>24</v>
      </c>
      <c r="AB429" s="7" t="s">
        <v>3318</v>
      </c>
      <c r="AC429" s="7" t="s">
        <v>3330</v>
      </c>
      <c r="AD429" s="22" t="s">
        <v>197</v>
      </c>
      <c r="AE429" s="22" t="s">
        <v>197</v>
      </c>
      <c r="AF429" s="22" t="s">
        <v>197</v>
      </c>
      <c r="AG429" s="22" t="s">
        <v>197</v>
      </c>
      <c r="AH429" s="22" t="s">
        <v>197</v>
      </c>
      <c r="AI429" s="22" t="s">
        <v>197</v>
      </c>
      <c r="AJ429" s="22" t="s">
        <v>197</v>
      </c>
      <c r="AK429" s="22" t="s">
        <v>197</v>
      </c>
      <c r="AL429" s="22" t="s">
        <v>197</v>
      </c>
      <c r="AM429" s="22" t="s">
        <v>197</v>
      </c>
      <c r="AN429" s="7" t="s">
        <v>197</v>
      </c>
      <c r="AO429" s="22" t="s">
        <v>197</v>
      </c>
      <c r="AP429" s="22" t="s">
        <v>197</v>
      </c>
      <c r="AQ429" s="22" t="s">
        <v>197</v>
      </c>
    </row>
    <row r="430" customFormat="false" ht="21.75" hidden="false" customHeight="true" outlineLevel="0" collapsed="false">
      <c r="B430" s="15" t="n">
        <v>426</v>
      </c>
      <c r="C430" s="9" t="s">
        <v>84</v>
      </c>
      <c r="D430" s="9" t="s">
        <v>20</v>
      </c>
      <c r="E430" s="9" t="s">
        <v>126</v>
      </c>
      <c r="F430" s="9" t="s">
        <v>106</v>
      </c>
      <c r="G430" s="9" t="s">
        <v>391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19"/>
      <c r="V430" s="9"/>
      <c r="W430" s="9"/>
      <c r="X430" s="9" t="s">
        <v>3386</v>
      </c>
      <c r="Y430" s="23" t="s">
        <v>197</v>
      </c>
      <c r="Z430" s="23" t="s">
        <v>197</v>
      </c>
      <c r="AA430" s="23" t="s">
        <v>197</v>
      </c>
      <c r="AB430" s="9" t="s">
        <v>197</v>
      </c>
      <c r="AC430" s="9" t="s">
        <v>197</v>
      </c>
      <c r="AD430" s="23" t="s">
        <v>197</v>
      </c>
      <c r="AE430" s="23" t="s">
        <v>197</v>
      </c>
      <c r="AF430" s="23" t="s">
        <v>197</v>
      </c>
      <c r="AG430" s="23" t="s">
        <v>197</v>
      </c>
      <c r="AH430" s="23" t="s">
        <v>197</v>
      </c>
      <c r="AI430" s="23" t="s">
        <v>197</v>
      </c>
      <c r="AJ430" s="23" t="s">
        <v>197</v>
      </c>
      <c r="AK430" s="23" t="s">
        <v>197</v>
      </c>
      <c r="AL430" s="23" t="s">
        <v>197</v>
      </c>
      <c r="AM430" s="23" t="s">
        <v>197</v>
      </c>
      <c r="AN430" s="9" t="s">
        <v>197</v>
      </c>
      <c r="AO430" s="23" t="s">
        <v>197</v>
      </c>
      <c r="AP430" s="23" t="s">
        <v>197</v>
      </c>
      <c r="AQ430" s="23" t="s">
        <v>197</v>
      </c>
    </row>
    <row r="431" customFormat="false" ht="21.75" hidden="false" customHeight="true" outlineLevel="0" collapsed="false">
      <c r="B431" s="14" t="n">
        <v>427</v>
      </c>
      <c r="C431" s="7" t="s">
        <v>84</v>
      </c>
      <c r="D431" s="7" t="s">
        <v>20</v>
      </c>
      <c r="E431" s="7" t="s">
        <v>126</v>
      </c>
      <c r="F431" s="7" t="s">
        <v>107</v>
      </c>
      <c r="G431" s="7" t="s">
        <v>3387</v>
      </c>
      <c r="H431" s="7" t="s">
        <v>2796</v>
      </c>
      <c r="I431" s="7" t="s">
        <v>3388</v>
      </c>
      <c r="J431" s="7" t="s">
        <v>3389</v>
      </c>
      <c r="K431" s="7" t="s">
        <v>3390</v>
      </c>
      <c r="L431" s="7" t="s">
        <v>3318</v>
      </c>
      <c r="M431" s="7" t="s">
        <v>2565</v>
      </c>
      <c r="N431" s="7" t="s">
        <v>189</v>
      </c>
      <c r="O431" s="7" t="s">
        <v>189</v>
      </c>
      <c r="P431" s="7" t="s">
        <v>3319</v>
      </c>
      <c r="Q431" s="7" t="s">
        <v>3391</v>
      </c>
      <c r="R431" s="7" t="s">
        <v>2787</v>
      </c>
      <c r="S431" s="7" t="s">
        <v>3321</v>
      </c>
      <c r="T431" s="7" t="s">
        <v>3392</v>
      </c>
      <c r="U431" s="18" t="n">
        <v>80</v>
      </c>
      <c r="V431" s="7"/>
      <c r="W431" s="7"/>
      <c r="X431" s="7" t="s">
        <v>195</v>
      </c>
      <c r="Y431" s="22" t="n">
        <v>0.075</v>
      </c>
      <c r="Z431" s="22" t="n">
        <v>0.113</v>
      </c>
      <c r="AA431" s="22" t="n">
        <v>24</v>
      </c>
      <c r="AB431" s="7" t="s">
        <v>3318</v>
      </c>
      <c r="AC431" s="7" t="s">
        <v>2801</v>
      </c>
      <c r="AD431" s="22" t="s">
        <v>197</v>
      </c>
      <c r="AE431" s="22" t="s">
        <v>197</v>
      </c>
      <c r="AF431" s="22" t="s">
        <v>197</v>
      </c>
      <c r="AG431" s="22" t="s">
        <v>197</v>
      </c>
      <c r="AH431" s="22" t="s">
        <v>197</v>
      </c>
      <c r="AI431" s="22" t="s">
        <v>197</v>
      </c>
      <c r="AJ431" s="22" t="s">
        <v>197</v>
      </c>
      <c r="AK431" s="22" t="s">
        <v>197</v>
      </c>
      <c r="AL431" s="22" t="s">
        <v>197</v>
      </c>
      <c r="AM431" s="22" t="s">
        <v>197</v>
      </c>
      <c r="AN431" s="7" t="s">
        <v>2802</v>
      </c>
      <c r="AO431" s="22" t="s">
        <v>197</v>
      </c>
      <c r="AP431" s="22" t="s">
        <v>197</v>
      </c>
      <c r="AQ431" s="22" t="s">
        <v>197</v>
      </c>
    </row>
    <row r="432" customFormat="false" ht="21.75" hidden="false" customHeight="true" outlineLevel="0" collapsed="false">
      <c r="B432" s="15" t="n">
        <v>428</v>
      </c>
      <c r="C432" s="9" t="s">
        <v>84</v>
      </c>
      <c r="D432" s="9" t="s">
        <v>20</v>
      </c>
      <c r="E432" s="9" t="s">
        <v>126</v>
      </c>
      <c r="F432" s="9" t="s">
        <v>107</v>
      </c>
      <c r="G432" s="9" t="s">
        <v>3393</v>
      </c>
      <c r="H432" s="9" t="s">
        <v>2804</v>
      </c>
      <c r="I432" s="9" t="s">
        <v>3388</v>
      </c>
      <c r="J432" s="9" t="s">
        <v>3389</v>
      </c>
      <c r="K432" s="9" t="s">
        <v>3390</v>
      </c>
      <c r="L432" s="9" t="s">
        <v>3318</v>
      </c>
      <c r="M432" s="9" t="s">
        <v>2565</v>
      </c>
      <c r="N432" s="9" t="s">
        <v>189</v>
      </c>
      <c r="O432" s="9" t="s">
        <v>189</v>
      </c>
      <c r="P432" s="9" t="s">
        <v>3319</v>
      </c>
      <c r="Q432" s="9" t="s">
        <v>3391</v>
      </c>
      <c r="R432" s="9" t="s">
        <v>2787</v>
      </c>
      <c r="S432" s="9" t="s">
        <v>3321</v>
      </c>
      <c r="T432" s="9" t="s">
        <v>3392</v>
      </c>
      <c r="U432" s="19" t="n">
        <v>120</v>
      </c>
      <c r="V432" s="9"/>
      <c r="W432" s="9"/>
      <c r="X432" s="9" t="s">
        <v>199</v>
      </c>
      <c r="Y432" s="23" t="n">
        <v>0.072</v>
      </c>
      <c r="Z432" s="23" t="n">
        <v>0.108</v>
      </c>
      <c r="AA432" s="23" t="n">
        <v>24</v>
      </c>
      <c r="AB432" s="9" t="s">
        <v>3318</v>
      </c>
      <c r="AC432" s="9" t="s">
        <v>2801</v>
      </c>
      <c r="AD432" s="23" t="s">
        <v>197</v>
      </c>
      <c r="AE432" s="23" t="s">
        <v>197</v>
      </c>
      <c r="AF432" s="23" t="s">
        <v>197</v>
      </c>
      <c r="AG432" s="23" t="s">
        <v>197</v>
      </c>
      <c r="AH432" s="23" t="s">
        <v>197</v>
      </c>
      <c r="AI432" s="23" t="s">
        <v>197</v>
      </c>
      <c r="AJ432" s="23" t="s">
        <v>197</v>
      </c>
      <c r="AK432" s="23" t="s">
        <v>197</v>
      </c>
      <c r="AL432" s="23" t="s">
        <v>197</v>
      </c>
      <c r="AM432" s="23" t="s">
        <v>197</v>
      </c>
      <c r="AN432" s="9" t="s">
        <v>2802</v>
      </c>
      <c r="AO432" s="23" t="s">
        <v>197</v>
      </c>
      <c r="AP432" s="23" t="s">
        <v>197</v>
      </c>
      <c r="AQ432" s="23" t="s">
        <v>197</v>
      </c>
    </row>
    <row r="433" customFormat="false" ht="21.75" hidden="false" customHeight="true" outlineLevel="0" collapsed="false">
      <c r="B433" s="14" t="n">
        <v>429</v>
      </c>
      <c r="C433" s="7" t="s">
        <v>84</v>
      </c>
      <c r="D433" s="7" t="s">
        <v>20</v>
      </c>
      <c r="E433" s="7" t="s">
        <v>126</v>
      </c>
      <c r="F433" s="7" t="s">
        <v>107</v>
      </c>
      <c r="G433" s="7" t="s">
        <v>3394</v>
      </c>
      <c r="H433" s="7" t="s">
        <v>2806</v>
      </c>
      <c r="I433" s="7" t="s">
        <v>3388</v>
      </c>
      <c r="J433" s="7" t="s">
        <v>3389</v>
      </c>
      <c r="K433" s="7" t="s">
        <v>3390</v>
      </c>
      <c r="L433" s="7" t="s">
        <v>3318</v>
      </c>
      <c r="M433" s="7" t="s">
        <v>2565</v>
      </c>
      <c r="N433" s="7" t="s">
        <v>189</v>
      </c>
      <c r="O433" s="7" t="s">
        <v>189</v>
      </c>
      <c r="P433" s="7" t="s">
        <v>3319</v>
      </c>
      <c r="Q433" s="7" t="s">
        <v>3391</v>
      </c>
      <c r="R433" s="7" t="s">
        <v>2787</v>
      </c>
      <c r="S433" s="7" t="s">
        <v>3321</v>
      </c>
      <c r="T433" s="7" t="s">
        <v>3392</v>
      </c>
      <c r="U433" s="18" t="n">
        <v>165</v>
      </c>
      <c r="V433" s="7"/>
      <c r="W433" s="7"/>
      <c r="X433" s="7" t="s">
        <v>3395</v>
      </c>
      <c r="Y433" s="22" t="n">
        <v>0.075</v>
      </c>
      <c r="Z433" s="22" t="n">
        <v>0.112</v>
      </c>
      <c r="AA433" s="22" t="n">
        <v>24</v>
      </c>
      <c r="AB433" s="7" t="s">
        <v>3318</v>
      </c>
      <c r="AC433" s="7" t="s">
        <v>2801</v>
      </c>
      <c r="AD433" s="22" t="s">
        <v>197</v>
      </c>
      <c r="AE433" s="22" t="s">
        <v>197</v>
      </c>
      <c r="AF433" s="22" t="s">
        <v>197</v>
      </c>
      <c r="AG433" s="22" t="s">
        <v>197</v>
      </c>
      <c r="AH433" s="22" t="s">
        <v>197</v>
      </c>
      <c r="AI433" s="22" t="s">
        <v>197</v>
      </c>
      <c r="AJ433" s="22" t="s">
        <v>197</v>
      </c>
      <c r="AK433" s="22" t="s">
        <v>197</v>
      </c>
      <c r="AL433" s="22" t="s">
        <v>197</v>
      </c>
      <c r="AM433" s="22" t="s">
        <v>197</v>
      </c>
      <c r="AN433" s="7" t="s">
        <v>2802</v>
      </c>
      <c r="AO433" s="22" t="s">
        <v>197</v>
      </c>
      <c r="AP433" s="22" t="s">
        <v>197</v>
      </c>
      <c r="AQ433" s="22" t="s">
        <v>197</v>
      </c>
    </row>
    <row r="434" customFormat="false" ht="21.75" hidden="false" customHeight="true" outlineLevel="0" collapsed="false">
      <c r="B434" s="15" t="n">
        <v>430</v>
      </c>
      <c r="C434" s="9" t="s">
        <v>84</v>
      </c>
      <c r="D434" s="9" t="s">
        <v>20</v>
      </c>
      <c r="E434" s="9" t="s">
        <v>126</v>
      </c>
      <c r="F434" s="9" t="s">
        <v>107</v>
      </c>
      <c r="G434" s="9" t="s">
        <v>3396</v>
      </c>
      <c r="H434" s="9" t="s">
        <v>2809</v>
      </c>
      <c r="I434" s="9" t="s">
        <v>3388</v>
      </c>
      <c r="J434" s="9" t="s">
        <v>3389</v>
      </c>
      <c r="K434" s="9" t="s">
        <v>3390</v>
      </c>
      <c r="L434" s="9" t="s">
        <v>3318</v>
      </c>
      <c r="M434" s="9" t="s">
        <v>2565</v>
      </c>
      <c r="N434" s="9" t="s">
        <v>189</v>
      </c>
      <c r="O434" s="9" t="s">
        <v>189</v>
      </c>
      <c r="P434" s="9" t="s">
        <v>3319</v>
      </c>
      <c r="Q434" s="9" t="s">
        <v>3391</v>
      </c>
      <c r="R434" s="9" t="s">
        <v>2787</v>
      </c>
      <c r="S434" s="9" t="s">
        <v>3321</v>
      </c>
      <c r="T434" s="9" t="s">
        <v>3392</v>
      </c>
      <c r="U434" s="19" t="n">
        <v>245</v>
      </c>
      <c r="V434" s="9"/>
      <c r="W434" s="9"/>
      <c r="X434" s="9" t="s">
        <v>203</v>
      </c>
      <c r="Y434" s="23" t="n">
        <v>0.044</v>
      </c>
      <c r="Z434" s="23" t="n">
        <v>0.066</v>
      </c>
      <c r="AA434" s="23" t="n">
        <v>24</v>
      </c>
      <c r="AB434" s="9" t="s">
        <v>3318</v>
      </c>
      <c r="AC434" s="9" t="s">
        <v>2801</v>
      </c>
      <c r="AD434" s="23" t="s">
        <v>197</v>
      </c>
      <c r="AE434" s="23" t="s">
        <v>197</v>
      </c>
      <c r="AF434" s="23" t="s">
        <v>197</v>
      </c>
      <c r="AG434" s="23" t="s">
        <v>197</v>
      </c>
      <c r="AH434" s="23" t="s">
        <v>197</v>
      </c>
      <c r="AI434" s="23" t="s">
        <v>197</v>
      </c>
      <c r="AJ434" s="23" t="s">
        <v>197</v>
      </c>
      <c r="AK434" s="23" t="s">
        <v>197</v>
      </c>
      <c r="AL434" s="23" t="s">
        <v>197</v>
      </c>
      <c r="AM434" s="23" t="s">
        <v>197</v>
      </c>
      <c r="AN434" s="9" t="s">
        <v>2802</v>
      </c>
      <c r="AO434" s="23" t="s">
        <v>197</v>
      </c>
      <c r="AP434" s="23" t="s">
        <v>197</v>
      </c>
      <c r="AQ434" s="23" t="s">
        <v>197</v>
      </c>
    </row>
    <row r="435" customFormat="false" ht="21.75" hidden="false" customHeight="true" outlineLevel="0" collapsed="false">
      <c r="B435" s="14" t="n">
        <v>431</v>
      </c>
      <c r="C435" s="7" t="s">
        <v>84</v>
      </c>
      <c r="D435" s="7" t="s">
        <v>20</v>
      </c>
      <c r="E435" s="7" t="s">
        <v>126</v>
      </c>
      <c r="F435" s="7" t="s">
        <v>107</v>
      </c>
      <c r="G435" s="7" t="s">
        <v>3397</v>
      </c>
      <c r="H435" s="7" t="s">
        <v>2811</v>
      </c>
      <c r="I435" s="7" t="s">
        <v>3388</v>
      </c>
      <c r="J435" s="7" t="s">
        <v>3389</v>
      </c>
      <c r="K435" s="7" t="s">
        <v>3390</v>
      </c>
      <c r="L435" s="7" t="s">
        <v>3318</v>
      </c>
      <c r="M435" s="7" t="s">
        <v>2565</v>
      </c>
      <c r="N435" s="7" t="s">
        <v>189</v>
      </c>
      <c r="O435" s="7" t="s">
        <v>189</v>
      </c>
      <c r="P435" s="7" t="s">
        <v>3319</v>
      </c>
      <c r="Q435" s="7" t="s">
        <v>3391</v>
      </c>
      <c r="R435" s="7" t="s">
        <v>2787</v>
      </c>
      <c r="S435" s="7" t="s">
        <v>3321</v>
      </c>
      <c r="T435" s="7" t="s">
        <v>3392</v>
      </c>
      <c r="U435" s="18" t="n">
        <v>360</v>
      </c>
      <c r="V435" s="7"/>
      <c r="W435" s="7"/>
      <c r="X435" s="7" t="s">
        <v>205</v>
      </c>
      <c r="Y435" s="22" t="n">
        <v>0.071</v>
      </c>
      <c r="Z435" s="22" t="n">
        <v>0.106</v>
      </c>
      <c r="AA435" s="22" t="n">
        <v>24</v>
      </c>
      <c r="AB435" s="7" t="s">
        <v>3318</v>
      </c>
      <c r="AC435" s="7" t="s">
        <v>2801</v>
      </c>
      <c r="AD435" s="22" t="s">
        <v>197</v>
      </c>
      <c r="AE435" s="22" t="s">
        <v>197</v>
      </c>
      <c r="AF435" s="22" t="s">
        <v>197</v>
      </c>
      <c r="AG435" s="22" t="s">
        <v>197</v>
      </c>
      <c r="AH435" s="22" t="s">
        <v>197</v>
      </c>
      <c r="AI435" s="22" t="s">
        <v>197</v>
      </c>
      <c r="AJ435" s="22" t="s">
        <v>197</v>
      </c>
      <c r="AK435" s="22" t="s">
        <v>197</v>
      </c>
      <c r="AL435" s="22" t="s">
        <v>197</v>
      </c>
      <c r="AM435" s="22" t="s">
        <v>197</v>
      </c>
      <c r="AN435" s="7" t="s">
        <v>2802</v>
      </c>
      <c r="AO435" s="22" t="s">
        <v>197</v>
      </c>
      <c r="AP435" s="22" t="s">
        <v>197</v>
      </c>
      <c r="AQ435" s="22" t="s">
        <v>197</v>
      </c>
    </row>
    <row r="436" customFormat="false" ht="21.75" hidden="false" customHeight="true" outlineLevel="0" collapsed="false">
      <c r="B436" s="15" t="n">
        <v>432</v>
      </c>
      <c r="C436" s="9" t="s">
        <v>84</v>
      </c>
      <c r="D436" s="9" t="s">
        <v>20</v>
      </c>
      <c r="E436" s="9" t="s">
        <v>126</v>
      </c>
      <c r="F436" s="9" t="s">
        <v>108</v>
      </c>
      <c r="G436" s="9" t="s">
        <v>3398</v>
      </c>
      <c r="H436" s="9" t="s">
        <v>2661</v>
      </c>
      <c r="I436" s="9" t="s">
        <v>3399</v>
      </c>
      <c r="J436" s="9" t="s">
        <v>3041</v>
      </c>
      <c r="K436" s="9" t="s">
        <v>3328</v>
      </c>
      <c r="L436" s="9" t="s">
        <v>3318</v>
      </c>
      <c r="M436" s="9" t="s">
        <v>2514</v>
      </c>
      <c r="N436" s="9" t="s">
        <v>189</v>
      </c>
      <c r="O436" s="9" t="s">
        <v>189</v>
      </c>
      <c r="P436" s="9" t="s">
        <v>3319</v>
      </c>
      <c r="Q436" s="9" t="s">
        <v>3306</v>
      </c>
      <c r="R436" s="9" t="s">
        <v>701</v>
      </c>
      <c r="S436" s="9" t="s">
        <v>3321</v>
      </c>
      <c r="T436" s="9" t="s">
        <v>3307</v>
      </c>
      <c r="U436" s="19" t="n">
        <v>11</v>
      </c>
      <c r="V436" s="9"/>
      <c r="W436" s="9"/>
      <c r="X436" s="9" t="s">
        <v>195</v>
      </c>
      <c r="Y436" s="23" t="n">
        <v>0.00030804</v>
      </c>
      <c r="Z436" s="23" t="n">
        <v>0.002</v>
      </c>
      <c r="AA436" s="23" t="n">
        <v>24</v>
      </c>
      <c r="AB436" s="9" t="s">
        <v>3318</v>
      </c>
      <c r="AC436" s="9" t="s">
        <v>3400</v>
      </c>
      <c r="AD436" s="23" t="s">
        <v>197</v>
      </c>
      <c r="AE436" s="23" t="s">
        <v>197</v>
      </c>
      <c r="AF436" s="23" t="s">
        <v>197</v>
      </c>
      <c r="AG436" s="23" t="s">
        <v>197</v>
      </c>
      <c r="AH436" s="23" t="s">
        <v>197</v>
      </c>
      <c r="AI436" s="23" t="s">
        <v>197</v>
      </c>
      <c r="AJ436" s="23" t="s">
        <v>197</v>
      </c>
      <c r="AK436" s="23" t="s">
        <v>197</v>
      </c>
      <c r="AL436" s="23" t="s">
        <v>197</v>
      </c>
      <c r="AM436" s="23" t="s">
        <v>197</v>
      </c>
      <c r="AN436" s="9" t="s">
        <v>197</v>
      </c>
      <c r="AO436" s="23" t="s">
        <v>197</v>
      </c>
      <c r="AP436" s="23" t="s">
        <v>197</v>
      </c>
      <c r="AQ436" s="23" t="s">
        <v>197</v>
      </c>
    </row>
    <row r="437" customFormat="false" ht="21.75" hidden="false" customHeight="true" outlineLevel="0" collapsed="false">
      <c r="B437" s="14" t="n">
        <v>433</v>
      </c>
      <c r="C437" s="7" t="s">
        <v>84</v>
      </c>
      <c r="D437" s="7" t="s">
        <v>20</v>
      </c>
      <c r="E437" s="7" t="s">
        <v>126</v>
      </c>
      <c r="F437" s="7" t="s">
        <v>108</v>
      </c>
      <c r="G437" s="7" t="s">
        <v>3401</v>
      </c>
      <c r="H437" s="7" t="s">
        <v>2667</v>
      </c>
      <c r="I437" s="7" t="s">
        <v>3399</v>
      </c>
      <c r="J437" s="7" t="s">
        <v>3041</v>
      </c>
      <c r="K437" s="7" t="s">
        <v>3328</v>
      </c>
      <c r="L437" s="7" t="s">
        <v>3318</v>
      </c>
      <c r="M437" s="7" t="s">
        <v>2514</v>
      </c>
      <c r="N437" s="7" t="s">
        <v>189</v>
      </c>
      <c r="O437" s="7" t="s">
        <v>189</v>
      </c>
      <c r="P437" s="7" t="s">
        <v>3319</v>
      </c>
      <c r="Q437" s="7" t="s">
        <v>3306</v>
      </c>
      <c r="R437" s="7" t="s">
        <v>701</v>
      </c>
      <c r="S437" s="7" t="s">
        <v>3321</v>
      </c>
      <c r="T437" s="7" t="s">
        <v>3307</v>
      </c>
      <c r="U437" s="18" t="n">
        <v>16</v>
      </c>
      <c r="V437" s="7"/>
      <c r="W437" s="7"/>
      <c r="X437" s="7" t="s">
        <v>199</v>
      </c>
      <c r="Y437" s="22" t="n">
        <v>0.00045816</v>
      </c>
      <c r="Z437" s="22" t="n">
        <v>0.002</v>
      </c>
      <c r="AA437" s="22" t="n">
        <v>24</v>
      </c>
      <c r="AB437" s="7" t="s">
        <v>3318</v>
      </c>
      <c r="AC437" s="7" t="s">
        <v>3400</v>
      </c>
      <c r="AD437" s="22" t="s">
        <v>197</v>
      </c>
      <c r="AE437" s="22" t="s">
        <v>197</v>
      </c>
      <c r="AF437" s="22" t="s">
        <v>197</v>
      </c>
      <c r="AG437" s="22" t="s">
        <v>197</v>
      </c>
      <c r="AH437" s="22" t="s">
        <v>197</v>
      </c>
      <c r="AI437" s="22" t="s">
        <v>197</v>
      </c>
      <c r="AJ437" s="22" t="s">
        <v>197</v>
      </c>
      <c r="AK437" s="22" t="s">
        <v>197</v>
      </c>
      <c r="AL437" s="22" t="s">
        <v>197</v>
      </c>
      <c r="AM437" s="22" t="s">
        <v>197</v>
      </c>
      <c r="AN437" s="7" t="s">
        <v>197</v>
      </c>
      <c r="AO437" s="22" t="s">
        <v>197</v>
      </c>
      <c r="AP437" s="22" t="s">
        <v>197</v>
      </c>
      <c r="AQ437" s="22" t="s">
        <v>197</v>
      </c>
    </row>
    <row r="438" customFormat="false" ht="21.75" hidden="false" customHeight="true" outlineLevel="0" collapsed="false">
      <c r="B438" s="15" t="n">
        <v>434</v>
      </c>
      <c r="C438" s="9" t="s">
        <v>84</v>
      </c>
      <c r="D438" s="9" t="s">
        <v>20</v>
      </c>
      <c r="E438" s="9" t="s">
        <v>126</v>
      </c>
      <c r="F438" s="9" t="s">
        <v>108</v>
      </c>
      <c r="G438" s="9" t="s">
        <v>3402</v>
      </c>
      <c r="H438" s="9" t="s">
        <v>2669</v>
      </c>
      <c r="I438" s="9" t="s">
        <v>3399</v>
      </c>
      <c r="J438" s="9" t="s">
        <v>3041</v>
      </c>
      <c r="K438" s="9" t="s">
        <v>3328</v>
      </c>
      <c r="L438" s="9" t="s">
        <v>3318</v>
      </c>
      <c r="M438" s="9" t="s">
        <v>2514</v>
      </c>
      <c r="N438" s="9" t="s">
        <v>189</v>
      </c>
      <c r="O438" s="9" t="s">
        <v>189</v>
      </c>
      <c r="P438" s="9" t="s">
        <v>3319</v>
      </c>
      <c r="Q438" s="9" t="s">
        <v>3306</v>
      </c>
      <c r="R438" s="9" t="s">
        <v>701</v>
      </c>
      <c r="S438" s="9" t="s">
        <v>3321</v>
      </c>
      <c r="T438" s="9" t="s">
        <v>3307</v>
      </c>
      <c r="U438" s="19" t="n">
        <v>20</v>
      </c>
      <c r="V438" s="9"/>
      <c r="W438" s="9"/>
      <c r="X438" s="9" t="s">
        <v>3403</v>
      </c>
      <c r="Y438" s="23" t="n">
        <v>0.0004686</v>
      </c>
      <c r="Z438" s="23" t="n">
        <v>0.002</v>
      </c>
      <c r="AA438" s="23" t="n">
        <v>24</v>
      </c>
      <c r="AB438" s="9" t="s">
        <v>3318</v>
      </c>
      <c r="AC438" s="9" t="s">
        <v>3400</v>
      </c>
      <c r="AD438" s="23" t="s">
        <v>197</v>
      </c>
      <c r="AE438" s="23" t="s">
        <v>197</v>
      </c>
      <c r="AF438" s="23" t="s">
        <v>197</v>
      </c>
      <c r="AG438" s="23" t="s">
        <v>197</v>
      </c>
      <c r="AH438" s="23" t="s">
        <v>197</v>
      </c>
      <c r="AI438" s="23" t="s">
        <v>197</v>
      </c>
      <c r="AJ438" s="23" t="s">
        <v>197</v>
      </c>
      <c r="AK438" s="23" t="s">
        <v>197</v>
      </c>
      <c r="AL438" s="23" t="s">
        <v>197</v>
      </c>
      <c r="AM438" s="23" t="s">
        <v>197</v>
      </c>
      <c r="AN438" s="9" t="s">
        <v>197</v>
      </c>
      <c r="AO438" s="23" t="s">
        <v>197</v>
      </c>
      <c r="AP438" s="23" t="s">
        <v>197</v>
      </c>
      <c r="AQ438" s="23" t="s">
        <v>197</v>
      </c>
    </row>
    <row r="439" customFormat="false" ht="21.75" hidden="false" customHeight="true" outlineLevel="0" collapsed="false">
      <c r="B439" s="14" t="n">
        <v>435</v>
      </c>
      <c r="C439" s="7" t="s">
        <v>84</v>
      </c>
      <c r="D439" s="7" t="s">
        <v>20</v>
      </c>
      <c r="E439" s="7" t="s">
        <v>126</v>
      </c>
      <c r="F439" s="7" t="s">
        <v>108</v>
      </c>
      <c r="G439" s="7" t="s">
        <v>3404</v>
      </c>
      <c r="H439" s="7" t="s">
        <v>2672</v>
      </c>
      <c r="I439" s="7" t="s">
        <v>3399</v>
      </c>
      <c r="J439" s="7" t="s">
        <v>3041</v>
      </c>
      <c r="K439" s="7" t="s">
        <v>3328</v>
      </c>
      <c r="L439" s="7" t="s">
        <v>3318</v>
      </c>
      <c r="M439" s="7" t="s">
        <v>2514</v>
      </c>
      <c r="N439" s="7" t="s">
        <v>189</v>
      </c>
      <c r="O439" s="7" t="s">
        <v>189</v>
      </c>
      <c r="P439" s="7" t="s">
        <v>3319</v>
      </c>
      <c r="Q439" s="7" t="s">
        <v>3306</v>
      </c>
      <c r="R439" s="7" t="s">
        <v>701</v>
      </c>
      <c r="S439" s="7" t="s">
        <v>3321</v>
      </c>
      <c r="T439" s="7" t="s">
        <v>3307</v>
      </c>
      <c r="U439" s="18" t="n">
        <v>30</v>
      </c>
      <c r="V439" s="7"/>
      <c r="W439" s="7"/>
      <c r="X439" s="7" t="s">
        <v>203</v>
      </c>
      <c r="Y439" s="22" t="n">
        <v>0.00036932</v>
      </c>
      <c r="Z439" s="22" t="n">
        <v>0.002</v>
      </c>
      <c r="AA439" s="22" t="n">
        <v>24</v>
      </c>
      <c r="AB439" s="7" t="s">
        <v>3318</v>
      </c>
      <c r="AC439" s="7" t="s">
        <v>3400</v>
      </c>
      <c r="AD439" s="22" t="s">
        <v>197</v>
      </c>
      <c r="AE439" s="22" t="s">
        <v>197</v>
      </c>
      <c r="AF439" s="22" t="s">
        <v>197</v>
      </c>
      <c r="AG439" s="22" t="s">
        <v>197</v>
      </c>
      <c r="AH439" s="22" t="s">
        <v>197</v>
      </c>
      <c r="AI439" s="22" t="s">
        <v>197</v>
      </c>
      <c r="AJ439" s="22" t="s">
        <v>197</v>
      </c>
      <c r="AK439" s="22" t="s">
        <v>197</v>
      </c>
      <c r="AL439" s="22" t="s">
        <v>197</v>
      </c>
      <c r="AM439" s="22" t="s">
        <v>197</v>
      </c>
      <c r="AN439" s="7" t="s">
        <v>197</v>
      </c>
      <c r="AO439" s="22" t="s">
        <v>197</v>
      </c>
      <c r="AP439" s="22" t="s">
        <v>197</v>
      </c>
      <c r="AQ439" s="22" t="s">
        <v>197</v>
      </c>
    </row>
    <row r="440" customFormat="false" ht="21.75" hidden="false" customHeight="true" outlineLevel="0" collapsed="false">
      <c r="B440" s="15" t="n">
        <v>436</v>
      </c>
      <c r="C440" s="9" t="s">
        <v>84</v>
      </c>
      <c r="D440" s="9" t="s">
        <v>20</v>
      </c>
      <c r="E440" s="9" t="s">
        <v>126</v>
      </c>
      <c r="F440" s="9" t="s">
        <v>108</v>
      </c>
      <c r="G440" s="9" t="s">
        <v>3405</v>
      </c>
      <c r="H440" s="9" t="s">
        <v>2674</v>
      </c>
      <c r="I440" s="9" t="s">
        <v>3399</v>
      </c>
      <c r="J440" s="9" t="s">
        <v>3041</v>
      </c>
      <c r="K440" s="9" t="s">
        <v>3328</v>
      </c>
      <c r="L440" s="9" t="s">
        <v>3318</v>
      </c>
      <c r="M440" s="9" t="s">
        <v>2514</v>
      </c>
      <c r="N440" s="9" t="s">
        <v>189</v>
      </c>
      <c r="O440" s="9" t="s">
        <v>189</v>
      </c>
      <c r="P440" s="9" t="s">
        <v>3319</v>
      </c>
      <c r="Q440" s="9" t="s">
        <v>3306</v>
      </c>
      <c r="R440" s="9" t="s">
        <v>701</v>
      </c>
      <c r="S440" s="9" t="s">
        <v>3321</v>
      </c>
      <c r="T440" s="9" t="s">
        <v>3307</v>
      </c>
      <c r="U440" s="19" t="n">
        <v>45</v>
      </c>
      <c r="V440" s="9"/>
      <c r="W440" s="9"/>
      <c r="X440" s="9" t="s">
        <v>205</v>
      </c>
      <c r="Y440" s="23" t="n">
        <v>0.00055304</v>
      </c>
      <c r="Z440" s="23" t="n">
        <v>0.003</v>
      </c>
      <c r="AA440" s="23" t="n">
        <v>24</v>
      </c>
      <c r="AB440" s="9" t="s">
        <v>3318</v>
      </c>
      <c r="AC440" s="9" t="s">
        <v>3400</v>
      </c>
      <c r="AD440" s="23" t="s">
        <v>197</v>
      </c>
      <c r="AE440" s="23" t="s">
        <v>197</v>
      </c>
      <c r="AF440" s="23" t="s">
        <v>197</v>
      </c>
      <c r="AG440" s="23" t="s">
        <v>197</v>
      </c>
      <c r="AH440" s="23" t="s">
        <v>197</v>
      </c>
      <c r="AI440" s="23" t="s">
        <v>197</v>
      </c>
      <c r="AJ440" s="23" t="s">
        <v>197</v>
      </c>
      <c r="AK440" s="23" t="s">
        <v>197</v>
      </c>
      <c r="AL440" s="23" t="s">
        <v>197</v>
      </c>
      <c r="AM440" s="23" t="s">
        <v>197</v>
      </c>
      <c r="AN440" s="9" t="s">
        <v>197</v>
      </c>
      <c r="AO440" s="23" t="s">
        <v>197</v>
      </c>
      <c r="AP440" s="23" t="s">
        <v>197</v>
      </c>
      <c r="AQ440" s="23" t="s">
        <v>197</v>
      </c>
    </row>
    <row r="441" customFormat="false" ht="21.75" hidden="false" customHeight="true" outlineLevel="0" collapsed="false">
      <c r="B441" s="14" t="n">
        <v>437</v>
      </c>
      <c r="C441" s="7" t="s">
        <v>85</v>
      </c>
      <c r="D441" s="7" t="s">
        <v>23</v>
      </c>
      <c r="E441" s="7" t="s">
        <v>116</v>
      </c>
      <c r="F441" s="7" t="s">
        <v>93</v>
      </c>
      <c r="G441" s="7" t="s">
        <v>391</v>
      </c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18"/>
      <c r="V441" s="7"/>
      <c r="W441" s="7"/>
      <c r="X441" s="7" t="s">
        <v>3406</v>
      </c>
      <c r="Y441" s="22" t="s">
        <v>197</v>
      </c>
      <c r="Z441" s="22" t="s">
        <v>197</v>
      </c>
      <c r="AA441" s="22" t="s">
        <v>197</v>
      </c>
      <c r="AB441" s="7" t="s">
        <v>197</v>
      </c>
      <c r="AC441" s="7" t="s">
        <v>197</v>
      </c>
      <c r="AD441" s="22" t="s">
        <v>197</v>
      </c>
      <c r="AE441" s="22" t="s">
        <v>197</v>
      </c>
      <c r="AF441" s="22" t="s">
        <v>197</v>
      </c>
      <c r="AG441" s="22" t="s">
        <v>197</v>
      </c>
      <c r="AH441" s="22" t="s">
        <v>197</v>
      </c>
      <c r="AI441" s="22" t="s">
        <v>197</v>
      </c>
      <c r="AJ441" s="22" t="s">
        <v>197</v>
      </c>
      <c r="AK441" s="22" t="s">
        <v>197</v>
      </c>
      <c r="AL441" s="22" t="s">
        <v>197</v>
      </c>
      <c r="AM441" s="22" t="s">
        <v>197</v>
      </c>
      <c r="AN441" s="7" t="s">
        <v>197</v>
      </c>
      <c r="AO441" s="22" t="s">
        <v>197</v>
      </c>
      <c r="AP441" s="22" t="s">
        <v>197</v>
      </c>
      <c r="AQ441" s="22" t="s">
        <v>197</v>
      </c>
    </row>
    <row r="442" customFormat="false" ht="21.75" hidden="false" customHeight="true" outlineLevel="0" collapsed="false">
      <c r="B442" s="15" t="n">
        <v>438</v>
      </c>
      <c r="C442" s="9" t="s">
        <v>85</v>
      </c>
      <c r="D442" s="9" t="s">
        <v>23</v>
      </c>
      <c r="E442" s="9" t="s">
        <v>116</v>
      </c>
      <c r="F442" s="9" t="s">
        <v>94</v>
      </c>
      <c r="G442" s="9" t="s">
        <v>391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19"/>
      <c r="V442" s="9"/>
      <c r="W442" s="9"/>
      <c r="X442" s="9" t="s">
        <v>3406</v>
      </c>
      <c r="Y442" s="23" t="s">
        <v>197</v>
      </c>
      <c r="Z442" s="23" t="s">
        <v>197</v>
      </c>
      <c r="AA442" s="23" t="s">
        <v>197</v>
      </c>
      <c r="AB442" s="9" t="s">
        <v>197</v>
      </c>
      <c r="AC442" s="9" t="s">
        <v>197</v>
      </c>
      <c r="AD442" s="23" t="s">
        <v>197</v>
      </c>
      <c r="AE442" s="23" t="s">
        <v>197</v>
      </c>
      <c r="AF442" s="23" t="s">
        <v>197</v>
      </c>
      <c r="AG442" s="23" t="s">
        <v>197</v>
      </c>
      <c r="AH442" s="23" t="s">
        <v>197</v>
      </c>
      <c r="AI442" s="23" t="s">
        <v>197</v>
      </c>
      <c r="AJ442" s="23" t="s">
        <v>197</v>
      </c>
      <c r="AK442" s="23" t="s">
        <v>197</v>
      </c>
      <c r="AL442" s="23" t="s">
        <v>197</v>
      </c>
      <c r="AM442" s="23" t="s">
        <v>197</v>
      </c>
      <c r="AN442" s="9" t="s">
        <v>197</v>
      </c>
      <c r="AO442" s="23" t="s">
        <v>197</v>
      </c>
      <c r="AP442" s="23" t="s">
        <v>197</v>
      </c>
      <c r="AQ442" s="23" t="s">
        <v>197</v>
      </c>
    </row>
    <row r="443" customFormat="false" ht="21.75" hidden="false" customHeight="true" outlineLevel="0" collapsed="false">
      <c r="B443" s="14" t="n">
        <v>439</v>
      </c>
      <c r="C443" s="7" t="s">
        <v>85</v>
      </c>
      <c r="D443" s="7" t="s">
        <v>23</v>
      </c>
      <c r="E443" s="7" t="s">
        <v>116</v>
      </c>
      <c r="F443" s="7" t="s">
        <v>95</v>
      </c>
      <c r="G443" s="7" t="s">
        <v>3407</v>
      </c>
      <c r="H443" s="7" t="s">
        <v>2510</v>
      </c>
      <c r="I443" s="7" t="s">
        <v>3408</v>
      </c>
      <c r="J443" s="7" t="s">
        <v>3409</v>
      </c>
      <c r="K443" s="7" t="s">
        <v>3410</v>
      </c>
      <c r="L443" s="7" t="s">
        <v>3411</v>
      </c>
      <c r="M443" s="7" t="s">
        <v>3412</v>
      </c>
      <c r="N443" s="7" t="s">
        <v>189</v>
      </c>
      <c r="O443" s="7" t="s">
        <v>189</v>
      </c>
      <c r="P443" s="7" t="s">
        <v>190</v>
      </c>
      <c r="Q443" s="7" t="s">
        <v>3413</v>
      </c>
      <c r="R443" s="7" t="s">
        <v>364</v>
      </c>
      <c r="S443" s="7" t="s">
        <v>3414</v>
      </c>
      <c r="T443" s="7" t="s">
        <v>3415</v>
      </c>
      <c r="U443" s="18" t="n">
        <v>13</v>
      </c>
      <c r="V443" s="7"/>
      <c r="W443" s="7"/>
      <c r="X443" s="7" t="s">
        <v>195</v>
      </c>
      <c r="Y443" s="22" t="n">
        <v>4.726E-005</v>
      </c>
      <c r="Z443" s="22" t="n">
        <v>0.047</v>
      </c>
      <c r="AA443" s="22" t="n">
        <v>24</v>
      </c>
      <c r="AB443" s="7" t="s">
        <v>3411</v>
      </c>
      <c r="AC443" s="7" t="s">
        <v>2701</v>
      </c>
      <c r="AD443" s="22" t="s">
        <v>197</v>
      </c>
      <c r="AE443" s="22" t="s">
        <v>197</v>
      </c>
      <c r="AF443" s="22" t="s">
        <v>197</v>
      </c>
      <c r="AG443" s="22" t="s">
        <v>197</v>
      </c>
      <c r="AH443" s="22" t="s">
        <v>197</v>
      </c>
      <c r="AI443" s="22" t="s">
        <v>197</v>
      </c>
      <c r="AJ443" s="22" t="n">
        <v>60</v>
      </c>
      <c r="AK443" s="22" t="s">
        <v>197</v>
      </c>
      <c r="AL443" s="22" t="s">
        <v>197</v>
      </c>
      <c r="AM443" s="22" t="s">
        <v>197</v>
      </c>
      <c r="AN443" s="7" t="s">
        <v>2518</v>
      </c>
      <c r="AO443" s="22" t="s">
        <v>197</v>
      </c>
      <c r="AP443" s="22" t="n">
        <v>2.5</v>
      </c>
      <c r="AQ443" s="22" t="n">
        <v>6</v>
      </c>
    </row>
    <row r="444" customFormat="false" ht="21.75" hidden="false" customHeight="true" outlineLevel="0" collapsed="false">
      <c r="B444" s="15" t="n">
        <v>440</v>
      </c>
      <c r="C444" s="9" t="s">
        <v>85</v>
      </c>
      <c r="D444" s="9" t="s">
        <v>23</v>
      </c>
      <c r="E444" s="9" t="s">
        <v>116</v>
      </c>
      <c r="F444" s="9" t="s">
        <v>95</v>
      </c>
      <c r="G444" s="9" t="s">
        <v>3416</v>
      </c>
      <c r="H444" s="9" t="s">
        <v>2520</v>
      </c>
      <c r="I444" s="9" t="s">
        <v>3408</v>
      </c>
      <c r="J444" s="9" t="s">
        <v>3409</v>
      </c>
      <c r="K444" s="9" t="s">
        <v>3410</v>
      </c>
      <c r="L444" s="9" t="s">
        <v>3411</v>
      </c>
      <c r="M444" s="9" t="s">
        <v>3412</v>
      </c>
      <c r="N444" s="9" t="s">
        <v>189</v>
      </c>
      <c r="O444" s="9" t="s">
        <v>189</v>
      </c>
      <c r="P444" s="9" t="s">
        <v>190</v>
      </c>
      <c r="Q444" s="9" t="s">
        <v>3413</v>
      </c>
      <c r="R444" s="9" t="s">
        <v>364</v>
      </c>
      <c r="S444" s="9" t="s">
        <v>3414</v>
      </c>
      <c r="T444" s="9" t="s">
        <v>3415</v>
      </c>
      <c r="U444" s="19" t="n">
        <v>20</v>
      </c>
      <c r="V444" s="9"/>
      <c r="W444" s="9"/>
      <c r="X444" s="9" t="s">
        <v>199</v>
      </c>
      <c r="Y444" s="23" t="n">
        <v>3.387E-005</v>
      </c>
      <c r="Z444" s="23" t="n">
        <v>0.034</v>
      </c>
      <c r="AA444" s="23" t="n">
        <v>24</v>
      </c>
      <c r="AB444" s="9" t="s">
        <v>3411</v>
      </c>
      <c r="AC444" s="9" t="s">
        <v>2701</v>
      </c>
      <c r="AD444" s="23" t="s">
        <v>197</v>
      </c>
      <c r="AE444" s="23" t="s">
        <v>197</v>
      </c>
      <c r="AF444" s="23" t="s">
        <v>197</v>
      </c>
      <c r="AG444" s="23" t="s">
        <v>197</v>
      </c>
      <c r="AH444" s="23" t="s">
        <v>197</v>
      </c>
      <c r="AI444" s="23" t="s">
        <v>197</v>
      </c>
      <c r="AJ444" s="23" t="n">
        <v>80</v>
      </c>
      <c r="AK444" s="23" t="s">
        <v>197</v>
      </c>
      <c r="AL444" s="23" t="s">
        <v>197</v>
      </c>
      <c r="AM444" s="23" t="s">
        <v>197</v>
      </c>
      <c r="AN444" s="9" t="s">
        <v>2518</v>
      </c>
      <c r="AO444" s="23" t="s">
        <v>197</v>
      </c>
      <c r="AP444" s="23" t="n">
        <v>2.5</v>
      </c>
      <c r="AQ444" s="23" t="n">
        <v>6</v>
      </c>
    </row>
    <row r="445" customFormat="false" ht="21.75" hidden="false" customHeight="true" outlineLevel="0" collapsed="false">
      <c r="B445" s="14" t="n">
        <v>441</v>
      </c>
      <c r="C445" s="7" t="s">
        <v>85</v>
      </c>
      <c r="D445" s="7" t="s">
        <v>23</v>
      </c>
      <c r="E445" s="7" t="s">
        <v>116</v>
      </c>
      <c r="F445" s="7" t="s">
        <v>95</v>
      </c>
      <c r="G445" s="7" t="s">
        <v>3417</v>
      </c>
      <c r="H445" s="7" t="s">
        <v>2522</v>
      </c>
      <c r="I445" s="7" t="s">
        <v>3408</v>
      </c>
      <c r="J445" s="7" t="s">
        <v>3409</v>
      </c>
      <c r="K445" s="7" t="s">
        <v>3410</v>
      </c>
      <c r="L445" s="7" t="s">
        <v>3411</v>
      </c>
      <c r="M445" s="7" t="s">
        <v>3412</v>
      </c>
      <c r="N445" s="7" t="s">
        <v>189</v>
      </c>
      <c r="O445" s="7" t="s">
        <v>189</v>
      </c>
      <c r="P445" s="7" t="s">
        <v>190</v>
      </c>
      <c r="Q445" s="7" t="s">
        <v>3413</v>
      </c>
      <c r="R445" s="7" t="s">
        <v>364</v>
      </c>
      <c r="S445" s="7" t="s">
        <v>3414</v>
      </c>
      <c r="T445" s="7" t="s">
        <v>3415</v>
      </c>
      <c r="U445" s="18" t="n">
        <v>25</v>
      </c>
      <c r="V445" s="7"/>
      <c r="W445" s="7"/>
      <c r="X445" s="7" t="s">
        <v>3418</v>
      </c>
      <c r="Y445" s="22" t="n">
        <v>5.065E-005</v>
      </c>
      <c r="Z445" s="22" t="n">
        <v>0.051</v>
      </c>
      <c r="AA445" s="22" t="n">
        <v>24</v>
      </c>
      <c r="AB445" s="7" t="s">
        <v>3411</v>
      </c>
      <c r="AC445" s="7" t="s">
        <v>2701</v>
      </c>
      <c r="AD445" s="22" t="s">
        <v>197</v>
      </c>
      <c r="AE445" s="22" t="s">
        <v>197</v>
      </c>
      <c r="AF445" s="22" t="s">
        <v>197</v>
      </c>
      <c r="AG445" s="22" t="s">
        <v>197</v>
      </c>
      <c r="AH445" s="22" t="s">
        <v>197</v>
      </c>
      <c r="AI445" s="22" t="s">
        <v>197</v>
      </c>
      <c r="AJ445" s="22" t="n">
        <v>100</v>
      </c>
      <c r="AK445" s="22" t="s">
        <v>197</v>
      </c>
      <c r="AL445" s="22" t="s">
        <v>197</v>
      </c>
      <c r="AM445" s="22" t="s">
        <v>197</v>
      </c>
      <c r="AN445" s="7" t="s">
        <v>2518</v>
      </c>
      <c r="AO445" s="22" t="s">
        <v>197</v>
      </c>
      <c r="AP445" s="22" t="n">
        <v>2.5</v>
      </c>
      <c r="AQ445" s="22" t="n">
        <v>6</v>
      </c>
    </row>
    <row r="446" customFormat="false" ht="21.75" hidden="false" customHeight="true" outlineLevel="0" collapsed="false">
      <c r="B446" s="15" t="n">
        <v>442</v>
      </c>
      <c r="C446" s="9" t="s">
        <v>85</v>
      </c>
      <c r="D446" s="9" t="s">
        <v>23</v>
      </c>
      <c r="E446" s="9" t="s">
        <v>116</v>
      </c>
      <c r="F446" s="9" t="s">
        <v>95</v>
      </c>
      <c r="G446" s="9" t="s">
        <v>3419</v>
      </c>
      <c r="H446" s="9" t="s">
        <v>2706</v>
      </c>
      <c r="I446" s="9" t="s">
        <v>3408</v>
      </c>
      <c r="J446" s="9" t="s">
        <v>3409</v>
      </c>
      <c r="K446" s="9" t="s">
        <v>3410</v>
      </c>
      <c r="L446" s="9" t="s">
        <v>3411</v>
      </c>
      <c r="M446" s="9" t="s">
        <v>3412</v>
      </c>
      <c r="N446" s="9" t="s">
        <v>189</v>
      </c>
      <c r="O446" s="9" t="s">
        <v>189</v>
      </c>
      <c r="P446" s="9" t="s">
        <v>190</v>
      </c>
      <c r="Q446" s="9" t="s">
        <v>3413</v>
      </c>
      <c r="R446" s="9" t="s">
        <v>364</v>
      </c>
      <c r="S446" s="9" t="s">
        <v>3414</v>
      </c>
      <c r="T446" s="9" t="s">
        <v>3415</v>
      </c>
      <c r="U446" s="19" t="n">
        <v>35</v>
      </c>
      <c r="V446" s="9"/>
      <c r="W446" s="9"/>
      <c r="X446" s="9" t="s">
        <v>203</v>
      </c>
      <c r="Y446" s="23" t="n">
        <v>3.731E-005</v>
      </c>
      <c r="Z446" s="23" t="n">
        <v>0.037</v>
      </c>
      <c r="AA446" s="23" t="n">
        <v>24</v>
      </c>
      <c r="AB446" s="9" t="s">
        <v>3411</v>
      </c>
      <c r="AC446" s="9" t="s">
        <v>2701</v>
      </c>
      <c r="AD446" s="23" t="s">
        <v>197</v>
      </c>
      <c r="AE446" s="23" t="s">
        <v>197</v>
      </c>
      <c r="AF446" s="23" t="s">
        <v>197</v>
      </c>
      <c r="AG446" s="23" t="s">
        <v>197</v>
      </c>
      <c r="AH446" s="23" t="s">
        <v>197</v>
      </c>
      <c r="AI446" s="23" t="s">
        <v>197</v>
      </c>
      <c r="AJ446" s="23" t="n">
        <v>100</v>
      </c>
      <c r="AK446" s="23" t="s">
        <v>197</v>
      </c>
      <c r="AL446" s="23" t="s">
        <v>197</v>
      </c>
      <c r="AM446" s="23" t="s">
        <v>197</v>
      </c>
      <c r="AN446" s="9" t="s">
        <v>2518</v>
      </c>
      <c r="AO446" s="23" t="s">
        <v>197</v>
      </c>
      <c r="AP446" s="23" t="n">
        <v>2.5</v>
      </c>
      <c r="AQ446" s="23" t="n">
        <v>6</v>
      </c>
    </row>
    <row r="447" customFormat="false" ht="21.75" hidden="false" customHeight="true" outlineLevel="0" collapsed="false">
      <c r="B447" s="14" t="n">
        <v>443</v>
      </c>
      <c r="C447" s="7" t="s">
        <v>85</v>
      </c>
      <c r="D447" s="7" t="s">
        <v>23</v>
      </c>
      <c r="E447" s="7" t="s">
        <v>116</v>
      </c>
      <c r="F447" s="7" t="s">
        <v>95</v>
      </c>
      <c r="G447" s="7" t="s">
        <v>3420</v>
      </c>
      <c r="H447" s="7" t="s">
        <v>2527</v>
      </c>
      <c r="I447" s="7" t="s">
        <v>3408</v>
      </c>
      <c r="J447" s="7" t="s">
        <v>3409</v>
      </c>
      <c r="K447" s="7" t="s">
        <v>3410</v>
      </c>
      <c r="L447" s="7" t="s">
        <v>3411</v>
      </c>
      <c r="M447" s="7" t="s">
        <v>3412</v>
      </c>
      <c r="N447" s="7" t="s">
        <v>189</v>
      </c>
      <c r="O447" s="7" t="s">
        <v>189</v>
      </c>
      <c r="P447" s="7" t="s">
        <v>190</v>
      </c>
      <c r="Q447" s="7" t="s">
        <v>3413</v>
      </c>
      <c r="R447" s="7" t="s">
        <v>364</v>
      </c>
      <c r="S447" s="7" t="s">
        <v>3414</v>
      </c>
      <c r="T447" s="7" t="s">
        <v>3415</v>
      </c>
      <c r="U447" s="18" t="n">
        <v>55</v>
      </c>
      <c r="V447" s="7"/>
      <c r="W447" s="7"/>
      <c r="X447" s="7" t="s">
        <v>205</v>
      </c>
      <c r="Y447" s="22" t="n">
        <v>3.035E-005</v>
      </c>
      <c r="Z447" s="22" t="n">
        <v>0.03</v>
      </c>
      <c r="AA447" s="22" t="n">
        <v>24</v>
      </c>
      <c r="AB447" s="7" t="s">
        <v>3411</v>
      </c>
      <c r="AC447" s="7" t="s">
        <v>2701</v>
      </c>
      <c r="AD447" s="22" t="s">
        <v>197</v>
      </c>
      <c r="AE447" s="22" t="s">
        <v>197</v>
      </c>
      <c r="AF447" s="22" t="s">
        <v>197</v>
      </c>
      <c r="AG447" s="22" t="s">
        <v>197</v>
      </c>
      <c r="AH447" s="22" t="s">
        <v>197</v>
      </c>
      <c r="AI447" s="22" t="s">
        <v>197</v>
      </c>
      <c r="AJ447" s="22" t="n">
        <v>120</v>
      </c>
      <c r="AK447" s="22" t="s">
        <v>197</v>
      </c>
      <c r="AL447" s="22" t="s">
        <v>197</v>
      </c>
      <c r="AM447" s="22" t="s">
        <v>197</v>
      </c>
      <c r="AN447" s="7" t="s">
        <v>2518</v>
      </c>
      <c r="AO447" s="22" t="s">
        <v>197</v>
      </c>
      <c r="AP447" s="22" t="n">
        <v>2.5</v>
      </c>
      <c r="AQ447" s="22" t="n">
        <v>6</v>
      </c>
    </row>
    <row r="448" customFormat="false" ht="21.75" hidden="false" customHeight="true" outlineLevel="0" collapsed="false">
      <c r="B448" s="15" t="n">
        <v>444</v>
      </c>
      <c r="C448" s="9" t="s">
        <v>85</v>
      </c>
      <c r="D448" s="9" t="s">
        <v>23</v>
      </c>
      <c r="E448" s="9" t="s">
        <v>116</v>
      </c>
      <c r="F448" s="9" t="s">
        <v>96</v>
      </c>
      <c r="G448" s="9" t="s">
        <v>391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19"/>
      <c r="V448" s="9"/>
      <c r="W448" s="9"/>
      <c r="X448" s="9" t="s">
        <v>3421</v>
      </c>
      <c r="Y448" s="23" t="s">
        <v>197</v>
      </c>
      <c r="Z448" s="23" t="s">
        <v>197</v>
      </c>
      <c r="AA448" s="23" t="s">
        <v>197</v>
      </c>
      <c r="AB448" s="9" t="s">
        <v>197</v>
      </c>
      <c r="AC448" s="9" t="s">
        <v>197</v>
      </c>
      <c r="AD448" s="23" t="s">
        <v>197</v>
      </c>
      <c r="AE448" s="23" t="s">
        <v>197</v>
      </c>
      <c r="AF448" s="23" t="s">
        <v>197</v>
      </c>
      <c r="AG448" s="23" t="s">
        <v>197</v>
      </c>
      <c r="AH448" s="23" t="s">
        <v>197</v>
      </c>
      <c r="AI448" s="23" t="s">
        <v>197</v>
      </c>
      <c r="AJ448" s="23" t="s">
        <v>197</v>
      </c>
      <c r="AK448" s="23" t="s">
        <v>197</v>
      </c>
      <c r="AL448" s="23" t="s">
        <v>197</v>
      </c>
      <c r="AM448" s="23" t="s">
        <v>197</v>
      </c>
      <c r="AN448" s="9" t="s">
        <v>197</v>
      </c>
      <c r="AO448" s="23" t="s">
        <v>197</v>
      </c>
      <c r="AP448" s="23" t="s">
        <v>197</v>
      </c>
      <c r="AQ448" s="23" t="s">
        <v>197</v>
      </c>
    </row>
    <row r="449" customFormat="false" ht="21.75" hidden="false" customHeight="true" outlineLevel="0" collapsed="false">
      <c r="B449" s="14" t="n">
        <v>445</v>
      </c>
      <c r="C449" s="7" t="s">
        <v>85</v>
      </c>
      <c r="D449" s="7" t="s">
        <v>23</v>
      </c>
      <c r="E449" s="7" t="s">
        <v>116</v>
      </c>
      <c r="F449" s="7" t="s">
        <v>97</v>
      </c>
      <c r="G449" s="7" t="s">
        <v>391</v>
      </c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18"/>
      <c r="V449" s="7"/>
      <c r="W449" s="7"/>
      <c r="X449" s="7" t="s">
        <v>3422</v>
      </c>
      <c r="Y449" s="22" t="s">
        <v>197</v>
      </c>
      <c r="Z449" s="22" t="s">
        <v>197</v>
      </c>
      <c r="AA449" s="22" t="s">
        <v>197</v>
      </c>
      <c r="AB449" s="7" t="s">
        <v>197</v>
      </c>
      <c r="AC449" s="7" t="s">
        <v>197</v>
      </c>
      <c r="AD449" s="22" t="s">
        <v>197</v>
      </c>
      <c r="AE449" s="22" t="s">
        <v>197</v>
      </c>
      <c r="AF449" s="22" t="s">
        <v>197</v>
      </c>
      <c r="AG449" s="22" t="s">
        <v>197</v>
      </c>
      <c r="AH449" s="22" t="s">
        <v>197</v>
      </c>
      <c r="AI449" s="22" t="s">
        <v>197</v>
      </c>
      <c r="AJ449" s="22" t="s">
        <v>197</v>
      </c>
      <c r="AK449" s="22" t="s">
        <v>197</v>
      </c>
      <c r="AL449" s="22" t="s">
        <v>197</v>
      </c>
      <c r="AM449" s="22" t="s">
        <v>197</v>
      </c>
      <c r="AN449" s="7" t="s">
        <v>197</v>
      </c>
      <c r="AO449" s="22" t="s">
        <v>197</v>
      </c>
      <c r="AP449" s="22" t="s">
        <v>197</v>
      </c>
      <c r="AQ449" s="22" t="s">
        <v>197</v>
      </c>
    </row>
    <row r="450" customFormat="false" ht="21.75" hidden="false" customHeight="true" outlineLevel="0" collapsed="false">
      <c r="B450" s="15" t="n">
        <v>446</v>
      </c>
      <c r="C450" s="9" t="s">
        <v>85</v>
      </c>
      <c r="D450" s="9" t="s">
        <v>23</v>
      </c>
      <c r="E450" s="9" t="s">
        <v>116</v>
      </c>
      <c r="F450" s="9" t="s">
        <v>98</v>
      </c>
      <c r="G450" s="9" t="s">
        <v>391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19"/>
      <c r="V450" s="9"/>
      <c r="W450" s="9"/>
      <c r="X450" s="9" t="s">
        <v>3423</v>
      </c>
      <c r="Y450" s="23" t="s">
        <v>197</v>
      </c>
      <c r="Z450" s="23" t="s">
        <v>197</v>
      </c>
      <c r="AA450" s="23" t="s">
        <v>197</v>
      </c>
      <c r="AB450" s="9" t="s">
        <v>197</v>
      </c>
      <c r="AC450" s="9" t="s">
        <v>197</v>
      </c>
      <c r="AD450" s="23" t="s">
        <v>197</v>
      </c>
      <c r="AE450" s="23" t="s">
        <v>197</v>
      </c>
      <c r="AF450" s="23" t="s">
        <v>197</v>
      </c>
      <c r="AG450" s="23" t="s">
        <v>197</v>
      </c>
      <c r="AH450" s="23" t="s">
        <v>197</v>
      </c>
      <c r="AI450" s="23" t="s">
        <v>197</v>
      </c>
      <c r="AJ450" s="23" t="s">
        <v>197</v>
      </c>
      <c r="AK450" s="23" t="s">
        <v>197</v>
      </c>
      <c r="AL450" s="23" t="s">
        <v>197</v>
      </c>
      <c r="AM450" s="23" t="s">
        <v>197</v>
      </c>
      <c r="AN450" s="9" t="s">
        <v>197</v>
      </c>
      <c r="AO450" s="23" t="s">
        <v>197</v>
      </c>
      <c r="AP450" s="23" t="s">
        <v>197</v>
      </c>
      <c r="AQ450" s="23" t="s">
        <v>197</v>
      </c>
    </row>
    <row r="451" customFormat="false" ht="21.75" hidden="false" customHeight="true" outlineLevel="0" collapsed="false">
      <c r="B451" s="14" t="n">
        <v>447</v>
      </c>
      <c r="C451" s="7" t="s">
        <v>85</v>
      </c>
      <c r="D451" s="7" t="s">
        <v>23</v>
      </c>
      <c r="E451" s="7" t="s">
        <v>116</v>
      </c>
      <c r="F451" s="7" t="s">
        <v>99</v>
      </c>
      <c r="G451" s="7" t="s">
        <v>391</v>
      </c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18"/>
      <c r="V451" s="7"/>
      <c r="W451" s="7"/>
      <c r="X451" s="7" t="s">
        <v>3424</v>
      </c>
      <c r="Y451" s="22" t="s">
        <v>197</v>
      </c>
      <c r="Z451" s="22" t="s">
        <v>197</v>
      </c>
      <c r="AA451" s="22" t="s">
        <v>197</v>
      </c>
      <c r="AB451" s="7" t="s">
        <v>197</v>
      </c>
      <c r="AC451" s="7" t="s">
        <v>197</v>
      </c>
      <c r="AD451" s="22" t="s">
        <v>197</v>
      </c>
      <c r="AE451" s="22" t="s">
        <v>197</v>
      </c>
      <c r="AF451" s="22" t="s">
        <v>197</v>
      </c>
      <c r="AG451" s="22" t="s">
        <v>197</v>
      </c>
      <c r="AH451" s="22" t="s">
        <v>197</v>
      </c>
      <c r="AI451" s="22" t="s">
        <v>197</v>
      </c>
      <c r="AJ451" s="22" t="s">
        <v>197</v>
      </c>
      <c r="AK451" s="22" t="s">
        <v>197</v>
      </c>
      <c r="AL451" s="22" t="s">
        <v>197</v>
      </c>
      <c r="AM451" s="22" t="s">
        <v>197</v>
      </c>
      <c r="AN451" s="7" t="s">
        <v>197</v>
      </c>
      <c r="AO451" s="22" t="s">
        <v>197</v>
      </c>
      <c r="AP451" s="22" t="s">
        <v>197</v>
      </c>
      <c r="AQ451" s="22" t="s">
        <v>197</v>
      </c>
    </row>
    <row r="452" customFormat="false" ht="21.75" hidden="false" customHeight="true" outlineLevel="0" collapsed="false">
      <c r="B452" s="15" t="n">
        <v>448</v>
      </c>
      <c r="C452" s="9" t="s">
        <v>85</v>
      </c>
      <c r="D452" s="9" t="s">
        <v>23</v>
      </c>
      <c r="E452" s="9" t="s">
        <v>116</v>
      </c>
      <c r="F452" s="9" t="s">
        <v>100</v>
      </c>
      <c r="G452" s="9" t="s">
        <v>391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19"/>
      <c r="V452" s="9"/>
      <c r="W452" s="9"/>
      <c r="X452" s="9" t="s">
        <v>3425</v>
      </c>
      <c r="Y452" s="23" t="s">
        <v>197</v>
      </c>
      <c r="Z452" s="23" t="s">
        <v>197</v>
      </c>
      <c r="AA452" s="23" t="s">
        <v>197</v>
      </c>
      <c r="AB452" s="9" t="s">
        <v>197</v>
      </c>
      <c r="AC452" s="9" t="s">
        <v>197</v>
      </c>
      <c r="AD452" s="23" t="s">
        <v>197</v>
      </c>
      <c r="AE452" s="23" t="s">
        <v>197</v>
      </c>
      <c r="AF452" s="23" t="s">
        <v>197</v>
      </c>
      <c r="AG452" s="23" t="s">
        <v>197</v>
      </c>
      <c r="AH452" s="23" t="s">
        <v>197</v>
      </c>
      <c r="AI452" s="23" t="s">
        <v>197</v>
      </c>
      <c r="AJ452" s="23" t="s">
        <v>197</v>
      </c>
      <c r="AK452" s="23" t="s">
        <v>197</v>
      </c>
      <c r="AL452" s="23" t="s">
        <v>197</v>
      </c>
      <c r="AM452" s="23" t="s">
        <v>197</v>
      </c>
      <c r="AN452" s="9" t="s">
        <v>197</v>
      </c>
      <c r="AO452" s="23" t="s">
        <v>197</v>
      </c>
      <c r="AP452" s="23" t="s">
        <v>197</v>
      </c>
      <c r="AQ452" s="23" t="s">
        <v>197</v>
      </c>
    </row>
    <row r="453" customFormat="false" ht="21.75" hidden="false" customHeight="true" outlineLevel="0" collapsed="false">
      <c r="B453" s="14" t="n">
        <v>449</v>
      </c>
      <c r="C453" s="7" t="s">
        <v>85</v>
      </c>
      <c r="D453" s="7" t="s">
        <v>23</v>
      </c>
      <c r="E453" s="7" t="s">
        <v>116</v>
      </c>
      <c r="F453" s="7" t="s">
        <v>101</v>
      </c>
      <c r="G453" s="7" t="s">
        <v>3426</v>
      </c>
      <c r="H453" s="7" t="s">
        <v>2583</v>
      </c>
      <c r="I453" s="7" t="s">
        <v>3427</v>
      </c>
      <c r="J453" s="7" t="s">
        <v>3428</v>
      </c>
      <c r="K453" s="7" t="s">
        <v>2895</v>
      </c>
      <c r="L453" s="7" t="s">
        <v>3411</v>
      </c>
      <c r="M453" s="7" t="s">
        <v>2565</v>
      </c>
      <c r="N453" s="7" t="s">
        <v>765</v>
      </c>
      <c r="O453" s="7" t="s">
        <v>189</v>
      </c>
      <c r="P453" s="7" t="s">
        <v>190</v>
      </c>
      <c r="Q453" s="7" t="s">
        <v>3429</v>
      </c>
      <c r="R453" s="7" t="s">
        <v>3430</v>
      </c>
      <c r="S453" s="7" t="s">
        <v>3414</v>
      </c>
      <c r="T453" s="7" t="s">
        <v>3431</v>
      </c>
      <c r="U453" s="18" t="n">
        <v>310</v>
      </c>
      <c r="V453" s="7"/>
      <c r="W453" s="7"/>
      <c r="X453" s="7" t="s">
        <v>195</v>
      </c>
      <c r="Y453" s="22" t="n">
        <v>0.046</v>
      </c>
      <c r="Z453" s="22" t="n">
        <v>0.066</v>
      </c>
      <c r="AA453" s="22" t="n">
        <v>24</v>
      </c>
      <c r="AB453" s="7" t="s">
        <v>3411</v>
      </c>
      <c r="AC453" s="7" t="s">
        <v>3432</v>
      </c>
      <c r="AD453" s="22" t="s">
        <v>197</v>
      </c>
      <c r="AE453" s="22" t="s">
        <v>197</v>
      </c>
      <c r="AF453" s="22" t="s">
        <v>197</v>
      </c>
      <c r="AG453" s="22" t="s">
        <v>197</v>
      </c>
      <c r="AH453" s="22" t="s">
        <v>197</v>
      </c>
      <c r="AI453" s="22" t="s">
        <v>197</v>
      </c>
      <c r="AJ453" s="22" t="n">
        <v>550</v>
      </c>
      <c r="AK453" s="22" t="s">
        <v>197</v>
      </c>
      <c r="AL453" s="22" t="n">
        <v>50</v>
      </c>
      <c r="AM453" s="22" t="s">
        <v>197</v>
      </c>
      <c r="AN453" s="7" t="s">
        <v>2590</v>
      </c>
      <c r="AO453" s="22" t="s">
        <v>197</v>
      </c>
      <c r="AP453" s="22" t="n">
        <v>6</v>
      </c>
      <c r="AQ453" s="22" t="n">
        <v>50</v>
      </c>
    </row>
    <row r="454" customFormat="false" ht="21.75" hidden="false" customHeight="true" outlineLevel="0" collapsed="false">
      <c r="B454" s="15" t="n">
        <v>450</v>
      </c>
      <c r="C454" s="9" t="s">
        <v>85</v>
      </c>
      <c r="D454" s="9" t="s">
        <v>23</v>
      </c>
      <c r="E454" s="9" t="s">
        <v>116</v>
      </c>
      <c r="F454" s="9" t="s">
        <v>101</v>
      </c>
      <c r="G454" s="9" t="s">
        <v>3433</v>
      </c>
      <c r="H454" s="9" t="s">
        <v>2592</v>
      </c>
      <c r="I454" s="9" t="s">
        <v>3427</v>
      </c>
      <c r="J454" s="9" t="s">
        <v>3428</v>
      </c>
      <c r="K454" s="9" t="s">
        <v>2895</v>
      </c>
      <c r="L454" s="9" t="s">
        <v>3411</v>
      </c>
      <c r="M454" s="9" t="s">
        <v>2565</v>
      </c>
      <c r="N454" s="9" t="s">
        <v>765</v>
      </c>
      <c r="O454" s="9" t="s">
        <v>189</v>
      </c>
      <c r="P454" s="9" t="s">
        <v>190</v>
      </c>
      <c r="Q454" s="9" t="s">
        <v>3429</v>
      </c>
      <c r="R454" s="9" t="s">
        <v>3430</v>
      </c>
      <c r="S454" s="9" t="s">
        <v>3414</v>
      </c>
      <c r="T454" s="9" t="s">
        <v>3431</v>
      </c>
      <c r="U454" s="19" t="n">
        <v>465</v>
      </c>
      <c r="V454" s="9"/>
      <c r="W454" s="9"/>
      <c r="X454" s="9" t="s">
        <v>199</v>
      </c>
      <c r="Y454" s="23" t="n">
        <v>0.06</v>
      </c>
      <c r="Z454" s="23" t="n">
        <v>0.08</v>
      </c>
      <c r="AA454" s="23" t="n">
        <v>24</v>
      </c>
      <c r="AB454" s="9" t="s">
        <v>3411</v>
      </c>
      <c r="AC454" s="9" t="s">
        <v>3432</v>
      </c>
      <c r="AD454" s="23" t="s">
        <v>197</v>
      </c>
      <c r="AE454" s="23" t="s">
        <v>197</v>
      </c>
      <c r="AF454" s="23" t="s">
        <v>197</v>
      </c>
      <c r="AG454" s="23" t="s">
        <v>197</v>
      </c>
      <c r="AH454" s="23" t="s">
        <v>197</v>
      </c>
      <c r="AI454" s="23" t="s">
        <v>197</v>
      </c>
      <c r="AJ454" s="23" t="n">
        <v>980</v>
      </c>
      <c r="AK454" s="23" t="s">
        <v>197</v>
      </c>
      <c r="AL454" s="23" t="n">
        <v>70</v>
      </c>
      <c r="AM454" s="23" t="s">
        <v>197</v>
      </c>
      <c r="AN454" s="9" t="s">
        <v>2590</v>
      </c>
      <c r="AO454" s="23" t="s">
        <v>197</v>
      </c>
      <c r="AP454" s="23" t="n">
        <v>6</v>
      </c>
      <c r="AQ454" s="23" t="n">
        <v>70</v>
      </c>
    </row>
    <row r="455" customFormat="false" ht="21.75" hidden="false" customHeight="true" outlineLevel="0" collapsed="false">
      <c r="B455" s="14" t="n">
        <v>451</v>
      </c>
      <c r="C455" s="7" t="s">
        <v>85</v>
      </c>
      <c r="D455" s="7" t="s">
        <v>23</v>
      </c>
      <c r="E455" s="7" t="s">
        <v>116</v>
      </c>
      <c r="F455" s="7" t="s">
        <v>101</v>
      </c>
      <c r="G455" s="7" t="s">
        <v>3434</v>
      </c>
      <c r="H455" s="7" t="s">
        <v>2594</v>
      </c>
      <c r="I455" s="7" t="s">
        <v>3427</v>
      </c>
      <c r="J455" s="7" t="s">
        <v>3428</v>
      </c>
      <c r="K455" s="7" t="s">
        <v>2895</v>
      </c>
      <c r="L455" s="7" t="s">
        <v>3411</v>
      </c>
      <c r="M455" s="7" t="s">
        <v>2565</v>
      </c>
      <c r="N455" s="7" t="s">
        <v>765</v>
      </c>
      <c r="O455" s="7" t="s">
        <v>189</v>
      </c>
      <c r="P455" s="7" t="s">
        <v>190</v>
      </c>
      <c r="Q455" s="7" t="s">
        <v>3429</v>
      </c>
      <c r="R455" s="7" t="s">
        <v>3430</v>
      </c>
      <c r="S455" s="7" t="s">
        <v>3414</v>
      </c>
      <c r="T455" s="7" t="s">
        <v>3431</v>
      </c>
      <c r="U455" s="18" t="n">
        <v>620</v>
      </c>
      <c r="V455" s="7"/>
      <c r="W455" s="7"/>
      <c r="X455" s="7" t="s">
        <v>3435</v>
      </c>
      <c r="Y455" s="22" t="n">
        <v>0.058</v>
      </c>
      <c r="Z455" s="22" t="n">
        <v>0.078</v>
      </c>
      <c r="AA455" s="22" t="n">
        <v>24</v>
      </c>
      <c r="AB455" s="7" t="s">
        <v>3411</v>
      </c>
      <c r="AC455" s="7" t="s">
        <v>3432</v>
      </c>
      <c r="AD455" s="22" t="s">
        <v>197</v>
      </c>
      <c r="AE455" s="22" t="s">
        <v>197</v>
      </c>
      <c r="AF455" s="22" t="s">
        <v>197</v>
      </c>
      <c r="AG455" s="22" t="s">
        <v>197</v>
      </c>
      <c r="AH455" s="22" t="s">
        <v>197</v>
      </c>
      <c r="AI455" s="22" t="s">
        <v>197</v>
      </c>
      <c r="AJ455" s="22" t="n">
        <v>1400</v>
      </c>
      <c r="AK455" s="22" t="s">
        <v>197</v>
      </c>
      <c r="AL455" s="22" t="n">
        <v>100</v>
      </c>
      <c r="AM455" s="22" t="s">
        <v>197</v>
      </c>
      <c r="AN455" s="7" t="s">
        <v>2590</v>
      </c>
      <c r="AO455" s="22" t="s">
        <v>197</v>
      </c>
      <c r="AP455" s="22" t="n">
        <v>6</v>
      </c>
      <c r="AQ455" s="22" t="n">
        <v>100</v>
      </c>
    </row>
    <row r="456" customFormat="false" ht="21.75" hidden="false" customHeight="true" outlineLevel="0" collapsed="false">
      <c r="B456" s="15" t="n">
        <v>452</v>
      </c>
      <c r="C456" s="9" t="s">
        <v>85</v>
      </c>
      <c r="D456" s="9" t="s">
        <v>23</v>
      </c>
      <c r="E456" s="9" t="s">
        <v>116</v>
      </c>
      <c r="F456" s="9" t="s">
        <v>101</v>
      </c>
      <c r="G456" s="9" t="s">
        <v>3436</v>
      </c>
      <c r="H456" s="9" t="s">
        <v>2597</v>
      </c>
      <c r="I456" s="9" t="s">
        <v>3427</v>
      </c>
      <c r="J456" s="9" t="s">
        <v>3428</v>
      </c>
      <c r="K456" s="9" t="s">
        <v>2895</v>
      </c>
      <c r="L456" s="9" t="s">
        <v>3411</v>
      </c>
      <c r="M456" s="9" t="s">
        <v>2565</v>
      </c>
      <c r="N456" s="9" t="s">
        <v>765</v>
      </c>
      <c r="O456" s="9" t="s">
        <v>189</v>
      </c>
      <c r="P456" s="9" t="s">
        <v>190</v>
      </c>
      <c r="Q456" s="9" t="s">
        <v>3429</v>
      </c>
      <c r="R456" s="9" t="s">
        <v>3430</v>
      </c>
      <c r="S456" s="9" t="s">
        <v>3414</v>
      </c>
      <c r="T456" s="9" t="s">
        <v>3431</v>
      </c>
      <c r="U456" s="19" t="n">
        <v>930</v>
      </c>
      <c r="V456" s="9"/>
      <c r="W456" s="9"/>
      <c r="X456" s="9" t="s">
        <v>203</v>
      </c>
      <c r="Y456" s="23" t="n">
        <v>0.053</v>
      </c>
      <c r="Z456" s="23" t="n">
        <v>0.073</v>
      </c>
      <c r="AA456" s="23" t="n">
        <v>24</v>
      </c>
      <c r="AB456" s="9" t="s">
        <v>3411</v>
      </c>
      <c r="AC456" s="9" t="s">
        <v>3432</v>
      </c>
      <c r="AD456" s="23" t="s">
        <v>197</v>
      </c>
      <c r="AE456" s="23" t="s">
        <v>197</v>
      </c>
      <c r="AF456" s="23" t="s">
        <v>197</v>
      </c>
      <c r="AG456" s="23" t="s">
        <v>197</v>
      </c>
      <c r="AH456" s="23" t="s">
        <v>197</v>
      </c>
      <c r="AI456" s="23" t="s">
        <v>197</v>
      </c>
      <c r="AJ456" s="23" t="n">
        <v>1300</v>
      </c>
      <c r="AK456" s="23" t="s">
        <v>197</v>
      </c>
      <c r="AL456" s="23" t="n">
        <v>100</v>
      </c>
      <c r="AM456" s="23" t="s">
        <v>197</v>
      </c>
      <c r="AN456" s="9" t="s">
        <v>2590</v>
      </c>
      <c r="AO456" s="23" t="s">
        <v>197</v>
      </c>
      <c r="AP456" s="23" t="n">
        <v>6</v>
      </c>
      <c r="AQ456" s="23" t="n">
        <v>100</v>
      </c>
    </row>
    <row r="457" customFormat="false" ht="21.75" hidden="false" customHeight="true" outlineLevel="0" collapsed="false">
      <c r="B457" s="14" t="n">
        <v>453</v>
      </c>
      <c r="C457" s="7" t="s">
        <v>85</v>
      </c>
      <c r="D457" s="7" t="s">
        <v>23</v>
      </c>
      <c r="E457" s="7" t="s">
        <v>116</v>
      </c>
      <c r="F457" s="7" t="s">
        <v>101</v>
      </c>
      <c r="G457" s="7" t="s">
        <v>3437</v>
      </c>
      <c r="H457" s="7" t="s">
        <v>2599</v>
      </c>
      <c r="I457" s="7" t="s">
        <v>3427</v>
      </c>
      <c r="J457" s="7" t="s">
        <v>3428</v>
      </c>
      <c r="K457" s="7" t="s">
        <v>2895</v>
      </c>
      <c r="L457" s="7" t="s">
        <v>3411</v>
      </c>
      <c r="M457" s="7" t="s">
        <v>2565</v>
      </c>
      <c r="N457" s="7" t="s">
        <v>765</v>
      </c>
      <c r="O457" s="7" t="s">
        <v>189</v>
      </c>
      <c r="P457" s="7" t="s">
        <v>190</v>
      </c>
      <c r="Q457" s="7" t="s">
        <v>3429</v>
      </c>
      <c r="R457" s="7" t="s">
        <v>3430</v>
      </c>
      <c r="S457" s="7" t="s">
        <v>3414</v>
      </c>
      <c r="T457" s="7" t="s">
        <v>3431</v>
      </c>
      <c r="U457" s="18" t="n">
        <v>1360</v>
      </c>
      <c r="V457" s="7"/>
      <c r="W457" s="7"/>
      <c r="X457" s="7" t="s">
        <v>205</v>
      </c>
      <c r="Y457" s="22" t="n">
        <v>0.059</v>
      </c>
      <c r="Z457" s="22" t="n">
        <v>0.079</v>
      </c>
      <c r="AA457" s="22" t="n">
        <v>24</v>
      </c>
      <c r="AB457" s="7" t="s">
        <v>3411</v>
      </c>
      <c r="AC457" s="7" t="s">
        <v>3432</v>
      </c>
      <c r="AD457" s="22" t="s">
        <v>197</v>
      </c>
      <c r="AE457" s="22" t="s">
        <v>197</v>
      </c>
      <c r="AF457" s="22" t="s">
        <v>197</v>
      </c>
      <c r="AG457" s="22" t="s">
        <v>197</v>
      </c>
      <c r="AH457" s="22" t="s">
        <v>197</v>
      </c>
      <c r="AI457" s="22" t="s">
        <v>197</v>
      </c>
      <c r="AJ457" s="22" t="n">
        <v>2100</v>
      </c>
      <c r="AK457" s="22" t="s">
        <v>197</v>
      </c>
      <c r="AL457" s="22" t="n">
        <v>150</v>
      </c>
      <c r="AM457" s="22" t="s">
        <v>197</v>
      </c>
      <c r="AN457" s="7" t="s">
        <v>2590</v>
      </c>
      <c r="AO457" s="22" t="s">
        <v>197</v>
      </c>
      <c r="AP457" s="22" t="n">
        <v>6</v>
      </c>
      <c r="AQ457" s="22" t="n">
        <v>150</v>
      </c>
    </row>
    <row r="458" customFormat="false" ht="21.75" hidden="false" customHeight="true" outlineLevel="0" collapsed="false">
      <c r="B458" s="15" t="n">
        <v>454</v>
      </c>
      <c r="C458" s="9" t="s">
        <v>85</v>
      </c>
      <c r="D458" s="9" t="s">
        <v>23</v>
      </c>
      <c r="E458" s="9" t="s">
        <v>116</v>
      </c>
      <c r="F458" s="9" t="s">
        <v>102</v>
      </c>
      <c r="G458" s="9" t="s">
        <v>391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19"/>
      <c r="V458" s="9"/>
      <c r="W458" s="9"/>
      <c r="X458" s="9" t="s">
        <v>3438</v>
      </c>
      <c r="Y458" s="23" t="s">
        <v>197</v>
      </c>
      <c r="Z458" s="23" t="s">
        <v>197</v>
      </c>
      <c r="AA458" s="23" t="s">
        <v>197</v>
      </c>
      <c r="AB458" s="9" t="s">
        <v>197</v>
      </c>
      <c r="AC458" s="9" t="s">
        <v>197</v>
      </c>
      <c r="AD458" s="23" t="s">
        <v>197</v>
      </c>
      <c r="AE458" s="23" t="s">
        <v>197</v>
      </c>
      <c r="AF458" s="23" t="s">
        <v>197</v>
      </c>
      <c r="AG458" s="23" t="s">
        <v>197</v>
      </c>
      <c r="AH458" s="23" t="s">
        <v>197</v>
      </c>
      <c r="AI458" s="23" t="s">
        <v>197</v>
      </c>
      <c r="AJ458" s="23" t="s">
        <v>197</v>
      </c>
      <c r="AK458" s="23" t="s">
        <v>197</v>
      </c>
      <c r="AL458" s="23" t="s">
        <v>197</v>
      </c>
      <c r="AM458" s="23" t="s">
        <v>197</v>
      </c>
      <c r="AN458" s="9" t="s">
        <v>197</v>
      </c>
      <c r="AO458" s="23" t="s">
        <v>197</v>
      </c>
      <c r="AP458" s="23" t="s">
        <v>197</v>
      </c>
      <c r="AQ458" s="23" t="s">
        <v>197</v>
      </c>
    </row>
    <row r="459" customFormat="false" ht="21.75" hidden="false" customHeight="true" outlineLevel="0" collapsed="false">
      <c r="B459" s="14" t="n">
        <v>455</v>
      </c>
      <c r="C459" s="7" t="s">
        <v>85</v>
      </c>
      <c r="D459" s="7" t="s">
        <v>23</v>
      </c>
      <c r="E459" s="7" t="s">
        <v>116</v>
      </c>
      <c r="F459" s="7" t="s">
        <v>103</v>
      </c>
      <c r="G459" s="7" t="s">
        <v>3439</v>
      </c>
      <c r="H459" s="7" t="s">
        <v>3004</v>
      </c>
      <c r="I459" s="7" t="s">
        <v>3440</v>
      </c>
      <c r="J459" s="7" t="s">
        <v>3441</v>
      </c>
      <c r="K459" s="7" t="s">
        <v>3442</v>
      </c>
      <c r="L459" s="7" t="s">
        <v>3411</v>
      </c>
      <c r="M459" s="7" t="s">
        <v>3443</v>
      </c>
      <c r="N459" s="7" t="s">
        <v>189</v>
      </c>
      <c r="O459" s="7" t="s">
        <v>189</v>
      </c>
      <c r="P459" s="7" t="s">
        <v>190</v>
      </c>
      <c r="Q459" s="7" t="s">
        <v>3444</v>
      </c>
      <c r="R459" s="7" t="s">
        <v>3445</v>
      </c>
      <c r="S459" s="7" t="s">
        <v>3414</v>
      </c>
      <c r="T459" s="7" t="s">
        <v>3446</v>
      </c>
      <c r="U459" s="18" t="n">
        <v>25</v>
      </c>
      <c r="V459" s="7"/>
      <c r="W459" s="7"/>
      <c r="X459" s="7" t="s">
        <v>195</v>
      </c>
      <c r="Y459" s="22" t="n">
        <v>0.00030896</v>
      </c>
      <c r="Z459" s="22" t="n">
        <v>0.065</v>
      </c>
      <c r="AA459" s="22" t="n">
        <v>24</v>
      </c>
      <c r="AB459" s="7" t="s">
        <v>3411</v>
      </c>
      <c r="AC459" s="7" t="s">
        <v>3011</v>
      </c>
      <c r="AD459" s="22" t="s">
        <v>197</v>
      </c>
      <c r="AE459" s="22" t="s">
        <v>197</v>
      </c>
      <c r="AF459" s="22" t="s">
        <v>197</v>
      </c>
      <c r="AG459" s="22" t="s">
        <v>197</v>
      </c>
      <c r="AH459" s="22" t="s">
        <v>197</v>
      </c>
      <c r="AI459" s="22" t="s">
        <v>197</v>
      </c>
      <c r="AJ459" s="22" t="s">
        <v>197</v>
      </c>
      <c r="AK459" s="22" t="s">
        <v>197</v>
      </c>
      <c r="AL459" s="22" t="s">
        <v>197</v>
      </c>
      <c r="AM459" s="22" t="s">
        <v>197</v>
      </c>
      <c r="AN459" s="7" t="s">
        <v>197</v>
      </c>
      <c r="AO459" s="22" t="n">
        <v>17.3</v>
      </c>
      <c r="AP459" s="22" t="n">
        <v>2</v>
      </c>
      <c r="AQ459" s="22" t="n">
        <v>2.45</v>
      </c>
    </row>
    <row r="460" customFormat="false" ht="21.75" hidden="false" customHeight="true" outlineLevel="0" collapsed="false">
      <c r="B460" s="15" t="n">
        <v>456</v>
      </c>
      <c r="C460" s="9" t="s">
        <v>85</v>
      </c>
      <c r="D460" s="9" t="s">
        <v>23</v>
      </c>
      <c r="E460" s="9" t="s">
        <v>116</v>
      </c>
      <c r="F460" s="9" t="s">
        <v>103</v>
      </c>
      <c r="G460" s="9" t="s">
        <v>3447</v>
      </c>
      <c r="H460" s="9" t="s">
        <v>3013</v>
      </c>
      <c r="I460" s="9" t="s">
        <v>3440</v>
      </c>
      <c r="J460" s="9" t="s">
        <v>3441</v>
      </c>
      <c r="K460" s="9" t="s">
        <v>3442</v>
      </c>
      <c r="L460" s="9" t="s">
        <v>3411</v>
      </c>
      <c r="M460" s="9" t="s">
        <v>3443</v>
      </c>
      <c r="N460" s="9" t="s">
        <v>189</v>
      </c>
      <c r="O460" s="9" t="s">
        <v>189</v>
      </c>
      <c r="P460" s="9" t="s">
        <v>190</v>
      </c>
      <c r="Q460" s="9" t="s">
        <v>3444</v>
      </c>
      <c r="R460" s="9" t="s">
        <v>3445</v>
      </c>
      <c r="S460" s="9" t="s">
        <v>3414</v>
      </c>
      <c r="T460" s="9" t="s">
        <v>3446</v>
      </c>
      <c r="U460" s="19" t="n">
        <v>40</v>
      </c>
      <c r="V460" s="9"/>
      <c r="W460" s="9"/>
      <c r="X460" s="9" t="s">
        <v>199</v>
      </c>
      <c r="Y460" s="23" t="n">
        <v>0.0005236</v>
      </c>
      <c r="Z460" s="23" t="n">
        <v>0.094</v>
      </c>
      <c r="AA460" s="23" t="n">
        <v>24</v>
      </c>
      <c r="AB460" s="9" t="s">
        <v>3411</v>
      </c>
      <c r="AC460" s="9" t="s">
        <v>3011</v>
      </c>
      <c r="AD460" s="23" t="s">
        <v>197</v>
      </c>
      <c r="AE460" s="23" t="s">
        <v>197</v>
      </c>
      <c r="AF460" s="23" t="s">
        <v>197</v>
      </c>
      <c r="AG460" s="23" t="s">
        <v>197</v>
      </c>
      <c r="AH460" s="23" t="s">
        <v>197</v>
      </c>
      <c r="AI460" s="23" t="s">
        <v>197</v>
      </c>
      <c r="AJ460" s="23" t="s">
        <v>197</v>
      </c>
      <c r="AK460" s="23" t="s">
        <v>197</v>
      </c>
      <c r="AL460" s="23" t="s">
        <v>197</v>
      </c>
      <c r="AM460" s="23" t="s">
        <v>197</v>
      </c>
      <c r="AN460" s="9" t="s">
        <v>197</v>
      </c>
      <c r="AO460" s="23" t="n">
        <v>21.9</v>
      </c>
      <c r="AP460" s="23" t="n">
        <v>2</v>
      </c>
      <c r="AQ460" s="23" t="n">
        <v>2.45</v>
      </c>
    </row>
    <row r="461" customFormat="false" ht="21.75" hidden="false" customHeight="true" outlineLevel="0" collapsed="false">
      <c r="B461" s="14" t="n">
        <v>457</v>
      </c>
      <c r="C461" s="7" t="s">
        <v>85</v>
      </c>
      <c r="D461" s="7" t="s">
        <v>23</v>
      </c>
      <c r="E461" s="7" t="s">
        <v>116</v>
      </c>
      <c r="F461" s="7" t="s">
        <v>103</v>
      </c>
      <c r="G461" s="7" t="s">
        <v>3448</v>
      </c>
      <c r="H461" s="7" t="s">
        <v>3015</v>
      </c>
      <c r="I461" s="7" t="s">
        <v>3440</v>
      </c>
      <c r="J461" s="7" t="s">
        <v>3441</v>
      </c>
      <c r="K461" s="7" t="s">
        <v>3442</v>
      </c>
      <c r="L461" s="7" t="s">
        <v>3411</v>
      </c>
      <c r="M461" s="7" t="s">
        <v>3443</v>
      </c>
      <c r="N461" s="7" t="s">
        <v>189</v>
      </c>
      <c r="O461" s="7" t="s">
        <v>189</v>
      </c>
      <c r="P461" s="7" t="s">
        <v>190</v>
      </c>
      <c r="Q461" s="7" t="s">
        <v>3444</v>
      </c>
      <c r="R461" s="7" t="s">
        <v>3445</v>
      </c>
      <c r="S461" s="7" t="s">
        <v>3414</v>
      </c>
      <c r="T461" s="7" t="s">
        <v>3446</v>
      </c>
      <c r="U461" s="18" t="n">
        <v>50</v>
      </c>
      <c r="V461" s="7"/>
      <c r="W461" s="7"/>
      <c r="X461" s="7" t="s">
        <v>3449</v>
      </c>
      <c r="Y461" s="22" t="n">
        <v>0.00059056</v>
      </c>
      <c r="Z461" s="22" t="n">
        <v>0.104</v>
      </c>
      <c r="AA461" s="22" t="n">
        <v>24</v>
      </c>
      <c r="AB461" s="7" t="s">
        <v>3411</v>
      </c>
      <c r="AC461" s="7" t="s">
        <v>3011</v>
      </c>
      <c r="AD461" s="22" t="s">
        <v>197</v>
      </c>
      <c r="AE461" s="22" t="s">
        <v>197</v>
      </c>
      <c r="AF461" s="22" t="s">
        <v>197</v>
      </c>
      <c r="AG461" s="22" t="s">
        <v>197</v>
      </c>
      <c r="AH461" s="22" t="s">
        <v>197</v>
      </c>
      <c r="AI461" s="22" t="s">
        <v>197</v>
      </c>
      <c r="AJ461" s="22" t="s">
        <v>197</v>
      </c>
      <c r="AK461" s="22" t="s">
        <v>197</v>
      </c>
      <c r="AL461" s="22" t="s">
        <v>197</v>
      </c>
      <c r="AM461" s="22" t="s">
        <v>197</v>
      </c>
      <c r="AN461" s="7" t="s">
        <v>197</v>
      </c>
      <c r="AO461" s="22" t="n">
        <v>23.3</v>
      </c>
      <c r="AP461" s="22" t="n">
        <v>2</v>
      </c>
      <c r="AQ461" s="22" t="n">
        <v>2.45</v>
      </c>
    </row>
    <row r="462" customFormat="false" ht="21.75" hidden="false" customHeight="true" outlineLevel="0" collapsed="false">
      <c r="B462" s="15" t="n">
        <v>458</v>
      </c>
      <c r="C462" s="9" t="s">
        <v>85</v>
      </c>
      <c r="D462" s="9" t="s">
        <v>23</v>
      </c>
      <c r="E462" s="9" t="s">
        <v>116</v>
      </c>
      <c r="F462" s="9" t="s">
        <v>103</v>
      </c>
      <c r="G462" s="9" t="s">
        <v>3450</v>
      </c>
      <c r="H462" s="9" t="s">
        <v>3018</v>
      </c>
      <c r="I462" s="9" t="s">
        <v>3440</v>
      </c>
      <c r="J462" s="9" t="s">
        <v>3441</v>
      </c>
      <c r="K462" s="9" t="s">
        <v>3442</v>
      </c>
      <c r="L462" s="9" t="s">
        <v>3411</v>
      </c>
      <c r="M462" s="9" t="s">
        <v>3443</v>
      </c>
      <c r="N462" s="9" t="s">
        <v>189</v>
      </c>
      <c r="O462" s="9" t="s">
        <v>189</v>
      </c>
      <c r="P462" s="9" t="s">
        <v>190</v>
      </c>
      <c r="Q462" s="9" t="s">
        <v>3444</v>
      </c>
      <c r="R462" s="9" t="s">
        <v>3445</v>
      </c>
      <c r="S462" s="9" t="s">
        <v>3414</v>
      </c>
      <c r="T462" s="9" t="s">
        <v>3446</v>
      </c>
      <c r="U462" s="19" t="n">
        <v>80</v>
      </c>
      <c r="V462" s="9"/>
      <c r="W462" s="9"/>
      <c r="X462" s="9" t="s">
        <v>203</v>
      </c>
      <c r="Y462" s="23" t="n">
        <v>0.00082536</v>
      </c>
      <c r="Z462" s="23" t="n">
        <v>0.136</v>
      </c>
      <c r="AA462" s="23" t="n">
        <v>24</v>
      </c>
      <c r="AB462" s="9" t="s">
        <v>3411</v>
      </c>
      <c r="AC462" s="9" t="s">
        <v>3011</v>
      </c>
      <c r="AD462" s="23" t="s">
        <v>197</v>
      </c>
      <c r="AE462" s="23" t="s">
        <v>197</v>
      </c>
      <c r="AF462" s="23" t="s">
        <v>197</v>
      </c>
      <c r="AG462" s="23" t="s">
        <v>197</v>
      </c>
      <c r="AH462" s="23" t="s">
        <v>197</v>
      </c>
      <c r="AI462" s="23" t="s">
        <v>197</v>
      </c>
      <c r="AJ462" s="23" t="s">
        <v>197</v>
      </c>
      <c r="AK462" s="23" t="s">
        <v>197</v>
      </c>
      <c r="AL462" s="23" t="s">
        <v>197</v>
      </c>
      <c r="AM462" s="23" t="s">
        <v>197</v>
      </c>
      <c r="AN462" s="9" t="s">
        <v>197</v>
      </c>
      <c r="AO462" s="23" t="n">
        <v>28.3</v>
      </c>
      <c r="AP462" s="23" t="n">
        <v>2</v>
      </c>
      <c r="AQ462" s="23" t="n">
        <v>2.45</v>
      </c>
    </row>
    <row r="463" customFormat="false" ht="21.75" hidden="false" customHeight="true" outlineLevel="0" collapsed="false">
      <c r="B463" s="14" t="n">
        <v>459</v>
      </c>
      <c r="C463" s="7" t="s">
        <v>85</v>
      </c>
      <c r="D463" s="7" t="s">
        <v>23</v>
      </c>
      <c r="E463" s="7" t="s">
        <v>116</v>
      </c>
      <c r="F463" s="7" t="s">
        <v>103</v>
      </c>
      <c r="G463" s="7" t="s">
        <v>3451</v>
      </c>
      <c r="H463" s="7" t="s">
        <v>3020</v>
      </c>
      <c r="I463" s="7" t="s">
        <v>3440</v>
      </c>
      <c r="J463" s="7" t="s">
        <v>3441</v>
      </c>
      <c r="K463" s="7" t="s">
        <v>3442</v>
      </c>
      <c r="L463" s="7" t="s">
        <v>3411</v>
      </c>
      <c r="M463" s="7" t="s">
        <v>3443</v>
      </c>
      <c r="N463" s="7" t="s">
        <v>189</v>
      </c>
      <c r="O463" s="7" t="s">
        <v>189</v>
      </c>
      <c r="P463" s="7" t="s">
        <v>190</v>
      </c>
      <c r="Q463" s="7" t="s">
        <v>3444</v>
      </c>
      <c r="R463" s="7" t="s">
        <v>3445</v>
      </c>
      <c r="S463" s="7" t="s">
        <v>3414</v>
      </c>
      <c r="T463" s="7" t="s">
        <v>3446</v>
      </c>
      <c r="U463" s="18" t="n">
        <v>115</v>
      </c>
      <c r="V463" s="7"/>
      <c r="W463" s="7"/>
      <c r="X463" s="7" t="s">
        <v>205</v>
      </c>
      <c r="Y463" s="22" t="n">
        <v>0.00073744</v>
      </c>
      <c r="Z463" s="22" t="n">
        <v>0.124</v>
      </c>
      <c r="AA463" s="22" t="n">
        <v>24</v>
      </c>
      <c r="AB463" s="7" t="s">
        <v>3411</v>
      </c>
      <c r="AC463" s="7" t="s">
        <v>3011</v>
      </c>
      <c r="AD463" s="22" t="s">
        <v>197</v>
      </c>
      <c r="AE463" s="22" t="s">
        <v>197</v>
      </c>
      <c r="AF463" s="22" t="s">
        <v>197</v>
      </c>
      <c r="AG463" s="22" t="s">
        <v>197</v>
      </c>
      <c r="AH463" s="22" t="s">
        <v>197</v>
      </c>
      <c r="AI463" s="22" t="s">
        <v>197</v>
      </c>
      <c r="AJ463" s="22" t="s">
        <v>197</v>
      </c>
      <c r="AK463" s="22" t="s">
        <v>197</v>
      </c>
      <c r="AL463" s="22" t="s">
        <v>197</v>
      </c>
      <c r="AM463" s="22" t="s">
        <v>197</v>
      </c>
      <c r="AN463" s="7" t="s">
        <v>197</v>
      </c>
      <c r="AO463" s="22" t="n">
        <v>26.4</v>
      </c>
      <c r="AP463" s="22" t="n">
        <v>2</v>
      </c>
      <c r="AQ463" s="22" t="n">
        <v>2.45</v>
      </c>
    </row>
    <row r="464" customFormat="false" ht="21.75" hidden="false" customHeight="true" outlineLevel="0" collapsed="false">
      <c r="B464" s="15" t="n">
        <v>460</v>
      </c>
      <c r="C464" s="9" t="s">
        <v>85</v>
      </c>
      <c r="D464" s="9" t="s">
        <v>23</v>
      </c>
      <c r="E464" s="9" t="s">
        <v>116</v>
      </c>
      <c r="F464" s="9" t="s">
        <v>104</v>
      </c>
      <c r="G464" s="9" t="s">
        <v>391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19"/>
      <c r="V464" s="9"/>
      <c r="W464" s="9"/>
      <c r="X464" s="9" t="s">
        <v>3452</v>
      </c>
      <c r="Y464" s="23" t="s">
        <v>197</v>
      </c>
      <c r="Z464" s="23" t="s">
        <v>197</v>
      </c>
      <c r="AA464" s="23" t="s">
        <v>197</v>
      </c>
      <c r="AB464" s="9" t="s">
        <v>197</v>
      </c>
      <c r="AC464" s="9" t="s">
        <v>197</v>
      </c>
      <c r="AD464" s="23" t="s">
        <v>197</v>
      </c>
      <c r="AE464" s="23" t="s">
        <v>197</v>
      </c>
      <c r="AF464" s="23" t="s">
        <v>197</v>
      </c>
      <c r="AG464" s="23" t="s">
        <v>197</v>
      </c>
      <c r="AH464" s="23" t="s">
        <v>197</v>
      </c>
      <c r="AI464" s="23" t="s">
        <v>197</v>
      </c>
      <c r="AJ464" s="23" t="s">
        <v>197</v>
      </c>
      <c r="AK464" s="23" t="s">
        <v>197</v>
      </c>
      <c r="AL464" s="23" t="s">
        <v>197</v>
      </c>
      <c r="AM464" s="23" t="s">
        <v>197</v>
      </c>
      <c r="AN464" s="9" t="s">
        <v>197</v>
      </c>
      <c r="AO464" s="23" t="s">
        <v>197</v>
      </c>
      <c r="AP464" s="23" t="s">
        <v>197</v>
      </c>
      <c r="AQ464" s="23" t="s">
        <v>197</v>
      </c>
    </row>
    <row r="465" customFormat="false" ht="21.75" hidden="false" customHeight="true" outlineLevel="0" collapsed="false">
      <c r="B465" s="14" t="n">
        <v>461</v>
      </c>
      <c r="C465" s="7" t="s">
        <v>85</v>
      </c>
      <c r="D465" s="7" t="s">
        <v>23</v>
      </c>
      <c r="E465" s="7" t="s">
        <v>116</v>
      </c>
      <c r="F465" s="7" t="s">
        <v>105</v>
      </c>
      <c r="G465" s="7" t="s">
        <v>391</v>
      </c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18"/>
      <c r="V465" s="7"/>
      <c r="W465" s="7"/>
      <c r="X465" s="7" t="s">
        <v>3453</v>
      </c>
      <c r="Y465" s="22" t="s">
        <v>197</v>
      </c>
      <c r="Z465" s="22" t="s">
        <v>197</v>
      </c>
      <c r="AA465" s="22" t="s">
        <v>197</v>
      </c>
      <c r="AB465" s="7" t="s">
        <v>197</v>
      </c>
      <c r="AC465" s="7" t="s">
        <v>197</v>
      </c>
      <c r="AD465" s="22" t="s">
        <v>197</v>
      </c>
      <c r="AE465" s="22" t="s">
        <v>197</v>
      </c>
      <c r="AF465" s="22" t="s">
        <v>197</v>
      </c>
      <c r="AG465" s="22" t="s">
        <v>197</v>
      </c>
      <c r="AH465" s="22" t="s">
        <v>197</v>
      </c>
      <c r="AI465" s="22" t="s">
        <v>197</v>
      </c>
      <c r="AJ465" s="22" t="s">
        <v>197</v>
      </c>
      <c r="AK465" s="22" t="s">
        <v>197</v>
      </c>
      <c r="AL465" s="22" t="s">
        <v>197</v>
      </c>
      <c r="AM465" s="22" t="s">
        <v>197</v>
      </c>
      <c r="AN465" s="7" t="s">
        <v>197</v>
      </c>
      <c r="AO465" s="22" t="s">
        <v>197</v>
      </c>
      <c r="AP465" s="22" t="s">
        <v>197</v>
      </c>
      <c r="AQ465" s="22" t="s">
        <v>197</v>
      </c>
    </row>
    <row r="466" customFormat="false" ht="21.75" hidden="false" customHeight="true" outlineLevel="0" collapsed="false">
      <c r="B466" s="15" t="n">
        <v>462</v>
      </c>
      <c r="C466" s="9" t="s">
        <v>85</v>
      </c>
      <c r="D466" s="9" t="s">
        <v>23</v>
      </c>
      <c r="E466" s="9" t="s">
        <v>116</v>
      </c>
      <c r="F466" s="9" t="s">
        <v>106</v>
      </c>
      <c r="G466" s="9" t="s">
        <v>391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19"/>
      <c r="V466" s="9"/>
      <c r="W466" s="9"/>
      <c r="X466" s="9" t="s">
        <v>3454</v>
      </c>
      <c r="Y466" s="23" t="s">
        <v>197</v>
      </c>
      <c r="Z466" s="23" t="s">
        <v>197</v>
      </c>
      <c r="AA466" s="23" t="s">
        <v>197</v>
      </c>
      <c r="AB466" s="9" t="s">
        <v>197</v>
      </c>
      <c r="AC466" s="9" t="s">
        <v>197</v>
      </c>
      <c r="AD466" s="23" t="s">
        <v>197</v>
      </c>
      <c r="AE466" s="23" t="s">
        <v>197</v>
      </c>
      <c r="AF466" s="23" t="s">
        <v>197</v>
      </c>
      <c r="AG466" s="23" t="s">
        <v>197</v>
      </c>
      <c r="AH466" s="23" t="s">
        <v>197</v>
      </c>
      <c r="AI466" s="23" t="s">
        <v>197</v>
      </c>
      <c r="AJ466" s="23" t="s">
        <v>197</v>
      </c>
      <c r="AK466" s="23" t="s">
        <v>197</v>
      </c>
      <c r="AL466" s="23" t="s">
        <v>197</v>
      </c>
      <c r="AM466" s="23" t="s">
        <v>197</v>
      </c>
      <c r="AN466" s="9" t="s">
        <v>197</v>
      </c>
      <c r="AO466" s="23" t="s">
        <v>197</v>
      </c>
      <c r="AP466" s="23" t="s">
        <v>197</v>
      </c>
      <c r="AQ466" s="23" t="s">
        <v>197</v>
      </c>
    </row>
    <row r="467" customFormat="false" ht="21.75" hidden="false" customHeight="true" outlineLevel="0" collapsed="false">
      <c r="B467" s="14" t="n">
        <v>463</v>
      </c>
      <c r="C467" s="7" t="s">
        <v>85</v>
      </c>
      <c r="D467" s="7" t="s">
        <v>23</v>
      </c>
      <c r="E467" s="7" t="s">
        <v>116</v>
      </c>
      <c r="F467" s="7" t="s">
        <v>107</v>
      </c>
      <c r="G467" s="7" t="s">
        <v>3455</v>
      </c>
      <c r="H467" s="7" t="s">
        <v>2796</v>
      </c>
      <c r="I467" s="7" t="s">
        <v>3456</v>
      </c>
      <c r="J467" s="7" t="s">
        <v>3457</v>
      </c>
      <c r="K467" s="7" t="s">
        <v>3458</v>
      </c>
      <c r="L467" s="7" t="s">
        <v>3411</v>
      </c>
      <c r="M467" s="7" t="s">
        <v>2565</v>
      </c>
      <c r="N467" s="7" t="s">
        <v>189</v>
      </c>
      <c r="O467" s="7" t="s">
        <v>189</v>
      </c>
      <c r="P467" s="7" t="s">
        <v>190</v>
      </c>
      <c r="Q467" s="7" t="s">
        <v>3459</v>
      </c>
      <c r="R467" s="7" t="s">
        <v>2897</v>
      </c>
      <c r="S467" s="7" t="s">
        <v>3414</v>
      </c>
      <c r="T467" s="7" t="s">
        <v>3460</v>
      </c>
      <c r="U467" s="18" t="n">
        <v>95</v>
      </c>
      <c r="V467" s="7"/>
      <c r="W467" s="7"/>
      <c r="X467" s="7" t="s">
        <v>195</v>
      </c>
      <c r="Y467" s="22" t="n">
        <v>0.05</v>
      </c>
      <c r="Z467" s="22" t="n">
        <v>0.076</v>
      </c>
      <c r="AA467" s="22" t="n">
        <v>24</v>
      </c>
      <c r="AB467" s="7" t="s">
        <v>3411</v>
      </c>
      <c r="AC467" s="7" t="s">
        <v>2801</v>
      </c>
      <c r="AD467" s="22" t="s">
        <v>197</v>
      </c>
      <c r="AE467" s="22" t="s">
        <v>197</v>
      </c>
      <c r="AF467" s="22" t="s">
        <v>197</v>
      </c>
      <c r="AG467" s="22" t="s">
        <v>197</v>
      </c>
      <c r="AH467" s="22" t="s">
        <v>197</v>
      </c>
      <c r="AI467" s="22" t="s">
        <v>197</v>
      </c>
      <c r="AJ467" s="22" t="s">
        <v>197</v>
      </c>
      <c r="AK467" s="22" t="s">
        <v>197</v>
      </c>
      <c r="AL467" s="22" t="s">
        <v>197</v>
      </c>
      <c r="AM467" s="22" t="s">
        <v>197</v>
      </c>
      <c r="AN467" s="7" t="s">
        <v>2802</v>
      </c>
      <c r="AO467" s="22" t="s">
        <v>197</v>
      </c>
      <c r="AP467" s="22" t="s">
        <v>197</v>
      </c>
      <c r="AQ467" s="22" t="s">
        <v>197</v>
      </c>
    </row>
    <row r="468" customFormat="false" ht="21.75" hidden="false" customHeight="true" outlineLevel="0" collapsed="false">
      <c r="B468" s="15" t="n">
        <v>464</v>
      </c>
      <c r="C468" s="9" t="s">
        <v>85</v>
      </c>
      <c r="D468" s="9" t="s">
        <v>23</v>
      </c>
      <c r="E468" s="9" t="s">
        <v>116</v>
      </c>
      <c r="F468" s="9" t="s">
        <v>107</v>
      </c>
      <c r="G468" s="9" t="s">
        <v>3461</v>
      </c>
      <c r="H468" s="9" t="s">
        <v>2804</v>
      </c>
      <c r="I468" s="9" t="s">
        <v>3456</v>
      </c>
      <c r="J468" s="9" t="s">
        <v>3457</v>
      </c>
      <c r="K468" s="9" t="s">
        <v>3458</v>
      </c>
      <c r="L468" s="9" t="s">
        <v>3411</v>
      </c>
      <c r="M468" s="9" t="s">
        <v>2565</v>
      </c>
      <c r="N468" s="9" t="s">
        <v>189</v>
      </c>
      <c r="O468" s="9" t="s">
        <v>189</v>
      </c>
      <c r="P468" s="9" t="s">
        <v>190</v>
      </c>
      <c r="Q468" s="9" t="s">
        <v>3459</v>
      </c>
      <c r="R468" s="9" t="s">
        <v>2897</v>
      </c>
      <c r="S468" s="9" t="s">
        <v>3414</v>
      </c>
      <c r="T468" s="9" t="s">
        <v>3460</v>
      </c>
      <c r="U468" s="19" t="n">
        <v>145</v>
      </c>
      <c r="V468" s="9"/>
      <c r="W468" s="9"/>
      <c r="X468" s="9" t="s">
        <v>199</v>
      </c>
      <c r="Y468" s="23" t="n">
        <v>0.078</v>
      </c>
      <c r="Z468" s="23" t="n">
        <v>0.117</v>
      </c>
      <c r="AA468" s="23" t="n">
        <v>24</v>
      </c>
      <c r="AB468" s="9" t="s">
        <v>3411</v>
      </c>
      <c r="AC468" s="9" t="s">
        <v>2801</v>
      </c>
      <c r="AD468" s="23" t="s">
        <v>197</v>
      </c>
      <c r="AE468" s="23" t="s">
        <v>197</v>
      </c>
      <c r="AF468" s="23" t="s">
        <v>197</v>
      </c>
      <c r="AG468" s="23" t="s">
        <v>197</v>
      </c>
      <c r="AH468" s="23" t="s">
        <v>197</v>
      </c>
      <c r="AI468" s="23" t="s">
        <v>197</v>
      </c>
      <c r="AJ468" s="23" t="s">
        <v>197</v>
      </c>
      <c r="AK468" s="23" t="s">
        <v>197</v>
      </c>
      <c r="AL468" s="23" t="s">
        <v>197</v>
      </c>
      <c r="AM468" s="23" t="s">
        <v>197</v>
      </c>
      <c r="AN468" s="9" t="s">
        <v>2802</v>
      </c>
      <c r="AO468" s="23" t="s">
        <v>197</v>
      </c>
      <c r="AP468" s="23" t="s">
        <v>197</v>
      </c>
      <c r="AQ468" s="23" t="s">
        <v>197</v>
      </c>
    </row>
    <row r="469" customFormat="false" ht="21.75" hidden="false" customHeight="true" outlineLevel="0" collapsed="false">
      <c r="B469" s="14" t="n">
        <v>465</v>
      </c>
      <c r="C469" s="7" t="s">
        <v>85</v>
      </c>
      <c r="D469" s="7" t="s">
        <v>23</v>
      </c>
      <c r="E469" s="7" t="s">
        <v>116</v>
      </c>
      <c r="F469" s="7" t="s">
        <v>107</v>
      </c>
      <c r="G469" s="7" t="s">
        <v>3462</v>
      </c>
      <c r="H469" s="7" t="s">
        <v>2806</v>
      </c>
      <c r="I469" s="7" t="s">
        <v>3456</v>
      </c>
      <c r="J469" s="7" t="s">
        <v>3457</v>
      </c>
      <c r="K469" s="7" t="s">
        <v>3458</v>
      </c>
      <c r="L469" s="7" t="s">
        <v>3411</v>
      </c>
      <c r="M469" s="7" t="s">
        <v>2565</v>
      </c>
      <c r="N469" s="7" t="s">
        <v>189</v>
      </c>
      <c r="O469" s="7" t="s">
        <v>189</v>
      </c>
      <c r="P469" s="7" t="s">
        <v>190</v>
      </c>
      <c r="Q469" s="7" t="s">
        <v>3459</v>
      </c>
      <c r="R469" s="7" t="s">
        <v>2897</v>
      </c>
      <c r="S469" s="7" t="s">
        <v>3414</v>
      </c>
      <c r="T469" s="7" t="s">
        <v>3460</v>
      </c>
      <c r="U469" s="18" t="n">
        <v>195</v>
      </c>
      <c r="V469" s="7"/>
      <c r="W469" s="7"/>
      <c r="X469" s="7" t="s">
        <v>3463</v>
      </c>
      <c r="Y469" s="22" t="n">
        <v>0.042</v>
      </c>
      <c r="Z469" s="22" t="n">
        <v>0.063</v>
      </c>
      <c r="AA469" s="22" t="n">
        <v>24</v>
      </c>
      <c r="AB469" s="7" t="s">
        <v>3411</v>
      </c>
      <c r="AC469" s="7" t="s">
        <v>2801</v>
      </c>
      <c r="AD469" s="22" t="s">
        <v>197</v>
      </c>
      <c r="AE469" s="22" t="s">
        <v>197</v>
      </c>
      <c r="AF469" s="22" t="s">
        <v>197</v>
      </c>
      <c r="AG469" s="22" t="s">
        <v>197</v>
      </c>
      <c r="AH469" s="22" t="s">
        <v>197</v>
      </c>
      <c r="AI469" s="22" t="s">
        <v>197</v>
      </c>
      <c r="AJ469" s="22" t="s">
        <v>197</v>
      </c>
      <c r="AK469" s="22" t="s">
        <v>197</v>
      </c>
      <c r="AL469" s="22" t="s">
        <v>197</v>
      </c>
      <c r="AM469" s="22" t="s">
        <v>197</v>
      </c>
      <c r="AN469" s="7" t="s">
        <v>2802</v>
      </c>
      <c r="AO469" s="22" t="s">
        <v>197</v>
      </c>
      <c r="AP469" s="22" t="s">
        <v>197</v>
      </c>
      <c r="AQ469" s="22" t="s">
        <v>197</v>
      </c>
    </row>
    <row r="470" customFormat="false" ht="21.75" hidden="false" customHeight="true" outlineLevel="0" collapsed="false">
      <c r="B470" s="15" t="n">
        <v>466</v>
      </c>
      <c r="C470" s="9" t="s">
        <v>85</v>
      </c>
      <c r="D470" s="9" t="s">
        <v>23</v>
      </c>
      <c r="E470" s="9" t="s">
        <v>116</v>
      </c>
      <c r="F470" s="9" t="s">
        <v>107</v>
      </c>
      <c r="G470" s="9" t="s">
        <v>3464</v>
      </c>
      <c r="H470" s="9" t="s">
        <v>2809</v>
      </c>
      <c r="I470" s="9" t="s">
        <v>3456</v>
      </c>
      <c r="J470" s="9" t="s">
        <v>3457</v>
      </c>
      <c r="K470" s="9" t="s">
        <v>3458</v>
      </c>
      <c r="L470" s="9" t="s">
        <v>3411</v>
      </c>
      <c r="M470" s="9" t="s">
        <v>2565</v>
      </c>
      <c r="N470" s="9" t="s">
        <v>189</v>
      </c>
      <c r="O470" s="9" t="s">
        <v>189</v>
      </c>
      <c r="P470" s="9" t="s">
        <v>190</v>
      </c>
      <c r="Q470" s="9" t="s">
        <v>3459</v>
      </c>
      <c r="R470" s="9" t="s">
        <v>2897</v>
      </c>
      <c r="S470" s="9" t="s">
        <v>3414</v>
      </c>
      <c r="T470" s="9" t="s">
        <v>3460</v>
      </c>
      <c r="U470" s="19" t="n">
        <v>290</v>
      </c>
      <c r="V470" s="9"/>
      <c r="W470" s="9"/>
      <c r="X470" s="9" t="s">
        <v>203</v>
      </c>
      <c r="Y470" s="23" t="n">
        <v>0.051</v>
      </c>
      <c r="Z470" s="23" t="n">
        <v>0.077</v>
      </c>
      <c r="AA470" s="23" t="n">
        <v>24</v>
      </c>
      <c r="AB470" s="9" t="s">
        <v>3411</v>
      </c>
      <c r="AC470" s="9" t="s">
        <v>2801</v>
      </c>
      <c r="AD470" s="23" t="s">
        <v>197</v>
      </c>
      <c r="AE470" s="23" t="s">
        <v>197</v>
      </c>
      <c r="AF470" s="23" t="s">
        <v>197</v>
      </c>
      <c r="AG470" s="23" t="s">
        <v>197</v>
      </c>
      <c r="AH470" s="23" t="s">
        <v>197</v>
      </c>
      <c r="AI470" s="23" t="s">
        <v>197</v>
      </c>
      <c r="AJ470" s="23" t="s">
        <v>197</v>
      </c>
      <c r="AK470" s="23" t="s">
        <v>197</v>
      </c>
      <c r="AL470" s="23" t="s">
        <v>197</v>
      </c>
      <c r="AM470" s="23" t="s">
        <v>197</v>
      </c>
      <c r="AN470" s="9" t="s">
        <v>2802</v>
      </c>
      <c r="AO470" s="23" t="s">
        <v>197</v>
      </c>
      <c r="AP470" s="23" t="s">
        <v>197</v>
      </c>
      <c r="AQ470" s="23" t="s">
        <v>197</v>
      </c>
    </row>
    <row r="471" customFormat="false" ht="21.75" hidden="false" customHeight="true" outlineLevel="0" collapsed="false">
      <c r="B471" s="14" t="n">
        <v>467</v>
      </c>
      <c r="C471" s="7" t="s">
        <v>85</v>
      </c>
      <c r="D471" s="7" t="s">
        <v>23</v>
      </c>
      <c r="E471" s="7" t="s">
        <v>116</v>
      </c>
      <c r="F471" s="7" t="s">
        <v>107</v>
      </c>
      <c r="G471" s="7" t="s">
        <v>3465</v>
      </c>
      <c r="H471" s="7" t="s">
        <v>2811</v>
      </c>
      <c r="I471" s="7" t="s">
        <v>3456</v>
      </c>
      <c r="J471" s="7" t="s">
        <v>3457</v>
      </c>
      <c r="K471" s="7" t="s">
        <v>3458</v>
      </c>
      <c r="L471" s="7" t="s">
        <v>3411</v>
      </c>
      <c r="M471" s="7" t="s">
        <v>2565</v>
      </c>
      <c r="N471" s="7" t="s">
        <v>189</v>
      </c>
      <c r="O471" s="7" t="s">
        <v>189</v>
      </c>
      <c r="P471" s="7" t="s">
        <v>190</v>
      </c>
      <c r="Q471" s="7" t="s">
        <v>3459</v>
      </c>
      <c r="R471" s="7" t="s">
        <v>2897</v>
      </c>
      <c r="S471" s="7" t="s">
        <v>3414</v>
      </c>
      <c r="T471" s="7" t="s">
        <v>3460</v>
      </c>
      <c r="U471" s="18" t="n">
        <v>425</v>
      </c>
      <c r="V471" s="7"/>
      <c r="W471" s="7"/>
      <c r="X471" s="7" t="s">
        <v>205</v>
      </c>
      <c r="Y471" s="22" t="n">
        <v>0.048</v>
      </c>
      <c r="Z471" s="22" t="n">
        <v>0.072</v>
      </c>
      <c r="AA471" s="22" t="n">
        <v>24</v>
      </c>
      <c r="AB471" s="7" t="s">
        <v>3411</v>
      </c>
      <c r="AC471" s="7" t="s">
        <v>2801</v>
      </c>
      <c r="AD471" s="22" t="s">
        <v>197</v>
      </c>
      <c r="AE471" s="22" t="s">
        <v>197</v>
      </c>
      <c r="AF471" s="22" t="s">
        <v>197</v>
      </c>
      <c r="AG471" s="22" t="s">
        <v>197</v>
      </c>
      <c r="AH471" s="22" t="s">
        <v>197</v>
      </c>
      <c r="AI471" s="22" t="s">
        <v>197</v>
      </c>
      <c r="AJ471" s="22" t="s">
        <v>197</v>
      </c>
      <c r="AK471" s="22" t="s">
        <v>197</v>
      </c>
      <c r="AL471" s="22" t="s">
        <v>197</v>
      </c>
      <c r="AM471" s="22" t="s">
        <v>197</v>
      </c>
      <c r="AN471" s="7" t="s">
        <v>2802</v>
      </c>
      <c r="AO471" s="22" t="s">
        <v>197</v>
      </c>
      <c r="AP471" s="22" t="s">
        <v>197</v>
      </c>
      <c r="AQ471" s="22" t="s">
        <v>197</v>
      </c>
    </row>
    <row r="472" customFormat="false" ht="21.75" hidden="false" customHeight="true" outlineLevel="0" collapsed="false">
      <c r="B472" s="15" t="n">
        <v>468</v>
      </c>
      <c r="C472" s="9" t="s">
        <v>85</v>
      </c>
      <c r="D472" s="9" t="s">
        <v>23</v>
      </c>
      <c r="E472" s="9" t="s">
        <v>116</v>
      </c>
      <c r="F472" s="9" t="s">
        <v>108</v>
      </c>
      <c r="G472" s="9" t="s">
        <v>391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19"/>
      <c r="V472" s="9"/>
      <c r="W472" s="9"/>
      <c r="X472" s="9" t="s">
        <v>3466</v>
      </c>
      <c r="Y472" s="23" t="s">
        <v>197</v>
      </c>
      <c r="Z472" s="23" t="s">
        <v>197</v>
      </c>
      <c r="AA472" s="23" t="s">
        <v>197</v>
      </c>
      <c r="AB472" s="9" t="s">
        <v>197</v>
      </c>
      <c r="AC472" s="9" t="s">
        <v>197</v>
      </c>
      <c r="AD472" s="23" t="s">
        <v>197</v>
      </c>
      <c r="AE472" s="23" t="s">
        <v>197</v>
      </c>
      <c r="AF472" s="23" t="s">
        <v>197</v>
      </c>
      <c r="AG472" s="23" t="s">
        <v>197</v>
      </c>
      <c r="AH472" s="23" t="s">
        <v>197</v>
      </c>
      <c r="AI472" s="23" t="s">
        <v>197</v>
      </c>
      <c r="AJ472" s="23" t="s">
        <v>197</v>
      </c>
      <c r="AK472" s="23" t="s">
        <v>197</v>
      </c>
      <c r="AL472" s="23" t="s">
        <v>197</v>
      </c>
      <c r="AM472" s="23" t="s">
        <v>197</v>
      </c>
      <c r="AN472" s="9" t="s">
        <v>197</v>
      </c>
      <c r="AO472" s="23" t="s">
        <v>197</v>
      </c>
      <c r="AP472" s="23" t="s">
        <v>197</v>
      </c>
      <c r="AQ472" s="23" t="s">
        <v>197</v>
      </c>
    </row>
    <row r="473" customFormat="false" ht="21.75" hidden="false" customHeight="true" outlineLevel="0" collapsed="false">
      <c r="B473" s="14" t="n">
        <v>469</v>
      </c>
      <c r="C473" s="7" t="s">
        <v>86</v>
      </c>
      <c r="D473" s="7" t="s">
        <v>23</v>
      </c>
      <c r="E473" s="7" t="s">
        <v>124</v>
      </c>
      <c r="F473" s="7" t="s">
        <v>93</v>
      </c>
      <c r="G473" s="7" t="s">
        <v>3467</v>
      </c>
      <c r="H473" s="7" t="s">
        <v>3468</v>
      </c>
      <c r="I473" s="7" t="s">
        <v>3469</v>
      </c>
      <c r="J473" s="7" t="s">
        <v>3470</v>
      </c>
      <c r="K473" s="7" t="s">
        <v>3471</v>
      </c>
      <c r="L473" s="7" t="s">
        <v>3472</v>
      </c>
      <c r="M473" s="7" t="s">
        <v>3473</v>
      </c>
      <c r="N473" s="7" t="s">
        <v>3474</v>
      </c>
      <c r="O473" s="7" t="s">
        <v>189</v>
      </c>
      <c r="P473" s="7" t="s">
        <v>640</v>
      </c>
      <c r="Q473" s="7" t="s">
        <v>3475</v>
      </c>
      <c r="R473" s="7" t="s">
        <v>3476</v>
      </c>
      <c r="S473" s="7" t="s">
        <v>3477</v>
      </c>
      <c r="T473" s="7" t="s">
        <v>3478</v>
      </c>
      <c r="U473" s="18" t="n">
        <v>490</v>
      </c>
      <c r="V473" s="7"/>
      <c r="W473" s="7"/>
      <c r="X473" s="7" t="s">
        <v>195</v>
      </c>
      <c r="Y473" s="22" t="n">
        <v>0.35</v>
      </c>
      <c r="Z473" s="22" t="n">
        <v>2.295</v>
      </c>
      <c r="AA473" s="22" t="n">
        <v>24</v>
      </c>
      <c r="AB473" s="7" t="s">
        <v>3472</v>
      </c>
      <c r="AC473" s="7" t="s">
        <v>3479</v>
      </c>
      <c r="AD473" s="22" t="n">
        <v>0.35</v>
      </c>
      <c r="AE473" s="22" t="n">
        <v>2.295</v>
      </c>
      <c r="AF473" s="22" t="n">
        <v>6</v>
      </c>
      <c r="AG473" s="22" t="s">
        <v>197</v>
      </c>
      <c r="AH473" s="22" t="n">
        <v>2</v>
      </c>
      <c r="AI473" s="22" t="n">
        <v>486</v>
      </c>
      <c r="AJ473" s="22" t="s">
        <v>197</v>
      </c>
      <c r="AK473" s="22" t="s">
        <v>197</v>
      </c>
      <c r="AL473" s="22" t="s">
        <v>197</v>
      </c>
      <c r="AM473" s="22" t="s">
        <v>197</v>
      </c>
      <c r="AN473" s="7" t="s">
        <v>197</v>
      </c>
      <c r="AO473" s="22" t="s">
        <v>197</v>
      </c>
      <c r="AP473" s="22" t="s">
        <v>197</v>
      </c>
      <c r="AQ473" s="22" t="s">
        <v>197</v>
      </c>
    </row>
    <row r="474" customFormat="false" ht="21.75" hidden="false" customHeight="true" outlineLevel="0" collapsed="false">
      <c r="B474" s="15" t="n">
        <v>470</v>
      </c>
      <c r="C474" s="9" t="s">
        <v>86</v>
      </c>
      <c r="D474" s="9" t="s">
        <v>23</v>
      </c>
      <c r="E474" s="9" t="s">
        <v>124</v>
      </c>
      <c r="F474" s="9" t="s">
        <v>93</v>
      </c>
      <c r="G474" s="9" t="s">
        <v>3480</v>
      </c>
      <c r="H474" s="9" t="s">
        <v>3468</v>
      </c>
      <c r="I474" s="9" t="s">
        <v>3469</v>
      </c>
      <c r="J474" s="9" t="s">
        <v>3470</v>
      </c>
      <c r="K474" s="9" t="s">
        <v>3471</v>
      </c>
      <c r="L474" s="9" t="s">
        <v>3472</v>
      </c>
      <c r="M474" s="9" t="s">
        <v>3473</v>
      </c>
      <c r="N474" s="9" t="s">
        <v>3474</v>
      </c>
      <c r="O474" s="9" t="s">
        <v>189</v>
      </c>
      <c r="P474" s="9" t="s">
        <v>640</v>
      </c>
      <c r="Q474" s="9" t="s">
        <v>3475</v>
      </c>
      <c r="R474" s="9" t="s">
        <v>3476</v>
      </c>
      <c r="S474" s="9" t="s">
        <v>3477</v>
      </c>
      <c r="T474" s="9" t="s">
        <v>3478</v>
      </c>
      <c r="U474" s="19" t="n">
        <v>735</v>
      </c>
      <c r="V474" s="9"/>
      <c r="W474" s="9"/>
      <c r="X474" s="9" t="s">
        <v>199</v>
      </c>
      <c r="Y474" s="23" t="n">
        <v>0.35</v>
      </c>
      <c r="Z474" s="23" t="n">
        <v>1.245</v>
      </c>
      <c r="AA474" s="23" t="n">
        <v>24</v>
      </c>
      <c r="AB474" s="9" t="s">
        <v>3472</v>
      </c>
      <c r="AC474" s="9" t="s">
        <v>3479</v>
      </c>
      <c r="AD474" s="23" t="n">
        <v>0.35</v>
      </c>
      <c r="AE474" s="23" t="n">
        <v>1.245</v>
      </c>
      <c r="AF474" s="23" t="n">
        <v>6</v>
      </c>
      <c r="AG474" s="23" t="s">
        <v>197</v>
      </c>
      <c r="AH474" s="23" t="n">
        <v>2</v>
      </c>
      <c r="AI474" s="23" t="n">
        <v>486</v>
      </c>
      <c r="AJ474" s="23" t="s">
        <v>197</v>
      </c>
      <c r="AK474" s="23" t="s">
        <v>197</v>
      </c>
      <c r="AL474" s="23" t="s">
        <v>197</v>
      </c>
      <c r="AM474" s="23" t="s">
        <v>197</v>
      </c>
      <c r="AN474" s="9" t="s">
        <v>197</v>
      </c>
      <c r="AO474" s="23" t="s">
        <v>197</v>
      </c>
      <c r="AP474" s="23" t="s">
        <v>197</v>
      </c>
      <c r="AQ474" s="23" t="s">
        <v>197</v>
      </c>
    </row>
    <row r="475" customFormat="false" ht="21.75" hidden="false" customHeight="true" outlineLevel="0" collapsed="false">
      <c r="B475" s="14" t="n">
        <v>471</v>
      </c>
      <c r="C475" s="7" t="s">
        <v>86</v>
      </c>
      <c r="D475" s="7" t="s">
        <v>23</v>
      </c>
      <c r="E475" s="7" t="s">
        <v>124</v>
      </c>
      <c r="F475" s="7" t="s">
        <v>93</v>
      </c>
      <c r="G475" s="7" t="s">
        <v>3481</v>
      </c>
      <c r="H475" s="7" t="s">
        <v>3468</v>
      </c>
      <c r="I475" s="7" t="s">
        <v>3469</v>
      </c>
      <c r="J475" s="7" t="s">
        <v>3470</v>
      </c>
      <c r="K475" s="7" t="s">
        <v>3471</v>
      </c>
      <c r="L475" s="7" t="s">
        <v>3472</v>
      </c>
      <c r="M475" s="7" t="s">
        <v>3473</v>
      </c>
      <c r="N475" s="7" t="s">
        <v>3474</v>
      </c>
      <c r="O475" s="7" t="s">
        <v>189</v>
      </c>
      <c r="P475" s="7" t="s">
        <v>640</v>
      </c>
      <c r="Q475" s="7" t="s">
        <v>3475</v>
      </c>
      <c r="R475" s="7" t="s">
        <v>3476</v>
      </c>
      <c r="S475" s="7" t="s">
        <v>3477</v>
      </c>
      <c r="T475" s="7" t="s">
        <v>3478</v>
      </c>
      <c r="U475" s="18" t="n">
        <v>980</v>
      </c>
      <c r="V475" s="7"/>
      <c r="W475" s="7"/>
      <c r="X475" s="7" t="s">
        <v>3482</v>
      </c>
      <c r="Y475" s="22" t="n">
        <v>0.35</v>
      </c>
      <c r="Z475" s="22" t="n">
        <v>1.208</v>
      </c>
      <c r="AA475" s="22" t="n">
        <v>24</v>
      </c>
      <c r="AB475" s="7" t="s">
        <v>3472</v>
      </c>
      <c r="AC475" s="7" t="s">
        <v>3479</v>
      </c>
      <c r="AD475" s="22" t="n">
        <v>0.35</v>
      </c>
      <c r="AE475" s="22" t="n">
        <v>1.208</v>
      </c>
      <c r="AF475" s="22" t="n">
        <v>6</v>
      </c>
      <c r="AG475" s="22" t="s">
        <v>197</v>
      </c>
      <c r="AH475" s="22" t="n">
        <v>2</v>
      </c>
      <c r="AI475" s="22" t="n">
        <v>486</v>
      </c>
      <c r="AJ475" s="22" t="s">
        <v>197</v>
      </c>
      <c r="AK475" s="22" t="s">
        <v>197</v>
      </c>
      <c r="AL475" s="22" t="s">
        <v>197</v>
      </c>
      <c r="AM475" s="22" t="s">
        <v>197</v>
      </c>
      <c r="AN475" s="7" t="s">
        <v>197</v>
      </c>
      <c r="AO475" s="22" t="s">
        <v>197</v>
      </c>
      <c r="AP475" s="22" t="s">
        <v>197</v>
      </c>
      <c r="AQ475" s="22" t="s">
        <v>197</v>
      </c>
    </row>
    <row r="476" customFormat="false" ht="21.75" hidden="false" customHeight="true" outlineLevel="0" collapsed="false">
      <c r="B476" s="15" t="n">
        <v>472</v>
      </c>
      <c r="C476" s="9" t="s">
        <v>86</v>
      </c>
      <c r="D476" s="9" t="s">
        <v>23</v>
      </c>
      <c r="E476" s="9" t="s">
        <v>124</v>
      </c>
      <c r="F476" s="9" t="s">
        <v>93</v>
      </c>
      <c r="G476" s="9" t="s">
        <v>3483</v>
      </c>
      <c r="H476" s="9" t="s">
        <v>3468</v>
      </c>
      <c r="I476" s="9" t="s">
        <v>3469</v>
      </c>
      <c r="J476" s="9" t="s">
        <v>3470</v>
      </c>
      <c r="K476" s="9" t="s">
        <v>3471</v>
      </c>
      <c r="L476" s="9" t="s">
        <v>3472</v>
      </c>
      <c r="M476" s="9" t="s">
        <v>3473</v>
      </c>
      <c r="N476" s="9" t="s">
        <v>3474</v>
      </c>
      <c r="O476" s="9" t="s">
        <v>189</v>
      </c>
      <c r="P476" s="9" t="s">
        <v>640</v>
      </c>
      <c r="Q476" s="9" t="s">
        <v>3475</v>
      </c>
      <c r="R476" s="9" t="s">
        <v>3476</v>
      </c>
      <c r="S476" s="9" t="s">
        <v>3477</v>
      </c>
      <c r="T476" s="9" t="s">
        <v>3478</v>
      </c>
      <c r="U476" s="19" t="n">
        <v>1470</v>
      </c>
      <c r="V476" s="9"/>
      <c r="W476" s="9"/>
      <c r="X476" s="9" t="s">
        <v>203</v>
      </c>
      <c r="Y476" s="23" t="n">
        <v>0.35</v>
      </c>
      <c r="Z476" s="23" t="n">
        <v>1.536</v>
      </c>
      <c r="AA476" s="23" t="n">
        <v>24</v>
      </c>
      <c r="AB476" s="9" t="s">
        <v>3472</v>
      </c>
      <c r="AC476" s="9" t="s">
        <v>3479</v>
      </c>
      <c r="AD476" s="23" t="n">
        <v>0.35</v>
      </c>
      <c r="AE476" s="23" t="n">
        <v>1.536</v>
      </c>
      <c r="AF476" s="23" t="n">
        <v>6</v>
      </c>
      <c r="AG476" s="23" t="s">
        <v>197</v>
      </c>
      <c r="AH476" s="23" t="n">
        <v>2</v>
      </c>
      <c r="AI476" s="23" t="n">
        <v>486</v>
      </c>
      <c r="AJ476" s="23" t="s">
        <v>197</v>
      </c>
      <c r="AK476" s="23" t="s">
        <v>197</v>
      </c>
      <c r="AL476" s="23" t="s">
        <v>197</v>
      </c>
      <c r="AM476" s="23" t="s">
        <v>197</v>
      </c>
      <c r="AN476" s="9" t="s">
        <v>197</v>
      </c>
      <c r="AO476" s="23" t="s">
        <v>197</v>
      </c>
      <c r="AP476" s="23" t="s">
        <v>197</v>
      </c>
      <c r="AQ476" s="23" t="s">
        <v>197</v>
      </c>
    </row>
    <row r="477" customFormat="false" ht="21.75" hidden="false" customHeight="true" outlineLevel="0" collapsed="false">
      <c r="B477" s="14" t="n">
        <v>473</v>
      </c>
      <c r="C477" s="7" t="s">
        <v>86</v>
      </c>
      <c r="D477" s="7" t="s">
        <v>23</v>
      </c>
      <c r="E477" s="7" t="s">
        <v>124</v>
      </c>
      <c r="F477" s="7" t="s">
        <v>93</v>
      </c>
      <c r="G477" s="7" t="s">
        <v>3484</v>
      </c>
      <c r="H477" s="7" t="s">
        <v>3468</v>
      </c>
      <c r="I477" s="7" t="s">
        <v>3469</v>
      </c>
      <c r="J477" s="7" t="s">
        <v>3470</v>
      </c>
      <c r="K477" s="7" t="s">
        <v>3471</v>
      </c>
      <c r="L477" s="7" t="s">
        <v>3472</v>
      </c>
      <c r="M477" s="7" t="s">
        <v>3473</v>
      </c>
      <c r="N477" s="7" t="s">
        <v>3474</v>
      </c>
      <c r="O477" s="7" t="s">
        <v>189</v>
      </c>
      <c r="P477" s="7" t="s">
        <v>640</v>
      </c>
      <c r="Q477" s="7" t="s">
        <v>3475</v>
      </c>
      <c r="R477" s="7" t="s">
        <v>3476</v>
      </c>
      <c r="S477" s="7" t="s">
        <v>3477</v>
      </c>
      <c r="T477" s="7" t="s">
        <v>3478</v>
      </c>
      <c r="U477" s="18" t="n">
        <v>2155</v>
      </c>
      <c r="V477" s="7"/>
      <c r="W477" s="7"/>
      <c r="X477" s="7" t="s">
        <v>205</v>
      </c>
      <c r="Y477" s="22" t="n">
        <v>0.35</v>
      </c>
      <c r="Z477" s="22" t="n">
        <v>1.261</v>
      </c>
      <c r="AA477" s="22" t="n">
        <v>24</v>
      </c>
      <c r="AB477" s="7" t="s">
        <v>3472</v>
      </c>
      <c r="AC477" s="7" t="s">
        <v>3479</v>
      </c>
      <c r="AD477" s="22" t="n">
        <v>0.35</v>
      </c>
      <c r="AE477" s="22" t="n">
        <v>1.261</v>
      </c>
      <c r="AF477" s="22" t="n">
        <v>6</v>
      </c>
      <c r="AG477" s="22" t="s">
        <v>197</v>
      </c>
      <c r="AH477" s="22" t="n">
        <v>2</v>
      </c>
      <c r="AI477" s="22" t="n">
        <v>486</v>
      </c>
      <c r="AJ477" s="22" t="s">
        <v>197</v>
      </c>
      <c r="AK477" s="22" t="s">
        <v>197</v>
      </c>
      <c r="AL477" s="22" t="s">
        <v>197</v>
      </c>
      <c r="AM477" s="22" t="s">
        <v>197</v>
      </c>
      <c r="AN477" s="7" t="s">
        <v>197</v>
      </c>
      <c r="AO477" s="22" t="s">
        <v>197</v>
      </c>
      <c r="AP477" s="22" t="s">
        <v>197</v>
      </c>
      <c r="AQ477" s="22" t="s">
        <v>197</v>
      </c>
    </row>
    <row r="478" customFormat="false" ht="21.75" hidden="false" customHeight="true" outlineLevel="0" collapsed="false">
      <c r="B478" s="15" t="n">
        <v>474</v>
      </c>
      <c r="C478" s="9" t="s">
        <v>86</v>
      </c>
      <c r="D478" s="9" t="s">
        <v>23</v>
      </c>
      <c r="E478" s="9" t="s">
        <v>124</v>
      </c>
      <c r="F478" s="9" t="s">
        <v>94</v>
      </c>
      <c r="G478" s="9" t="s">
        <v>3467</v>
      </c>
      <c r="H478" s="9" t="s">
        <v>3160</v>
      </c>
      <c r="I478" s="9" t="s">
        <v>2955</v>
      </c>
      <c r="J478" s="9" t="s">
        <v>3485</v>
      </c>
      <c r="K478" s="9" t="s">
        <v>189</v>
      </c>
      <c r="L478" s="9" t="s">
        <v>3472</v>
      </c>
      <c r="M478" s="9" t="s">
        <v>3486</v>
      </c>
      <c r="N478" s="9" t="s">
        <v>3487</v>
      </c>
      <c r="O478" s="9" t="s">
        <v>189</v>
      </c>
      <c r="P478" s="9" t="s">
        <v>640</v>
      </c>
      <c r="Q478" s="9" t="s">
        <v>3488</v>
      </c>
      <c r="R478" s="9" t="s">
        <v>3489</v>
      </c>
      <c r="S478" s="9" t="s">
        <v>3477</v>
      </c>
      <c r="T478" s="9" t="s">
        <v>2960</v>
      </c>
      <c r="U478" s="19" t="n">
        <v>145</v>
      </c>
      <c r="V478" s="9"/>
      <c r="W478" s="9"/>
      <c r="X478" s="9" t="s">
        <v>195</v>
      </c>
      <c r="Y478" s="23" t="n">
        <v>0.12</v>
      </c>
      <c r="Z478" s="23" t="n">
        <v>2.295</v>
      </c>
      <c r="AA478" s="23" t="n">
        <v>24</v>
      </c>
      <c r="AB478" s="9" t="s">
        <v>3472</v>
      </c>
      <c r="AC478" s="9" t="s">
        <v>3479</v>
      </c>
      <c r="AD478" s="23" t="n">
        <v>0.12</v>
      </c>
      <c r="AE478" s="23" t="n">
        <v>2.295</v>
      </c>
      <c r="AF478" s="23" t="n">
        <v>2.5</v>
      </c>
      <c r="AG478" s="23" t="n">
        <v>2</v>
      </c>
      <c r="AH478" s="23" t="s">
        <v>197</v>
      </c>
      <c r="AI478" s="23" t="s">
        <v>197</v>
      </c>
      <c r="AJ478" s="23" t="s">
        <v>197</v>
      </c>
      <c r="AK478" s="23" t="s">
        <v>197</v>
      </c>
      <c r="AL478" s="23" t="s">
        <v>197</v>
      </c>
      <c r="AM478" s="23" t="s">
        <v>197</v>
      </c>
      <c r="AN478" s="9" t="s">
        <v>197</v>
      </c>
      <c r="AO478" s="23" t="s">
        <v>197</v>
      </c>
      <c r="AP478" s="23" t="s">
        <v>197</v>
      </c>
      <c r="AQ478" s="23" t="s">
        <v>197</v>
      </c>
    </row>
    <row r="479" customFormat="false" ht="21.75" hidden="false" customHeight="true" outlineLevel="0" collapsed="false">
      <c r="B479" s="14" t="n">
        <v>475</v>
      </c>
      <c r="C479" s="7" t="s">
        <v>86</v>
      </c>
      <c r="D479" s="7" t="s">
        <v>23</v>
      </c>
      <c r="E479" s="7" t="s">
        <v>124</v>
      </c>
      <c r="F479" s="7" t="s">
        <v>94</v>
      </c>
      <c r="G479" s="7" t="s">
        <v>3490</v>
      </c>
      <c r="H479" s="7" t="s">
        <v>3160</v>
      </c>
      <c r="I479" s="7" t="s">
        <v>2955</v>
      </c>
      <c r="J479" s="7" t="s">
        <v>3485</v>
      </c>
      <c r="K479" s="7" t="s">
        <v>189</v>
      </c>
      <c r="L479" s="7" t="s">
        <v>3472</v>
      </c>
      <c r="M479" s="7" t="s">
        <v>3486</v>
      </c>
      <c r="N479" s="7" t="s">
        <v>3487</v>
      </c>
      <c r="O479" s="7" t="s">
        <v>189</v>
      </c>
      <c r="P479" s="7" t="s">
        <v>640</v>
      </c>
      <c r="Q479" s="7" t="s">
        <v>3488</v>
      </c>
      <c r="R479" s="7" t="s">
        <v>3489</v>
      </c>
      <c r="S479" s="7" t="s">
        <v>3477</v>
      </c>
      <c r="T479" s="7" t="s">
        <v>2960</v>
      </c>
      <c r="U479" s="18" t="n">
        <v>220</v>
      </c>
      <c r="V479" s="7"/>
      <c r="W479" s="7"/>
      <c r="X479" s="7" t="s">
        <v>199</v>
      </c>
      <c r="Y479" s="22" t="n">
        <v>0.12</v>
      </c>
      <c r="Z479" s="22" t="n">
        <v>2.877</v>
      </c>
      <c r="AA479" s="22" t="n">
        <v>24</v>
      </c>
      <c r="AB479" s="7" t="s">
        <v>3472</v>
      </c>
      <c r="AC479" s="7" t="s">
        <v>3479</v>
      </c>
      <c r="AD479" s="22" t="n">
        <v>0.12</v>
      </c>
      <c r="AE479" s="22" t="n">
        <v>2.877</v>
      </c>
      <c r="AF479" s="22" t="n">
        <v>2.5</v>
      </c>
      <c r="AG479" s="22" t="n">
        <v>2</v>
      </c>
      <c r="AH479" s="22" t="s">
        <v>197</v>
      </c>
      <c r="AI479" s="22" t="s">
        <v>197</v>
      </c>
      <c r="AJ479" s="22" t="s">
        <v>197</v>
      </c>
      <c r="AK479" s="22" t="s">
        <v>197</v>
      </c>
      <c r="AL479" s="22" t="s">
        <v>197</v>
      </c>
      <c r="AM479" s="22" t="s">
        <v>197</v>
      </c>
      <c r="AN479" s="7" t="s">
        <v>197</v>
      </c>
      <c r="AO479" s="22" t="s">
        <v>197</v>
      </c>
      <c r="AP479" s="22" t="s">
        <v>197</v>
      </c>
      <c r="AQ479" s="22" t="s">
        <v>197</v>
      </c>
    </row>
    <row r="480" customFormat="false" ht="21.75" hidden="false" customHeight="true" outlineLevel="0" collapsed="false">
      <c r="B480" s="15" t="n">
        <v>476</v>
      </c>
      <c r="C480" s="9" t="s">
        <v>86</v>
      </c>
      <c r="D480" s="9" t="s">
        <v>23</v>
      </c>
      <c r="E480" s="9" t="s">
        <v>124</v>
      </c>
      <c r="F480" s="9" t="s">
        <v>94</v>
      </c>
      <c r="G480" s="9" t="s">
        <v>3491</v>
      </c>
      <c r="H480" s="9" t="s">
        <v>3160</v>
      </c>
      <c r="I480" s="9" t="s">
        <v>2955</v>
      </c>
      <c r="J480" s="9" t="s">
        <v>3485</v>
      </c>
      <c r="K480" s="9" t="s">
        <v>189</v>
      </c>
      <c r="L480" s="9" t="s">
        <v>3472</v>
      </c>
      <c r="M480" s="9" t="s">
        <v>3486</v>
      </c>
      <c r="N480" s="9" t="s">
        <v>3487</v>
      </c>
      <c r="O480" s="9" t="s">
        <v>189</v>
      </c>
      <c r="P480" s="9" t="s">
        <v>640</v>
      </c>
      <c r="Q480" s="9" t="s">
        <v>3488</v>
      </c>
      <c r="R480" s="9" t="s">
        <v>3489</v>
      </c>
      <c r="S480" s="9" t="s">
        <v>3477</v>
      </c>
      <c r="T480" s="9" t="s">
        <v>2960</v>
      </c>
      <c r="U480" s="19" t="n">
        <v>295</v>
      </c>
      <c r="V480" s="9"/>
      <c r="W480" s="9"/>
      <c r="X480" s="9" t="s">
        <v>3492</v>
      </c>
      <c r="Y480" s="23" t="n">
        <v>0.12</v>
      </c>
      <c r="Z480" s="23" t="n">
        <v>3.011</v>
      </c>
      <c r="AA480" s="23" t="n">
        <v>24</v>
      </c>
      <c r="AB480" s="9" t="s">
        <v>3472</v>
      </c>
      <c r="AC480" s="9" t="s">
        <v>3479</v>
      </c>
      <c r="AD480" s="23" t="n">
        <v>0.12</v>
      </c>
      <c r="AE480" s="23" t="n">
        <v>3.011</v>
      </c>
      <c r="AF480" s="23" t="n">
        <v>2.5</v>
      </c>
      <c r="AG480" s="23" t="n">
        <v>2</v>
      </c>
      <c r="AH480" s="23" t="s">
        <v>197</v>
      </c>
      <c r="AI480" s="23" t="s">
        <v>197</v>
      </c>
      <c r="AJ480" s="23" t="s">
        <v>197</v>
      </c>
      <c r="AK480" s="23" t="s">
        <v>197</v>
      </c>
      <c r="AL480" s="23" t="s">
        <v>197</v>
      </c>
      <c r="AM480" s="23" t="s">
        <v>197</v>
      </c>
      <c r="AN480" s="9" t="s">
        <v>197</v>
      </c>
      <c r="AO480" s="23" t="s">
        <v>197</v>
      </c>
      <c r="AP480" s="23" t="s">
        <v>197</v>
      </c>
      <c r="AQ480" s="23" t="s">
        <v>197</v>
      </c>
    </row>
    <row r="481" customFormat="false" ht="21.75" hidden="false" customHeight="true" outlineLevel="0" collapsed="false">
      <c r="B481" s="14" t="n">
        <v>477</v>
      </c>
      <c r="C481" s="7" t="s">
        <v>86</v>
      </c>
      <c r="D481" s="7" t="s">
        <v>23</v>
      </c>
      <c r="E481" s="7" t="s">
        <v>124</v>
      </c>
      <c r="F481" s="7" t="s">
        <v>94</v>
      </c>
      <c r="G481" s="7" t="s">
        <v>3493</v>
      </c>
      <c r="H481" s="7" t="s">
        <v>3160</v>
      </c>
      <c r="I481" s="7" t="s">
        <v>2955</v>
      </c>
      <c r="J481" s="7" t="s">
        <v>3485</v>
      </c>
      <c r="K481" s="7" t="s">
        <v>189</v>
      </c>
      <c r="L481" s="7" t="s">
        <v>3472</v>
      </c>
      <c r="M481" s="7" t="s">
        <v>3486</v>
      </c>
      <c r="N481" s="7" t="s">
        <v>3487</v>
      </c>
      <c r="O481" s="7" t="s">
        <v>189</v>
      </c>
      <c r="P481" s="7" t="s">
        <v>640</v>
      </c>
      <c r="Q481" s="7" t="s">
        <v>3488</v>
      </c>
      <c r="R481" s="7" t="s">
        <v>3489</v>
      </c>
      <c r="S481" s="7" t="s">
        <v>3477</v>
      </c>
      <c r="T481" s="7" t="s">
        <v>2960</v>
      </c>
      <c r="U481" s="18" t="n">
        <v>440</v>
      </c>
      <c r="V481" s="7"/>
      <c r="W481" s="7"/>
      <c r="X481" s="7" t="s">
        <v>203</v>
      </c>
      <c r="Y481" s="22" t="n">
        <v>0.12</v>
      </c>
      <c r="Z481" s="22" t="n">
        <v>1.57</v>
      </c>
      <c r="AA481" s="22" t="n">
        <v>24</v>
      </c>
      <c r="AB481" s="7" t="s">
        <v>3472</v>
      </c>
      <c r="AC481" s="7" t="s">
        <v>3479</v>
      </c>
      <c r="AD481" s="22" t="n">
        <v>0.12</v>
      </c>
      <c r="AE481" s="22" t="n">
        <v>1.57</v>
      </c>
      <c r="AF481" s="22" t="n">
        <v>2.5</v>
      </c>
      <c r="AG481" s="22" t="n">
        <v>2</v>
      </c>
      <c r="AH481" s="22" t="s">
        <v>197</v>
      </c>
      <c r="AI481" s="22" t="s">
        <v>197</v>
      </c>
      <c r="AJ481" s="22" t="s">
        <v>197</v>
      </c>
      <c r="AK481" s="22" t="s">
        <v>197</v>
      </c>
      <c r="AL481" s="22" t="s">
        <v>197</v>
      </c>
      <c r="AM481" s="22" t="s">
        <v>197</v>
      </c>
      <c r="AN481" s="7" t="s">
        <v>197</v>
      </c>
      <c r="AO481" s="22" t="s">
        <v>197</v>
      </c>
      <c r="AP481" s="22" t="s">
        <v>197</v>
      </c>
      <c r="AQ481" s="22" t="s">
        <v>197</v>
      </c>
    </row>
    <row r="482" customFormat="false" ht="21.75" hidden="false" customHeight="true" outlineLevel="0" collapsed="false">
      <c r="B482" s="15" t="n">
        <v>478</v>
      </c>
      <c r="C482" s="9" t="s">
        <v>86</v>
      </c>
      <c r="D482" s="9" t="s">
        <v>23</v>
      </c>
      <c r="E482" s="9" t="s">
        <v>124</v>
      </c>
      <c r="F482" s="9" t="s">
        <v>94</v>
      </c>
      <c r="G482" s="9" t="s">
        <v>3494</v>
      </c>
      <c r="H482" s="9" t="s">
        <v>3160</v>
      </c>
      <c r="I482" s="9" t="s">
        <v>2955</v>
      </c>
      <c r="J482" s="9" t="s">
        <v>3485</v>
      </c>
      <c r="K482" s="9" t="s">
        <v>189</v>
      </c>
      <c r="L482" s="9" t="s">
        <v>3472</v>
      </c>
      <c r="M482" s="9" t="s">
        <v>3486</v>
      </c>
      <c r="N482" s="9" t="s">
        <v>3487</v>
      </c>
      <c r="O482" s="9" t="s">
        <v>189</v>
      </c>
      <c r="P482" s="9" t="s">
        <v>640</v>
      </c>
      <c r="Q482" s="9" t="s">
        <v>3488</v>
      </c>
      <c r="R482" s="9" t="s">
        <v>3489</v>
      </c>
      <c r="S482" s="9" t="s">
        <v>3477</v>
      </c>
      <c r="T482" s="9" t="s">
        <v>2960</v>
      </c>
      <c r="U482" s="19" t="n">
        <v>645</v>
      </c>
      <c r="V482" s="9"/>
      <c r="W482" s="9"/>
      <c r="X482" s="9" t="s">
        <v>205</v>
      </c>
      <c r="Y482" s="23" t="n">
        <v>0.12</v>
      </c>
      <c r="Z482" s="23" t="n">
        <v>1.846</v>
      </c>
      <c r="AA482" s="23" t="n">
        <v>24</v>
      </c>
      <c r="AB482" s="9" t="s">
        <v>3472</v>
      </c>
      <c r="AC482" s="9" t="s">
        <v>3479</v>
      </c>
      <c r="AD482" s="23" t="n">
        <v>0.12</v>
      </c>
      <c r="AE482" s="23" t="n">
        <v>1.846</v>
      </c>
      <c r="AF482" s="23" t="n">
        <v>2.5</v>
      </c>
      <c r="AG482" s="23" t="n">
        <v>2</v>
      </c>
      <c r="AH482" s="23" t="s">
        <v>197</v>
      </c>
      <c r="AI482" s="23" t="s">
        <v>197</v>
      </c>
      <c r="AJ482" s="23" t="s">
        <v>197</v>
      </c>
      <c r="AK482" s="23" t="s">
        <v>197</v>
      </c>
      <c r="AL482" s="23" t="s">
        <v>197</v>
      </c>
      <c r="AM482" s="23" t="s">
        <v>197</v>
      </c>
      <c r="AN482" s="9" t="s">
        <v>197</v>
      </c>
      <c r="AO482" s="23" t="s">
        <v>197</v>
      </c>
      <c r="AP482" s="23" t="s">
        <v>197</v>
      </c>
      <c r="AQ482" s="23" t="s">
        <v>197</v>
      </c>
    </row>
    <row r="483" customFormat="false" ht="21.75" hidden="false" customHeight="true" outlineLevel="0" collapsed="false">
      <c r="B483" s="14" t="n">
        <v>479</v>
      </c>
      <c r="C483" s="7" t="s">
        <v>86</v>
      </c>
      <c r="D483" s="7" t="s">
        <v>23</v>
      </c>
      <c r="E483" s="7" t="s">
        <v>124</v>
      </c>
      <c r="F483" s="7" t="s">
        <v>95</v>
      </c>
      <c r="G483" s="7" t="s">
        <v>3495</v>
      </c>
      <c r="H483" s="7" t="s">
        <v>2510</v>
      </c>
      <c r="I483" s="7" t="s">
        <v>2695</v>
      </c>
      <c r="J483" s="7" t="s">
        <v>3173</v>
      </c>
      <c r="K483" s="7" t="s">
        <v>2697</v>
      </c>
      <c r="L483" s="7" t="s">
        <v>3472</v>
      </c>
      <c r="M483" s="7" t="s">
        <v>2698</v>
      </c>
      <c r="N483" s="7" t="s">
        <v>189</v>
      </c>
      <c r="O483" s="7" t="s">
        <v>189</v>
      </c>
      <c r="P483" s="7" t="s">
        <v>640</v>
      </c>
      <c r="Q483" s="7" t="s">
        <v>2712</v>
      </c>
      <c r="R483" s="7" t="s">
        <v>1486</v>
      </c>
      <c r="S483" s="7" t="s">
        <v>3477</v>
      </c>
      <c r="T483" s="7" t="s">
        <v>2700</v>
      </c>
      <c r="U483" s="18" t="n">
        <v>8</v>
      </c>
      <c r="V483" s="7"/>
      <c r="W483" s="7"/>
      <c r="X483" s="7" t="s">
        <v>195</v>
      </c>
      <c r="Y483" s="22" t="n">
        <v>4.958E-005</v>
      </c>
      <c r="Z483" s="22" t="n">
        <v>0.05</v>
      </c>
      <c r="AA483" s="22" t="n">
        <v>24</v>
      </c>
      <c r="AB483" s="7" t="s">
        <v>3472</v>
      </c>
      <c r="AC483" s="7" t="s">
        <v>2701</v>
      </c>
      <c r="AD483" s="22" t="s">
        <v>197</v>
      </c>
      <c r="AE483" s="22" t="s">
        <v>197</v>
      </c>
      <c r="AF483" s="22" t="s">
        <v>197</v>
      </c>
      <c r="AG483" s="22" t="s">
        <v>197</v>
      </c>
      <c r="AH483" s="22" t="s">
        <v>197</v>
      </c>
      <c r="AI483" s="22" t="s">
        <v>197</v>
      </c>
      <c r="AJ483" s="22" t="n">
        <v>60</v>
      </c>
      <c r="AK483" s="22" t="s">
        <v>197</v>
      </c>
      <c r="AL483" s="22" t="s">
        <v>197</v>
      </c>
      <c r="AM483" s="22" t="s">
        <v>197</v>
      </c>
      <c r="AN483" s="7" t="s">
        <v>2518</v>
      </c>
      <c r="AO483" s="22" t="s">
        <v>197</v>
      </c>
      <c r="AP483" s="22" t="n">
        <v>2.5</v>
      </c>
      <c r="AQ483" s="22" t="n">
        <v>6</v>
      </c>
    </row>
    <row r="484" customFormat="false" ht="21.75" hidden="false" customHeight="true" outlineLevel="0" collapsed="false">
      <c r="B484" s="15" t="n">
        <v>480</v>
      </c>
      <c r="C484" s="9" t="s">
        <v>86</v>
      </c>
      <c r="D484" s="9" t="s">
        <v>23</v>
      </c>
      <c r="E484" s="9" t="s">
        <v>124</v>
      </c>
      <c r="F484" s="9" t="s">
        <v>95</v>
      </c>
      <c r="G484" s="9" t="s">
        <v>3496</v>
      </c>
      <c r="H484" s="9" t="s">
        <v>2520</v>
      </c>
      <c r="I484" s="9" t="s">
        <v>2695</v>
      </c>
      <c r="J484" s="9" t="s">
        <v>3173</v>
      </c>
      <c r="K484" s="9" t="s">
        <v>2697</v>
      </c>
      <c r="L484" s="9" t="s">
        <v>3472</v>
      </c>
      <c r="M484" s="9" t="s">
        <v>2698</v>
      </c>
      <c r="N484" s="9" t="s">
        <v>189</v>
      </c>
      <c r="O484" s="9" t="s">
        <v>189</v>
      </c>
      <c r="P484" s="9" t="s">
        <v>640</v>
      </c>
      <c r="Q484" s="9" t="s">
        <v>2712</v>
      </c>
      <c r="R484" s="9" t="s">
        <v>1486</v>
      </c>
      <c r="S484" s="9" t="s">
        <v>3477</v>
      </c>
      <c r="T484" s="9" t="s">
        <v>2700</v>
      </c>
      <c r="U484" s="19" t="n">
        <v>12</v>
      </c>
      <c r="V484" s="9"/>
      <c r="W484" s="9"/>
      <c r="X484" s="9" t="s">
        <v>199</v>
      </c>
      <c r="Y484" s="23" t="n">
        <v>5.508E-005</v>
      </c>
      <c r="Z484" s="23" t="n">
        <v>0.055</v>
      </c>
      <c r="AA484" s="23" t="n">
        <v>24</v>
      </c>
      <c r="AB484" s="9" t="s">
        <v>3472</v>
      </c>
      <c r="AC484" s="9" t="s">
        <v>2701</v>
      </c>
      <c r="AD484" s="23" t="s">
        <v>197</v>
      </c>
      <c r="AE484" s="23" t="s">
        <v>197</v>
      </c>
      <c r="AF484" s="23" t="s">
        <v>197</v>
      </c>
      <c r="AG484" s="23" t="s">
        <v>197</v>
      </c>
      <c r="AH484" s="23" t="s">
        <v>197</v>
      </c>
      <c r="AI484" s="23" t="s">
        <v>197</v>
      </c>
      <c r="AJ484" s="23" t="n">
        <v>80</v>
      </c>
      <c r="AK484" s="23" t="s">
        <v>197</v>
      </c>
      <c r="AL484" s="23" t="s">
        <v>197</v>
      </c>
      <c r="AM484" s="23" t="s">
        <v>197</v>
      </c>
      <c r="AN484" s="9" t="s">
        <v>2518</v>
      </c>
      <c r="AO484" s="23" t="s">
        <v>197</v>
      </c>
      <c r="AP484" s="23" t="n">
        <v>2.5</v>
      </c>
      <c r="AQ484" s="23" t="n">
        <v>6</v>
      </c>
    </row>
    <row r="485" customFormat="false" ht="21.75" hidden="false" customHeight="true" outlineLevel="0" collapsed="false">
      <c r="B485" s="14" t="n">
        <v>481</v>
      </c>
      <c r="C485" s="7" t="s">
        <v>86</v>
      </c>
      <c r="D485" s="7" t="s">
        <v>23</v>
      </c>
      <c r="E485" s="7" t="s">
        <v>124</v>
      </c>
      <c r="F485" s="7" t="s">
        <v>95</v>
      </c>
      <c r="G485" s="7" t="s">
        <v>3497</v>
      </c>
      <c r="H485" s="7" t="s">
        <v>2522</v>
      </c>
      <c r="I485" s="7" t="s">
        <v>2695</v>
      </c>
      <c r="J485" s="7" t="s">
        <v>3173</v>
      </c>
      <c r="K485" s="7" t="s">
        <v>2697</v>
      </c>
      <c r="L485" s="7" t="s">
        <v>3472</v>
      </c>
      <c r="M485" s="7" t="s">
        <v>2698</v>
      </c>
      <c r="N485" s="7" t="s">
        <v>189</v>
      </c>
      <c r="O485" s="7" t="s">
        <v>189</v>
      </c>
      <c r="P485" s="7" t="s">
        <v>640</v>
      </c>
      <c r="Q485" s="7" t="s">
        <v>2712</v>
      </c>
      <c r="R485" s="7" t="s">
        <v>1486</v>
      </c>
      <c r="S485" s="7" t="s">
        <v>3477</v>
      </c>
      <c r="T485" s="7" t="s">
        <v>2700</v>
      </c>
      <c r="U485" s="18" t="n">
        <v>16</v>
      </c>
      <c r="V485" s="7"/>
      <c r="W485" s="7"/>
      <c r="X485" s="7" t="s">
        <v>3498</v>
      </c>
      <c r="Y485" s="22" t="n">
        <v>4.11E-005</v>
      </c>
      <c r="Z485" s="22" t="n">
        <v>0.041</v>
      </c>
      <c r="AA485" s="22" t="n">
        <v>24</v>
      </c>
      <c r="AB485" s="7" t="s">
        <v>3472</v>
      </c>
      <c r="AC485" s="7" t="s">
        <v>2701</v>
      </c>
      <c r="AD485" s="22" t="s">
        <v>197</v>
      </c>
      <c r="AE485" s="22" t="s">
        <v>197</v>
      </c>
      <c r="AF485" s="22" t="s">
        <v>197</v>
      </c>
      <c r="AG485" s="22" t="s">
        <v>197</v>
      </c>
      <c r="AH485" s="22" t="s">
        <v>197</v>
      </c>
      <c r="AI485" s="22" t="s">
        <v>197</v>
      </c>
      <c r="AJ485" s="22" t="n">
        <v>100</v>
      </c>
      <c r="AK485" s="22" t="s">
        <v>197</v>
      </c>
      <c r="AL485" s="22" t="s">
        <v>197</v>
      </c>
      <c r="AM485" s="22" t="s">
        <v>197</v>
      </c>
      <c r="AN485" s="7" t="s">
        <v>2518</v>
      </c>
      <c r="AO485" s="22" t="s">
        <v>197</v>
      </c>
      <c r="AP485" s="22" t="n">
        <v>2.5</v>
      </c>
      <c r="AQ485" s="22" t="n">
        <v>6</v>
      </c>
    </row>
    <row r="486" customFormat="false" ht="21.75" hidden="false" customHeight="true" outlineLevel="0" collapsed="false">
      <c r="B486" s="15" t="n">
        <v>482</v>
      </c>
      <c r="C486" s="9" t="s">
        <v>86</v>
      </c>
      <c r="D486" s="9" t="s">
        <v>23</v>
      </c>
      <c r="E486" s="9" t="s">
        <v>124</v>
      </c>
      <c r="F486" s="9" t="s">
        <v>95</v>
      </c>
      <c r="G486" s="9" t="s">
        <v>3499</v>
      </c>
      <c r="H486" s="9" t="s">
        <v>2706</v>
      </c>
      <c r="I486" s="9" t="s">
        <v>2695</v>
      </c>
      <c r="J486" s="9" t="s">
        <v>3173</v>
      </c>
      <c r="K486" s="9" t="s">
        <v>2697</v>
      </c>
      <c r="L486" s="9" t="s">
        <v>3472</v>
      </c>
      <c r="M486" s="9" t="s">
        <v>2698</v>
      </c>
      <c r="N486" s="9" t="s">
        <v>189</v>
      </c>
      <c r="O486" s="9" t="s">
        <v>189</v>
      </c>
      <c r="P486" s="9" t="s">
        <v>640</v>
      </c>
      <c r="Q486" s="9" t="s">
        <v>2712</v>
      </c>
      <c r="R486" s="9" t="s">
        <v>1486</v>
      </c>
      <c r="S486" s="9" t="s">
        <v>3477</v>
      </c>
      <c r="T486" s="9" t="s">
        <v>2700</v>
      </c>
      <c r="U486" s="19" t="n">
        <v>20</v>
      </c>
      <c r="V486" s="9"/>
      <c r="W486" s="9"/>
      <c r="X486" s="9" t="s">
        <v>203</v>
      </c>
      <c r="Y486" s="23" t="n">
        <v>4.229E-005</v>
      </c>
      <c r="Z486" s="23" t="n">
        <v>0.042</v>
      </c>
      <c r="AA486" s="23" t="n">
        <v>24</v>
      </c>
      <c r="AB486" s="9" t="s">
        <v>3472</v>
      </c>
      <c r="AC486" s="9" t="s">
        <v>2701</v>
      </c>
      <c r="AD486" s="23" t="s">
        <v>197</v>
      </c>
      <c r="AE486" s="23" t="s">
        <v>197</v>
      </c>
      <c r="AF486" s="23" t="s">
        <v>197</v>
      </c>
      <c r="AG486" s="23" t="s">
        <v>197</v>
      </c>
      <c r="AH486" s="23" t="s">
        <v>197</v>
      </c>
      <c r="AI486" s="23" t="s">
        <v>197</v>
      </c>
      <c r="AJ486" s="23" t="n">
        <v>100</v>
      </c>
      <c r="AK486" s="23" t="s">
        <v>197</v>
      </c>
      <c r="AL486" s="23" t="s">
        <v>197</v>
      </c>
      <c r="AM486" s="23" t="s">
        <v>197</v>
      </c>
      <c r="AN486" s="9" t="s">
        <v>2518</v>
      </c>
      <c r="AO486" s="23" t="s">
        <v>197</v>
      </c>
      <c r="AP486" s="23" t="n">
        <v>2.5</v>
      </c>
      <c r="AQ486" s="23" t="n">
        <v>6</v>
      </c>
    </row>
    <row r="487" customFormat="false" ht="21.75" hidden="false" customHeight="true" outlineLevel="0" collapsed="false">
      <c r="B487" s="14" t="n">
        <v>483</v>
      </c>
      <c r="C487" s="7" t="s">
        <v>86</v>
      </c>
      <c r="D487" s="7" t="s">
        <v>23</v>
      </c>
      <c r="E487" s="7" t="s">
        <v>124</v>
      </c>
      <c r="F487" s="7" t="s">
        <v>95</v>
      </c>
      <c r="G487" s="7" t="s">
        <v>3500</v>
      </c>
      <c r="H487" s="7" t="s">
        <v>2527</v>
      </c>
      <c r="I487" s="7" t="s">
        <v>2695</v>
      </c>
      <c r="J487" s="7" t="s">
        <v>3173</v>
      </c>
      <c r="K487" s="7" t="s">
        <v>2697</v>
      </c>
      <c r="L487" s="7" t="s">
        <v>3472</v>
      </c>
      <c r="M487" s="7" t="s">
        <v>2698</v>
      </c>
      <c r="N487" s="7" t="s">
        <v>189</v>
      </c>
      <c r="O487" s="7" t="s">
        <v>189</v>
      </c>
      <c r="P487" s="7" t="s">
        <v>640</v>
      </c>
      <c r="Q487" s="7" t="s">
        <v>2712</v>
      </c>
      <c r="R487" s="7" t="s">
        <v>1486</v>
      </c>
      <c r="S487" s="7" t="s">
        <v>3477</v>
      </c>
      <c r="T487" s="7" t="s">
        <v>2700</v>
      </c>
      <c r="U487" s="18" t="n">
        <v>35</v>
      </c>
      <c r="V487" s="7"/>
      <c r="W487" s="7"/>
      <c r="X487" s="7" t="s">
        <v>205</v>
      </c>
      <c r="Y487" s="22" t="n">
        <v>5.138E-005</v>
      </c>
      <c r="Z487" s="22" t="n">
        <v>0.051</v>
      </c>
      <c r="AA487" s="22" t="n">
        <v>24</v>
      </c>
      <c r="AB487" s="7" t="s">
        <v>3472</v>
      </c>
      <c r="AC487" s="7" t="s">
        <v>2701</v>
      </c>
      <c r="AD487" s="22" t="s">
        <v>197</v>
      </c>
      <c r="AE487" s="22" t="s">
        <v>197</v>
      </c>
      <c r="AF487" s="22" t="s">
        <v>197</v>
      </c>
      <c r="AG487" s="22" t="s">
        <v>197</v>
      </c>
      <c r="AH487" s="22" t="s">
        <v>197</v>
      </c>
      <c r="AI487" s="22" t="s">
        <v>197</v>
      </c>
      <c r="AJ487" s="22" t="n">
        <v>120</v>
      </c>
      <c r="AK487" s="22" t="s">
        <v>197</v>
      </c>
      <c r="AL487" s="22" t="s">
        <v>197</v>
      </c>
      <c r="AM487" s="22" t="s">
        <v>197</v>
      </c>
      <c r="AN487" s="7" t="s">
        <v>2518</v>
      </c>
      <c r="AO487" s="22" t="s">
        <v>197</v>
      </c>
      <c r="AP487" s="22" t="n">
        <v>2.5</v>
      </c>
      <c r="AQ487" s="22" t="n">
        <v>6</v>
      </c>
    </row>
    <row r="488" customFormat="false" ht="21.75" hidden="false" customHeight="true" outlineLevel="0" collapsed="false">
      <c r="B488" s="15" t="n">
        <v>484</v>
      </c>
      <c r="C488" s="9" t="s">
        <v>86</v>
      </c>
      <c r="D488" s="9" t="s">
        <v>23</v>
      </c>
      <c r="E488" s="9" t="s">
        <v>124</v>
      </c>
      <c r="F488" s="9" t="s">
        <v>96</v>
      </c>
      <c r="G488" s="9" t="s">
        <v>3501</v>
      </c>
      <c r="H488" s="9" t="s">
        <v>2510</v>
      </c>
      <c r="I488" s="9" t="s">
        <v>3502</v>
      </c>
      <c r="J488" s="9" t="s">
        <v>3503</v>
      </c>
      <c r="K488" s="9" t="s">
        <v>3504</v>
      </c>
      <c r="L488" s="9" t="s">
        <v>3472</v>
      </c>
      <c r="M488" s="9" t="s">
        <v>2514</v>
      </c>
      <c r="N488" s="9" t="s">
        <v>189</v>
      </c>
      <c r="O488" s="9" t="s">
        <v>189</v>
      </c>
      <c r="P488" s="9" t="s">
        <v>640</v>
      </c>
      <c r="Q488" s="9" t="s">
        <v>2712</v>
      </c>
      <c r="R488" s="9" t="s">
        <v>849</v>
      </c>
      <c r="S488" s="9" t="s">
        <v>3477</v>
      </c>
      <c r="T488" s="9" t="s">
        <v>2700</v>
      </c>
      <c r="U488" s="19" t="n">
        <v>14</v>
      </c>
      <c r="V488" s="9"/>
      <c r="W488" s="9"/>
      <c r="X488" s="9" t="s">
        <v>195</v>
      </c>
      <c r="Y488" s="23" t="n">
        <v>0.00011753</v>
      </c>
      <c r="Z488" s="23" t="n">
        <v>0.005</v>
      </c>
      <c r="AA488" s="23" t="n">
        <v>24</v>
      </c>
      <c r="AB488" s="9" t="s">
        <v>3472</v>
      </c>
      <c r="AC488" s="9" t="s">
        <v>3505</v>
      </c>
      <c r="AD488" s="23" t="s">
        <v>197</v>
      </c>
      <c r="AE488" s="23" t="s">
        <v>197</v>
      </c>
      <c r="AF488" s="23" t="s">
        <v>197</v>
      </c>
      <c r="AG488" s="23" t="s">
        <v>197</v>
      </c>
      <c r="AH488" s="23" t="s">
        <v>197</v>
      </c>
      <c r="AI488" s="23" t="s">
        <v>197</v>
      </c>
      <c r="AJ488" s="23" t="n">
        <v>60</v>
      </c>
      <c r="AK488" s="23" t="s">
        <v>197</v>
      </c>
      <c r="AL488" s="23" t="s">
        <v>197</v>
      </c>
      <c r="AM488" s="23" t="s">
        <v>197</v>
      </c>
      <c r="AN488" s="9" t="s">
        <v>2518</v>
      </c>
      <c r="AO488" s="23" t="s">
        <v>197</v>
      </c>
      <c r="AP488" s="23" t="n">
        <v>2.5</v>
      </c>
      <c r="AQ488" s="23" t="n">
        <v>6</v>
      </c>
    </row>
    <row r="489" customFormat="false" ht="21.75" hidden="false" customHeight="true" outlineLevel="0" collapsed="false">
      <c r="B489" s="14" t="n">
        <v>485</v>
      </c>
      <c r="C489" s="7" t="s">
        <v>86</v>
      </c>
      <c r="D489" s="7" t="s">
        <v>23</v>
      </c>
      <c r="E489" s="7" t="s">
        <v>124</v>
      </c>
      <c r="F489" s="7" t="s">
        <v>96</v>
      </c>
      <c r="G489" s="7" t="s">
        <v>3506</v>
      </c>
      <c r="H489" s="7" t="s">
        <v>2520</v>
      </c>
      <c r="I489" s="7" t="s">
        <v>3502</v>
      </c>
      <c r="J489" s="7" t="s">
        <v>3503</v>
      </c>
      <c r="K489" s="7" t="s">
        <v>3504</v>
      </c>
      <c r="L489" s="7" t="s">
        <v>3472</v>
      </c>
      <c r="M489" s="7" t="s">
        <v>2514</v>
      </c>
      <c r="N489" s="7" t="s">
        <v>189</v>
      </c>
      <c r="O489" s="7" t="s">
        <v>189</v>
      </c>
      <c r="P489" s="7" t="s">
        <v>640</v>
      </c>
      <c r="Q489" s="7" t="s">
        <v>2712</v>
      </c>
      <c r="R489" s="7" t="s">
        <v>849</v>
      </c>
      <c r="S489" s="7" t="s">
        <v>3477</v>
      </c>
      <c r="T489" s="7" t="s">
        <v>2700</v>
      </c>
      <c r="U489" s="18" t="n">
        <v>20</v>
      </c>
      <c r="V489" s="7"/>
      <c r="W489" s="7"/>
      <c r="X489" s="7" t="s">
        <v>199</v>
      </c>
      <c r="Y489" s="22" t="n">
        <v>6.538E-005</v>
      </c>
      <c r="Z489" s="22" t="n">
        <v>0.002</v>
      </c>
      <c r="AA489" s="22" t="n">
        <v>24</v>
      </c>
      <c r="AB489" s="7" t="s">
        <v>3472</v>
      </c>
      <c r="AC489" s="7" t="s">
        <v>3505</v>
      </c>
      <c r="AD489" s="22" t="s">
        <v>197</v>
      </c>
      <c r="AE489" s="22" t="s">
        <v>197</v>
      </c>
      <c r="AF489" s="22" t="s">
        <v>197</v>
      </c>
      <c r="AG489" s="22" t="s">
        <v>197</v>
      </c>
      <c r="AH489" s="22" t="s">
        <v>197</v>
      </c>
      <c r="AI489" s="22" t="s">
        <v>197</v>
      </c>
      <c r="AJ489" s="22" t="n">
        <v>80</v>
      </c>
      <c r="AK489" s="22" t="s">
        <v>197</v>
      </c>
      <c r="AL489" s="22" t="s">
        <v>197</v>
      </c>
      <c r="AM489" s="22" t="s">
        <v>197</v>
      </c>
      <c r="AN489" s="7" t="s">
        <v>2518</v>
      </c>
      <c r="AO489" s="22" t="s">
        <v>197</v>
      </c>
      <c r="AP489" s="22" t="n">
        <v>2.5</v>
      </c>
      <c r="AQ489" s="22" t="n">
        <v>6</v>
      </c>
    </row>
    <row r="490" customFormat="false" ht="21.75" hidden="false" customHeight="true" outlineLevel="0" collapsed="false">
      <c r="B490" s="15" t="n">
        <v>486</v>
      </c>
      <c r="C490" s="9" t="s">
        <v>86</v>
      </c>
      <c r="D490" s="9" t="s">
        <v>23</v>
      </c>
      <c r="E490" s="9" t="s">
        <v>124</v>
      </c>
      <c r="F490" s="9" t="s">
        <v>96</v>
      </c>
      <c r="G490" s="9" t="s">
        <v>3507</v>
      </c>
      <c r="H490" s="9" t="s">
        <v>2522</v>
      </c>
      <c r="I490" s="9" t="s">
        <v>3502</v>
      </c>
      <c r="J490" s="9" t="s">
        <v>3503</v>
      </c>
      <c r="K490" s="9" t="s">
        <v>3504</v>
      </c>
      <c r="L490" s="9" t="s">
        <v>3472</v>
      </c>
      <c r="M490" s="9" t="s">
        <v>2514</v>
      </c>
      <c r="N490" s="9" t="s">
        <v>189</v>
      </c>
      <c r="O490" s="9" t="s">
        <v>189</v>
      </c>
      <c r="P490" s="9" t="s">
        <v>640</v>
      </c>
      <c r="Q490" s="9" t="s">
        <v>2712</v>
      </c>
      <c r="R490" s="9" t="s">
        <v>849</v>
      </c>
      <c r="S490" s="9" t="s">
        <v>3477</v>
      </c>
      <c r="T490" s="9" t="s">
        <v>2700</v>
      </c>
      <c r="U490" s="19" t="n">
        <v>25</v>
      </c>
      <c r="V490" s="9"/>
      <c r="W490" s="9"/>
      <c r="X490" s="9" t="s">
        <v>3508</v>
      </c>
      <c r="Y490" s="23" t="n">
        <v>0.00010831</v>
      </c>
      <c r="Z490" s="23" t="n">
        <v>0.004</v>
      </c>
      <c r="AA490" s="23" t="n">
        <v>24</v>
      </c>
      <c r="AB490" s="9" t="s">
        <v>3472</v>
      </c>
      <c r="AC490" s="9" t="s">
        <v>3505</v>
      </c>
      <c r="AD490" s="23" t="s">
        <v>197</v>
      </c>
      <c r="AE490" s="23" t="s">
        <v>197</v>
      </c>
      <c r="AF490" s="23" t="s">
        <v>197</v>
      </c>
      <c r="AG490" s="23" t="s">
        <v>197</v>
      </c>
      <c r="AH490" s="23" t="s">
        <v>197</v>
      </c>
      <c r="AI490" s="23" t="s">
        <v>197</v>
      </c>
      <c r="AJ490" s="23" t="n">
        <v>100</v>
      </c>
      <c r="AK490" s="23" t="s">
        <v>197</v>
      </c>
      <c r="AL490" s="23" t="s">
        <v>197</v>
      </c>
      <c r="AM490" s="23" t="s">
        <v>197</v>
      </c>
      <c r="AN490" s="9" t="s">
        <v>2518</v>
      </c>
      <c r="AO490" s="23" t="s">
        <v>197</v>
      </c>
      <c r="AP490" s="23" t="n">
        <v>2.5</v>
      </c>
      <c r="AQ490" s="23" t="n">
        <v>6</v>
      </c>
    </row>
    <row r="491" customFormat="false" ht="21.75" hidden="false" customHeight="true" outlineLevel="0" collapsed="false">
      <c r="B491" s="14" t="n">
        <v>487</v>
      </c>
      <c r="C491" s="7" t="s">
        <v>86</v>
      </c>
      <c r="D491" s="7" t="s">
        <v>23</v>
      </c>
      <c r="E491" s="7" t="s">
        <v>124</v>
      </c>
      <c r="F491" s="7" t="s">
        <v>96</v>
      </c>
      <c r="G491" s="7" t="s">
        <v>3509</v>
      </c>
      <c r="H491" s="7" t="s">
        <v>2525</v>
      </c>
      <c r="I491" s="7" t="s">
        <v>3502</v>
      </c>
      <c r="J491" s="7" t="s">
        <v>3503</v>
      </c>
      <c r="K491" s="7" t="s">
        <v>3504</v>
      </c>
      <c r="L491" s="7" t="s">
        <v>3472</v>
      </c>
      <c r="M491" s="7" t="s">
        <v>2514</v>
      </c>
      <c r="N491" s="7" t="s">
        <v>189</v>
      </c>
      <c r="O491" s="7" t="s">
        <v>189</v>
      </c>
      <c r="P491" s="7" t="s">
        <v>640</v>
      </c>
      <c r="Q491" s="7" t="s">
        <v>2712</v>
      </c>
      <c r="R491" s="7" t="s">
        <v>849</v>
      </c>
      <c r="S491" s="7" t="s">
        <v>3477</v>
      </c>
      <c r="T491" s="7" t="s">
        <v>2700</v>
      </c>
      <c r="U491" s="18" t="n">
        <v>40</v>
      </c>
      <c r="V491" s="7"/>
      <c r="W491" s="7"/>
      <c r="X491" s="7" t="s">
        <v>203</v>
      </c>
      <c r="Y491" s="22" t="n">
        <v>0.0001074</v>
      </c>
      <c r="Z491" s="22" t="n">
        <v>0.004</v>
      </c>
      <c r="AA491" s="22" t="n">
        <v>24</v>
      </c>
      <c r="AB491" s="7" t="s">
        <v>3472</v>
      </c>
      <c r="AC491" s="7" t="s">
        <v>3505</v>
      </c>
      <c r="AD491" s="22" t="s">
        <v>197</v>
      </c>
      <c r="AE491" s="22" t="s">
        <v>197</v>
      </c>
      <c r="AF491" s="22" t="s">
        <v>197</v>
      </c>
      <c r="AG491" s="22" t="s">
        <v>197</v>
      </c>
      <c r="AH491" s="22" t="s">
        <v>197</v>
      </c>
      <c r="AI491" s="22" t="s">
        <v>197</v>
      </c>
      <c r="AJ491" s="22" t="n">
        <v>100</v>
      </c>
      <c r="AK491" s="22" t="s">
        <v>197</v>
      </c>
      <c r="AL491" s="22" t="s">
        <v>197</v>
      </c>
      <c r="AM491" s="22" t="s">
        <v>197</v>
      </c>
      <c r="AN491" s="7" t="s">
        <v>2518</v>
      </c>
      <c r="AO491" s="22" t="s">
        <v>197</v>
      </c>
      <c r="AP491" s="22" t="n">
        <v>2.5</v>
      </c>
      <c r="AQ491" s="22" t="n">
        <v>6</v>
      </c>
    </row>
    <row r="492" customFormat="false" ht="21.75" hidden="false" customHeight="true" outlineLevel="0" collapsed="false">
      <c r="B492" s="15" t="n">
        <v>488</v>
      </c>
      <c r="C492" s="9" t="s">
        <v>86</v>
      </c>
      <c r="D492" s="9" t="s">
        <v>23</v>
      </c>
      <c r="E492" s="9" t="s">
        <v>124</v>
      </c>
      <c r="F492" s="9" t="s">
        <v>96</v>
      </c>
      <c r="G492" s="9" t="s">
        <v>3510</v>
      </c>
      <c r="H492" s="9" t="s">
        <v>2527</v>
      </c>
      <c r="I492" s="9" t="s">
        <v>3502</v>
      </c>
      <c r="J492" s="9" t="s">
        <v>3503</v>
      </c>
      <c r="K492" s="9" t="s">
        <v>3504</v>
      </c>
      <c r="L492" s="9" t="s">
        <v>3472</v>
      </c>
      <c r="M492" s="9" t="s">
        <v>2514</v>
      </c>
      <c r="N492" s="9" t="s">
        <v>189</v>
      </c>
      <c r="O492" s="9" t="s">
        <v>189</v>
      </c>
      <c r="P492" s="9" t="s">
        <v>640</v>
      </c>
      <c r="Q492" s="9" t="s">
        <v>2712</v>
      </c>
      <c r="R492" s="9" t="s">
        <v>849</v>
      </c>
      <c r="S492" s="9" t="s">
        <v>3477</v>
      </c>
      <c r="T492" s="9" t="s">
        <v>2700</v>
      </c>
      <c r="U492" s="19" t="n">
        <v>60</v>
      </c>
      <c r="V492" s="9"/>
      <c r="W492" s="9"/>
      <c r="X492" s="9" t="s">
        <v>205</v>
      </c>
      <c r="Y492" s="23" t="n">
        <v>7.488E-005</v>
      </c>
      <c r="Z492" s="23" t="n">
        <v>0.003</v>
      </c>
      <c r="AA492" s="23" t="n">
        <v>24</v>
      </c>
      <c r="AB492" s="9" t="s">
        <v>3472</v>
      </c>
      <c r="AC492" s="9" t="s">
        <v>3505</v>
      </c>
      <c r="AD492" s="23" t="s">
        <v>197</v>
      </c>
      <c r="AE492" s="23" t="s">
        <v>197</v>
      </c>
      <c r="AF492" s="23" t="s">
        <v>197</v>
      </c>
      <c r="AG492" s="23" t="s">
        <v>197</v>
      </c>
      <c r="AH492" s="23" t="s">
        <v>197</v>
      </c>
      <c r="AI492" s="23" t="s">
        <v>197</v>
      </c>
      <c r="AJ492" s="23" t="n">
        <v>120</v>
      </c>
      <c r="AK492" s="23" t="s">
        <v>197</v>
      </c>
      <c r="AL492" s="23" t="s">
        <v>197</v>
      </c>
      <c r="AM492" s="23" t="s">
        <v>197</v>
      </c>
      <c r="AN492" s="9" t="s">
        <v>2518</v>
      </c>
      <c r="AO492" s="23" t="s">
        <v>197</v>
      </c>
      <c r="AP492" s="23" t="n">
        <v>2.5</v>
      </c>
      <c r="AQ492" s="23" t="n">
        <v>6</v>
      </c>
    </row>
    <row r="493" customFormat="false" ht="21.75" hidden="false" customHeight="true" outlineLevel="0" collapsed="false">
      <c r="B493" s="14" t="n">
        <v>489</v>
      </c>
      <c r="C493" s="7" t="s">
        <v>86</v>
      </c>
      <c r="D493" s="7" t="s">
        <v>23</v>
      </c>
      <c r="E493" s="7" t="s">
        <v>124</v>
      </c>
      <c r="F493" s="7" t="s">
        <v>97</v>
      </c>
      <c r="G493" s="7" t="s">
        <v>3511</v>
      </c>
      <c r="H493" s="7" t="s">
        <v>2529</v>
      </c>
      <c r="I493" s="7" t="s">
        <v>2872</v>
      </c>
      <c r="J493" s="7" t="s">
        <v>3192</v>
      </c>
      <c r="K493" s="7" t="s">
        <v>3504</v>
      </c>
      <c r="L493" s="7" t="s">
        <v>3472</v>
      </c>
      <c r="M493" s="7" t="s">
        <v>2514</v>
      </c>
      <c r="N493" s="7" t="s">
        <v>189</v>
      </c>
      <c r="O493" s="7" t="s">
        <v>189</v>
      </c>
      <c r="P493" s="7" t="s">
        <v>640</v>
      </c>
      <c r="Q493" s="7" t="s">
        <v>2712</v>
      </c>
      <c r="R493" s="7" t="s">
        <v>2723</v>
      </c>
      <c r="S493" s="7" t="s">
        <v>3477</v>
      </c>
      <c r="T493" s="7" t="s">
        <v>2875</v>
      </c>
      <c r="U493" s="18" t="n">
        <v>13</v>
      </c>
      <c r="V493" s="7"/>
      <c r="W493" s="7"/>
      <c r="X493" s="7" t="s">
        <v>195</v>
      </c>
      <c r="Y493" s="22" t="n">
        <v>0.00010644</v>
      </c>
      <c r="Z493" s="22" t="n">
        <v>0.005</v>
      </c>
      <c r="AA493" s="22" t="n">
        <v>24</v>
      </c>
      <c r="AB493" s="7" t="s">
        <v>3472</v>
      </c>
      <c r="AC493" s="7" t="s">
        <v>3505</v>
      </c>
      <c r="AD493" s="22" t="s">
        <v>197</v>
      </c>
      <c r="AE493" s="22" t="s">
        <v>197</v>
      </c>
      <c r="AF493" s="22" t="s">
        <v>197</v>
      </c>
      <c r="AG493" s="22" t="s">
        <v>197</v>
      </c>
      <c r="AH493" s="22" t="s">
        <v>197</v>
      </c>
      <c r="AI493" s="22" t="s">
        <v>197</v>
      </c>
      <c r="AJ493" s="22" t="n">
        <v>59</v>
      </c>
      <c r="AK493" s="22" t="s">
        <v>197</v>
      </c>
      <c r="AL493" s="22" t="s">
        <v>197</v>
      </c>
      <c r="AM493" s="22" t="s">
        <v>197</v>
      </c>
      <c r="AN493" s="7" t="s">
        <v>2518</v>
      </c>
      <c r="AO493" s="22" t="s">
        <v>197</v>
      </c>
      <c r="AP493" s="22" t="n">
        <v>2.5</v>
      </c>
      <c r="AQ493" s="22" t="n">
        <v>6</v>
      </c>
    </row>
    <row r="494" customFormat="false" ht="21.75" hidden="false" customHeight="true" outlineLevel="0" collapsed="false">
      <c r="B494" s="15" t="n">
        <v>490</v>
      </c>
      <c r="C494" s="9" t="s">
        <v>86</v>
      </c>
      <c r="D494" s="9" t="s">
        <v>23</v>
      </c>
      <c r="E494" s="9" t="s">
        <v>124</v>
      </c>
      <c r="F494" s="9" t="s">
        <v>97</v>
      </c>
      <c r="G494" s="9" t="s">
        <v>3512</v>
      </c>
      <c r="H494" s="9" t="s">
        <v>2535</v>
      </c>
      <c r="I494" s="9" t="s">
        <v>2872</v>
      </c>
      <c r="J494" s="9" t="s">
        <v>3192</v>
      </c>
      <c r="K494" s="9" t="s">
        <v>3504</v>
      </c>
      <c r="L494" s="9" t="s">
        <v>3472</v>
      </c>
      <c r="M494" s="9" t="s">
        <v>2514</v>
      </c>
      <c r="N494" s="9" t="s">
        <v>189</v>
      </c>
      <c r="O494" s="9" t="s">
        <v>189</v>
      </c>
      <c r="P494" s="9" t="s">
        <v>640</v>
      </c>
      <c r="Q494" s="9" t="s">
        <v>2712</v>
      </c>
      <c r="R494" s="9" t="s">
        <v>2723</v>
      </c>
      <c r="S494" s="9" t="s">
        <v>3477</v>
      </c>
      <c r="T494" s="9" t="s">
        <v>2875</v>
      </c>
      <c r="U494" s="19" t="n">
        <v>20</v>
      </c>
      <c r="V494" s="9"/>
      <c r="W494" s="9"/>
      <c r="X494" s="9" t="s">
        <v>199</v>
      </c>
      <c r="Y494" s="23" t="n">
        <v>7.778E-005</v>
      </c>
      <c r="Z494" s="23" t="n">
        <v>0.003</v>
      </c>
      <c r="AA494" s="23" t="n">
        <v>24</v>
      </c>
      <c r="AB494" s="9" t="s">
        <v>3472</v>
      </c>
      <c r="AC494" s="9" t="s">
        <v>3505</v>
      </c>
      <c r="AD494" s="23" t="s">
        <v>197</v>
      </c>
      <c r="AE494" s="23" t="s">
        <v>197</v>
      </c>
      <c r="AF494" s="23" t="s">
        <v>197</v>
      </c>
      <c r="AG494" s="23" t="s">
        <v>197</v>
      </c>
      <c r="AH494" s="23" t="s">
        <v>197</v>
      </c>
      <c r="AI494" s="23" t="s">
        <v>197</v>
      </c>
      <c r="AJ494" s="23" t="n">
        <v>49</v>
      </c>
      <c r="AK494" s="23" t="s">
        <v>197</v>
      </c>
      <c r="AL494" s="23" t="s">
        <v>197</v>
      </c>
      <c r="AM494" s="23" t="s">
        <v>197</v>
      </c>
      <c r="AN494" s="9" t="s">
        <v>2518</v>
      </c>
      <c r="AO494" s="23" t="s">
        <v>197</v>
      </c>
      <c r="AP494" s="23" t="n">
        <v>2.5</v>
      </c>
      <c r="AQ494" s="23" t="n">
        <v>6</v>
      </c>
    </row>
    <row r="495" customFormat="false" ht="21.75" hidden="false" customHeight="true" outlineLevel="0" collapsed="false">
      <c r="B495" s="14" t="n">
        <v>491</v>
      </c>
      <c r="C495" s="7" t="s">
        <v>86</v>
      </c>
      <c r="D495" s="7" t="s">
        <v>23</v>
      </c>
      <c r="E495" s="7" t="s">
        <v>124</v>
      </c>
      <c r="F495" s="7" t="s">
        <v>97</v>
      </c>
      <c r="G495" s="7" t="s">
        <v>3513</v>
      </c>
      <c r="H495" s="7" t="s">
        <v>2537</v>
      </c>
      <c r="I495" s="7" t="s">
        <v>2872</v>
      </c>
      <c r="J495" s="7" t="s">
        <v>3192</v>
      </c>
      <c r="K495" s="7" t="s">
        <v>3504</v>
      </c>
      <c r="L495" s="7" t="s">
        <v>3472</v>
      </c>
      <c r="M495" s="7" t="s">
        <v>2514</v>
      </c>
      <c r="N495" s="7" t="s">
        <v>189</v>
      </c>
      <c r="O495" s="7" t="s">
        <v>189</v>
      </c>
      <c r="P495" s="7" t="s">
        <v>640</v>
      </c>
      <c r="Q495" s="7" t="s">
        <v>2712</v>
      </c>
      <c r="R495" s="7" t="s">
        <v>2723</v>
      </c>
      <c r="S495" s="7" t="s">
        <v>3477</v>
      </c>
      <c r="T495" s="7" t="s">
        <v>2875</v>
      </c>
      <c r="U495" s="18" t="n">
        <v>25</v>
      </c>
      <c r="V495" s="7"/>
      <c r="W495" s="7"/>
      <c r="X495" s="7" t="s">
        <v>3514</v>
      </c>
      <c r="Y495" s="22" t="n">
        <v>9.522E-005</v>
      </c>
      <c r="Z495" s="22" t="n">
        <v>0.004</v>
      </c>
      <c r="AA495" s="22" t="n">
        <v>24</v>
      </c>
      <c r="AB495" s="7" t="s">
        <v>3472</v>
      </c>
      <c r="AC495" s="7" t="s">
        <v>3505</v>
      </c>
      <c r="AD495" s="22" t="s">
        <v>197</v>
      </c>
      <c r="AE495" s="22" t="s">
        <v>197</v>
      </c>
      <c r="AF495" s="22" t="s">
        <v>197</v>
      </c>
      <c r="AG495" s="22" t="s">
        <v>197</v>
      </c>
      <c r="AH495" s="22" t="s">
        <v>197</v>
      </c>
      <c r="AI495" s="22" t="s">
        <v>197</v>
      </c>
      <c r="AJ495" s="22" t="n">
        <v>55</v>
      </c>
      <c r="AK495" s="22" t="s">
        <v>197</v>
      </c>
      <c r="AL495" s="22" t="s">
        <v>197</v>
      </c>
      <c r="AM495" s="22" t="s">
        <v>197</v>
      </c>
      <c r="AN495" s="7" t="s">
        <v>2518</v>
      </c>
      <c r="AO495" s="22" t="s">
        <v>197</v>
      </c>
      <c r="AP495" s="22" t="n">
        <v>2.5</v>
      </c>
      <c r="AQ495" s="22" t="n">
        <v>6</v>
      </c>
    </row>
    <row r="496" customFormat="false" ht="21.75" hidden="false" customHeight="true" outlineLevel="0" collapsed="false">
      <c r="B496" s="15" t="n">
        <v>492</v>
      </c>
      <c r="C496" s="9" t="s">
        <v>86</v>
      </c>
      <c r="D496" s="9" t="s">
        <v>23</v>
      </c>
      <c r="E496" s="9" t="s">
        <v>124</v>
      </c>
      <c r="F496" s="9" t="s">
        <v>97</v>
      </c>
      <c r="G496" s="9" t="s">
        <v>3515</v>
      </c>
      <c r="H496" s="9" t="s">
        <v>2540</v>
      </c>
      <c r="I496" s="9" t="s">
        <v>2872</v>
      </c>
      <c r="J496" s="9" t="s">
        <v>3192</v>
      </c>
      <c r="K496" s="9" t="s">
        <v>3504</v>
      </c>
      <c r="L496" s="9" t="s">
        <v>3472</v>
      </c>
      <c r="M496" s="9" t="s">
        <v>2514</v>
      </c>
      <c r="N496" s="9" t="s">
        <v>189</v>
      </c>
      <c r="O496" s="9" t="s">
        <v>189</v>
      </c>
      <c r="P496" s="9" t="s">
        <v>640</v>
      </c>
      <c r="Q496" s="9" t="s">
        <v>2712</v>
      </c>
      <c r="R496" s="9" t="s">
        <v>2723</v>
      </c>
      <c r="S496" s="9" t="s">
        <v>3477</v>
      </c>
      <c r="T496" s="9" t="s">
        <v>2875</v>
      </c>
      <c r="U496" s="19" t="n">
        <v>35</v>
      </c>
      <c r="V496" s="9"/>
      <c r="W496" s="9"/>
      <c r="X496" s="9" t="s">
        <v>203</v>
      </c>
      <c r="Y496" s="23" t="n">
        <v>8.673E-005</v>
      </c>
      <c r="Z496" s="23" t="n">
        <v>0.004</v>
      </c>
      <c r="AA496" s="23" t="n">
        <v>24</v>
      </c>
      <c r="AB496" s="9" t="s">
        <v>3472</v>
      </c>
      <c r="AC496" s="9" t="s">
        <v>3505</v>
      </c>
      <c r="AD496" s="23" t="s">
        <v>197</v>
      </c>
      <c r="AE496" s="23" t="s">
        <v>197</v>
      </c>
      <c r="AF496" s="23" t="s">
        <v>197</v>
      </c>
      <c r="AG496" s="23" t="s">
        <v>197</v>
      </c>
      <c r="AH496" s="23" t="s">
        <v>197</v>
      </c>
      <c r="AI496" s="23" t="s">
        <v>197</v>
      </c>
      <c r="AJ496" s="23" t="n">
        <v>52</v>
      </c>
      <c r="AK496" s="23" t="s">
        <v>197</v>
      </c>
      <c r="AL496" s="23" t="s">
        <v>197</v>
      </c>
      <c r="AM496" s="23" t="s">
        <v>197</v>
      </c>
      <c r="AN496" s="9" t="s">
        <v>2518</v>
      </c>
      <c r="AO496" s="23" t="s">
        <v>197</v>
      </c>
      <c r="AP496" s="23" t="n">
        <v>2.5</v>
      </c>
      <c r="AQ496" s="23" t="n">
        <v>6</v>
      </c>
    </row>
    <row r="497" customFormat="false" ht="21.75" hidden="false" customHeight="true" outlineLevel="0" collapsed="false">
      <c r="B497" s="14" t="n">
        <v>493</v>
      </c>
      <c r="C497" s="7" t="s">
        <v>86</v>
      </c>
      <c r="D497" s="7" t="s">
        <v>23</v>
      </c>
      <c r="E497" s="7" t="s">
        <v>124</v>
      </c>
      <c r="F497" s="7" t="s">
        <v>97</v>
      </c>
      <c r="G497" s="7" t="s">
        <v>3516</v>
      </c>
      <c r="H497" s="7" t="s">
        <v>2542</v>
      </c>
      <c r="I497" s="7" t="s">
        <v>2872</v>
      </c>
      <c r="J497" s="7" t="s">
        <v>3192</v>
      </c>
      <c r="K497" s="7" t="s">
        <v>3504</v>
      </c>
      <c r="L497" s="7" t="s">
        <v>3472</v>
      </c>
      <c r="M497" s="7" t="s">
        <v>2514</v>
      </c>
      <c r="N497" s="7" t="s">
        <v>189</v>
      </c>
      <c r="O497" s="7" t="s">
        <v>189</v>
      </c>
      <c r="P497" s="7" t="s">
        <v>640</v>
      </c>
      <c r="Q497" s="7" t="s">
        <v>2712</v>
      </c>
      <c r="R497" s="7" t="s">
        <v>2723</v>
      </c>
      <c r="S497" s="7" t="s">
        <v>3477</v>
      </c>
      <c r="T497" s="7" t="s">
        <v>2875</v>
      </c>
      <c r="U497" s="18" t="n">
        <v>55</v>
      </c>
      <c r="V497" s="7"/>
      <c r="W497" s="7"/>
      <c r="X497" s="7" t="s">
        <v>205</v>
      </c>
      <c r="Y497" s="22" t="n">
        <v>7.316E-005</v>
      </c>
      <c r="Z497" s="22" t="n">
        <v>0.003</v>
      </c>
      <c r="AA497" s="22" t="n">
        <v>24</v>
      </c>
      <c r="AB497" s="7" t="s">
        <v>3472</v>
      </c>
      <c r="AC497" s="7" t="s">
        <v>3505</v>
      </c>
      <c r="AD497" s="22" t="s">
        <v>197</v>
      </c>
      <c r="AE497" s="22" t="s">
        <v>197</v>
      </c>
      <c r="AF497" s="22" t="s">
        <v>197</v>
      </c>
      <c r="AG497" s="22" t="s">
        <v>197</v>
      </c>
      <c r="AH497" s="22" t="s">
        <v>197</v>
      </c>
      <c r="AI497" s="22" t="s">
        <v>197</v>
      </c>
      <c r="AJ497" s="22" t="n">
        <v>48</v>
      </c>
      <c r="AK497" s="22" t="s">
        <v>197</v>
      </c>
      <c r="AL497" s="22" t="s">
        <v>197</v>
      </c>
      <c r="AM497" s="22" t="s">
        <v>197</v>
      </c>
      <c r="AN497" s="7" t="s">
        <v>2518</v>
      </c>
      <c r="AO497" s="22" t="s">
        <v>197</v>
      </c>
      <c r="AP497" s="22" t="n">
        <v>2.5</v>
      </c>
      <c r="AQ497" s="22" t="n">
        <v>6</v>
      </c>
    </row>
    <row r="498" customFormat="false" ht="21.75" hidden="false" customHeight="true" outlineLevel="0" collapsed="false">
      <c r="B498" s="15" t="n">
        <v>494</v>
      </c>
      <c r="C498" s="9" t="s">
        <v>86</v>
      </c>
      <c r="D498" s="9" t="s">
        <v>23</v>
      </c>
      <c r="E498" s="9" t="s">
        <v>124</v>
      </c>
      <c r="F498" s="9" t="s">
        <v>98</v>
      </c>
      <c r="G498" s="9" t="s">
        <v>391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19"/>
      <c r="V498" s="9"/>
      <c r="W498" s="9"/>
      <c r="X498" s="9" t="s">
        <v>3517</v>
      </c>
      <c r="Y498" s="23" t="s">
        <v>197</v>
      </c>
      <c r="Z498" s="23" t="s">
        <v>197</v>
      </c>
      <c r="AA498" s="23" t="s">
        <v>197</v>
      </c>
      <c r="AB498" s="9" t="s">
        <v>197</v>
      </c>
      <c r="AC498" s="9" t="s">
        <v>197</v>
      </c>
      <c r="AD498" s="23" t="s">
        <v>197</v>
      </c>
      <c r="AE498" s="23" t="s">
        <v>197</v>
      </c>
      <c r="AF498" s="23" t="s">
        <v>197</v>
      </c>
      <c r="AG498" s="23" t="s">
        <v>197</v>
      </c>
      <c r="AH498" s="23" t="s">
        <v>197</v>
      </c>
      <c r="AI498" s="23" t="s">
        <v>197</v>
      </c>
      <c r="AJ498" s="23" t="s">
        <v>197</v>
      </c>
      <c r="AK498" s="23" t="s">
        <v>197</v>
      </c>
      <c r="AL498" s="23" t="s">
        <v>197</v>
      </c>
      <c r="AM498" s="23" t="s">
        <v>197</v>
      </c>
      <c r="AN498" s="9" t="s">
        <v>197</v>
      </c>
      <c r="AO498" s="23" t="s">
        <v>197</v>
      </c>
      <c r="AP498" s="23" t="s">
        <v>197</v>
      </c>
      <c r="AQ498" s="23" t="s">
        <v>197</v>
      </c>
    </row>
    <row r="499" customFormat="false" ht="21.75" hidden="false" customHeight="true" outlineLevel="0" collapsed="false">
      <c r="B499" s="14" t="n">
        <v>495</v>
      </c>
      <c r="C499" s="7" t="s">
        <v>86</v>
      </c>
      <c r="D499" s="7" t="s">
        <v>23</v>
      </c>
      <c r="E499" s="7" t="s">
        <v>124</v>
      </c>
      <c r="F499" s="7" t="s">
        <v>99</v>
      </c>
      <c r="G499" s="7" t="s">
        <v>391</v>
      </c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18"/>
      <c r="V499" s="7"/>
      <c r="W499" s="7"/>
      <c r="X499" s="7" t="s">
        <v>3518</v>
      </c>
      <c r="Y499" s="22" t="s">
        <v>197</v>
      </c>
      <c r="Z499" s="22" t="s">
        <v>197</v>
      </c>
      <c r="AA499" s="22" t="s">
        <v>197</v>
      </c>
      <c r="AB499" s="7" t="s">
        <v>197</v>
      </c>
      <c r="AC499" s="7" t="s">
        <v>197</v>
      </c>
      <c r="AD499" s="22" t="s">
        <v>197</v>
      </c>
      <c r="AE499" s="22" t="s">
        <v>197</v>
      </c>
      <c r="AF499" s="22" t="s">
        <v>197</v>
      </c>
      <c r="AG499" s="22" t="s">
        <v>197</v>
      </c>
      <c r="AH499" s="22" t="s">
        <v>197</v>
      </c>
      <c r="AI499" s="22" t="s">
        <v>197</v>
      </c>
      <c r="AJ499" s="22" t="s">
        <v>197</v>
      </c>
      <c r="AK499" s="22" t="s">
        <v>197</v>
      </c>
      <c r="AL499" s="22" t="s">
        <v>197</v>
      </c>
      <c r="AM499" s="22" t="s">
        <v>197</v>
      </c>
      <c r="AN499" s="7" t="s">
        <v>197</v>
      </c>
      <c r="AO499" s="22" t="s">
        <v>197</v>
      </c>
      <c r="AP499" s="22" t="s">
        <v>197</v>
      </c>
      <c r="AQ499" s="22" t="s">
        <v>197</v>
      </c>
    </row>
    <row r="500" customFormat="false" ht="21.75" hidden="false" customHeight="true" outlineLevel="0" collapsed="false">
      <c r="B500" s="15" t="n">
        <v>496</v>
      </c>
      <c r="C500" s="9" t="s">
        <v>86</v>
      </c>
      <c r="D500" s="9" t="s">
        <v>23</v>
      </c>
      <c r="E500" s="9" t="s">
        <v>124</v>
      </c>
      <c r="F500" s="9" t="s">
        <v>100</v>
      </c>
      <c r="G500" s="9" t="s">
        <v>391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19"/>
      <c r="V500" s="9"/>
      <c r="W500" s="9"/>
      <c r="X500" s="9" t="s">
        <v>3519</v>
      </c>
      <c r="Y500" s="23" t="s">
        <v>197</v>
      </c>
      <c r="Z500" s="23" t="s">
        <v>197</v>
      </c>
      <c r="AA500" s="23" t="s">
        <v>197</v>
      </c>
      <c r="AB500" s="9" t="s">
        <v>197</v>
      </c>
      <c r="AC500" s="9" t="s">
        <v>197</v>
      </c>
      <c r="AD500" s="23" t="s">
        <v>197</v>
      </c>
      <c r="AE500" s="23" t="s">
        <v>197</v>
      </c>
      <c r="AF500" s="23" t="s">
        <v>197</v>
      </c>
      <c r="AG500" s="23" t="s">
        <v>197</v>
      </c>
      <c r="AH500" s="23" t="s">
        <v>197</v>
      </c>
      <c r="AI500" s="23" t="s">
        <v>197</v>
      </c>
      <c r="AJ500" s="23" t="s">
        <v>197</v>
      </c>
      <c r="AK500" s="23" t="s">
        <v>197</v>
      </c>
      <c r="AL500" s="23" t="s">
        <v>197</v>
      </c>
      <c r="AM500" s="23" t="s">
        <v>197</v>
      </c>
      <c r="AN500" s="9" t="s">
        <v>197</v>
      </c>
      <c r="AO500" s="23" t="s">
        <v>197</v>
      </c>
      <c r="AP500" s="23" t="s">
        <v>197</v>
      </c>
      <c r="AQ500" s="23" t="s">
        <v>197</v>
      </c>
    </row>
    <row r="501" customFormat="false" ht="21.75" hidden="false" customHeight="true" outlineLevel="0" collapsed="false">
      <c r="B501" s="14" t="n">
        <v>497</v>
      </c>
      <c r="C501" s="7" t="s">
        <v>86</v>
      </c>
      <c r="D501" s="7" t="s">
        <v>23</v>
      </c>
      <c r="E501" s="7" t="s">
        <v>124</v>
      </c>
      <c r="F501" s="7" t="s">
        <v>101</v>
      </c>
      <c r="G501" s="7" t="s">
        <v>391</v>
      </c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18"/>
      <c r="V501" s="7"/>
      <c r="W501" s="7"/>
      <c r="X501" s="7" t="s">
        <v>3520</v>
      </c>
      <c r="Y501" s="22" t="s">
        <v>197</v>
      </c>
      <c r="Z501" s="22" t="s">
        <v>197</v>
      </c>
      <c r="AA501" s="22" t="s">
        <v>197</v>
      </c>
      <c r="AB501" s="7" t="s">
        <v>197</v>
      </c>
      <c r="AC501" s="7" t="s">
        <v>197</v>
      </c>
      <c r="AD501" s="22" t="s">
        <v>197</v>
      </c>
      <c r="AE501" s="22" t="s">
        <v>197</v>
      </c>
      <c r="AF501" s="22" t="s">
        <v>197</v>
      </c>
      <c r="AG501" s="22" t="s">
        <v>197</v>
      </c>
      <c r="AH501" s="22" t="s">
        <v>197</v>
      </c>
      <c r="AI501" s="22" t="s">
        <v>197</v>
      </c>
      <c r="AJ501" s="22" t="s">
        <v>197</v>
      </c>
      <c r="AK501" s="22" t="s">
        <v>197</v>
      </c>
      <c r="AL501" s="22" t="s">
        <v>197</v>
      </c>
      <c r="AM501" s="22" t="s">
        <v>197</v>
      </c>
      <c r="AN501" s="7" t="s">
        <v>197</v>
      </c>
      <c r="AO501" s="22" t="s">
        <v>197</v>
      </c>
      <c r="AP501" s="22" t="s">
        <v>197</v>
      </c>
      <c r="AQ501" s="22" t="s">
        <v>197</v>
      </c>
    </row>
    <row r="502" customFormat="false" ht="21.75" hidden="false" customHeight="true" outlineLevel="0" collapsed="false">
      <c r="B502" s="15" t="n">
        <v>498</v>
      </c>
      <c r="C502" s="9" t="s">
        <v>86</v>
      </c>
      <c r="D502" s="9" t="s">
        <v>23</v>
      </c>
      <c r="E502" s="9" t="s">
        <v>124</v>
      </c>
      <c r="F502" s="9" t="s">
        <v>102</v>
      </c>
      <c r="G502" s="9" t="s">
        <v>3521</v>
      </c>
      <c r="H502" s="9" t="s">
        <v>2601</v>
      </c>
      <c r="I502" s="9" t="s">
        <v>3203</v>
      </c>
      <c r="J502" s="9" t="s">
        <v>3522</v>
      </c>
      <c r="K502" s="9" t="s">
        <v>3504</v>
      </c>
      <c r="L502" s="9" t="s">
        <v>3472</v>
      </c>
      <c r="M502" s="9" t="s">
        <v>2514</v>
      </c>
      <c r="N502" s="9" t="s">
        <v>189</v>
      </c>
      <c r="O502" s="9" t="s">
        <v>189</v>
      </c>
      <c r="P502" s="9" t="s">
        <v>640</v>
      </c>
      <c r="Q502" s="9" t="s">
        <v>3523</v>
      </c>
      <c r="R502" s="9" t="s">
        <v>1842</v>
      </c>
      <c r="S502" s="9" t="s">
        <v>3477</v>
      </c>
      <c r="T502" s="9" t="s">
        <v>3524</v>
      </c>
      <c r="U502" s="19" t="n">
        <v>11</v>
      </c>
      <c r="V502" s="9"/>
      <c r="W502" s="9"/>
      <c r="X502" s="9" t="s">
        <v>195</v>
      </c>
      <c r="Y502" s="23" t="n">
        <v>0.00031666</v>
      </c>
      <c r="Z502" s="23" t="n">
        <v>0.004</v>
      </c>
      <c r="AA502" s="23" t="n">
        <v>24</v>
      </c>
      <c r="AB502" s="9" t="s">
        <v>3472</v>
      </c>
      <c r="AC502" s="9" t="s">
        <v>3505</v>
      </c>
      <c r="AD502" s="23" t="s">
        <v>197</v>
      </c>
      <c r="AE502" s="23" t="s">
        <v>197</v>
      </c>
      <c r="AF502" s="23" t="s">
        <v>197</v>
      </c>
      <c r="AG502" s="23" t="s">
        <v>197</v>
      </c>
      <c r="AH502" s="23" t="s">
        <v>197</v>
      </c>
      <c r="AI502" s="23" t="s">
        <v>197</v>
      </c>
      <c r="AJ502" s="23" t="s">
        <v>197</v>
      </c>
      <c r="AK502" s="23" t="s">
        <v>197</v>
      </c>
      <c r="AL502" s="23" t="s">
        <v>197</v>
      </c>
      <c r="AM502" s="23" t="s">
        <v>197</v>
      </c>
      <c r="AN502" s="9" t="s">
        <v>197</v>
      </c>
      <c r="AO502" s="23" t="s">
        <v>197</v>
      </c>
      <c r="AP502" s="23" t="n">
        <v>1.05</v>
      </c>
      <c r="AQ502" s="23" t="n">
        <v>1.4</v>
      </c>
    </row>
    <row r="503" customFormat="false" ht="21.75" hidden="false" customHeight="true" outlineLevel="0" collapsed="false">
      <c r="B503" s="14" t="n">
        <v>499</v>
      </c>
      <c r="C503" s="7" t="s">
        <v>86</v>
      </c>
      <c r="D503" s="7" t="s">
        <v>23</v>
      </c>
      <c r="E503" s="7" t="s">
        <v>124</v>
      </c>
      <c r="F503" s="7" t="s">
        <v>102</v>
      </c>
      <c r="G503" s="7" t="s">
        <v>3525</v>
      </c>
      <c r="H503" s="7" t="s">
        <v>2607</v>
      </c>
      <c r="I503" s="7" t="s">
        <v>3203</v>
      </c>
      <c r="J503" s="7" t="s">
        <v>3522</v>
      </c>
      <c r="K503" s="7" t="s">
        <v>3504</v>
      </c>
      <c r="L503" s="7" t="s">
        <v>3472</v>
      </c>
      <c r="M503" s="7" t="s">
        <v>2514</v>
      </c>
      <c r="N503" s="7" t="s">
        <v>189</v>
      </c>
      <c r="O503" s="7" t="s">
        <v>189</v>
      </c>
      <c r="P503" s="7" t="s">
        <v>640</v>
      </c>
      <c r="Q503" s="7" t="s">
        <v>3523</v>
      </c>
      <c r="R503" s="7" t="s">
        <v>1842</v>
      </c>
      <c r="S503" s="7" t="s">
        <v>3477</v>
      </c>
      <c r="T503" s="7" t="s">
        <v>3524</v>
      </c>
      <c r="U503" s="18" t="n">
        <v>16</v>
      </c>
      <c r="V503" s="7"/>
      <c r="W503" s="7"/>
      <c r="X503" s="7" t="s">
        <v>199</v>
      </c>
      <c r="Y503" s="22" t="n">
        <v>0.00038648</v>
      </c>
      <c r="Z503" s="22" t="n">
        <v>0.005</v>
      </c>
      <c r="AA503" s="22" t="n">
        <v>24</v>
      </c>
      <c r="AB503" s="7" t="s">
        <v>3472</v>
      </c>
      <c r="AC503" s="7" t="s">
        <v>3505</v>
      </c>
      <c r="AD503" s="22" t="s">
        <v>197</v>
      </c>
      <c r="AE503" s="22" t="s">
        <v>197</v>
      </c>
      <c r="AF503" s="22" t="s">
        <v>197</v>
      </c>
      <c r="AG503" s="22" t="s">
        <v>197</v>
      </c>
      <c r="AH503" s="22" t="s">
        <v>197</v>
      </c>
      <c r="AI503" s="22" t="s">
        <v>197</v>
      </c>
      <c r="AJ503" s="22" t="s">
        <v>197</v>
      </c>
      <c r="AK503" s="22" t="s">
        <v>197</v>
      </c>
      <c r="AL503" s="22" t="s">
        <v>197</v>
      </c>
      <c r="AM503" s="22" t="s">
        <v>197</v>
      </c>
      <c r="AN503" s="7" t="s">
        <v>197</v>
      </c>
      <c r="AO503" s="22" t="s">
        <v>197</v>
      </c>
      <c r="AP503" s="22" t="n">
        <v>1.05</v>
      </c>
      <c r="AQ503" s="22" t="n">
        <v>1.4</v>
      </c>
    </row>
    <row r="504" customFormat="false" ht="21.75" hidden="false" customHeight="true" outlineLevel="0" collapsed="false">
      <c r="B504" s="15" t="n">
        <v>500</v>
      </c>
      <c r="C504" s="9" t="s">
        <v>86</v>
      </c>
      <c r="D504" s="9" t="s">
        <v>23</v>
      </c>
      <c r="E504" s="9" t="s">
        <v>124</v>
      </c>
      <c r="F504" s="9" t="s">
        <v>102</v>
      </c>
      <c r="G504" s="9" t="s">
        <v>3526</v>
      </c>
      <c r="H504" s="9" t="s">
        <v>2609</v>
      </c>
      <c r="I504" s="9" t="s">
        <v>3203</v>
      </c>
      <c r="J504" s="9" t="s">
        <v>3522</v>
      </c>
      <c r="K504" s="9" t="s">
        <v>3504</v>
      </c>
      <c r="L504" s="9" t="s">
        <v>3472</v>
      </c>
      <c r="M504" s="9" t="s">
        <v>2514</v>
      </c>
      <c r="N504" s="9" t="s">
        <v>189</v>
      </c>
      <c r="O504" s="9" t="s">
        <v>189</v>
      </c>
      <c r="P504" s="9" t="s">
        <v>640</v>
      </c>
      <c r="Q504" s="9" t="s">
        <v>3523</v>
      </c>
      <c r="R504" s="9" t="s">
        <v>1842</v>
      </c>
      <c r="S504" s="9" t="s">
        <v>3477</v>
      </c>
      <c r="T504" s="9" t="s">
        <v>3524</v>
      </c>
      <c r="U504" s="19" t="n">
        <v>20</v>
      </c>
      <c r="V504" s="9"/>
      <c r="W504" s="9"/>
      <c r="X504" s="9" t="s">
        <v>3527</v>
      </c>
      <c r="Y504" s="23" t="n">
        <v>0.00030444</v>
      </c>
      <c r="Z504" s="23" t="n">
        <v>0.004</v>
      </c>
      <c r="AA504" s="23" t="n">
        <v>24</v>
      </c>
      <c r="AB504" s="9" t="s">
        <v>3472</v>
      </c>
      <c r="AC504" s="9" t="s">
        <v>3505</v>
      </c>
      <c r="AD504" s="23" t="s">
        <v>197</v>
      </c>
      <c r="AE504" s="23" t="s">
        <v>197</v>
      </c>
      <c r="AF504" s="23" t="s">
        <v>197</v>
      </c>
      <c r="AG504" s="23" t="s">
        <v>197</v>
      </c>
      <c r="AH504" s="23" t="s">
        <v>197</v>
      </c>
      <c r="AI504" s="23" t="s">
        <v>197</v>
      </c>
      <c r="AJ504" s="23" t="s">
        <v>197</v>
      </c>
      <c r="AK504" s="23" t="s">
        <v>197</v>
      </c>
      <c r="AL504" s="23" t="s">
        <v>197</v>
      </c>
      <c r="AM504" s="23" t="s">
        <v>197</v>
      </c>
      <c r="AN504" s="9" t="s">
        <v>197</v>
      </c>
      <c r="AO504" s="23" t="s">
        <v>197</v>
      </c>
      <c r="AP504" s="23" t="n">
        <v>1.05</v>
      </c>
      <c r="AQ504" s="23" t="n">
        <v>1.4</v>
      </c>
    </row>
    <row r="505" customFormat="false" ht="21.75" hidden="false" customHeight="true" outlineLevel="0" collapsed="false">
      <c r="B505" s="14" t="n">
        <v>501</v>
      </c>
      <c r="C505" s="7" t="s">
        <v>86</v>
      </c>
      <c r="D505" s="7" t="s">
        <v>23</v>
      </c>
      <c r="E505" s="7" t="s">
        <v>124</v>
      </c>
      <c r="F505" s="7" t="s">
        <v>102</v>
      </c>
      <c r="G505" s="7" t="s">
        <v>3528</v>
      </c>
      <c r="H505" s="7" t="s">
        <v>2612</v>
      </c>
      <c r="I505" s="7" t="s">
        <v>3203</v>
      </c>
      <c r="J505" s="7" t="s">
        <v>3522</v>
      </c>
      <c r="K505" s="7" t="s">
        <v>3504</v>
      </c>
      <c r="L505" s="7" t="s">
        <v>3472</v>
      </c>
      <c r="M505" s="7" t="s">
        <v>2514</v>
      </c>
      <c r="N505" s="7" t="s">
        <v>189</v>
      </c>
      <c r="O505" s="7" t="s">
        <v>189</v>
      </c>
      <c r="P505" s="7" t="s">
        <v>640</v>
      </c>
      <c r="Q505" s="7" t="s">
        <v>3523</v>
      </c>
      <c r="R505" s="7" t="s">
        <v>1842</v>
      </c>
      <c r="S505" s="7" t="s">
        <v>3477</v>
      </c>
      <c r="T505" s="7" t="s">
        <v>3524</v>
      </c>
      <c r="U505" s="18" t="n">
        <v>30</v>
      </c>
      <c r="V505" s="7"/>
      <c r="W505" s="7"/>
      <c r="X505" s="7" t="s">
        <v>203</v>
      </c>
      <c r="Y505" s="22" t="n">
        <v>0.00034276</v>
      </c>
      <c r="Z505" s="22" t="n">
        <v>0.004</v>
      </c>
      <c r="AA505" s="22" t="n">
        <v>24</v>
      </c>
      <c r="AB505" s="7" t="s">
        <v>3472</v>
      </c>
      <c r="AC505" s="7" t="s">
        <v>3505</v>
      </c>
      <c r="AD505" s="22" t="s">
        <v>197</v>
      </c>
      <c r="AE505" s="22" t="s">
        <v>197</v>
      </c>
      <c r="AF505" s="22" t="s">
        <v>197</v>
      </c>
      <c r="AG505" s="22" t="s">
        <v>197</v>
      </c>
      <c r="AH505" s="22" t="s">
        <v>197</v>
      </c>
      <c r="AI505" s="22" t="s">
        <v>197</v>
      </c>
      <c r="AJ505" s="22" t="s">
        <v>197</v>
      </c>
      <c r="AK505" s="22" t="s">
        <v>197</v>
      </c>
      <c r="AL505" s="22" t="s">
        <v>197</v>
      </c>
      <c r="AM505" s="22" t="s">
        <v>197</v>
      </c>
      <c r="AN505" s="7" t="s">
        <v>197</v>
      </c>
      <c r="AO505" s="22" t="s">
        <v>197</v>
      </c>
      <c r="AP505" s="22" t="n">
        <v>1.05</v>
      </c>
      <c r="AQ505" s="22" t="n">
        <v>1.4</v>
      </c>
    </row>
    <row r="506" customFormat="false" ht="21.75" hidden="false" customHeight="true" outlineLevel="0" collapsed="false">
      <c r="B506" s="15" t="n">
        <v>502</v>
      </c>
      <c r="C506" s="9" t="s">
        <v>86</v>
      </c>
      <c r="D506" s="9" t="s">
        <v>23</v>
      </c>
      <c r="E506" s="9" t="s">
        <v>124</v>
      </c>
      <c r="F506" s="9" t="s">
        <v>102</v>
      </c>
      <c r="G506" s="9" t="s">
        <v>3529</v>
      </c>
      <c r="H506" s="9" t="s">
        <v>2614</v>
      </c>
      <c r="I506" s="9" t="s">
        <v>3203</v>
      </c>
      <c r="J506" s="9" t="s">
        <v>3522</v>
      </c>
      <c r="K506" s="9" t="s">
        <v>3504</v>
      </c>
      <c r="L506" s="9" t="s">
        <v>3472</v>
      </c>
      <c r="M506" s="9" t="s">
        <v>2514</v>
      </c>
      <c r="N506" s="9" t="s">
        <v>189</v>
      </c>
      <c r="O506" s="9" t="s">
        <v>189</v>
      </c>
      <c r="P506" s="9" t="s">
        <v>640</v>
      </c>
      <c r="Q506" s="9" t="s">
        <v>3523</v>
      </c>
      <c r="R506" s="9" t="s">
        <v>1842</v>
      </c>
      <c r="S506" s="9" t="s">
        <v>3477</v>
      </c>
      <c r="T506" s="9" t="s">
        <v>3524</v>
      </c>
      <c r="U506" s="19" t="n">
        <v>45</v>
      </c>
      <c r="V506" s="9"/>
      <c r="W506" s="9"/>
      <c r="X506" s="9" t="s">
        <v>205</v>
      </c>
      <c r="Y506" s="23" t="n">
        <v>0.00033442</v>
      </c>
      <c r="Z506" s="23" t="n">
        <v>0.004</v>
      </c>
      <c r="AA506" s="23" t="n">
        <v>24</v>
      </c>
      <c r="AB506" s="9" t="s">
        <v>3472</v>
      </c>
      <c r="AC506" s="9" t="s">
        <v>3505</v>
      </c>
      <c r="AD506" s="23" t="s">
        <v>197</v>
      </c>
      <c r="AE506" s="23" t="s">
        <v>197</v>
      </c>
      <c r="AF506" s="23" t="s">
        <v>197</v>
      </c>
      <c r="AG506" s="23" t="s">
        <v>197</v>
      </c>
      <c r="AH506" s="23" t="s">
        <v>197</v>
      </c>
      <c r="AI506" s="23" t="s">
        <v>197</v>
      </c>
      <c r="AJ506" s="23" t="s">
        <v>197</v>
      </c>
      <c r="AK506" s="23" t="s">
        <v>197</v>
      </c>
      <c r="AL506" s="23" t="s">
        <v>197</v>
      </c>
      <c r="AM506" s="23" t="s">
        <v>197</v>
      </c>
      <c r="AN506" s="9" t="s">
        <v>197</v>
      </c>
      <c r="AO506" s="23" t="s">
        <v>197</v>
      </c>
      <c r="AP506" s="23" t="n">
        <v>1.05</v>
      </c>
      <c r="AQ506" s="23" t="n">
        <v>1.4</v>
      </c>
    </row>
    <row r="507" customFormat="false" ht="21.75" hidden="false" customHeight="true" outlineLevel="0" collapsed="false">
      <c r="B507" s="14" t="n">
        <v>503</v>
      </c>
      <c r="C507" s="7" t="s">
        <v>86</v>
      </c>
      <c r="D507" s="7" t="s">
        <v>23</v>
      </c>
      <c r="E507" s="7" t="s">
        <v>124</v>
      </c>
      <c r="F507" s="7" t="s">
        <v>103</v>
      </c>
      <c r="G507" s="7" t="s">
        <v>3530</v>
      </c>
      <c r="H507" s="7" t="s">
        <v>3004</v>
      </c>
      <c r="I507" s="7" t="s">
        <v>3531</v>
      </c>
      <c r="J507" s="7" t="s">
        <v>914</v>
      </c>
      <c r="K507" s="7" t="s">
        <v>3532</v>
      </c>
      <c r="L507" s="7" t="s">
        <v>3472</v>
      </c>
      <c r="M507" s="7" t="s">
        <v>2565</v>
      </c>
      <c r="N507" s="7" t="s">
        <v>189</v>
      </c>
      <c r="O507" s="7" t="s">
        <v>189</v>
      </c>
      <c r="P507" s="7" t="s">
        <v>640</v>
      </c>
      <c r="Q507" s="7" t="s">
        <v>3533</v>
      </c>
      <c r="R507" s="7" t="s">
        <v>713</v>
      </c>
      <c r="S507" s="7" t="s">
        <v>3477</v>
      </c>
      <c r="T507" s="7" t="s">
        <v>3534</v>
      </c>
      <c r="U507" s="18" t="n">
        <v>14</v>
      </c>
      <c r="V507" s="7"/>
      <c r="W507" s="7"/>
      <c r="X507" s="7" t="s">
        <v>195</v>
      </c>
      <c r="Y507" s="22" t="n">
        <v>0.00042512</v>
      </c>
      <c r="Z507" s="22" t="n">
        <v>0.081</v>
      </c>
      <c r="AA507" s="22" t="n">
        <v>24</v>
      </c>
      <c r="AB507" s="7" t="s">
        <v>3472</v>
      </c>
      <c r="AC507" s="7" t="s">
        <v>3011</v>
      </c>
      <c r="AD507" s="22" t="s">
        <v>197</v>
      </c>
      <c r="AE507" s="22" t="s">
        <v>197</v>
      </c>
      <c r="AF507" s="22" t="s">
        <v>197</v>
      </c>
      <c r="AG507" s="22" t="s">
        <v>197</v>
      </c>
      <c r="AH507" s="22" t="s">
        <v>197</v>
      </c>
      <c r="AI507" s="22" t="s">
        <v>197</v>
      </c>
      <c r="AJ507" s="22" t="s">
        <v>197</v>
      </c>
      <c r="AK507" s="22" t="s">
        <v>197</v>
      </c>
      <c r="AL507" s="22" t="s">
        <v>197</v>
      </c>
      <c r="AM507" s="22" t="s">
        <v>197</v>
      </c>
      <c r="AN507" s="7" t="s">
        <v>197</v>
      </c>
      <c r="AO507" s="22" t="n">
        <v>19.8</v>
      </c>
      <c r="AP507" s="22" t="n">
        <v>2</v>
      </c>
      <c r="AQ507" s="22" t="n">
        <v>2.45</v>
      </c>
    </row>
    <row r="508" customFormat="false" ht="21.75" hidden="false" customHeight="true" outlineLevel="0" collapsed="false">
      <c r="B508" s="15" t="n">
        <v>504</v>
      </c>
      <c r="C508" s="9" t="s">
        <v>86</v>
      </c>
      <c r="D508" s="9" t="s">
        <v>23</v>
      </c>
      <c r="E508" s="9" t="s">
        <v>124</v>
      </c>
      <c r="F508" s="9" t="s">
        <v>103</v>
      </c>
      <c r="G508" s="9" t="s">
        <v>3535</v>
      </c>
      <c r="H508" s="9" t="s">
        <v>3013</v>
      </c>
      <c r="I508" s="9" t="s">
        <v>3531</v>
      </c>
      <c r="J508" s="9" t="s">
        <v>914</v>
      </c>
      <c r="K508" s="9" t="s">
        <v>3532</v>
      </c>
      <c r="L508" s="9" t="s">
        <v>3472</v>
      </c>
      <c r="M508" s="9" t="s">
        <v>2565</v>
      </c>
      <c r="N508" s="9" t="s">
        <v>189</v>
      </c>
      <c r="O508" s="9" t="s">
        <v>189</v>
      </c>
      <c r="P508" s="9" t="s">
        <v>640</v>
      </c>
      <c r="Q508" s="9" t="s">
        <v>3533</v>
      </c>
      <c r="R508" s="9" t="s">
        <v>713</v>
      </c>
      <c r="S508" s="9" t="s">
        <v>3477</v>
      </c>
      <c r="T508" s="9" t="s">
        <v>3534</v>
      </c>
      <c r="U508" s="19" t="n">
        <v>20</v>
      </c>
      <c r="V508" s="9"/>
      <c r="W508" s="9"/>
      <c r="X508" s="9" t="s">
        <v>199</v>
      </c>
      <c r="Y508" s="23" t="n">
        <v>0.00032448</v>
      </c>
      <c r="Z508" s="23" t="n">
        <v>0.067</v>
      </c>
      <c r="AA508" s="23" t="n">
        <v>24</v>
      </c>
      <c r="AB508" s="9" t="s">
        <v>3472</v>
      </c>
      <c r="AC508" s="9" t="s">
        <v>3011</v>
      </c>
      <c r="AD508" s="23" t="s">
        <v>197</v>
      </c>
      <c r="AE508" s="23" t="s">
        <v>197</v>
      </c>
      <c r="AF508" s="23" t="s">
        <v>197</v>
      </c>
      <c r="AG508" s="23" t="s">
        <v>197</v>
      </c>
      <c r="AH508" s="23" t="s">
        <v>197</v>
      </c>
      <c r="AI508" s="23" t="s">
        <v>197</v>
      </c>
      <c r="AJ508" s="23" t="s">
        <v>197</v>
      </c>
      <c r="AK508" s="23" t="s">
        <v>197</v>
      </c>
      <c r="AL508" s="23" t="s">
        <v>197</v>
      </c>
      <c r="AM508" s="23" t="s">
        <v>197</v>
      </c>
      <c r="AN508" s="9" t="s">
        <v>197</v>
      </c>
      <c r="AO508" s="23" t="n">
        <v>17.6</v>
      </c>
      <c r="AP508" s="23" t="n">
        <v>2</v>
      </c>
      <c r="AQ508" s="23" t="n">
        <v>2.45</v>
      </c>
    </row>
    <row r="509" customFormat="false" ht="21.75" hidden="false" customHeight="true" outlineLevel="0" collapsed="false">
      <c r="B509" s="14" t="n">
        <v>505</v>
      </c>
      <c r="C509" s="7" t="s">
        <v>86</v>
      </c>
      <c r="D509" s="7" t="s">
        <v>23</v>
      </c>
      <c r="E509" s="7" t="s">
        <v>124</v>
      </c>
      <c r="F509" s="7" t="s">
        <v>103</v>
      </c>
      <c r="G509" s="7" t="s">
        <v>3536</v>
      </c>
      <c r="H509" s="7" t="s">
        <v>3015</v>
      </c>
      <c r="I509" s="7" t="s">
        <v>3531</v>
      </c>
      <c r="J509" s="7" t="s">
        <v>914</v>
      </c>
      <c r="K509" s="7" t="s">
        <v>3532</v>
      </c>
      <c r="L509" s="7" t="s">
        <v>3472</v>
      </c>
      <c r="M509" s="7" t="s">
        <v>2565</v>
      </c>
      <c r="N509" s="7" t="s">
        <v>189</v>
      </c>
      <c r="O509" s="7" t="s">
        <v>189</v>
      </c>
      <c r="P509" s="7" t="s">
        <v>640</v>
      </c>
      <c r="Q509" s="7" t="s">
        <v>3533</v>
      </c>
      <c r="R509" s="7" t="s">
        <v>713</v>
      </c>
      <c r="S509" s="7" t="s">
        <v>3477</v>
      </c>
      <c r="T509" s="7" t="s">
        <v>3534</v>
      </c>
      <c r="U509" s="18" t="n">
        <v>25</v>
      </c>
      <c r="V509" s="7"/>
      <c r="W509" s="7"/>
      <c r="X509" s="7" t="s">
        <v>3537</v>
      </c>
      <c r="Y509" s="22" t="n">
        <v>0.00089784</v>
      </c>
      <c r="Z509" s="22" t="n">
        <v>0.146</v>
      </c>
      <c r="AA509" s="22" t="n">
        <v>24</v>
      </c>
      <c r="AB509" s="7" t="s">
        <v>3472</v>
      </c>
      <c r="AC509" s="7" t="s">
        <v>3011</v>
      </c>
      <c r="AD509" s="22" t="s">
        <v>197</v>
      </c>
      <c r="AE509" s="22" t="s">
        <v>197</v>
      </c>
      <c r="AF509" s="22" t="s">
        <v>197</v>
      </c>
      <c r="AG509" s="22" t="s">
        <v>197</v>
      </c>
      <c r="AH509" s="22" t="s">
        <v>197</v>
      </c>
      <c r="AI509" s="22" t="s">
        <v>197</v>
      </c>
      <c r="AJ509" s="22" t="s">
        <v>197</v>
      </c>
      <c r="AK509" s="22" t="s">
        <v>197</v>
      </c>
      <c r="AL509" s="22" t="s">
        <v>197</v>
      </c>
      <c r="AM509" s="22" t="s">
        <v>197</v>
      </c>
      <c r="AN509" s="7" t="s">
        <v>197</v>
      </c>
      <c r="AO509" s="22" t="n">
        <v>29.8</v>
      </c>
      <c r="AP509" s="22" t="n">
        <v>2</v>
      </c>
      <c r="AQ509" s="22" t="n">
        <v>2.45</v>
      </c>
    </row>
    <row r="510" customFormat="false" ht="21.75" hidden="false" customHeight="true" outlineLevel="0" collapsed="false">
      <c r="B510" s="15" t="n">
        <v>506</v>
      </c>
      <c r="C510" s="9" t="s">
        <v>86</v>
      </c>
      <c r="D510" s="9" t="s">
        <v>23</v>
      </c>
      <c r="E510" s="9" t="s">
        <v>124</v>
      </c>
      <c r="F510" s="9" t="s">
        <v>103</v>
      </c>
      <c r="G510" s="9" t="s">
        <v>3538</v>
      </c>
      <c r="H510" s="9" t="s">
        <v>3018</v>
      </c>
      <c r="I510" s="9" t="s">
        <v>3531</v>
      </c>
      <c r="J510" s="9" t="s">
        <v>914</v>
      </c>
      <c r="K510" s="9" t="s">
        <v>3532</v>
      </c>
      <c r="L510" s="9" t="s">
        <v>3472</v>
      </c>
      <c r="M510" s="9" t="s">
        <v>2565</v>
      </c>
      <c r="N510" s="9" t="s">
        <v>189</v>
      </c>
      <c r="O510" s="9" t="s">
        <v>189</v>
      </c>
      <c r="P510" s="9" t="s">
        <v>640</v>
      </c>
      <c r="Q510" s="9" t="s">
        <v>3533</v>
      </c>
      <c r="R510" s="9" t="s">
        <v>713</v>
      </c>
      <c r="S510" s="9" t="s">
        <v>3477</v>
      </c>
      <c r="T510" s="9" t="s">
        <v>3534</v>
      </c>
      <c r="U510" s="19" t="n">
        <v>40</v>
      </c>
      <c r="V510" s="9"/>
      <c r="W510" s="9"/>
      <c r="X510" s="9" t="s">
        <v>203</v>
      </c>
      <c r="Y510" s="23" t="n">
        <v>0.00031232</v>
      </c>
      <c r="Z510" s="23" t="n">
        <v>0.065</v>
      </c>
      <c r="AA510" s="23" t="n">
        <v>24</v>
      </c>
      <c r="AB510" s="9" t="s">
        <v>3472</v>
      </c>
      <c r="AC510" s="9" t="s">
        <v>3011</v>
      </c>
      <c r="AD510" s="23" t="s">
        <v>197</v>
      </c>
      <c r="AE510" s="23" t="s">
        <v>197</v>
      </c>
      <c r="AF510" s="23" t="s">
        <v>197</v>
      </c>
      <c r="AG510" s="23" t="s">
        <v>197</v>
      </c>
      <c r="AH510" s="23" t="s">
        <v>197</v>
      </c>
      <c r="AI510" s="23" t="s">
        <v>197</v>
      </c>
      <c r="AJ510" s="23" t="s">
        <v>197</v>
      </c>
      <c r="AK510" s="23" t="s">
        <v>197</v>
      </c>
      <c r="AL510" s="23" t="s">
        <v>197</v>
      </c>
      <c r="AM510" s="23" t="s">
        <v>197</v>
      </c>
      <c r="AN510" s="9" t="s">
        <v>197</v>
      </c>
      <c r="AO510" s="23" t="n">
        <v>17.4</v>
      </c>
      <c r="AP510" s="23" t="n">
        <v>2</v>
      </c>
      <c r="AQ510" s="23" t="n">
        <v>2.45</v>
      </c>
    </row>
    <row r="511" customFormat="false" ht="21.75" hidden="false" customHeight="true" outlineLevel="0" collapsed="false">
      <c r="B511" s="14" t="n">
        <v>507</v>
      </c>
      <c r="C511" s="7" t="s">
        <v>86</v>
      </c>
      <c r="D511" s="7" t="s">
        <v>23</v>
      </c>
      <c r="E511" s="7" t="s">
        <v>124</v>
      </c>
      <c r="F511" s="7" t="s">
        <v>103</v>
      </c>
      <c r="G511" s="7" t="s">
        <v>3539</v>
      </c>
      <c r="H511" s="7" t="s">
        <v>3020</v>
      </c>
      <c r="I511" s="7" t="s">
        <v>3531</v>
      </c>
      <c r="J511" s="7" t="s">
        <v>914</v>
      </c>
      <c r="K511" s="7" t="s">
        <v>3532</v>
      </c>
      <c r="L511" s="7" t="s">
        <v>3472</v>
      </c>
      <c r="M511" s="7" t="s">
        <v>2565</v>
      </c>
      <c r="N511" s="7" t="s">
        <v>189</v>
      </c>
      <c r="O511" s="7" t="s">
        <v>189</v>
      </c>
      <c r="P511" s="7" t="s">
        <v>640</v>
      </c>
      <c r="Q511" s="7" t="s">
        <v>3533</v>
      </c>
      <c r="R511" s="7" t="s">
        <v>713</v>
      </c>
      <c r="S511" s="7" t="s">
        <v>3477</v>
      </c>
      <c r="T511" s="7" t="s">
        <v>3534</v>
      </c>
      <c r="U511" s="18" t="n">
        <v>60</v>
      </c>
      <c r="V511" s="7"/>
      <c r="W511" s="7"/>
      <c r="X511" s="7" t="s">
        <v>205</v>
      </c>
      <c r="Y511" s="22" t="n">
        <v>0.00031656</v>
      </c>
      <c r="Z511" s="22" t="n">
        <v>0.066</v>
      </c>
      <c r="AA511" s="22" t="n">
        <v>24</v>
      </c>
      <c r="AB511" s="7" t="s">
        <v>3472</v>
      </c>
      <c r="AC511" s="7" t="s">
        <v>3011</v>
      </c>
      <c r="AD511" s="22" t="s">
        <v>197</v>
      </c>
      <c r="AE511" s="22" t="s">
        <v>197</v>
      </c>
      <c r="AF511" s="22" t="s">
        <v>197</v>
      </c>
      <c r="AG511" s="22" t="s">
        <v>197</v>
      </c>
      <c r="AH511" s="22" t="s">
        <v>197</v>
      </c>
      <c r="AI511" s="22" t="s">
        <v>197</v>
      </c>
      <c r="AJ511" s="22" t="s">
        <v>197</v>
      </c>
      <c r="AK511" s="22" t="s">
        <v>197</v>
      </c>
      <c r="AL511" s="22" t="s">
        <v>197</v>
      </c>
      <c r="AM511" s="22" t="s">
        <v>197</v>
      </c>
      <c r="AN511" s="7" t="s">
        <v>197</v>
      </c>
      <c r="AO511" s="22" t="n">
        <v>17.5</v>
      </c>
      <c r="AP511" s="22" t="n">
        <v>2</v>
      </c>
      <c r="AQ511" s="22" t="n">
        <v>2.45</v>
      </c>
    </row>
    <row r="512" customFormat="false" ht="21.75" hidden="false" customHeight="true" outlineLevel="0" collapsed="false">
      <c r="B512" s="15" t="n">
        <v>508</v>
      </c>
      <c r="C512" s="9" t="s">
        <v>86</v>
      </c>
      <c r="D512" s="9" t="s">
        <v>23</v>
      </c>
      <c r="E512" s="9" t="s">
        <v>124</v>
      </c>
      <c r="F512" s="9" t="s">
        <v>104</v>
      </c>
      <c r="G512" s="9" t="s">
        <v>3540</v>
      </c>
      <c r="H512" s="9" t="s">
        <v>2617</v>
      </c>
      <c r="I512" s="9" t="s">
        <v>3541</v>
      </c>
      <c r="J512" s="9" t="s">
        <v>2918</v>
      </c>
      <c r="K512" s="9" t="s">
        <v>3504</v>
      </c>
      <c r="L512" s="9" t="s">
        <v>3472</v>
      </c>
      <c r="M512" s="9" t="s">
        <v>2514</v>
      </c>
      <c r="N512" s="9" t="s">
        <v>189</v>
      </c>
      <c r="O512" s="9" t="s">
        <v>189</v>
      </c>
      <c r="P512" s="9" t="s">
        <v>640</v>
      </c>
      <c r="Q512" s="9" t="s">
        <v>3542</v>
      </c>
      <c r="R512" s="9" t="s">
        <v>849</v>
      </c>
      <c r="S512" s="9" t="s">
        <v>3477</v>
      </c>
      <c r="T512" s="9" t="s">
        <v>2621</v>
      </c>
      <c r="U512" s="19" t="n">
        <v>16</v>
      </c>
      <c r="V512" s="9"/>
      <c r="W512" s="9"/>
      <c r="X512" s="9" t="s">
        <v>195</v>
      </c>
      <c r="Y512" s="23" t="n">
        <v>0.00044092</v>
      </c>
      <c r="Z512" s="23" t="n">
        <v>0.006</v>
      </c>
      <c r="AA512" s="23" t="n">
        <v>24</v>
      </c>
      <c r="AB512" s="9" t="s">
        <v>3472</v>
      </c>
      <c r="AC512" s="9" t="s">
        <v>3505</v>
      </c>
      <c r="AD512" s="23" t="s">
        <v>197</v>
      </c>
      <c r="AE512" s="23" t="s">
        <v>197</v>
      </c>
      <c r="AF512" s="23" t="s">
        <v>197</v>
      </c>
      <c r="AG512" s="23" t="s">
        <v>197</v>
      </c>
      <c r="AH512" s="23" t="s">
        <v>197</v>
      </c>
      <c r="AI512" s="23" t="s">
        <v>197</v>
      </c>
      <c r="AJ512" s="23" t="s">
        <v>197</v>
      </c>
      <c r="AK512" s="23" t="s">
        <v>197</v>
      </c>
      <c r="AL512" s="23" t="s">
        <v>197</v>
      </c>
      <c r="AM512" s="23" t="s">
        <v>197</v>
      </c>
      <c r="AN512" s="9" t="s">
        <v>197</v>
      </c>
      <c r="AO512" s="23" t="s">
        <v>197</v>
      </c>
      <c r="AP512" s="23" t="s">
        <v>197</v>
      </c>
      <c r="AQ512" s="23" t="s">
        <v>197</v>
      </c>
    </row>
    <row r="513" customFormat="false" ht="21.75" hidden="false" customHeight="true" outlineLevel="0" collapsed="false">
      <c r="B513" s="14" t="n">
        <v>509</v>
      </c>
      <c r="C513" s="7" t="s">
        <v>86</v>
      </c>
      <c r="D513" s="7" t="s">
        <v>23</v>
      </c>
      <c r="E513" s="7" t="s">
        <v>124</v>
      </c>
      <c r="F513" s="7" t="s">
        <v>104</v>
      </c>
      <c r="G513" s="7" t="s">
        <v>3543</v>
      </c>
      <c r="H513" s="7" t="s">
        <v>2623</v>
      </c>
      <c r="I513" s="7" t="s">
        <v>3541</v>
      </c>
      <c r="J513" s="7" t="s">
        <v>2918</v>
      </c>
      <c r="K513" s="7" t="s">
        <v>3504</v>
      </c>
      <c r="L513" s="7" t="s">
        <v>3472</v>
      </c>
      <c r="M513" s="7" t="s">
        <v>2514</v>
      </c>
      <c r="N513" s="7" t="s">
        <v>189</v>
      </c>
      <c r="O513" s="7" t="s">
        <v>189</v>
      </c>
      <c r="P513" s="7" t="s">
        <v>640</v>
      </c>
      <c r="Q513" s="7" t="s">
        <v>3542</v>
      </c>
      <c r="R513" s="7" t="s">
        <v>849</v>
      </c>
      <c r="S513" s="7" t="s">
        <v>3477</v>
      </c>
      <c r="T513" s="7" t="s">
        <v>2621</v>
      </c>
      <c r="U513" s="18" t="n">
        <v>20</v>
      </c>
      <c r="V513" s="7"/>
      <c r="W513" s="7"/>
      <c r="X513" s="7" t="s">
        <v>199</v>
      </c>
      <c r="Y513" s="22" t="n">
        <v>0.0005436</v>
      </c>
      <c r="Z513" s="22" t="n">
        <v>0.008</v>
      </c>
      <c r="AA513" s="22" t="n">
        <v>24</v>
      </c>
      <c r="AB513" s="7" t="s">
        <v>3472</v>
      </c>
      <c r="AC513" s="7" t="s">
        <v>3505</v>
      </c>
      <c r="AD513" s="22" t="s">
        <v>197</v>
      </c>
      <c r="AE513" s="22" t="s">
        <v>197</v>
      </c>
      <c r="AF513" s="22" t="s">
        <v>197</v>
      </c>
      <c r="AG513" s="22" t="s">
        <v>197</v>
      </c>
      <c r="AH513" s="22" t="s">
        <v>197</v>
      </c>
      <c r="AI513" s="22" t="s">
        <v>197</v>
      </c>
      <c r="AJ513" s="22" t="s">
        <v>197</v>
      </c>
      <c r="AK513" s="22" t="s">
        <v>197</v>
      </c>
      <c r="AL513" s="22" t="s">
        <v>197</v>
      </c>
      <c r="AM513" s="22" t="s">
        <v>197</v>
      </c>
      <c r="AN513" s="7" t="s">
        <v>197</v>
      </c>
      <c r="AO513" s="22" t="s">
        <v>197</v>
      </c>
      <c r="AP513" s="22" t="s">
        <v>197</v>
      </c>
      <c r="AQ513" s="22" t="s">
        <v>197</v>
      </c>
    </row>
    <row r="514" customFormat="false" ht="21.75" hidden="false" customHeight="true" outlineLevel="0" collapsed="false">
      <c r="B514" s="15" t="n">
        <v>510</v>
      </c>
      <c r="C514" s="9" t="s">
        <v>86</v>
      </c>
      <c r="D514" s="9" t="s">
        <v>23</v>
      </c>
      <c r="E514" s="9" t="s">
        <v>124</v>
      </c>
      <c r="F514" s="9" t="s">
        <v>104</v>
      </c>
      <c r="G514" s="9" t="s">
        <v>3544</v>
      </c>
      <c r="H514" s="9" t="s">
        <v>2625</v>
      </c>
      <c r="I514" s="9" t="s">
        <v>3541</v>
      </c>
      <c r="J514" s="9" t="s">
        <v>2918</v>
      </c>
      <c r="K514" s="9" t="s">
        <v>3504</v>
      </c>
      <c r="L514" s="9" t="s">
        <v>3472</v>
      </c>
      <c r="M514" s="9" t="s">
        <v>2514</v>
      </c>
      <c r="N514" s="9" t="s">
        <v>189</v>
      </c>
      <c r="O514" s="9" t="s">
        <v>189</v>
      </c>
      <c r="P514" s="9" t="s">
        <v>640</v>
      </c>
      <c r="Q514" s="9" t="s">
        <v>3542</v>
      </c>
      <c r="R514" s="9" t="s">
        <v>849</v>
      </c>
      <c r="S514" s="9" t="s">
        <v>3477</v>
      </c>
      <c r="T514" s="9" t="s">
        <v>2621</v>
      </c>
      <c r="U514" s="19" t="n">
        <v>30</v>
      </c>
      <c r="V514" s="9"/>
      <c r="W514" s="9"/>
      <c r="X514" s="9" t="s">
        <v>3545</v>
      </c>
      <c r="Y514" s="23" t="n">
        <v>0.00045768</v>
      </c>
      <c r="Z514" s="23" t="n">
        <v>0.006</v>
      </c>
      <c r="AA514" s="23" t="n">
        <v>24</v>
      </c>
      <c r="AB514" s="9" t="s">
        <v>3472</v>
      </c>
      <c r="AC514" s="9" t="s">
        <v>3505</v>
      </c>
      <c r="AD514" s="23" t="s">
        <v>197</v>
      </c>
      <c r="AE514" s="23" t="s">
        <v>197</v>
      </c>
      <c r="AF514" s="23" t="s">
        <v>197</v>
      </c>
      <c r="AG514" s="23" t="s">
        <v>197</v>
      </c>
      <c r="AH514" s="23" t="s">
        <v>197</v>
      </c>
      <c r="AI514" s="23" t="s">
        <v>197</v>
      </c>
      <c r="AJ514" s="23" t="s">
        <v>197</v>
      </c>
      <c r="AK514" s="23" t="s">
        <v>197</v>
      </c>
      <c r="AL514" s="23" t="s">
        <v>197</v>
      </c>
      <c r="AM514" s="23" t="s">
        <v>197</v>
      </c>
      <c r="AN514" s="9" t="s">
        <v>197</v>
      </c>
      <c r="AO514" s="23" t="s">
        <v>197</v>
      </c>
      <c r="AP514" s="23" t="s">
        <v>197</v>
      </c>
      <c r="AQ514" s="23" t="s">
        <v>197</v>
      </c>
    </row>
    <row r="515" customFormat="false" ht="21.75" hidden="false" customHeight="true" outlineLevel="0" collapsed="false">
      <c r="B515" s="14" t="n">
        <v>511</v>
      </c>
      <c r="C515" s="7" t="s">
        <v>86</v>
      </c>
      <c r="D515" s="7" t="s">
        <v>23</v>
      </c>
      <c r="E515" s="7" t="s">
        <v>124</v>
      </c>
      <c r="F515" s="7" t="s">
        <v>104</v>
      </c>
      <c r="G515" s="7" t="s">
        <v>3546</v>
      </c>
      <c r="H515" s="7" t="s">
        <v>2628</v>
      </c>
      <c r="I515" s="7" t="s">
        <v>3541</v>
      </c>
      <c r="J515" s="7" t="s">
        <v>2918</v>
      </c>
      <c r="K515" s="7" t="s">
        <v>3504</v>
      </c>
      <c r="L515" s="7" t="s">
        <v>3472</v>
      </c>
      <c r="M515" s="7" t="s">
        <v>2514</v>
      </c>
      <c r="N515" s="7" t="s">
        <v>189</v>
      </c>
      <c r="O515" s="7" t="s">
        <v>189</v>
      </c>
      <c r="P515" s="7" t="s">
        <v>640</v>
      </c>
      <c r="Q515" s="7" t="s">
        <v>3542</v>
      </c>
      <c r="R515" s="7" t="s">
        <v>849</v>
      </c>
      <c r="S515" s="7" t="s">
        <v>3477</v>
      </c>
      <c r="T515" s="7" t="s">
        <v>2621</v>
      </c>
      <c r="U515" s="18" t="n">
        <v>45</v>
      </c>
      <c r="V515" s="7"/>
      <c r="W515" s="7"/>
      <c r="X515" s="7" t="s">
        <v>203</v>
      </c>
      <c r="Y515" s="22" t="n">
        <v>0.0004002</v>
      </c>
      <c r="Z515" s="22" t="n">
        <v>0.005</v>
      </c>
      <c r="AA515" s="22" t="n">
        <v>24</v>
      </c>
      <c r="AB515" s="7" t="s">
        <v>3472</v>
      </c>
      <c r="AC515" s="7" t="s">
        <v>3505</v>
      </c>
      <c r="AD515" s="22" t="s">
        <v>197</v>
      </c>
      <c r="AE515" s="22" t="s">
        <v>197</v>
      </c>
      <c r="AF515" s="22" t="s">
        <v>197</v>
      </c>
      <c r="AG515" s="22" t="s">
        <v>197</v>
      </c>
      <c r="AH515" s="22" t="s">
        <v>197</v>
      </c>
      <c r="AI515" s="22" t="s">
        <v>197</v>
      </c>
      <c r="AJ515" s="22" t="s">
        <v>197</v>
      </c>
      <c r="AK515" s="22" t="s">
        <v>197</v>
      </c>
      <c r="AL515" s="22" t="s">
        <v>197</v>
      </c>
      <c r="AM515" s="22" t="s">
        <v>197</v>
      </c>
      <c r="AN515" s="7" t="s">
        <v>197</v>
      </c>
      <c r="AO515" s="22" t="s">
        <v>197</v>
      </c>
      <c r="AP515" s="22" t="s">
        <v>197</v>
      </c>
      <c r="AQ515" s="22" t="s">
        <v>197</v>
      </c>
    </row>
    <row r="516" customFormat="false" ht="21.75" hidden="false" customHeight="true" outlineLevel="0" collapsed="false">
      <c r="B516" s="15" t="n">
        <v>512</v>
      </c>
      <c r="C516" s="9" t="s">
        <v>86</v>
      </c>
      <c r="D516" s="9" t="s">
        <v>23</v>
      </c>
      <c r="E516" s="9" t="s">
        <v>124</v>
      </c>
      <c r="F516" s="9" t="s">
        <v>104</v>
      </c>
      <c r="G516" s="9" t="s">
        <v>3547</v>
      </c>
      <c r="H516" s="9" t="s">
        <v>2630</v>
      </c>
      <c r="I516" s="9" t="s">
        <v>3541</v>
      </c>
      <c r="J516" s="9" t="s">
        <v>2918</v>
      </c>
      <c r="K516" s="9" t="s">
        <v>3504</v>
      </c>
      <c r="L516" s="9" t="s">
        <v>3472</v>
      </c>
      <c r="M516" s="9" t="s">
        <v>2514</v>
      </c>
      <c r="N516" s="9" t="s">
        <v>189</v>
      </c>
      <c r="O516" s="9" t="s">
        <v>189</v>
      </c>
      <c r="P516" s="9" t="s">
        <v>640</v>
      </c>
      <c r="Q516" s="9" t="s">
        <v>3542</v>
      </c>
      <c r="R516" s="9" t="s">
        <v>849</v>
      </c>
      <c r="S516" s="9" t="s">
        <v>3477</v>
      </c>
      <c r="T516" s="9" t="s">
        <v>2621</v>
      </c>
      <c r="U516" s="19" t="n">
        <v>70</v>
      </c>
      <c r="V516" s="9"/>
      <c r="W516" s="9"/>
      <c r="X516" s="9" t="s">
        <v>205</v>
      </c>
      <c r="Y516" s="23" t="n">
        <v>0.00073764</v>
      </c>
      <c r="Z516" s="23" t="n">
        <v>0.011</v>
      </c>
      <c r="AA516" s="23" t="n">
        <v>24</v>
      </c>
      <c r="AB516" s="9" t="s">
        <v>3472</v>
      </c>
      <c r="AC516" s="9" t="s">
        <v>3505</v>
      </c>
      <c r="AD516" s="23" t="s">
        <v>197</v>
      </c>
      <c r="AE516" s="23" t="s">
        <v>197</v>
      </c>
      <c r="AF516" s="23" t="s">
        <v>197</v>
      </c>
      <c r="AG516" s="23" t="s">
        <v>197</v>
      </c>
      <c r="AH516" s="23" t="s">
        <v>197</v>
      </c>
      <c r="AI516" s="23" t="s">
        <v>197</v>
      </c>
      <c r="AJ516" s="23" t="s">
        <v>197</v>
      </c>
      <c r="AK516" s="23" t="s">
        <v>197</v>
      </c>
      <c r="AL516" s="23" t="s">
        <v>197</v>
      </c>
      <c r="AM516" s="23" t="s">
        <v>197</v>
      </c>
      <c r="AN516" s="9" t="s">
        <v>197</v>
      </c>
      <c r="AO516" s="23" t="s">
        <v>197</v>
      </c>
      <c r="AP516" s="23" t="s">
        <v>197</v>
      </c>
      <c r="AQ516" s="23" t="s">
        <v>197</v>
      </c>
    </row>
    <row r="517" customFormat="false" ht="21.75" hidden="false" customHeight="true" outlineLevel="0" collapsed="false">
      <c r="B517" s="14" t="n">
        <v>513</v>
      </c>
      <c r="C517" s="7" t="s">
        <v>86</v>
      </c>
      <c r="D517" s="7" t="s">
        <v>23</v>
      </c>
      <c r="E517" s="7" t="s">
        <v>124</v>
      </c>
      <c r="F517" s="7" t="s">
        <v>105</v>
      </c>
      <c r="G517" s="7" t="s">
        <v>3548</v>
      </c>
      <c r="H517" s="7" t="s">
        <v>2632</v>
      </c>
      <c r="I517" s="7" t="s">
        <v>3549</v>
      </c>
      <c r="J517" s="7" t="s">
        <v>3032</v>
      </c>
      <c r="K517" s="7" t="s">
        <v>3504</v>
      </c>
      <c r="L517" s="7" t="s">
        <v>3472</v>
      </c>
      <c r="M517" s="7" t="s">
        <v>2514</v>
      </c>
      <c r="N517" s="7" t="s">
        <v>189</v>
      </c>
      <c r="O517" s="7" t="s">
        <v>189</v>
      </c>
      <c r="P517" s="7" t="s">
        <v>640</v>
      </c>
      <c r="Q517" s="7" t="s">
        <v>3542</v>
      </c>
      <c r="R517" s="7" t="s">
        <v>2532</v>
      </c>
      <c r="S517" s="7" t="s">
        <v>3477</v>
      </c>
      <c r="T517" s="7" t="s">
        <v>2926</v>
      </c>
      <c r="U517" s="18" t="n">
        <v>17</v>
      </c>
      <c r="V517" s="7"/>
      <c r="W517" s="7"/>
      <c r="X517" s="7" t="s">
        <v>195</v>
      </c>
      <c r="Y517" s="22" t="n">
        <v>0.00068</v>
      </c>
      <c r="Z517" s="22" t="n">
        <v>0.038</v>
      </c>
      <c r="AA517" s="22" t="n">
        <v>24</v>
      </c>
      <c r="AB517" s="7" t="s">
        <v>3472</v>
      </c>
      <c r="AC517" s="7" t="s">
        <v>3505</v>
      </c>
      <c r="AD517" s="22" t="s">
        <v>197</v>
      </c>
      <c r="AE517" s="22" t="s">
        <v>197</v>
      </c>
      <c r="AF517" s="22" t="s">
        <v>197</v>
      </c>
      <c r="AG517" s="22" t="s">
        <v>197</v>
      </c>
      <c r="AH517" s="22" t="s">
        <v>197</v>
      </c>
      <c r="AI517" s="22" t="s">
        <v>197</v>
      </c>
      <c r="AJ517" s="22" t="s">
        <v>197</v>
      </c>
      <c r="AK517" s="22" t="s">
        <v>197</v>
      </c>
      <c r="AL517" s="22" t="s">
        <v>197</v>
      </c>
      <c r="AM517" s="22" t="s">
        <v>197</v>
      </c>
      <c r="AN517" s="7" t="s">
        <v>197</v>
      </c>
      <c r="AO517" s="22" t="s">
        <v>197</v>
      </c>
      <c r="AP517" s="22" t="s">
        <v>197</v>
      </c>
      <c r="AQ517" s="22" t="s">
        <v>197</v>
      </c>
    </row>
    <row r="518" customFormat="false" ht="21.75" hidden="false" customHeight="true" outlineLevel="0" collapsed="false">
      <c r="B518" s="15" t="n">
        <v>514</v>
      </c>
      <c r="C518" s="9" t="s">
        <v>86</v>
      </c>
      <c r="D518" s="9" t="s">
        <v>23</v>
      </c>
      <c r="E518" s="9" t="s">
        <v>124</v>
      </c>
      <c r="F518" s="9" t="s">
        <v>105</v>
      </c>
      <c r="G518" s="9" t="s">
        <v>3550</v>
      </c>
      <c r="H518" s="9" t="s">
        <v>2637</v>
      </c>
      <c r="I518" s="9" t="s">
        <v>3549</v>
      </c>
      <c r="J518" s="9" t="s">
        <v>3032</v>
      </c>
      <c r="K518" s="9" t="s">
        <v>3504</v>
      </c>
      <c r="L518" s="9" t="s">
        <v>3472</v>
      </c>
      <c r="M518" s="9" t="s">
        <v>2514</v>
      </c>
      <c r="N518" s="9" t="s">
        <v>189</v>
      </c>
      <c r="O518" s="9" t="s">
        <v>189</v>
      </c>
      <c r="P518" s="9" t="s">
        <v>640</v>
      </c>
      <c r="Q518" s="9" t="s">
        <v>3542</v>
      </c>
      <c r="R518" s="9" t="s">
        <v>2532</v>
      </c>
      <c r="S518" s="9" t="s">
        <v>3477</v>
      </c>
      <c r="T518" s="9" t="s">
        <v>2926</v>
      </c>
      <c r="U518" s="19" t="n">
        <v>25</v>
      </c>
      <c r="V518" s="9"/>
      <c r="W518" s="9"/>
      <c r="X518" s="9" t="s">
        <v>199</v>
      </c>
      <c r="Y518" s="23" t="n">
        <v>0.00075264</v>
      </c>
      <c r="Z518" s="23" t="n">
        <v>0.045</v>
      </c>
      <c r="AA518" s="23" t="n">
        <v>24</v>
      </c>
      <c r="AB518" s="9" t="s">
        <v>3472</v>
      </c>
      <c r="AC518" s="9" t="s">
        <v>3505</v>
      </c>
      <c r="AD518" s="23" t="s">
        <v>197</v>
      </c>
      <c r="AE518" s="23" t="s">
        <v>197</v>
      </c>
      <c r="AF518" s="23" t="s">
        <v>197</v>
      </c>
      <c r="AG518" s="23" t="s">
        <v>197</v>
      </c>
      <c r="AH518" s="23" t="s">
        <v>197</v>
      </c>
      <c r="AI518" s="23" t="s">
        <v>197</v>
      </c>
      <c r="AJ518" s="23" t="s">
        <v>197</v>
      </c>
      <c r="AK518" s="23" t="s">
        <v>197</v>
      </c>
      <c r="AL518" s="23" t="s">
        <v>197</v>
      </c>
      <c r="AM518" s="23" t="s">
        <v>197</v>
      </c>
      <c r="AN518" s="9" t="s">
        <v>197</v>
      </c>
      <c r="AO518" s="23" t="s">
        <v>197</v>
      </c>
      <c r="AP518" s="23" t="s">
        <v>197</v>
      </c>
      <c r="AQ518" s="23" t="s">
        <v>197</v>
      </c>
    </row>
    <row r="519" customFormat="false" ht="21.75" hidden="false" customHeight="true" outlineLevel="0" collapsed="false">
      <c r="B519" s="14" t="n">
        <v>515</v>
      </c>
      <c r="C519" s="7" t="s">
        <v>86</v>
      </c>
      <c r="D519" s="7" t="s">
        <v>23</v>
      </c>
      <c r="E519" s="7" t="s">
        <v>124</v>
      </c>
      <c r="F519" s="7" t="s">
        <v>105</v>
      </c>
      <c r="G519" s="7" t="s">
        <v>3551</v>
      </c>
      <c r="H519" s="7" t="s">
        <v>2639</v>
      </c>
      <c r="I519" s="7" t="s">
        <v>3549</v>
      </c>
      <c r="J519" s="7" t="s">
        <v>3032</v>
      </c>
      <c r="K519" s="7" t="s">
        <v>3504</v>
      </c>
      <c r="L519" s="7" t="s">
        <v>3472</v>
      </c>
      <c r="M519" s="7" t="s">
        <v>2514</v>
      </c>
      <c r="N519" s="7" t="s">
        <v>189</v>
      </c>
      <c r="O519" s="7" t="s">
        <v>189</v>
      </c>
      <c r="P519" s="7" t="s">
        <v>640</v>
      </c>
      <c r="Q519" s="7" t="s">
        <v>3542</v>
      </c>
      <c r="R519" s="7" t="s">
        <v>2532</v>
      </c>
      <c r="S519" s="7" t="s">
        <v>3477</v>
      </c>
      <c r="T519" s="7" t="s">
        <v>2926</v>
      </c>
      <c r="U519" s="18" t="n">
        <v>30</v>
      </c>
      <c r="V519" s="7"/>
      <c r="W519" s="7"/>
      <c r="X519" s="7" t="s">
        <v>3552</v>
      </c>
      <c r="Y519" s="22" t="n">
        <v>0.00050724</v>
      </c>
      <c r="Z519" s="22" t="n">
        <v>0.021</v>
      </c>
      <c r="AA519" s="22" t="n">
        <v>24</v>
      </c>
      <c r="AB519" s="7" t="s">
        <v>3472</v>
      </c>
      <c r="AC519" s="7" t="s">
        <v>3505</v>
      </c>
      <c r="AD519" s="22" t="s">
        <v>197</v>
      </c>
      <c r="AE519" s="22" t="s">
        <v>197</v>
      </c>
      <c r="AF519" s="22" t="s">
        <v>197</v>
      </c>
      <c r="AG519" s="22" t="s">
        <v>197</v>
      </c>
      <c r="AH519" s="22" t="s">
        <v>197</v>
      </c>
      <c r="AI519" s="22" t="s">
        <v>197</v>
      </c>
      <c r="AJ519" s="22" t="s">
        <v>197</v>
      </c>
      <c r="AK519" s="22" t="s">
        <v>197</v>
      </c>
      <c r="AL519" s="22" t="s">
        <v>197</v>
      </c>
      <c r="AM519" s="22" t="s">
        <v>197</v>
      </c>
      <c r="AN519" s="7" t="s">
        <v>197</v>
      </c>
      <c r="AO519" s="22" t="s">
        <v>197</v>
      </c>
      <c r="AP519" s="22" t="s">
        <v>197</v>
      </c>
      <c r="AQ519" s="22" t="s">
        <v>197</v>
      </c>
    </row>
    <row r="520" customFormat="false" ht="21.75" hidden="false" customHeight="true" outlineLevel="0" collapsed="false">
      <c r="B520" s="15" t="n">
        <v>516</v>
      </c>
      <c r="C520" s="9" t="s">
        <v>86</v>
      </c>
      <c r="D520" s="9" t="s">
        <v>23</v>
      </c>
      <c r="E520" s="9" t="s">
        <v>124</v>
      </c>
      <c r="F520" s="9" t="s">
        <v>105</v>
      </c>
      <c r="G520" s="9" t="s">
        <v>3553</v>
      </c>
      <c r="H520" s="9" t="s">
        <v>2642</v>
      </c>
      <c r="I520" s="9" t="s">
        <v>3549</v>
      </c>
      <c r="J520" s="9" t="s">
        <v>3032</v>
      </c>
      <c r="K520" s="9" t="s">
        <v>3504</v>
      </c>
      <c r="L520" s="9" t="s">
        <v>3472</v>
      </c>
      <c r="M520" s="9" t="s">
        <v>2514</v>
      </c>
      <c r="N520" s="9" t="s">
        <v>189</v>
      </c>
      <c r="O520" s="9" t="s">
        <v>189</v>
      </c>
      <c r="P520" s="9" t="s">
        <v>640</v>
      </c>
      <c r="Q520" s="9" t="s">
        <v>3542</v>
      </c>
      <c r="R520" s="9" t="s">
        <v>2532</v>
      </c>
      <c r="S520" s="9" t="s">
        <v>3477</v>
      </c>
      <c r="T520" s="9" t="s">
        <v>2926</v>
      </c>
      <c r="U520" s="19" t="n">
        <v>50</v>
      </c>
      <c r="V520" s="9"/>
      <c r="W520" s="9"/>
      <c r="X520" s="9" t="s">
        <v>203</v>
      </c>
      <c r="Y520" s="23" t="n">
        <v>0.0008732</v>
      </c>
      <c r="Z520" s="23" t="n">
        <v>0.057</v>
      </c>
      <c r="AA520" s="23" t="n">
        <v>24</v>
      </c>
      <c r="AB520" s="9" t="s">
        <v>3472</v>
      </c>
      <c r="AC520" s="9" t="s">
        <v>3505</v>
      </c>
      <c r="AD520" s="23" t="s">
        <v>197</v>
      </c>
      <c r="AE520" s="23" t="s">
        <v>197</v>
      </c>
      <c r="AF520" s="23" t="s">
        <v>197</v>
      </c>
      <c r="AG520" s="23" t="s">
        <v>197</v>
      </c>
      <c r="AH520" s="23" t="s">
        <v>197</v>
      </c>
      <c r="AI520" s="23" t="s">
        <v>197</v>
      </c>
      <c r="AJ520" s="23" t="s">
        <v>197</v>
      </c>
      <c r="AK520" s="23" t="s">
        <v>197</v>
      </c>
      <c r="AL520" s="23" t="s">
        <v>197</v>
      </c>
      <c r="AM520" s="23" t="s">
        <v>197</v>
      </c>
      <c r="AN520" s="9" t="s">
        <v>197</v>
      </c>
      <c r="AO520" s="23" t="s">
        <v>197</v>
      </c>
      <c r="AP520" s="23" t="s">
        <v>197</v>
      </c>
      <c r="AQ520" s="23" t="s">
        <v>197</v>
      </c>
    </row>
    <row r="521" customFormat="false" ht="21.75" hidden="false" customHeight="true" outlineLevel="0" collapsed="false">
      <c r="B521" s="14" t="n">
        <v>517</v>
      </c>
      <c r="C521" s="7" t="s">
        <v>86</v>
      </c>
      <c r="D521" s="7" t="s">
        <v>23</v>
      </c>
      <c r="E521" s="7" t="s">
        <v>124</v>
      </c>
      <c r="F521" s="7" t="s">
        <v>105</v>
      </c>
      <c r="G521" s="7" t="s">
        <v>3554</v>
      </c>
      <c r="H521" s="7" t="s">
        <v>2644</v>
      </c>
      <c r="I521" s="7" t="s">
        <v>3549</v>
      </c>
      <c r="J521" s="7" t="s">
        <v>3032</v>
      </c>
      <c r="K521" s="7" t="s">
        <v>3504</v>
      </c>
      <c r="L521" s="7" t="s">
        <v>3472</v>
      </c>
      <c r="M521" s="7" t="s">
        <v>2514</v>
      </c>
      <c r="N521" s="7" t="s">
        <v>189</v>
      </c>
      <c r="O521" s="7" t="s">
        <v>189</v>
      </c>
      <c r="P521" s="7" t="s">
        <v>640</v>
      </c>
      <c r="Q521" s="7" t="s">
        <v>3542</v>
      </c>
      <c r="R521" s="7" t="s">
        <v>2532</v>
      </c>
      <c r="S521" s="7" t="s">
        <v>3477</v>
      </c>
      <c r="T521" s="7" t="s">
        <v>2926</v>
      </c>
      <c r="U521" s="18" t="n">
        <v>70</v>
      </c>
      <c r="V521" s="7"/>
      <c r="W521" s="7"/>
      <c r="X521" s="7" t="s">
        <v>205</v>
      </c>
      <c r="Y521" s="22" t="n">
        <v>0.0005928</v>
      </c>
      <c r="Z521" s="22" t="n">
        <v>0.029</v>
      </c>
      <c r="AA521" s="22" t="n">
        <v>24</v>
      </c>
      <c r="AB521" s="7" t="s">
        <v>3472</v>
      </c>
      <c r="AC521" s="7" t="s">
        <v>3505</v>
      </c>
      <c r="AD521" s="22" t="s">
        <v>197</v>
      </c>
      <c r="AE521" s="22" t="s">
        <v>197</v>
      </c>
      <c r="AF521" s="22" t="s">
        <v>197</v>
      </c>
      <c r="AG521" s="22" t="s">
        <v>197</v>
      </c>
      <c r="AH521" s="22" t="s">
        <v>197</v>
      </c>
      <c r="AI521" s="22" t="s">
        <v>197</v>
      </c>
      <c r="AJ521" s="22" t="s">
        <v>197</v>
      </c>
      <c r="AK521" s="22" t="s">
        <v>197</v>
      </c>
      <c r="AL521" s="22" t="s">
        <v>197</v>
      </c>
      <c r="AM521" s="22" t="s">
        <v>197</v>
      </c>
      <c r="AN521" s="7" t="s">
        <v>197</v>
      </c>
      <c r="AO521" s="22" t="s">
        <v>197</v>
      </c>
      <c r="AP521" s="22" t="s">
        <v>197</v>
      </c>
      <c r="AQ521" s="22" t="s">
        <v>197</v>
      </c>
    </row>
    <row r="522" customFormat="false" ht="21.75" hidden="false" customHeight="true" outlineLevel="0" collapsed="false">
      <c r="B522" s="15" t="n">
        <v>518</v>
      </c>
      <c r="C522" s="9" t="s">
        <v>86</v>
      </c>
      <c r="D522" s="9" t="s">
        <v>23</v>
      </c>
      <c r="E522" s="9" t="s">
        <v>124</v>
      </c>
      <c r="F522" s="9" t="s">
        <v>106</v>
      </c>
      <c r="G522" s="9" t="s">
        <v>391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19"/>
      <c r="V522" s="9"/>
      <c r="W522" s="9"/>
      <c r="X522" s="9" t="s">
        <v>3555</v>
      </c>
      <c r="Y522" s="23" t="s">
        <v>197</v>
      </c>
      <c r="Z522" s="23" t="s">
        <v>197</v>
      </c>
      <c r="AA522" s="23" t="s">
        <v>197</v>
      </c>
      <c r="AB522" s="9" t="s">
        <v>197</v>
      </c>
      <c r="AC522" s="9" t="s">
        <v>197</v>
      </c>
      <c r="AD522" s="23" t="s">
        <v>197</v>
      </c>
      <c r="AE522" s="23" t="s">
        <v>197</v>
      </c>
      <c r="AF522" s="23" t="s">
        <v>197</v>
      </c>
      <c r="AG522" s="23" t="s">
        <v>197</v>
      </c>
      <c r="AH522" s="23" t="s">
        <v>197</v>
      </c>
      <c r="AI522" s="23" t="s">
        <v>197</v>
      </c>
      <c r="AJ522" s="23" t="s">
        <v>197</v>
      </c>
      <c r="AK522" s="23" t="s">
        <v>197</v>
      </c>
      <c r="AL522" s="23" t="s">
        <v>197</v>
      </c>
      <c r="AM522" s="23" t="s">
        <v>197</v>
      </c>
      <c r="AN522" s="9" t="s">
        <v>197</v>
      </c>
      <c r="AO522" s="23" t="s">
        <v>197</v>
      </c>
      <c r="AP522" s="23" t="s">
        <v>197</v>
      </c>
      <c r="AQ522" s="23" t="s">
        <v>197</v>
      </c>
    </row>
    <row r="523" customFormat="false" ht="21.75" hidden="false" customHeight="true" outlineLevel="0" collapsed="false">
      <c r="B523" s="14" t="n">
        <v>519</v>
      </c>
      <c r="C523" s="7" t="s">
        <v>86</v>
      </c>
      <c r="D523" s="7" t="s">
        <v>23</v>
      </c>
      <c r="E523" s="7" t="s">
        <v>124</v>
      </c>
      <c r="F523" s="7" t="s">
        <v>107</v>
      </c>
      <c r="G523" s="7" t="s">
        <v>391</v>
      </c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18"/>
      <c r="V523" s="7"/>
      <c r="W523" s="7"/>
      <c r="X523" s="7" t="s">
        <v>3556</v>
      </c>
      <c r="Y523" s="22" t="s">
        <v>197</v>
      </c>
      <c r="Z523" s="22" t="s">
        <v>197</v>
      </c>
      <c r="AA523" s="22" t="s">
        <v>197</v>
      </c>
      <c r="AB523" s="7" t="s">
        <v>197</v>
      </c>
      <c r="AC523" s="7" t="s">
        <v>197</v>
      </c>
      <c r="AD523" s="22" t="s">
        <v>197</v>
      </c>
      <c r="AE523" s="22" t="s">
        <v>197</v>
      </c>
      <c r="AF523" s="22" t="s">
        <v>197</v>
      </c>
      <c r="AG523" s="22" t="s">
        <v>197</v>
      </c>
      <c r="AH523" s="22" t="s">
        <v>197</v>
      </c>
      <c r="AI523" s="22" t="s">
        <v>197</v>
      </c>
      <c r="AJ523" s="22" t="s">
        <v>197</v>
      </c>
      <c r="AK523" s="22" t="s">
        <v>197</v>
      </c>
      <c r="AL523" s="22" t="s">
        <v>197</v>
      </c>
      <c r="AM523" s="22" t="s">
        <v>197</v>
      </c>
      <c r="AN523" s="7" t="s">
        <v>197</v>
      </c>
      <c r="AO523" s="22" t="s">
        <v>197</v>
      </c>
      <c r="AP523" s="22" t="s">
        <v>197</v>
      </c>
      <c r="AQ523" s="22" t="s">
        <v>197</v>
      </c>
    </row>
    <row r="524" customFormat="false" ht="21.75" hidden="false" customHeight="true" outlineLevel="0" collapsed="false">
      <c r="B524" s="15" t="n">
        <v>520</v>
      </c>
      <c r="C524" s="9" t="s">
        <v>86</v>
      </c>
      <c r="D524" s="9" t="s">
        <v>23</v>
      </c>
      <c r="E524" s="9" t="s">
        <v>124</v>
      </c>
      <c r="F524" s="9" t="s">
        <v>108</v>
      </c>
      <c r="G524" s="9" t="s">
        <v>391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19"/>
      <c r="V524" s="9"/>
      <c r="W524" s="9"/>
      <c r="X524" s="9" t="s">
        <v>3557</v>
      </c>
      <c r="Y524" s="23" t="s">
        <v>197</v>
      </c>
      <c r="Z524" s="23" t="s">
        <v>197</v>
      </c>
      <c r="AA524" s="23" t="s">
        <v>197</v>
      </c>
      <c r="AB524" s="9" t="s">
        <v>197</v>
      </c>
      <c r="AC524" s="9" t="s">
        <v>197</v>
      </c>
      <c r="AD524" s="23" t="s">
        <v>197</v>
      </c>
      <c r="AE524" s="23" t="s">
        <v>197</v>
      </c>
      <c r="AF524" s="23" t="s">
        <v>197</v>
      </c>
      <c r="AG524" s="23" t="s">
        <v>197</v>
      </c>
      <c r="AH524" s="23" t="s">
        <v>197</v>
      </c>
      <c r="AI524" s="23" t="s">
        <v>197</v>
      </c>
      <c r="AJ524" s="23" t="s">
        <v>197</v>
      </c>
      <c r="AK524" s="23" t="s">
        <v>197</v>
      </c>
      <c r="AL524" s="23" t="s">
        <v>197</v>
      </c>
      <c r="AM524" s="23" t="s">
        <v>197</v>
      </c>
      <c r="AN524" s="9" t="s">
        <v>197</v>
      </c>
      <c r="AO524" s="23" t="s">
        <v>197</v>
      </c>
      <c r="AP524" s="23" t="s">
        <v>197</v>
      </c>
      <c r="AQ524" s="23" t="s">
        <v>197</v>
      </c>
    </row>
    <row r="525" customFormat="false" ht="21.75" hidden="false" customHeight="true" outlineLevel="0" collapsed="false">
      <c r="B525" s="14" t="n">
        <v>521</v>
      </c>
      <c r="C525" s="7" t="s">
        <v>87</v>
      </c>
      <c r="D525" s="7" t="s">
        <v>23</v>
      </c>
      <c r="E525" s="7" t="s">
        <v>116</v>
      </c>
      <c r="F525" s="7" t="s">
        <v>93</v>
      </c>
      <c r="G525" s="7" t="s">
        <v>3558</v>
      </c>
      <c r="H525" s="7" t="s">
        <v>3559</v>
      </c>
      <c r="I525" s="7" t="s">
        <v>3560</v>
      </c>
      <c r="J525" s="7" t="s">
        <v>3561</v>
      </c>
      <c r="K525" s="7" t="s">
        <v>3562</v>
      </c>
      <c r="L525" s="7" t="s">
        <v>3563</v>
      </c>
      <c r="M525" s="7" t="s">
        <v>2495</v>
      </c>
      <c r="N525" s="7" t="s">
        <v>3564</v>
      </c>
      <c r="O525" s="7" t="s">
        <v>189</v>
      </c>
      <c r="P525" s="7" t="s">
        <v>190</v>
      </c>
      <c r="Q525" s="7" t="s">
        <v>3565</v>
      </c>
      <c r="R525" s="7" t="s">
        <v>2684</v>
      </c>
      <c r="S525" s="7" t="s">
        <v>3566</v>
      </c>
      <c r="T525" s="7" t="s">
        <v>3567</v>
      </c>
      <c r="U525" s="18" t="n">
        <v>575</v>
      </c>
      <c r="V525" s="7"/>
      <c r="W525" s="7"/>
      <c r="X525" s="7" t="s">
        <v>195</v>
      </c>
      <c r="Y525" s="22" t="n">
        <v>0.42</v>
      </c>
      <c r="Z525" s="22" t="n">
        <v>2.061</v>
      </c>
      <c r="AA525" s="22" t="n">
        <v>24</v>
      </c>
      <c r="AB525" s="7" t="s">
        <v>3563</v>
      </c>
      <c r="AC525" s="7" t="s">
        <v>3568</v>
      </c>
      <c r="AD525" s="22" t="n">
        <v>0.42</v>
      </c>
      <c r="AE525" s="22" t="n">
        <v>2.061</v>
      </c>
      <c r="AF525" s="22" t="n">
        <v>6</v>
      </c>
      <c r="AG525" s="22" t="s">
        <v>197</v>
      </c>
      <c r="AH525" s="22" t="n">
        <v>2</v>
      </c>
      <c r="AI525" s="22" t="n">
        <v>198</v>
      </c>
      <c r="AJ525" s="22" t="s">
        <v>197</v>
      </c>
      <c r="AK525" s="22" t="s">
        <v>197</v>
      </c>
      <c r="AL525" s="22" t="s">
        <v>197</v>
      </c>
      <c r="AM525" s="22" t="s">
        <v>197</v>
      </c>
      <c r="AN525" s="7" t="s">
        <v>197</v>
      </c>
      <c r="AO525" s="22" t="s">
        <v>197</v>
      </c>
      <c r="AP525" s="22" t="s">
        <v>197</v>
      </c>
      <c r="AQ525" s="22" t="s">
        <v>197</v>
      </c>
    </row>
    <row r="526" customFormat="false" ht="21.75" hidden="false" customHeight="true" outlineLevel="0" collapsed="false">
      <c r="B526" s="15" t="n">
        <v>522</v>
      </c>
      <c r="C526" s="9" t="s">
        <v>87</v>
      </c>
      <c r="D526" s="9" t="s">
        <v>23</v>
      </c>
      <c r="E526" s="9" t="s">
        <v>116</v>
      </c>
      <c r="F526" s="9" t="s">
        <v>93</v>
      </c>
      <c r="G526" s="9" t="s">
        <v>3569</v>
      </c>
      <c r="H526" s="9" t="s">
        <v>3559</v>
      </c>
      <c r="I526" s="9" t="s">
        <v>3560</v>
      </c>
      <c r="J526" s="9" t="s">
        <v>3561</v>
      </c>
      <c r="K526" s="9" t="s">
        <v>3562</v>
      </c>
      <c r="L526" s="9" t="s">
        <v>3563</v>
      </c>
      <c r="M526" s="9" t="s">
        <v>2495</v>
      </c>
      <c r="N526" s="9" t="s">
        <v>3564</v>
      </c>
      <c r="O526" s="9" t="s">
        <v>189</v>
      </c>
      <c r="P526" s="9" t="s">
        <v>190</v>
      </c>
      <c r="Q526" s="9" t="s">
        <v>3565</v>
      </c>
      <c r="R526" s="9" t="s">
        <v>2684</v>
      </c>
      <c r="S526" s="9" t="s">
        <v>3566</v>
      </c>
      <c r="T526" s="9" t="s">
        <v>3567</v>
      </c>
      <c r="U526" s="19" t="n">
        <v>860</v>
      </c>
      <c r="V526" s="9"/>
      <c r="W526" s="9"/>
      <c r="X526" s="9" t="s">
        <v>199</v>
      </c>
      <c r="Y526" s="23" t="n">
        <v>0.42</v>
      </c>
      <c r="Z526" s="23" t="n">
        <v>2.878</v>
      </c>
      <c r="AA526" s="23" t="n">
        <v>24</v>
      </c>
      <c r="AB526" s="9" t="s">
        <v>3563</v>
      </c>
      <c r="AC526" s="9" t="s">
        <v>3568</v>
      </c>
      <c r="AD526" s="23" t="n">
        <v>0.42</v>
      </c>
      <c r="AE526" s="23" t="n">
        <v>2.878</v>
      </c>
      <c r="AF526" s="23" t="n">
        <v>6</v>
      </c>
      <c r="AG526" s="23" t="s">
        <v>197</v>
      </c>
      <c r="AH526" s="23" t="n">
        <v>2</v>
      </c>
      <c r="AI526" s="23" t="n">
        <v>198</v>
      </c>
      <c r="AJ526" s="23" t="s">
        <v>197</v>
      </c>
      <c r="AK526" s="23" t="s">
        <v>197</v>
      </c>
      <c r="AL526" s="23" t="s">
        <v>197</v>
      </c>
      <c r="AM526" s="23" t="s">
        <v>197</v>
      </c>
      <c r="AN526" s="9" t="s">
        <v>197</v>
      </c>
      <c r="AO526" s="23" t="s">
        <v>197</v>
      </c>
      <c r="AP526" s="23" t="s">
        <v>197</v>
      </c>
      <c r="AQ526" s="23" t="s">
        <v>197</v>
      </c>
    </row>
    <row r="527" customFormat="false" ht="21.75" hidden="false" customHeight="true" outlineLevel="0" collapsed="false">
      <c r="B527" s="14" t="n">
        <v>523</v>
      </c>
      <c r="C527" s="7" t="s">
        <v>87</v>
      </c>
      <c r="D527" s="7" t="s">
        <v>23</v>
      </c>
      <c r="E527" s="7" t="s">
        <v>116</v>
      </c>
      <c r="F527" s="7" t="s">
        <v>93</v>
      </c>
      <c r="G527" s="7" t="s">
        <v>3570</v>
      </c>
      <c r="H527" s="7" t="s">
        <v>3559</v>
      </c>
      <c r="I527" s="7" t="s">
        <v>3560</v>
      </c>
      <c r="J527" s="7" t="s">
        <v>3561</v>
      </c>
      <c r="K527" s="7" t="s">
        <v>3562</v>
      </c>
      <c r="L527" s="7" t="s">
        <v>3563</v>
      </c>
      <c r="M527" s="7" t="s">
        <v>2495</v>
      </c>
      <c r="N527" s="7" t="s">
        <v>3564</v>
      </c>
      <c r="O527" s="7" t="s">
        <v>189</v>
      </c>
      <c r="P527" s="7" t="s">
        <v>190</v>
      </c>
      <c r="Q527" s="7" t="s">
        <v>3565</v>
      </c>
      <c r="R527" s="7" t="s">
        <v>2684</v>
      </c>
      <c r="S527" s="7" t="s">
        <v>3566</v>
      </c>
      <c r="T527" s="7" t="s">
        <v>3567</v>
      </c>
      <c r="U527" s="18" t="n">
        <v>1150</v>
      </c>
      <c r="V527" s="7"/>
      <c r="W527" s="7"/>
      <c r="X527" s="7" t="s">
        <v>3571</v>
      </c>
      <c r="Y527" s="22" t="n">
        <v>0.42</v>
      </c>
      <c r="Z527" s="22" t="n">
        <v>3.424</v>
      </c>
      <c r="AA527" s="22" t="n">
        <v>24</v>
      </c>
      <c r="AB527" s="7" t="s">
        <v>3563</v>
      </c>
      <c r="AC527" s="7" t="s">
        <v>3568</v>
      </c>
      <c r="AD527" s="22" t="n">
        <v>0.42</v>
      </c>
      <c r="AE527" s="22" t="n">
        <v>3.424</v>
      </c>
      <c r="AF527" s="22" t="n">
        <v>6</v>
      </c>
      <c r="AG527" s="22" t="s">
        <v>197</v>
      </c>
      <c r="AH527" s="22" t="n">
        <v>2</v>
      </c>
      <c r="AI527" s="22" t="n">
        <v>198</v>
      </c>
      <c r="AJ527" s="22" t="s">
        <v>197</v>
      </c>
      <c r="AK527" s="22" t="s">
        <v>197</v>
      </c>
      <c r="AL527" s="22" t="s">
        <v>197</v>
      </c>
      <c r="AM527" s="22" t="s">
        <v>197</v>
      </c>
      <c r="AN527" s="7" t="s">
        <v>197</v>
      </c>
      <c r="AO527" s="22" t="s">
        <v>197</v>
      </c>
      <c r="AP527" s="22" t="s">
        <v>197</v>
      </c>
      <c r="AQ527" s="22" t="s">
        <v>197</v>
      </c>
    </row>
    <row r="528" customFormat="false" ht="21.75" hidden="false" customHeight="true" outlineLevel="0" collapsed="false">
      <c r="B528" s="15" t="n">
        <v>524</v>
      </c>
      <c r="C528" s="9" t="s">
        <v>87</v>
      </c>
      <c r="D528" s="9" t="s">
        <v>23</v>
      </c>
      <c r="E528" s="9" t="s">
        <v>116</v>
      </c>
      <c r="F528" s="9" t="s">
        <v>93</v>
      </c>
      <c r="G528" s="9" t="s">
        <v>3572</v>
      </c>
      <c r="H528" s="9" t="s">
        <v>3559</v>
      </c>
      <c r="I528" s="9" t="s">
        <v>3560</v>
      </c>
      <c r="J528" s="9" t="s">
        <v>3561</v>
      </c>
      <c r="K528" s="9" t="s">
        <v>3562</v>
      </c>
      <c r="L528" s="9" t="s">
        <v>3563</v>
      </c>
      <c r="M528" s="9" t="s">
        <v>2495</v>
      </c>
      <c r="N528" s="9" t="s">
        <v>3564</v>
      </c>
      <c r="O528" s="9" t="s">
        <v>189</v>
      </c>
      <c r="P528" s="9" t="s">
        <v>190</v>
      </c>
      <c r="Q528" s="9" t="s">
        <v>3565</v>
      </c>
      <c r="R528" s="9" t="s">
        <v>2684</v>
      </c>
      <c r="S528" s="9" t="s">
        <v>3566</v>
      </c>
      <c r="T528" s="9" t="s">
        <v>3567</v>
      </c>
      <c r="U528" s="19" t="n">
        <v>1725</v>
      </c>
      <c r="V528" s="9"/>
      <c r="W528" s="9"/>
      <c r="X528" s="9" t="s">
        <v>203</v>
      </c>
      <c r="Y528" s="23" t="n">
        <v>0.42</v>
      </c>
      <c r="Z528" s="23" t="n">
        <v>2.462</v>
      </c>
      <c r="AA528" s="23" t="n">
        <v>24</v>
      </c>
      <c r="AB528" s="9" t="s">
        <v>3563</v>
      </c>
      <c r="AC528" s="9" t="s">
        <v>3568</v>
      </c>
      <c r="AD528" s="23" t="n">
        <v>0.42</v>
      </c>
      <c r="AE528" s="23" t="n">
        <v>2.462</v>
      </c>
      <c r="AF528" s="23" t="n">
        <v>6</v>
      </c>
      <c r="AG528" s="23" t="s">
        <v>197</v>
      </c>
      <c r="AH528" s="23" t="n">
        <v>2</v>
      </c>
      <c r="AI528" s="23" t="n">
        <v>198</v>
      </c>
      <c r="AJ528" s="23" t="s">
        <v>197</v>
      </c>
      <c r="AK528" s="23" t="s">
        <v>197</v>
      </c>
      <c r="AL528" s="23" t="s">
        <v>197</v>
      </c>
      <c r="AM528" s="23" t="s">
        <v>197</v>
      </c>
      <c r="AN528" s="9" t="s">
        <v>197</v>
      </c>
      <c r="AO528" s="23" t="s">
        <v>197</v>
      </c>
      <c r="AP528" s="23" t="s">
        <v>197</v>
      </c>
      <c r="AQ528" s="23" t="s">
        <v>197</v>
      </c>
    </row>
    <row r="529" customFormat="false" ht="21.75" hidden="false" customHeight="true" outlineLevel="0" collapsed="false">
      <c r="B529" s="14" t="n">
        <v>525</v>
      </c>
      <c r="C529" s="7" t="s">
        <v>87</v>
      </c>
      <c r="D529" s="7" t="s">
        <v>23</v>
      </c>
      <c r="E529" s="7" t="s">
        <v>116</v>
      </c>
      <c r="F529" s="7" t="s">
        <v>93</v>
      </c>
      <c r="G529" s="7" t="s">
        <v>3573</v>
      </c>
      <c r="H529" s="7" t="s">
        <v>3559</v>
      </c>
      <c r="I529" s="7" t="s">
        <v>3560</v>
      </c>
      <c r="J529" s="7" t="s">
        <v>3561</v>
      </c>
      <c r="K529" s="7" t="s">
        <v>3562</v>
      </c>
      <c r="L529" s="7" t="s">
        <v>3563</v>
      </c>
      <c r="M529" s="7" t="s">
        <v>2495</v>
      </c>
      <c r="N529" s="7" t="s">
        <v>3564</v>
      </c>
      <c r="O529" s="7" t="s">
        <v>189</v>
      </c>
      <c r="P529" s="7" t="s">
        <v>190</v>
      </c>
      <c r="Q529" s="7" t="s">
        <v>3565</v>
      </c>
      <c r="R529" s="7" t="s">
        <v>2684</v>
      </c>
      <c r="S529" s="7" t="s">
        <v>3566</v>
      </c>
      <c r="T529" s="7" t="s">
        <v>3567</v>
      </c>
      <c r="U529" s="18" t="n">
        <v>2530</v>
      </c>
      <c r="V529" s="7"/>
      <c r="W529" s="7"/>
      <c r="X529" s="7" t="s">
        <v>205</v>
      </c>
      <c r="Y529" s="22" t="n">
        <v>0.42</v>
      </c>
      <c r="Z529" s="22" t="n">
        <v>1.511</v>
      </c>
      <c r="AA529" s="22" t="n">
        <v>24</v>
      </c>
      <c r="AB529" s="7" t="s">
        <v>3563</v>
      </c>
      <c r="AC529" s="7" t="s">
        <v>3568</v>
      </c>
      <c r="AD529" s="22" t="n">
        <v>0.42</v>
      </c>
      <c r="AE529" s="22" t="n">
        <v>1.511</v>
      </c>
      <c r="AF529" s="22" t="n">
        <v>6</v>
      </c>
      <c r="AG529" s="22" t="s">
        <v>197</v>
      </c>
      <c r="AH529" s="22" t="n">
        <v>2</v>
      </c>
      <c r="AI529" s="22" t="n">
        <v>198</v>
      </c>
      <c r="AJ529" s="22" t="s">
        <v>197</v>
      </c>
      <c r="AK529" s="22" t="s">
        <v>197</v>
      </c>
      <c r="AL529" s="22" t="s">
        <v>197</v>
      </c>
      <c r="AM529" s="22" t="s">
        <v>197</v>
      </c>
      <c r="AN529" s="7" t="s">
        <v>197</v>
      </c>
      <c r="AO529" s="22" t="s">
        <v>197</v>
      </c>
      <c r="AP529" s="22" t="s">
        <v>197</v>
      </c>
      <c r="AQ529" s="22" t="s">
        <v>197</v>
      </c>
    </row>
    <row r="530" customFormat="false" ht="21.75" hidden="false" customHeight="true" outlineLevel="0" collapsed="false">
      <c r="B530" s="15" t="n">
        <v>526</v>
      </c>
      <c r="C530" s="9" t="s">
        <v>87</v>
      </c>
      <c r="D530" s="9" t="s">
        <v>23</v>
      </c>
      <c r="E530" s="9" t="s">
        <v>116</v>
      </c>
      <c r="F530" s="9" t="s">
        <v>94</v>
      </c>
      <c r="G530" s="9" t="s">
        <v>3574</v>
      </c>
      <c r="H530" s="9" t="s">
        <v>3575</v>
      </c>
      <c r="I530" s="9" t="s">
        <v>3576</v>
      </c>
      <c r="J530" s="9" t="s">
        <v>3577</v>
      </c>
      <c r="K530" s="9" t="s">
        <v>3578</v>
      </c>
      <c r="L530" s="9" t="s">
        <v>3563</v>
      </c>
      <c r="M530" s="9" t="s">
        <v>3069</v>
      </c>
      <c r="N530" s="9" t="s">
        <v>2957</v>
      </c>
      <c r="O530" s="9" t="s">
        <v>189</v>
      </c>
      <c r="P530" s="9" t="s">
        <v>190</v>
      </c>
      <c r="Q530" s="9" t="s">
        <v>3579</v>
      </c>
      <c r="R530" s="9" t="s">
        <v>3580</v>
      </c>
      <c r="S530" s="9" t="s">
        <v>3566</v>
      </c>
      <c r="T530" s="9" t="s">
        <v>2846</v>
      </c>
      <c r="U530" s="19" t="n">
        <v>260</v>
      </c>
      <c r="V530" s="9"/>
      <c r="W530" s="9"/>
      <c r="X530" s="9" t="s">
        <v>195</v>
      </c>
      <c r="Y530" s="23" t="n">
        <v>0.28</v>
      </c>
      <c r="Z530" s="23" t="n">
        <v>3.241</v>
      </c>
      <c r="AA530" s="23" t="n">
        <v>24</v>
      </c>
      <c r="AB530" s="9" t="s">
        <v>3563</v>
      </c>
      <c r="AC530" s="9" t="s">
        <v>3568</v>
      </c>
      <c r="AD530" s="23" t="n">
        <v>0.28</v>
      </c>
      <c r="AE530" s="23" t="n">
        <v>3.241</v>
      </c>
      <c r="AF530" s="23" t="n">
        <v>2.5</v>
      </c>
      <c r="AG530" s="23" t="n">
        <v>1</v>
      </c>
      <c r="AH530" s="23" t="s">
        <v>197</v>
      </c>
      <c r="AI530" s="23" t="s">
        <v>197</v>
      </c>
      <c r="AJ530" s="23" t="s">
        <v>197</v>
      </c>
      <c r="AK530" s="23" t="s">
        <v>197</v>
      </c>
      <c r="AL530" s="23" t="s">
        <v>197</v>
      </c>
      <c r="AM530" s="23" t="s">
        <v>197</v>
      </c>
      <c r="AN530" s="9" t="s">
        <v>197</v>
      </c>
      <c r="AO530" s="23" t="s">
        <v>197</v>
      </c>
      <c r="AP530" s="23" t="s">
        <v>197</v>
      </c>
      <c r="AQ530" s="23" t="s">
        <v>197</v>
      </c>
    </row>
    <row r="531" customFormat="false" ht="21.75" hidden="false" customHeight="true" outlineLevel="0" collapsed="false">
      <c r="B531" s="14" t="n">
        <v>527</v>
      </c>
      <c r="C531" s="7" t="s">
        <v>87</v>
      </c>
      <c r="D531" s="7" t="s">
        <v>23</v>
      </c>
      <c r="E531" s="7" t="s">
        <v>116</v>
      </c>
      <c r="F531" s="7" t="s">
        <v>94</v>
      </c>
      <c r="G531" s="7" t="s">
        <v>3581</v>
      </c>
      <c r="H531" s="7" t="s">
        <v>3575</v>
      </c>
      <c r="I531" s="7" t="s">
        <v>3576</v>
      </c>
      <c r="J531" s="7" t="s">
        <v>3577</v>
      </c>
      <c r="K531" s="7" t="s">
        <v>3578</v>
      </c>
      <c r="L531" s="7" t="s">
        <v>3563</v>
      </c>
      <c r="M531" s="7" t="s">
        <v>3069</v>
      </c>
      <c r="N531" s="7" t="s">
        <v>2957</v>
      </c>
      <c r="O531" s="7" t="s">
        <v>189</v>
      </c>
      <c r="P531" s="7" t="s">
        <v>190</v>
      </c>
      <c r="Q531" s="7" t="s">
        <v>3579</v>
      </c>
      <c r="R531" s="7" t="s">
        <v>3580</v>
      </c>
      <c r="S531" s="7" t="s">
        <v>3566</v>
      </c>
      <c r="T531" s="7" t="s">
        <v>2846</v>
      </c>
      <c r="U531" s="18" t="n">
        <v>390</v>
      </c>
      <c r="V531" s="7"/>
      <c r="W531" s="7"/>
      <c r="X531" s="7" t="s">
        <v>199</v>
      </c>
      <c r="Y531" s="22" t="n">
        <v>0.28</v>
      </c>
      <c r="Z531" s="22" t="n">
        <v>2.171</v>
      </c>
      <c r="AA531" s="22" t="n">
        <v>24</v>
      </c>
      <c r="AB531" s="7" t="s">
        <v>3563</v>
      </c>
      <c r="AC531" s="7" t="s">
        <v>3568</v>
      </c>
      <c r="AD531" s="22" t="n">
        <v>0.28</v>
      </c>
      <c r="AE531" s="22" t="n">
        <v>2.171</v>
      </c>
      <c r="AF531" s="22" t="n">
        <v>2.5</v>
      </c>
      <c r="AG531" s="22" t="n">
        <v>1</v>
      </c>
      <c r="AH531" s="22" t="s">
        <v>197</v>
      </c>
      <c r="AI531" s="22" t="s">
        <v>197</v>
      </c>
      <c r="AJ531" s="22" t="s">
        <v>197</v>
      </c>
      <c r="AK531" s="22" t="s">
        <v>197</v>
      </c>
      <c r="AL531" s="22" t="s">
        <v>197</v>
      </c>
      <c r="AM531" s="22" t="s">
        <v>197</v>
      </c>
      <c r="AN531" s="7" t="s">
        <v>197</v>
      </c>
      <c r="AO531" s="22" t="s">
        <v>197</v>
      </c>
      <c r="AP531" s="22" t="s">
        <v>197</v>
      </c>
      <c r="AQ531" s="22" t="s">
        <v>197</v>
      </c>
    </row>
    <row r="532" customFormat="false" ht="21.75" hidden="false" customHeight="true" outlineLevel="0" collapsed="false">
      <c r="B532" s="15" t="n">
        <v>528</v>
      </c>
      <c r="C532" s="9" t="s">
        <v>87</v>
      </c>
      <c r="D532" s="9" t="s">
        <v>23</v>
      </c>
      <c r="E532" s="9" t="s">
        <v>116</v>
      </c>
      <c r="F532" s="9" t="s">
        <v>94</v>
      </c>
      <c r="G532" s="9" t="s">
        <v>3582</v>
      </c>
      <c r="H532" s="9" t="s">
        <v>3575</v>
      </c>
      <c r="I532" s="9" t="s">
        <v>3576</v>
      </c>
      <c r="J532" s="9" t="s">
        <v>3577</v>
      </c>
      <c r="K532" s="9" t="s">
        <v>3578</v>
      </c>
      <c r="L532" s="9" t="s">
        <v>3563</v>
      </c>
      <c r="M532" s="9" t="s">
        <v>3069</v>
      </c>
      <c r="N532" s="9" t="s">
        <v>2957</v>
      </c>
      <c r="O532" s="9" t="s">
        <v>189</v>
      </c>
      <c r="P532" s="9" t="s">
        <v>190</v>
      </c>
      <c r="Q532" s="9" t="s">
        <v>3579</v>
      </c>
      <c r="R532" s="9" t="s">
        <v>3580</v>
      </c>
      <c r="S532" s="9" t="s">
        <v>3566</v>
      </c>
      <c r="T532" s="9" t="s">
        <v>2846</v>
      </c>
      <c r="U532" s="19" t="n">
        <v>520</v>
      </c>
      <c r="V532" s="9"/>
      <c r="W532" s="9"/>
      <c r="X532" s="9" t="s">
        <v>3583</v>
      </c>
      <c r="Y532" s="23" t="n">
        <v>0.28</v>
      </c>
      <c r="Z532" s="23" t="n">
        <v>3.322</v>
      </c>
      <c r="AA532" s="23" t="n">
        <v>24</v>
      </c>
      <c r="AB532" s="9" t="s">
        <v>3563</v>
      </c>
      <c r="AC532" s="9" t="s">
        <v>3568</v>
      </c>
      <c r="AD532" s="23" t="n">
        <v>0.28</v>
      </c>
      <c r="AE532" s="23" t="n">
        <v>3.322</v>
      </c>
      <c r="AF532" s="23" t="n">
        <v>2.5</v>
      </c>
      <c r="AG532" s="23" t="n">
        <v>1</v>
      </c>
      <c r="AH532" s="23" t="s">
        <v>197</v>
      </c>
      <c r="AI532" s="23" t="s">
        <v>197</v>
      </c>
      <c r="AJ532" s="23" t="s">
        <v>197</v>
      </c>
      <c r="AK532" s="23" t="s">
        <v>197</v>
      </c>
      <c r="AL532" s="23" t="s">
        <v>197</v>
      </c>
      <c r="AM532" s="23" t="s">
        <v>197</v>
      </c>
      <c r="AN532" s="9" t="s">
        <v>197</v>
      </c>
      <c r="AO532" s="23" t="s">
        <v>197</v>
      </c>
      <c r="AP532" s="23" t="s">
        <v>197</v>
      </c>
      <c r="AQ532" s="23" t="s">
        <v>197</v>
      </c>
    </row>
    <row r="533" customFormat="false" ht="21.75" hidden="false" customHeight="true" outlineLevel="0" collapsed="false">
      <c r="B533" s="14" t="n">
        <v>529</v>
      </c>
      <c r="C533" s="7" t="s">
        <v>87</v>
      </c>
      <c r="D533" s="7" t="s">
        <v>23</v>
      </c>
      <c r="E533" s="7" t="s">
        <v>116</v>
      </c>
      <c r="F533" s="7" t="s">
        <v>94</v>
      </c>
      <c r="G533" s="7" t="s">
        <v>2489</v>
      </c>
      <c r="H533" s="7" t="s">
        <v>3575</v>
      </c>
      <c r="I533" s="7" t="s">
        <v>3576</v>
      </c>
      <c r="J533" s="7" t="s">
        <v>3577</v>
      </c>
      <c r="K533" s="7" t="s">
        <v>3578</v>
      </c>
      <c r="L533" s="7" t="s">
        <v>3563</v>
      </c>
      <c r="M533" s="7" t="s">
        <v>3069</v>
      </c>
      <c r="N533" s="7" t="s">
        <v>2957</v>
      </c>
      <c r="O533" s="7" t="s">
        <v>189</v>
      </c>
      <c r="P533" s="7" t="s">
        <v>190</v>
      </c>
      <c r="Q533" s="7" t="s">
        <v>3579</v>
      </c>
      <c r="R533" s="7" t="s">
        <v>3580</v>
      </c>
      <c r="S533" s="7" t="s">
        <v>3566</v>
      </c>
      <c r="T533" s="7" t="s">
        <v>2846</v>
      </c>
      <c r="U533" s="18" t="n">
        <v>780</v>
      </c>
      <c r="V533" s="7"/>
      <c r="W533" s="7"/>
      <c r="X533" s="7" t="s">
        <v>203</v>
      </c>
      <c r="Y533" s="22" t="n">
        <v>0.28</v>
      </c>
      <c r="Z533" s="22" t="n">
        <v>1.367</v>
      </c>
      <c r="AA533" s="22" t="n">
        <v>24</v>
      </c>
      <c r="AB533" s="7" t="s">
        <v>3563</v>
      </c>
      <c r="AC533" s="7" t="s">
        <v>3568</v>
      </c>
      <c r="AD533" s="22" t="n">
        <v>0.28</v>
      </c>
      <c r="AE533" s="22" t="n">
        <v>1.367</v>
      </c>
      <c r="AF533" s="22" t="n">
        <v>2.5</v>
      </c>
      <c r="AG533" s="22" t="n">
        <v>1</v>
      </c>
      <c r="AH533" s="22" t="s">
        <v>197</v>
      </c>
      <c r="AI533" s="22" t="s">
        <v>197</v>
      </c>
      <c r="AJ533" s="22" t="s">
        <v>197</v>
      </c>
      <c r="AK533" s="22" t="s">
        <v>197</v>
      </c>
      <c r="AL533" s="22" t="s">
        <v>197</v>
      </c>
      <c r="AM533" s="22" t="s">
        <v>197</v>
      </c>
      <c r="AN533" s="7" t="s">
        <v>197</v>
      </c>
      <c r="AO533" s="22" t="s">
        <v>197</v>
      </c>
      <c r="AP533" s="22" t="s">
        <v>197</v>
      </c>
      <c r="AQ533" s="22" t="s">
        <v>197</v>
      </c>
    </row>
    <row r="534" customFormat="false" ht="21.75" hidden="false" customHeight="true" outlineLevel="0" collapsed="false">
      <c r="B534" s="15" t="n">
        <v>530</v>
      </c>
      <c r="C534" s="9" t="s">
        <v>87</v>
      </c>
      <c r="D534" s="9" t="s">
        <v>23</v>
      </c>
      <c r="E534" s="9" t="s">
        <v>116</v>
      </c>
      <c r="F534" s="9" t="s">
        <v>94</v>
      </c>
      <c r="G534" s="9" t="s">
        <v>3584</v>
      </c>
      <c r="H534" s="9" t="s">
        <v>3575</v>
      </c>
      <c r="I534" s="9" t="s">
        <v>3576</v>
      </c>
      <c r="J534" s="9" t="s">
        <v>3577</v>
      </c>
      <c r="K534" s="9" t="s">
        <v>3578</v>
      </c>
      <c r="L534" s="9" t="s">
        <v>3563</v>
      </c>
      <c r="M534" s="9" t="s">
        <v>3069</v>
      </c>
      <c r="N534" s="9" t="s">
        <v>2957</v>
      </c>
      <c r="O534" s="9" t="s">
        <v>189</v>
      </c>
      <c r="P534" s="9" t="s">
        <v>190</v>
      </c>
      <c r="Q534" s="9" t="s">
        <v>3579</v>
      </c>
      <c r="R534" s="9" t="s">
        <v>3580</v>
      </c>
      <c r="S534" s="9" t="s">
        <v>3566</v>
      </c>
      <c r="T534" s="9" t="s">
        <v>2846</v>
      </c>
      <c r="U534" s="19" t="n">
        <v>1140</v>
      </c>
      <c r="V534" s="9"/>
      <c r="W534" s="9"/>
      <c r="X534" s="9" t="s">
        <v>205</v>
      </c>
      <c r="Y534" s="23" t="n">
        <v>0.28</v>
      </c>
      <c r="Z534" s="23" t="n">
        <v>1.949</v>
      </c>
      <c r="AA534" s="23" t="n">
        <v>24</v>
      </c>
      <c r="AB534" s="9" t="s">
        <v>3563</v>
      </c>
      <c r="AC534" s="9" t="s">
        <v>3568</v>
      </c>
      <c r="AD534" s="23" t="n">
        <v>0.28</v>
      </c>
      <c r="AE534" s="23" t="n">
        <v>1.949</v>
      </c>
      <c r="AF534" s="23" t="n">
        <v>2.5</v>
      </c>
      <c r="AG534" s="23" t="n">
        <v>1</v>
      </c>
      <c r="AH534" s="23" t="s">
        <v>197</v>
      </c>
      <c r="AI534" s="23" t="s">
        <v>197</v>
      </c>
      <c r="AJ534" s="23" t="s">
        <v>197</v>
      </c>
      <c r="AK534" s="23" t="s">
        <v>197</v>
      </c>
      <c r="AL534" s="23" t="s">
        <v>197</v>
      </c>
      <c r="AM534" s="23" t="s">
        <v>197</v>
      </c>
      <c r="AN534" s="9" t="s">
        <v>197</v>
      </c>
      <c r="AO534" s="23" t="s">
        <v>197</v>
      </c>
      <c r="AP534" s="23" t="s">
        <v>197</v>
      </c>
      <c r="AQ534" s="23" t="s">
        <v>197</v>
      </c>
    </row>
    <row r="535" customFormat="false" ht="21.75" hidden="false" customHeight="true" outlineLevel="0" collapsed="false">
      <c r="B535" s="14" t="n">
        <v>531</v>
      </c>
      <c r="C535" s="7" t="s">
        <v>87</v>
      </c>
      <c r="D535" s="7" t="s">
        <v>23</v>
      </c>
      <c r="E535" s="7" t="s">
        <v>116</v>
      </c>
      <c r="F535" s="7" t="s">
        <v>95</v>
      </c>
      <c r="G535" s="7" t="s">
        <v>391</v>
      </c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18"/>
      <c r="V535" s="7"/>
      <c r="W535" s="7"/>
      <c r="X535" s="7" t="s">
        <v>3585</v>
      </c>
      <c r="Y535" s="22" t="s">
        <v>197</v>
      </c>
      <c r="Z535" s="22" t="s">
        <v>197</v>
      </c>
      <c r="AA535" s="22" t="s">
        <v>197</v>
      </c>
      <c r="AB535" s="7" t="s">
        <v>197</v>
      </c>
      <c r="AC535" s="7" t="s">
        <v>197</v>
      </c>
      <c r="AD535" s="22" t="s">
        <v>197</v>
      </c>
      <c r="AE535" s="22" t="s">
        <v>197</v>
      </c>
      <c r="AF535" s="22" t="s">
        <v>197</v>
      </c>
      <c r="AG535" s="22" t="s">
        <v>197</v>
      </c>
      <c r="AH535" s="22" t="s">
        <v>197</v>
      </c>
      <c r="AI535" s="22" t="s">
        <v>197</v>
      </c>
      <c r="AJ535" s="22" t="s">
        <v>197</v>
      </c>
      <c r="AK535" s="22" t="s">
        <v>197</v>
      </c>
      <c r="AL535" s="22" t="s">
        <v>197</v>
      </c>
      <c r="AM535" s="22" t="s">
        <v>197</v>
      </c>
      <c r="AN535" s="7" t="s">
        <v>197</v>
      </c>
      <c r="AO535" s="22" t="s">
        <v>197</v>
      </c>
      <c r="AP535" s="22" t="s">
        <v>197</v>
      </c>
      <c r="AQ535" s="22" t="s">
        <v>197</v>
      </c>
    </row>
    <row r="536" customFormat="false" ht="21.75" hidden="false" customHeight="true" outlineLevel="0" collapsed="false">
      <c r="B536" s="15" t="n">
        <v>532</v>
      </c>
      <c r="C536" s="9" t="s">
        <v>87</v>
      </c>
      <c r="D536" s="9" t="s">
        <v>23</v>
      </c>
      <c r="E536" s="9" t="s">
        <v>116</v>
      </c>
      <c r="F536" s="9" t="s">
        <v>96</v>
      </c>
      <c r="G536" s="9" t="s">
        <v>3586</v>
      </c>
      <c r="H536" s="9" t="s">
        <v>2510</v>
      </c>
      <c r="I536" s="9" t="s">
        <v>3587</v>
      </c>
      <c r="J536" s="9" t="s">
        <v>2512</v>
      </c>
      <c r="K536" s="9" t="s">
        <v>3588</v>
      </c>
      <c r="L536" s="9" t="s">
        <v>3563</v>
      </c>
      <c r="M536" s="9" t="s">
        <v>2514</v>
      </c>
      <c r="N536" s="9" t="s">
        <v>189</v>
      </c>
      <c r="O536" s="9" t="s">
        <v>189</v>
      </c>
      <c r="P536" s="9" t="s">
        <v>190</v>
      </c>
      <c r="Q536" s="9" t="s">
        <v>2515</v>
      </c>
      <c r="R536" s="9" t="s">
        <v>849</v>
      </c>
      <c r="S536" s="9" t="s">
        <v>3566</v>
      </c>
      <c r="T536" s="9" t="s">
        <v>3589</v>
      </c>
      <c r="U536" s="19" t="n">
        <v>30</v>
      </c>
      <c r="V536" s="9"/>
      <c r="W536" s="9"/>
      <c r="X536" s="9" t="s">
        <v>195</v>
      </c>
      <c r="Y536" s="23" t="n">
        <v>8.351E-005</v>
      </c>
      <c r="Z536" s="23" t="n">
        <v>0.003</v>
      </c>
      <c r="AA536" s="23" t="n">
        <v>24</v>
      </c>
      <c r="AB536" s="9" t="s">
        <v>3563</v>
      </c>
      <c r="AC536" s="9" t="s">
        <v>3590</v>
      </c>
      <c r="AD536" s="23" t="s">
        <v>197</v>
      </c>
      <c r="AE536" s="23" t="s">
        <v>197</v>
      </c>
      <c r="AF536" s="23" t="s">
        <v>197</v>
      </c>
      <c r="AG536" s="23" t="s">
        <v>197</v>
      </c>
      <c r="AH536" s="23" t="s">
        <v>197</v>
      </c>
      <c r="AI536" s="23" t="s">
        <v>197</v>
      </c>
      <c r="AJ536" s="23" t="n">
        <v>60</v>
      </c>
      <c r="AK536" s="23" t="s">
        <v>197</v>
      </c>
      <c r="AL536" s="23" t="s">
        <v>197</v>
      </c>
      <c r="AM536" s="23" t="s">
        <v>197</v>
      </c>
      <c r="AN536" s="9" t="s">
        <v>2518</v>
      </c>
      <c r="AO536" s="23" t="s">
        <v>197</v>
      </c>
      <c r="AP536" s="23" t="n">
        <v>2.5</v>
      </c>
      <c r="AQ536" s="23" t="n">
        <v>6</v>
      </c>
    </row>
    <row r="537" customFormat="false" ht="21.75" hidden="false" customHeight="true" outlineLevel="0" collapsed="false">
      <c r="B537" s="14" t="n">
        <v>533</v>
      </c>
      <c r="C537" s="7" t="s">
        <v>87</v>
      </c>
      <c r="D537" s="7" t="s">
        <v>23</v>
      </c>
      <c r="E537" s="7" t="s">
        <v>116</v>
      </c>
      <c r="F537" s="7" t="s">
        <v>96</v>
      </c>
      <c r="G537" s="7" t="s">
        <v>3591</v>
      </c>
      <c r="H537" s="7" t="s">
        <v>2520</v>
      </c>
      <c r="I537" s="7" t="s">
        <v>3587</v>
      </c>
      <c r="J537" s="7" t="s">
        <v>2512</v>
      </c>
      <c r="K537" s="7" t="s">
        <v>3588</v>
      </c>
      <c r="L537" s="7" t="s">
        <v>3563</v>
      </c>
      <c r="M537" s="7" t="s">
        <v>2514</v>
      </c>
      <c r="N537" s="7" t="s">
        <v>189</v>
      </c>
      <c r="O537" s="7" t="s">
        <v>189</v>
      </c>
      <c r="P537" s="7" t="s">
        <v>190</v>
      </c>
      <c r="Q537" s="7" t="s">
        <v>2515</v>
      </c>
      <c r="R537" s="7" t="s">
        <v>849</v>
      </c>
      <c r="S537" s="7" t="s">
        <v>3566</v>
      </c>
      <c r="T537" s="7" t="s">
        <v>3589</v>
      </c>
      <c r="U537" s="18" t="n">
        <v>45</v>
      </c>
      <c r="V537" s="7"/>
      <c r="W537" s="7"/>
      <c r="X537" s="7" t="s">
        <v>199</v>
      </c>
      <c r="Y537" s="22" t="n">
        <v>0.00011006</v>
      </c>
      <c r="Z537" s="22" t="n">
        <v>0.005</v>
      </c>
      <c r="AA537" s="22" t="n">
        <v>24</v>
      </c>
      <c r="AB537" s="7" t="s">
        <v>3563</v>
      </c>
      <c r="AC537" s="7" t="s">
        <v>3590</v>
      </c>
      <c r="AD537" s="22" t="s">
        <v>197</v>
      </c>
      <c r="AE537" s="22" t="s">
        <v>197</v>
      </c>
      <c r="AF537" s="22" t="s">
        <v>197</v>
      </c>
      <c r="AG537" s="22" t="s">
        <v>197</v>
      </c>
      <c r="AH537" s="22" t="s">
        <v>197</v>
      </c>
      <c r="AI537" s="22" t="s">
        <v>197</v>
      </c>
      <c r="AJ537" s="22" t="n">
        <v>80</v>
      </c>
      <c r="AK537" s="22" t="s">
        <v>197</v>
      </c>
      <c r="AL537" s="22" t="s">
        <v>197</v>
      </c>
      <c r="AM537" s="22" t="s">
        <v>197</v>
      </c>
      <c r="AN537" s="7" t="s">
        <v>2518</v>
      </c>
      <c r="AO537" s="22" t="s">
        <v>197</v>
      </c>
      <c r="AP537" s="22" t="n">
        <v>2.5</v>
      </c>
      <c r="AQ537" s="22" t="n">
        <v>6</v>
      </c>
    </row>
    <row r="538" customFormat="false" ht="21.75" hidden="false" customHeight="true" outlineLevel="0" collapsed="false">
      <c r="B538" s="15" t="n">
        <v>534</v>
      </c>
      <c r="C538" s="9" t="s">
        <v>87</v>
      </c>
      <c r="D538" s="9" t="s">
        <v>23</v>
      </c>
      <c r="E538" s="9" t="s">
        <v>116</v>
      </c>
      <c r="F538" s="9" t="s">
        <v>96</v>
      </c>
      <c r="G538" s="9" t="s">
        <v>3592</v>
      </c>
      <c r="H538" s="9" t="s">
        <v>2522</v>
      </c>
      <c r="I538" s="9" t="s">
        <v>3587</v>
      </c>
      <c r="J538" s="9" t="s">
        <v>2512</v>
      </c>
      <c r="K538" s="9" t="s">
        <v>3588</v>
      </c>
      <c r="L538" s="9" t="s">
        <v>3563</v>
      </c>
      <c r="M538" s="9" t="s">
        <v>2514</v>
      </c>
      <c r="N538" s="9" t="s">
        <v>189</v>
      </c>
      <c r="O538" s="9" t="s">
        <v>189</v>
      </c>
      <c r="P538" s="9" t="s">
        <v>190</v>
      </c>
      <c r="Q538" s="9" t="s">
        <v>2515</v>
      </c>
      <c r="R538" s="9" t="s">
        <v>849</v>
      </c>
      <c r="S538" s="9" t="s">
        <v>3566</v>
      </c>
      <c r="T538" s="9" t="s">
        <v>3589</v>
      </c>
      <c r="U538" s="19" t="n">
        <v>60</v>
      </c>
      <c r="V538" s="9"/>
      <c r="W538" s="9"/>
      <c r="X538" s="9" t="s">
        <v>3593</v>
      </c>
      <c r="Y538" s="23" t="n">
        <v>7.88E-005</v>
      </c>
      <c r="Z538" s="23" t="n">
        <v>0.003</v>
      </c>
      <c r="AA538" s="23" t="n">
        <v>24</v>
      </c>
      <c r="AB538" s="9" t="s">
        <v>3563</v>
      </c>
      <c r="AC538" s="9" t="s">
        <v>3590</v>
      </c>
      <c r="AD538" s="23" t="s">
        <v>197</v>
      </c>
      <c r="AE538" s="23" t="s">
        <v>197</v>
      </c>
      <c r="AF538" s="23" t="s">
        <v>197</v>
      </c>
      <c r="AG538" s="23" t="s">
        <v>197</v>
      </c>
      <c r="AH538" s="23" t="s">
        <v>197</v>
      </c>
      <c r="AI538" s="23" t="s">
        <v>197</v>
      </c>
      <c r="AJ538" s="23" t="n">
        <v>100</v>
      </c>
      <c r="AK538" s="23" t="s">
        <v>197</v>
      </c>
      <c r="AL538" s="23" t="s">
        <v>197</v>
      </c>
      <c r="AM538" s="23" t="s">
        <v>197</v>
      </c>
      <c r="AN538" s="9" t="s">
        <v>2518</v>
      </c>
      <c r="AO538" s="23" t="s">
        <v>197</v>
      </c>
      <c r="AP538" s="23" t="n">
        <v>2.5</v>
      </c>
      <c r="AQ538" s="23" t="n">
        <v>6</v>
      </c>
    </row>
    <row r="539" customFormat="false" ht="21.75" hidden="false" customHeight="true" outlineLevel="0" collapsed="false">
      <c r="B539" s="14" t="n">
        <v>535</v>
      </c>
      <c r="C539" s="7" t="s">
        <v>87</v>
      </c>
      <c r="D539" s="7" t="s">
        <v>23</v>
      </c>
      <c r="E539" s="7" t="s">
        <v>116</v>
      </c>
      <c r="F539" s="7" t="s">
        <v>96</v>
      </c>
      <c r="G539" s="7" t="s">
        <v>3594</v>
      </c>
      <c r="H539" s="7" t="s">
        <v>2525</v>
      </c>
      <c r="I539" s="7" t="s">
        <v>3587</v>
      </c>
      <c r="J539" s="7" t="s">
        <v>2512</v>
      </c>
      <c r="K539" s="7" t="s">
        <v>3588</v>
      </c>
      <c r="L539" s="7" t="s">
        <v>3563</v>
      </c>
      <c r="M539" s="7" t="s">
        <v>2514</v>
      </c>
      <c r="N539" s="7" t="s">
        <v>189</v>
      </c>
      <c r="O539" s="7" t="s">
        <v>189</v>
      </c>
      <c r="P539" s="7" t="s">
        <v>190</v>
      </c>
      <c r="Q539" s="7" t="s">
        <v>2515</v>
      </c>
      <c r="R539" s="7" t="s">
        <v>849</v>
      </c>
      <c r="S539" s="7" t="s">
        <v>3566</v>
      </c>
      <c r="T539" s="7" t="s">
        <v>3589</v>
      </c>
      <c r="U539" s="18" t="n">
        <v>90</v>
      </c>
      <c r="V539" s="7"/>
      <c r="W539" s="7"/>
      <c r="X539" s="7" t="s">
        <v>203</v>
      </c>
      <c r="Y539" s="22" t="n">
        <v>0.00011199</v>
      </c>
      <c r="Z539" s="22" t="n">
        <v>0.005</v>
      </c>
      <c r="AA539" s="22" t="n">
        <v>24</v>
      </c>
      <c r="AB539" s="7" t="s">
        <v>3563</v>
      </c>
      <c r="AC539" s="7" t="s">
        <v>3590</v>
      </c>
      <c r="AD539" s="22" t="s">
        <v>197</v>
      </c>
      <c r="AE539" s="22" t="s">
        <v>197</v>
      </c>
      <c r="AF539" s="22" t="s">
        <v>197</v>
      </c>
      <c r="AG539" s="22" t="s">
        <v>197</v>
      </c>
      <c r="AH539" s="22" t="s">
        <v>197</v>
      </c>
      <c r="AI539" s="22" t="s">
        <v>197</v>
      </c>
      <c r="AJ539" s="22" t="n">
        <v>100</v>
      </c>
      <c r="AK539" s="22" t="s">
        <v>197</v>
      </c>
      <c r="AL539" s="22" t="s">
        <v>197</v>
      </c>
      <c r="AM539" s="22" t="s">
        <v>197</v>
      </c>
      <c r="AN539" s="7" t="s">
        <v>2518</v>
      </c>
      <c r="AO539" s="22" t="s">
        <v>197</v>
      </c>
      <c r="AP539" s="22" t="n">
        <v>2.5</v>
      </c>
      <c r="AQ539" s="22" t="n">
        <v>6</v>
      </c>
    </row>
    <row r="540" customFormat="false" ht="21.75" hidden="false" customHeight="true" outlineLevel="0" collapsed="false">
      <c r="B540" s="15" t="n">
        <v>536</v>
      </c>
      <c r="C540" s="9" t="s">
        <v>87</v>
      </c>
      <c r="D540" s="9" t="s">
        <v>23</v>
      </c>
      <c r="E540" s="9" t="s">
        <v>116</v>
      </c>
      <c r="F540" s="9" t="s">
        <v>96</v>
      </c>
      <c r="G540" s="9" t="s">
        <v>3595</v>
      </c>
      <c r="H540" s="9" t="s">
        <v>2527</v>
      </c>
      <c r="I540" s="9" t="s">
        <v>3587</v>
      </c>
      <c r="J540" s="9" t="s">
        <v>2512</v>
      </c>
      <c r="K540" s="9" t="s">
        <v>3588</v>
      </c>
      <c r="L540" s="9" t="s">
        <v>3563</v>
      </c>
      <c r="M540" s="9" t="s">
        <v>2514</v>
      </c>
      <c r="N540" s="9" t="s">
        <v>189</v>
      </c>
      <c r="O540" s="9" t="s">
        <v>189</v>
      </c>
      <c r="P540" s="9" t="s">
        <v>190</v>
      </c>
      <c r="Q540" s="9" t="s">
        <v>2515</v>
      </c>
      <c r="R540" s="9" t="s">
        <v>849</v>
      </c>
      <c r="S540" s="9" t="s">
        <v>3566</v>
      </c>
      <c r="T540" s="9" t="s">
        <v>3589</v>
      </c>
      <c r="U540" s="19" t="n">
        <v>135</v>
      </c>
      <c r="V540" s="9"/>
      <c r="W540" s="9"/>
      <c r="X540" s="9" t="s">
        <v>205</v>
      </c>
      <c r="Y540" s="23" t="n">
        <v>9.49E-005</v>
      </c>
      <c r="Z540" s="23" t="n">
        <v>0.004</v>
      </c>
      <c r="AA540" s="23" t="n">
        <v>24</v>
      </c>
      <c r="AB540" s="9" t="s">
        <v>3563</v>
      </c>
      <c r="AC540" s="9" t="s">
        <v>3590</v>
      </c>
      <c r="AD540" s="23" t="s">
        <v>197</v>
      </c>
      <c r="AE540" s="23" t="s">
        <v>197</v>
      </c>
      <c r="AF540" s="23" t="s">
        <v>197</v>
      </c>
      <c r="AG540" s="23" t="s">
        <v>197</v>
      </c>
      <c r="AH540" s="23" t="s">
        <v>197</v>
      </c>
      <c r="AI540" s="23" t="s">
        <v>197</v>
      </c>
      <c r="AJ540" s="23" t="n">
        <v>120</v>
      </c>
      <c r="AK540" s="23" t="s">
        <v>197</v>
      </c>
      <c r="AL540" s="23" t="s">
        <v>197</v>
      </c>
      <c r="AM540" s="23" t="s">
        <v>197</v>
      </c>
      <c r="AN540" s="9" t="s">
        <v>2518</v>
      </c>
      <c r="AO540" s="23" t="s">
        <v>197</v>
      </c>
      <c r="AP540" s="23" t="n">
        <v>2.5</v>
      </c>
      <c r="AQ540" s="23" t="n">
        <v>6</v>
      </c>
    </row>
    <row r="541" customFormat="false" ht="21.75" hidden="false" customHeight="true" outlineLevel="0" collapsed="false">
      <c r="B541" s="14" t="n">
        <v>537</v>
      </c>
      <c r="C541" s="7" t="s">
        <v>87</v>
      </c>
      <c r="D541" s="7" t="s">
        <v>23</v>
      </c>
      <c r="E541" s="7" t="s">
        <v>116</v>
      </c>
      <c r="F541" s="7" t="s">
        <v>97</v>
      </c>
      <c r="G541" s="7" t="s">
        <v>3596</v>
      </c>
      <c r="H541" s="7" t="s">
        <v>2529</v>
      </c>
      <c r="I541" s="7" t="s">
        <v>3597</v>
      </c>
      <c r="J541" s="7" t="s">
        <v>2530</v>
      </c>
      <c r="K541" s="7" t="s">
        <v>3588</v>
      </c>
      <c r="L541" s="7" t="s">
        <v>3563</v>
      </c>
      <c r="M541" s="7" t="s">
        <v>2514</v>
      </c>
      <c r="N541" s="7" t="s">
        <v>189</v>
      </c>
      <c r="O541" s="7" t="s">
        <v>189</v>
      </c>
      <c r="P541" s="7" t="s">
        <v>190</v>
      </c>
      <c r="Q541" s="7" t="s">
        <v>2515</v>
      </c>
      <c r="R541" s="7" t="s">
        <v>2723</v>
      </c>
      <c r="S541" s="7" t="s">
        <v>3566</v>
      </c>
      <c r="T541" s="7" t="s">
        <v>3598</v>
      </c>
      <c r="U541" s="18" t="n">
        <v>25</v>
      </c>
      <c r="V541" s="7"/>
      <c r="W541" s="7"/>
      <c r="X541" s="7" t="s">
        <v>195</v>
      </c>
      <c r="Y541" s="22" t="n">
        <v>9.092E-005</v>
      </c>
      <c r="Z541" s="22" t="n">
        <v>0.004</v>
      </c>
      <c r="AA541" s="22" t="n">
        <v>24</v>
      </c>
      <c r="AB541" s="7" t="s">
        <v>3563</v>
      </c>
      <c r="AC541" s="7" t="s">
        <v>3590</v>
      </c>
      <c r="AD541" s="22" t="s">
        <v>197</v>
      </c>
      <c r="AE541" s="22" t="s">
        <v>197</v>
      </c>
      <c r="AF541" s="22" t="s">
        <v>197</v>
      </c>
      <c r="AG541" s="22" t="s">
        <v>197</v>
      </c>
      <c r="AH541" s="22" t="s">
        <v>197</v>
      </c>
      <c r="AI541" s="22" t="s">
        <v>197</v>
      </c>
      <c r="AJ541" s="22" t="n">
        <v>54</v>
      </c>
      <c r="AK541" s="22" t="s">
        <v>197</v>
      </c>
      <c r="AL541" s="22" t="s">
        <v>197</v>
      </c>
      <c r="AM541" s="22" t="s">
        <v>197</v>
      </c>
      <c r="AN541" s="7" t="s">
        <v>2518</v>
      </c>
      <c r="AO541" s="22" t="s">
        <v>197</v>
      </c>
      <c r="AP541" s="22" t="n">
        <v>2.5</v>
      </c>
      <c r="AQ541" s="22" t="n">
        <v>6</v>
      </c>
    </row>
    <row r="542" customFormat="false" ht="21.75" hidden="false" customHeight="true" outlineLevel="0" collapsed="false">
      <c r="B542" s="15" t="n">
        <v>538</v>
      </c>
      <c r="C542" s="9" t="s">
        <v>87</v>
      </c>
      <c r="D542" s="9" t="s">
        <v>23</v>
      </c>
      <c r="E542" s="9" t="s">
        <v>116</v>
      </c>
      <c r="F542" s="9" t="s">
        <v>97</v>
      </c>
      <c r="G542" s="9" t="s">
        <v>3599</v>
      </c>
      <c r="H542" s="9" t="s">
        <v>2535</v>
      </c>
      <c r="I542" s="9" t="s">
        <v>3597</v>
      </c>
      <c r="J542" s="9" t="s">
        <v>2530</v>
      </c>
      <c r="K542" s="9" t="s">
        <v>3588</v>
      </c>
      <c r="L542" s="9" t="s">
        <v>3563</v>
      </c>
      <c r="M542" s="9" t="s">
        <v>2514</v>
      </c>
      <c r="N542" s="9" t="s">
        <v>189</v>
      </c>
      <c r="O542" s="9" t="s">
        <v>189</v>
      </c>
      <c r="P542" s="9" t="s">
        <v>190</v>
      </c>
      <c r="Q542" s="9" t="s">
        <v>2515</v>
      </c>
      <c r="R542" s="9" t="s">
        <v>2723</v>
      </c>
      <c r="S542" s="9" t="s">
        <v>3566</v>
      </c>
      <c r="T542" s="9" t="s">
        <v>3598</v>
      </c>
      <c r="U542" s="19" t="n">
        <v>40</v>
      </c>
      <c r="V542" s="9"/>
      <c r="W542" s="9"/>
      <c r="X542" s="9" t="s">
        <v>199</v>
      </c>
      <c r="Y542" s="23" t="n">
        <v>6.295E-005</v>
      </c>
      <c r="Z542" s="23" t="n">
        <v>0.003</v>
      </c>
      <c r="AA542" s="23" t="n">
        <v>24</v>
      </c>
      <c r="AB542" s="9" t="s">
        <v>3563</v>
      </c>
      <c r="AC542" s="9" t="s">
        <v>3590</v>
      </c>
      <c r="AD542" s="23" t="s">
        <v>197</v>
      </c>
      <c r="AE542" s="23" t="s">
        <v>197</v>
      </c>
      <c r="AF542" s="23" t="s">
        <v>197</v>
      </c>
      <c r="AG542" s="23" t="s">
        <v>197</v>
      </c>
      <c r="AH542" s="23" t="s">
        <v>197</v>
      </c>
      <c r="AI542" s="23" t="s">
        <v>197</v>
      </c>
      <c r="AJ542" s="23" t="n">
        <v>44</v>
      </c>
      <c r="AK542" s="23" t="s">
        <v>197</v>
      </c>
      <c r="AL542" s="23" t="s">
        <v>197</v>
      </c>
      <c r="AM542" s="23" t="s">
        <v>197</v>
      </c>
      <c r="AN542" s="9" t="s">
        <v>2518</v>
      </c>
      <c r="AO542" s="23" t="s">
        <v>197</v>
      </c>
      <c r="AP542" s="23" t="n">
        <v>2.5</v>
      </c>
      <c r="AQ542" s="23" t="n">
        <v>6</v>
      </c>
    </row>
    <row r="543" customFormat="false" ht="21.75" hidden="false" customHeight="true" outlineLevel="0" collapsed="false">
      <c r="B543" s="14" t="n">
        <v>539</v>
      </c>
      <c r="C543" s="7" t="s">
        <v>87</v>
      </c>
      <c r="D543" s="7" t="s">
        <v>23</v>
      </c>
      <c r="E543" s="7" t="s">
        <v>116</v>
      </c>
      <c r="F543" s="7" t="s">
        <v>97</v>
      </c>
      <c r="G543" s="7" t="s">
        <v>3600</v>
      </c>
      <c r="H543" s="7" t="s">
        <v>2537</v>
      </c>
      <c r="I543" s="7" t="s">
        <v>3597</v>
      </c>
      <c r="J543" s="7" t="s">
        <v>2530</v>
      </c>
      <c r="K543" s="7" t="s">
        <v>3588</v>
      </c>
      <c r="L543" s="7" t="s">
        <v>3563</v>
      </c>
      <c r="M543" s="7" t="s">
        <v>2514</v>
      </c>
      <c r="N543" s="7" t="s">
        <v>189</v>
      </c>
      <c r="O543" s="7" t="s">
        <v>189</v>
      </c>
      <c r="P543" s="7" t="s">
        <v>190</v>
      </c>
      <c r="Q543" s="7" t="s">
        <v>2515</v>
      </c>
      <c r="R543" s="7" t="s">
        <v>2723</v>
      </c>
      <c r="S543" s="7" t="s">
        <v>3566</v>
      </c>
      <c r="T543" s="7" t="s">
        <v>3598</v>
      </c>
      <c r="U543" s="18" t="n">
        <v>55</v>
      </c>
      <c r="V543" s="7"/>
      <c r="W543" s="7"/>
      <c r="X543" s="7" t="s">
        <v>3601</v>
      </c>
      <c r="Y543" s="22" t="n">
        <v>9.846E-005</v>
      </c>
      <c r="Z543" s="22" t="n">
        <v>0.004</v>
      </c>
      <c r="AA543" s="22" t="n">
        <v>24</v>
      </c>
      <c r="AB543" s="7" t="s">
        <v>3563</v>
      </c>
      <c r="AC543" s="7" t="s">
        <v>3590</v>
      </c>
      <c r="AD543" s="22" t="s">
        <v>197</v>
      </c>
      <c r="AE543" s="22" t="s">
        <v>197</v>
      </c>
      <c r="AF543" s="22" t="s">
        <v>197</v>
      </c>
      <c r="AG543" s="22" t="s">
        <v>197</v>
      </c>
      <c r="AH543" s="22" t="s">
        <v>197</v>
      </c>
      <c r="AI543" s="22" t="s">
        <v>197</v>
      </c>
      <c r="AJ543" s="22" t="n">
        <v>56</v>
      </c>
      <c r="AK543" s="22" t="s">
        <v>197</v>
      </c>
      <c r="AL543" s="22" t="s">
        <v>197</v>
      </c>
      <c r="AM543" s="22" t="s">
        <v>197</v>
      </c>
      <c r="AN543" s="7" t="s">
        <v>2518</v>
      </c>
      <c r="AO543" s="22" t="s">
        <v>197</v>
      </c>
      <c r="AP543" s="22" t="n">
        <v>2.5</v>
      </c>
      <c r="AQ543" s="22" t="n">
        <v>6</v>
      </c>
    </row>
    <row r="544" customFormat="false" ht="21.75" hidden="false" customHeight="true" outlineLevel="0" collapsed="false">
      <c r="B544" s="15" t="n">
        <v>540</v>
      </c>
      <c r="C544" s="9" t="s">
        <v>87</v>
      </c>
      <c r="D544" s="9" t="s">
        <v>23</v>
      </c>
      <c r="E544" s="9" t="s">
        <v>116</v>
      </c>
      <c r="F544" s="9" t="s">
        <v>97</v>
      </c>
      <c r="G544" s="9" t="s">
        <v>3602</v>
      </c>
      <c r="H544" s="9" t="s">
        <v>2540</v>
      </c>
      <c r="I544" s="9" t="s">
        <v>3597</v>
      </c>
      <c r="J544" s="9" t="s">
        <v>2530</v>
      </c>
      <c r="K544" s="9" t="s">
        <v>3588</v>
      </c>
      <c r="L544" s="9" t="s">
        <v>3563</v>
      </c>
      <c r="M544" s="9" t="s">
        <v>2514</v>
      </c>
      <c r="N544" s="9" t="s">
        <v>189</v>
      </c>
      <c r="O544" s="9" t="s">
        <v>189</v>
      </c>
      <c r="P544" s="9" t="s">
        <v>190</v>
      </c>
      <c r="Q544" s="9" t="s">
        <v>2515</v>
      </c>
      <c r="R544" s="9" t="s">
        <v>2723</v>
      </c>
      <c r="S544" s="9" t="s">
        <v>3566</v>
      </c>
      <c r="T544" s="9" t="s">
        <v>3598</v>
      </c>
      <c r="U544" s="19" t="n">
        <v>85</v>
      </c>
      <c r="V544" s="9"/>
      <c r="W544" s="9"/>
      <c r="X544" s="9" t="s">
        <v>203</v>
      </c>
      <c r="Y544" s="23" t="n">
        <v>7.347E-005</v>
      </c>
      <c r="Z544" s="23" t="n">
        <v>0.003</v>
      </c>
      <c r="AA544" s="23" t="n">
        <v>24</v>
      </c>
      <c r="AB544" s="9" t="s">
        <v>3563</v>
      </c>
      <c r="AC544" s="9" t="s">
        <v>3590</v>
      </c>
      <c r="AD544" s="23" t="s">
        <v>197</v>
      </c>
      <c r="AE544" s="23" t="s">
        <v>197</v>
      </c>
      <c r="AF544" s="23" t="s">
        <v>197</v>
      </c>
      <c r="AG544" s="23" t="s">
        <v>197</v>
      </c>
      <c r="AH544" s="23" t="s">
        <v>197</v>
      </c>
      <c r="AI544" s="23" t="s">
        <v>197</v>
      </c>
      <c r="AJ544" s="23" t="n">
        <v>48</v>
      </c>
      <c r="AK544" s="23" t="s">
        <v>197</v>
      </c>
      <c r="AL544" s="23" t="s">
        <v>197</v>
      </c>
      <c r="AM544" s="23" t="s">
        <v>197</v>
      </c>
      <c r="AN544" s="9" t="s">
        <v>2518</v>
      </c>
      <c r="AO544" s="23" t="s">
        <v>197</v>
      </c>
      <c r="AP544" s="23" t="n">
        <v>2.5</v>
      </c>
      <c r="AQ544" s="23" t="n">
        <v>6</v>
      </c>
    </row>
    <row r="545" customFormat="false" ht="21.75" hidden="false" customHeight="true" outlineLevel="0" collapsed="false">
      <c r="B545" s="14" t="n">
        <v>541</v>
      </c>
      <c r="C545" s="7" t="s">
        <v>87</v>
      </c>
      <c r="D545" s="7" t="s">
        <v>23</v>
      </c>
      <c r="E545" s="7" t="s">
        <v>116</v>
      </c>
      <c r="F545" s="7" t="s">
        <v>97</v>
      </c>
      <c r="G545" s="7" t="s">
        <v>3603</v>
      </c>
      <c r="H545" s="7" t="s">
        <v>2542</v>
      </c>
      <c r="I545" s="7" t="s">
        <v>3597</v>
      </c>
      <c r="J545" s="7" t="s">
        <v>2530</v>
      </c>
      <c r="K545" s="7" t="s">
        <v>3588</v>
      </c>
      <c r="L545" s="7" t="s">
        <v>3563</v>
      </c>
      <c r="M545" s="7" t="s">
        <v>2514</v>
      </c>
      <c r="N545" s="7" t="s">
        <v>189</v>
      </c>
      <c r="O545" s="7" t="s">
        <v>189</v>
      </c>
      <c r="P545" s="7" t="s">
        <v>190</v>
      </c>
      <c r="Q545" s="7" t="s">
        <v>2515</v>
      </c>
      <c r="R545" s="7" t="s">
        <v>2723</v>
      </c>
      <c r="S545" s="7" t="s">
        <v>3566</v>
      </c>
      <c r="T545" s="7" t="s">
        <v>3598</v>
      </c>
      <c r="U545" s="18" t="n">
        <v>125</v>
      </c>
      <c r="V545" s="7"/>
      <c r="W545" s="7"/>
      <c r="X545" s="7" t="s">
        <v>205</v>
      </c>
      <c r="Y545" s="22" t="n">
        <v>7.964E-005</v>
      </c>
      <c r="Z545" s="22" t="n">
        <v>0.003</v>
      </c>
      <c r="AA545" s="22" t="n">
        <v>24</v>
      </c>
      <c r="AB545" s="7" t="s">
        <v>3563</v>
      </c>
      <c r="AC545" s="7" t="s">
        <v>3590</v>
      </c>
      <c r="AD545" s="22" t="s">
        <v>197</v>
      </c>
      <c r="AE545" s="22" t="s">
        <v>197</v>
      </c>
      <c r="AF545" s="22" t="s">
        <v>197</v>
      </c>
      <c r="AG545" s="22" t="s">
        <v>197</v>
      </c>
      <c r="AH545" s="22" t="s">
        <v>197</v>
      </c>
      <c r="AI545" s="22" t="s">
        <v>197</v>
      </c>
      <c r="AJ545" s="22" t="n">
        <v>50</v>
      </c>
      <c r="AK545" s="22" t="s">
        <v>197</v>
      </c>
      <c r="AL545" s="22" t="s">
        <v>197</v>
      </c>
      <c r="AM545" s="22" t="s">
        <v>197</v>
      </c>
      <c r="AN545" s="7" t="s">
        <v>2518</v>
      </c>
      <c r="AO545" s="22" t="s">
        <v>197</v>
      </c>
      <c r="AP545" s="22" t="n">
        <v>2.5</v>
      </c>
      <c r="AQ545" s="22" t="n">
        <v>6</v>
      </c>
    </row>
    <row r="546" customFormat="false" ht="21.75" hidden="false" customHeight="true" outlineLevel="0" collapsed="false">
      <c r="B546" s="15" t="n">
        <v>542</v>
      </c>
      <c r="C546" s="9" t="s">
        <v>87</v>
      </c>
      <c r="D546" s="9" t="s">
        <v>23</v>
      </c>
      <c r="E546" s="9" t="s">
        <v>116</v>
      </c>
      <c r="F546" s="9" t="s">
        <v>98</v>
      </c>
      <c r="G546" s="9" t="s">
        <v>391</v>
      </c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19"/>
      <c r="V546" s="9"/>
      <c r="W546" s="9"/>
      <c r="X546" s="9" t="s">
        <v>3604</v>
      </c>
      <c r="Y546" s="23" t="s">
        <v>197</v>
      </c>
      <c r="Z546" s="23" t="s">
        <v>197</v>
      </c>
      <c r="AA546" s="23" t="s">
        <v>197</v>
      </c>
      <c r="AB546" s="9" t="s">
        <v>197</v>
      </c>
      <c r="AC546" s="9" t="s">
        <v>197</v>
      </c>
      <c r="AD546" s="23" t="s">
        <v>197</v>
      </c>
      <c r="AE546" s="23" t="s">
        <v>197</v>
      </c>
      <c r="AF546" s="23" t="s">
        <v>197</v>
      </c>
      <c r="AG546" s="23" t="s">
        <v>197</v>
      </c>
      <c r="AH546" s="23" t="s">
        <v>197</v>
      </c>
      <c r="AI546" s="23" t="s">
        <v>197</v>
      </c>
      <c r="AJ546" s="23" t="s">
        <v>197</v>
      </c>
      <c r="AK546" s="23" t="s">
        <v>197</v>
      </c>
      <c r="AL546" s="23" t="s">
        <v>197</v>
      </c>
      <c r="AM546" s="23" t="s">
        <v>197</v>
      </c>
      <c r="AN546" s="9" t="s">
        <v>197</v>
      </c>
      <c r="AO546" s="23" t="s">
        <v>197</v>
      </c>
      <c r="AP546" s="23" t="s">
        <v>197</v>
      </c>
      <c r="AQ546" s="23" t="s">
        <v>197</v>
      </c>
    </row>
    <row r="547" customFormat="false" ht="21.75" hidden="false" customHeight="true" outlineLevel="0" collapsed="false">
      <c r="B547" s="14" t="n">
        <v>543</v>
      </c>
      <c r="C547" s="7" t="s">
        <v>87</v>
      </c>
      <c r="D547" s="7" t="s">
        <v>23</v>
      </c>
      <c r="E547" s="7" t="s">
        <v>116</v>
      </c>
      <c r="F547" s="7" t="s">
        <v>99</v>
      </c>
      <c r="G547" s="7" t="s">
        <v>391</v>
      </c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18"/>
      <c r="V547" s="7"/>
      <c r="W547" s="7"/>
      <c r="X547" s="7" t="s">
        <v>3605</v>
      </c>
      <c r="Y547" s="22" t="s">
        <v>197</v>
      </c>
      <c r="Z547" s="22" t="s">
        <v>197</v>
      </c>
      <c r="AA547" s="22" t="s">
        <v>197</v>
      </c>
      <c r="AB547" s="7" t="s">
        <v>197</v>
      </c>
      <c r="AC547" s="7" t="s">
        <v>197</v>
      </c>
      <c r="AD547" s="22" t="s">
        <v>197</v>
      </c>
      <c r="AE547" s="22" t="s">
        <v>197</v>
      </c>
      <c r="AF547" s="22" t="s">
        <v>197</v>
      </c>
      <c r="AG547" s="22" t="s">
        <v>197</v>
      </c>
      <c r="AH547" s="22" t="s">
        <v>197</v>
      </c>
      <c r="AI547" s="22" t="s">
        <v>197</v>
      </c>
      <c r="AJ547" s="22" t="s">
        <v>197</v>
      </c>
      <c r="AK547" s="22" t="s">
        <v>197</v>
      </c>
      <c r="AL547" s="22" t="s">
        <v>197</v>
      </c>
      <c r="AM547" s="22" t="s">
        <v>197</v>
      </c>
      <c r="AN547" s="7" t="s">
        <v>197</v>
      </c>
      <c r="AO547" s="22" t="s">
        <v>197</v>
      </c>
      <c r="AP547" s="22" t="s">
        <v>197</v>
      </c>
      <c r="AQ547" s="22" t="s">
        <v>197</v>
      </c>
    </row>
    <row r="548" customFormat="false" ht="21.75" hidden="false" customHeight="true" outlineLevel="0" collapsed="false">
      <c r="B548" s="15" t="n">
        <v>544</v>
      </c>
      <c r="C548" s="9" t="s">
        <v>87</v>
      </c>
      <c r="D548" s="9" t="s">
        <v>23</v>
      </c>
      <c r="E548" s="9" t="s">
        <v>116</v>
      </c>
      <c r="F548" s="9" t="s">
        <v>100</v>
      </c>
      <c r="G548" s="9" t="s">
        <v>391</v>
      </c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19"/>
      <c r="V548" s="9"/>
      <c r="W548" s="9"/>
      <c r="X548" s="9" t="s">
        <v>3606</v>
      </c>
      <c r="Y548" s="23" t="s">
        <v>197</v>
      </c>
      <c r="Z548" s="23" t="s">
        <v>197</v>
      </c>
      <c r="AA548" s="23" t="s">
        <v>197</v>
      </c>
      <c r="AB548" s="9" t="s">
        <v>197</v>
      </c>
      <c r="AC548" s="9" t="s">
        <v>197</v>
      </c>
      <c r="AD548" s="23" t="s">
        <v>197</v>
      </c>
      <c r="AE548" s="23" t="s">
        <v>197</v>
      </c>
      <c r="AF548" s="23" t="s">
        <v>197</v>
      </c>
      <c r="AG548" s="23" t="s">
        <v>197</v>
      </c>
      <c r="AH548" s="23" t="s">
        <v>197</v>
      </c>
      <c r="AI548" s="23" t="s">
        <v>197</v>
      </c>
      <c r="AJ548" s="23" t="s">
        <v>197</v>
      </c>
      <c r="AK548" s="23" t="s">
        <v>197</v>
      </c>
      <c r="AL548" s="23" t="s">
        <v>197</v>
      </c>
      <c r="AM548" s="23" t="s">
        <v>197</v>
      </c>
      <c r="AN548" s="9" t="s">
        <v>197</v>
      </c>
      <c r="AO548" s="23" t="s">
        <v>197</v>
      </c>
      <c r="AP548" s="23" t="s">
        <v>197</v>
      </c>
      <c r="AQ548" s="23" t="s">
        <v>197</v>
      </c>
    </row>
    <row r="549" customFormat="false" ht="21.75" hidden="false" customHeight="true" outlineLevel="0" collapsed="false">
      <c r="B549" s="14" t="n">
        <v>545</v>
      </c>
      <c r="C549" s="7" t="s">
        <v>87</v>
      </c>
      <c r="D549" s="7" t="s">
        <v>23</v>
      </c>
      <c r="E549" s="7" t="s">
        <v>116</v>
      </c>
      <c r="F549" s="7" t="s">
        <v>101</v>
      </c>
      <c r="G549" s="7" t="s">
        <v>391</v>
      </c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18"/>
      <c r="V549" s="7"/>
      <c r="W549" s="7"/>
      <c r="X549" s="7" t="s">
        <v>3607</v>
      </c>
      <c r="Y549" s="22" t="s">
        <v>197</v>
      </c>
      <c r="Z549" s="22" t="s">
        <v>197</v>
      </c>
      <c r="AA549" s="22" t="s">
        <v>197</v>
      </c>
      <c r="AB549" s="7" t="s">
        <v>197</v>
      </c>
      <c r="AC549" s="7" t="s">
        <v>197</v>
      </c>
      <c r="AD549" s="22" t="s">
        <v>197</v>
      </c>
      <c r="AE549" s="22" t="s">
        <v>197</v>
      </c>
      <c r="AF549" s="22" t="s">
        <v>197</v>
      </c>
      <c r="AG549" s="22" t="s">
        <v>197</v>
      </c>
      <c r="AH549" s="22" t="s">
        <v>197</v>
      </c>
      <c r="AI549" s="22" t="s">
        <v>197</v>
      </c>
      <c r="AJ549" s="22" t="s">
        <v>197</v>
      </c>
      <c r="AK549" s="22" t="s">
        <v>197</v>
      </c>
      <c r="AL549" s="22" t="s">
        <v>197</v>
      </c>
      <c r="AM549" s="22" t="s">
        <v>197</v>
      </c>
      <c r="AN549" s="7" t="s">
        <v>197</v>
      </c>
      <c r="AO549" s="22" t="s">
        <v>197</v>
      </c>
      <c r="AP549" s="22" t="s">
        <v>197</v>
      </c>
      <c r="AQ549" s="22" t="s">
        <v>197</v>
      </c>
    </row>
    <row r="550" customFormat="false" ht="21.75" hidden="false" customHeight="true" outlineLevel="0" collapsed="false">
      <c r="B550" s="15" t="n">
        <v>546</v>
      </c>
      <c r="C550" s="9" t="s">
        <v>87</v>
      </c>
      <c r="D550" s="9" t="s">
        <v>23</v>
      </c>
      <c r="E550" s="9" t="s">
        <v>116</v>
      </c>
      <c r="F550" s="9" t="s">
        <v>102</v>
      </c>
      <c r="G550" s="9" t="s">
        <v>3608</v>
      </c>
      <c r="H550" s="9" t="s">
        <v>2601</v>
      </c>
      <c r="I550" s="9" t="s">
        <v>2995</v>
      </c>
      <c r="J550" s="9" t="s">
        <v>2603</v>
      </c>
      <c r="K550" s="9" t="s">
        <v>3609</v>
      </c>
      <c r="L550" s="9" t="s">
        <v>3563</v>
      </c>
      <c r="M550" s="9" t="s">
        <v>2514</v>
      </c>
      <c r="N550" s="9" t="s">
        <v>189</v>
      </c>
      <c r="O550" s="9" t="s">
        <v>189</v>
      </c>
      <c r="P550" s="9" t="s">
        <v>190</v>
      </c>
      <c r="Q550" s="9" t="s">
        <v>2604</v>
      </c>
      <c r="R550" s="9" t="s">
        <v>838</v>
      </c>
      <c r="S550" s="9" t="s">
        <v>3566</v>
      </c>
      <c r="T550" s="9" t="s">
        <v>2909</v>
      </c>
      <c r="U550" s="19" t="n">
        <v>25</v>
      </c>
      <c r="V550" s="9"/>
      <c r="W550" s="9"/>
      <c r="X550" s="9" t="s">
        <v>195</v>
      </c>
      <c r="Y550" s="23" t="n">
        <v>0.00024388</v>
      </c>
      <c r="Z550" s="23" t="n">
        <v>0.003</v>
      </c>
      <c r="AA550" s="23" t="n">
        <v>24</v>
      </c>
      <c r="AB550" s="9" t="s">
        <v>3563</v>
      </c>
      <c r="AC550" s="9" t="s">
        <v>3590</v>
      </c>
      <c r="AD550" s="23" t="s">
        <v>197</v>
      </c>
      <c r="AE550" s="23" t="s">
        <v>197</v>
      </c>
      <c r="AF550" s="23" t="s">
        <v>197</v>
      </c>
      <c r="AG550" s="23" t="s">
        <v>197</v>
      </c>
      <c r="AH550" s="23" t="s">
        <v>197</v>
      </c>
      <c r="AI550" s="23" t="s">
        <v>197</v>
      </c>
      <c r="AJ550" s="23" t="s">
        <v>197</v>
      </c>
      <c r="AK550" s="23" t="s">
        <v>197</v>
      </c>
      <c r="AL550" s="23" t="s">
        <v>197</v>
      </c>
      <c r="AM550" s="23" t="s">
        <v>197</v>
      </c>
      <c r="AN550" s="9" t="s">
        <v>197</v>
      </c>
      <c r="AO550" s="23" t="s">
        <v>197</v>
      </c>
      <c r="AP550" s="23" t="n">
        <v>1.05</v>
      </c>
      <c r="AQ550" s="23" t="n">
        <v>1.4</v>
      </c>
    </row>
    <row r="551" customFormat="false" ht="21.75" hidden="false" customHeight="true" outlineLevel="0" collapsed="false">
      <c r="B551" s="14" t="n">
        <v>547</v>
      </c>
      <c r="C551" s="7" t="s">
        <v>87</v>
      </c>
      <c r="D551" s="7" t="s">
        <v>23</v>
      </c>
      <c r="E551" s="7" t="s">
        <v>116</v>
      </c>
      <c r="F551" s="7" t="s">
        <v>102</v>
      </c>
      <c r="G551" s="7" t="s">
        <v>3610</v>
      </c>
      <c r="H551" s="7" t="s">
        <v>2607</v>
      </c>
      <c r="I551" s="7" t="s">
        <v>2995</v>
      </c>
      <c r="J551" s="7" t="s">
        <v>2603</v>
      </c>
      <c r="K551" s="7" t="s">
        <v>3609</v>
      </c>
      <c r="L551" s="7" t="s">
        <v>3563</v>
      </c>
      <c r="M551" s="7" t="s">
        <v>2514</v>
      </c>
      <c r="N551" s="7" t="s">
        <v>189</v>
      </c>
      <c r="O551" s="7" t="s">
        <v>189</v>
      </c>
      <c r="P551" s="7" t="s">
        <v>190</v>
      </c>
      <c r="Q551" s="7" t="s">
        <v>2604</v>
      </c>
      <c r="R551" s="7" t="s">
        <v>838</v>
      </c>
      <c r="S551" s="7" t="s">
        <v>3566</v>
      </c>
      <c r="T551" s="7" t="s">
        <v>2909</v>
      </c>
      <c r="U551" s="18" t="n">
        <v>40</v>
      </c>
      <c r="V551" s="7"/>
      <c r="W551" s="7"/>
      <c r="X551" s="7" t="s">
        <v>199</v>
      </c>
      <c r="Y551" s="22" t="n">
        <v>0.00022436</v>
      </c>
      <c r="Z551" s="22" t="n">
        <v>0.003</v>
      </c>
      <c r="AA551" s="22" t="n">
        <v>24</v>
      </c>
      <c r="AB551" s="7" t="s">
        <v>3563</v>
      </c>
      <c r="AC551" s="7" t="s">
        <v>3590</v>
      </c>
      <c r="AD551" s="22" t="s">
        <v>197</v>
      </c>
      <c r="AE551" s="22" t="s">
        <v>197</v>
      </c>
      <c r="AF551" s="22" t="s">
        <v>197</v>
      </c>
      <c r="AG551" s="22" t="s">
        <v>197</v>
      </c>
      <c r="AH551" s="22" t="s">
        <v>197</v>
      </c>
      <c r="AI551" s="22" t="s">
        <v>197</v>
      </c>
      <c r="AJ551" s="22" t="s">
        <v>197</v>
      </c>
      <c r="AK551" s="22" t="s">
        <v>197</v>
      </c>
      <c r="AL551" s="22" t="s">
        <v>197</v>
      </c>
      <c r="AM551" s="22" t="s">
        <v>197</v>
      </c>
      <c r="AN551" s="7" t="s">
        <v>197</v>
      </c>
      <c r="AO551" s="22" t="s">
        <v>197</v>
      </c>
      <c r="AP551" s="22" t="n">
        <v>1.05</v>
      </c>
      <c r="AQ551" s="22" t="n">
        <v>1.4</v>
      </c>
    </row>
    <row r="552" customFormat="false" ht="21.75" hidden="false" customHeight="true" outlineLevel="0" collapsed="false">
      <c r="B552" s="15" t="n">
        <v>548</v>
      </c>
      <c r="C552" s="9" t="s">
        <v>87</v>
      </c>
      <c r="D552" s="9" t="s">
        <v>23</v>
      </c>
      <c r="E552" s="9" t="s">
        <v>116</v>
      </c>
      <c r="F552" s="9" t="s">
        <v>102</v>
      </c>
      <c r="G552" s="9" t="s">
        <v>3611</v>
      </c>
      <c r="H552" s="9" t="s">
        <v>2609</v>
      </c>
      <c r="I552" s="9" t="s">
        <v>2995</v>
      </c>
      <c r="J552" s="9" t="s">
        <v>2603</v>
      </c>
      <c r="K552" s="9" t="s">
        <v>3609</v>
      </c>
      <c r="L552" s="9" t="s">
        <v>3563</v>
      </c>
      <c r="M552" s="9" t="s">
        <v>2514</v>
      </c>
      <c r="N552" s="9" t="s">
        <v>189</v>
      </c>
      <c r="O552" s="9" t="s">
        <v>189</v>
      </c>
      <c r="P552" s="9" t="s">
        <v>190</v>
      </c>
      <c r="Q552" s="9" t="s">
        <v>2604</v>
      </c>
      <c r="R552" s="9" t="s">
        <v>838</v>
      </c>
      <c r="S552" s="9" t="s">
        <v>3566</v>
      </c>
      <c r="T552" s="9" t="s">
        <v>2909</v>
      </c>
      <c r="U552" s="19" t="n">
        <v>55</v>
      </c>
      <c r="V552" s="9"/>
      <c r="W552" s="9"/>
      <c r="X552" s="9" t="s">
        <v>3612</v>
      </c>
      <c r="Y552" s="23" t="n">
        <v>0.00032924</v>
      </c>
      <c r="Z552" s="23" t="n">
        <v>0.004</v>
      </c>
      <c r="AA552" s="23" t="n">
        <v>24</v>
      </c>
      <c r="AB552" s="9" t="s">
        <v>3563</v>
      </c>
      <c r="AC552" s="9" t="s">
        <v>3590</v>
      </c>
      <c r="AD552" s="23" t="s">
        <v>197</v>
      </c>
      <c r="AE552" s="23" t="s">
        <v>197</v>
      </c>
      <c r="AF552" s="23" t="s">
        <v>197</v>
      </c>
      <c r="AG552" s="23" t="s">
        <v>197</v>
      </c>
      <c r="AH552" s="23" t="s">
        <v>197</v>
      </c>
      <c r="AI552" s="23" t="s">
        <v>197</v>
      </c>
      <c r="AJ552" s="23" t="s">
        <v>197</v>
      </c>
      <c r="AK552" s="23" t="s">
        <v>197</v>
      </c>
      <c r="AL552" s="23" t="s">
        <v>197</v>
      </c>
      <c r="AM552" s="23" t="s">
        <v>197</v>
      </c>
      <c r="AN552" s="9" t="s">
        <v>197</v>
      </c>
      <c r="AO552" s="23" t="s">
        <v>197</v>
      </c>
      <c r="AP552" s="23" t="n">
        <v>1.05</v>
      </c>
      <c r="AQ552" s="23" t="n">
        <v>1.4</v>
      </c>
    </row>
    <row r="553" customFormat="false" ht="21.75" hidden="false" customHeight="true" outlineLevel="0" collapsed="false">
      <c r="B553" s="14" t="n">
        <v>549</v>
      </c>
      <c r="C553" s="7" t="s">
        <v>87</v>
      </c>
      <c r="D553" s="7" t="s">
        <v>23</v>
      </c>
      <c r="E553" s="7" t="s">
        <v>116</v>
      </c>
      <c r="F553" s="7" t="s">
        <v>102</v>
      </c>
      <c r="G553" s="7" t="s">
        <v>3613</v>
      </c>
      <c r="H553" s="7" t="s">
        <v>2612</v>
      </c>
      <c r="I553" s="7" t="s">
        <v>2995</v>
      </c>
      <c r="J553" s="7" t="s">
        <v>2603</v>
      </c>
      <c r="K553" s="7" t="s">
        <v>3609</v>
      </c>
      <c r="L553" s="7" t="s">
        <v>3563</v>
      </c>
      <c r="M553" s="7" t="s">
        <v>2514</v>
      </c>
      <c r="N553" s="7" t="s">
        <v>189</v>
      </c>
      <c r="O553" s="7" t="s">
        <v>189</v>
      </c>
      <c r="P553" s="7" t="s">
        <v>190</v>
      </c>
      <c r="Q553" s="7" t="s">
        <v>2604</v>
      </c>
      <c r="R553" s="7" t="s">
        <v>838</v>
      </c>
      <c r="S553" s="7" t="s">
        <v>3566</v>
      </c>
      <c r="T553" s="7" t="s">
        <v>2909</v>
      </c>
      <c r="U553" s="18" t="n">
        <v>85</v>
      </c>
      <c r="V553" s="7"/>
      <c r="W553" s="7"/>
      <c r="X553" s="7" t="s">
        <v>203</v>
      </c>
      <c r="Y553" s="22" t="n">
        <v>0.00039782</v>
      </c>
      <c r="Z553" s="22" t="n">
        <v>0.005</v>
      </c>
      <c r="AA553" s="22" t="n">
        <v>24</v>
      </c>
      <c r="AB553" s="7" t="s">
        <v>3563</v>
      </c>
      <c r="AC553" s="7" t="s">
        <v>3590</v>
      </c>
      <c r="AD553" s="22" t="s">
        <v>197</v>
      </c>
      <c r="AE553" s="22" t="s">
        <v>197</v>
      </c>
      <c r="AF553" s="22" t="s">
        <v>197</v>
      </c>
      <c r="AG553" s="22" t="s">
        <v>197</v>
      </c>
      <c r="AH553" s="22" t="s">
        <v>197</v>
      </c>
      <c r="AI553" s="22" t="s">
        <v>197</v>
      </c>
      <c r="AJ553" s="22" t="s">
        <v>197</v>
      </c>
      <c r="AK553" s="22" t="s">
        <v>197</v>
      </c>
      <c r="AL553" s="22" t="s">
        <v>197</v>
      </c>
      <c r="AM553" s="22" t="s">
        <v>197</v>
      </c>
      <c r="AN553" s="7" t="s">
        <v>197</v>
      </c>
      <c r="AO553" s="22" t="s">
        <v>197</v>
      </c>
      <c r="AP553" s="22" t="n">
        <v>1.05</v>
      </c>
      <c r="AQ553" s="22" t="n">
        <v>1.4</v>
      </c>
    </row>
    <row r="554" customFormat="false" ht="21.75" hidden="false" customHeight="true" outlineLevel="0" collapsed="false">
      <c r="B554" s="15" t="n">
        <v>550</v>
      </c>
      <c r="C554" s="9" t="s">
        <v>87</v>
      </c>
      <c r="D554" s="9" t="s">
        <v>23</v>
      </c>
      <c r="E554" s="9" t="s">
        <v>116</v>
      </c>
      <c r="F554" s="9" t="s">
        <v>102</v>
      </c>
      <c r="G554" s="9" t="s">
        <v>3614</v>
      </c>
      <c r="H554" s="9" t="s">
        <v>2614</v>
      </c>
      <c r="I554" s="9" t="s">
        <v>2995</v>
      </c>
      <c r="J554" s="9" t="s">
        <v>2603</v>
      </c>
      <c r="K554" s="9" t="s">
        <v>3609</v>
      </c>
      <c r="L554" s="9" t="s">
        <v>3563</v>
      </c>
      <c r="M554" s="9" t="s">
        <v>2514</v>
      </c>
      <c r="N554" s="9" t="s">
        <v>189</v>
      </c>
      <c r="O554" s="9" t="s">
        <v>189</v>
      </c>
      <c r="P554" s="9" t="s">
        <v>190</v>
      </c>
      <c r="Q554" s="9" t="s">
        <v>2604</v>
      </c>
      <c r="R554" s="9" t="s">
        <v>838</v>
      </c>
      <c r="S554" s="9" t="s">
        <v>3566</v>
      </c>
      <c r="T554" s="9" t="s">
        <v>2909</v>
      </c>
      <c r="U554" s="19" t="n">
        <v>125</v>
      </c>
      <c r="V554" s="9"/>
      <c r="W554" s="9"/>
      <c r="X554" s="9" t="s">
        <v>205</v>
      </c>
      <c r="Y554" s="23" t="n">
        <v>0.00024996</v>
      </c>
      <c r="Z554" s="23" t="n">
        <v>0.003</v>
      </c>
      <c r="AA554" s="23" t="n">
        <v>24</v>
      </c>
      <c r="AB554" s="9" t="s">
        <v>3563</v>
      </c>
      <c r="AC554" s="9" t="s">
        <v>3590</v>
      </c>
      <c r="AD554" s="23" t="s">
        <v>197</v>
      </c>
      <c r="AE554" s="23" t="s">
        <v>197</v>
      </c>
      <c r="AF554" s="23" t="s">
        <v>197</v>
      </c>
      <c r="AG554" s="23" t="s">
        <v>197</v>
      </c>
      <c r="AH554" s="23" t="s">
        <v>197</v>
      </c>
      <c r="AI554" s="23" t="s">
        <v>197</v>
      </c>
      <c r="AJ554" s="23" t="s">
        <v>197</v>
      </c>
      <c r="AK554" s="23" t="s">
        <v>197</v>
      </c>
      <c r="AL554" s="23" t="s">
        <v>197</v>
      </c>
      <c r="AM554" s="23" t="s">
        <v>197</v>
      </c>
      <c r="AN554" s="9" t="s">
        <v>197</v>
      </c>
      <c r="AO554" s="23" t="s">
        <v>197</v>
      </c>
      <c r="AP554" s="23" t="n">
        <v>1.05</v>
      </c>
      <c r="AQ554" s="23" t="n">
        <v>1.4</v>
      </c>
    </row>
    <row r="555" customFormat="false" ht="21.75" hidden="false" customHeight="true" outlineLevel="0" collapsed="false">
      <c r="B555" s="14" t="n">
        <v>551</v>
      </c>
      <c r="C555" s="7" t="s">
        <v>87</v>
      </c>
      <c r="D555" s="7" t="s">
        <v>23</v>
      </c>
      <c r="E555" s="7" t="s">
        <v>116</v>
      </c>
      <c r="F555" s="7" t="s">
        <v>103</v>
      </c>
      <c r="G555" s="7" t="s">
        <v>391</v>
      </c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18"/>
      <c r="V555" s="7"/>
      <c r="W555" s="7"/>
      <c r="X555" s="7" t="s">
        <v>2615</v>
      </c>
      <c r="Y555" s="22" t="s">
        <v>197</v>
      </c>
      <c r="Z555" s="22" t="s">
        <v>197</v>
      </c>
      <c r="AA555" s="22" t="s">
        <v>197</v>
      </c>
      <c r="AB555" s="7" t="s">
        <v>197</v>
      </c>
      <c r="AC555" s="7" t="s">
        <v>197</v>
      </c>
      <c r="AD555" s="22" t="s">
        <v>197</v>
      </c>
      <c r="AE555" s="22" t="s">
        <v>197</v>
      </c>
      <c r="AF555" s="22" t="s">
        <v>197</v>
      </c>
      <c r="AG555" s="22" t="s">
        <v>197</v>
      </c>
      <c r="AH555" s="22" t="s">
        <v>197</v>
      </c>
      <c r="AI555" s="22" t="s">
        <v>197</v>
      </c>
      <c r="AJ555" s="22" t="s">
        <v>197</v>
      </c>
      <c r="AK555" s="22" t="s">
        <v>197</v>
      </c>
      <c r="AL555" s="22" t="s">
        <v>197</v>
      </c>
      <c r="AM555" s="22" t="s">
        <v>197</v>
      </c>
      <c r="AN555" s="7" t="s">
        <v>197</v>
      </c>
      <c r="AO555" s="22" t="s">
        <v>197</v>
      </c>
      <c r="AP555" s="22" t="s">
        <v>197</v>
      </c>
      <c r="AQ555" s="22" t="s">
        <v>197</v>
      </c>
    </row>
    <row r="556" customFormat="false" ht="21.75" hidden="false" customHeight="true" outlineLevel="0" collapsed="false">
      <c r="B556" s="15" t="n">
        <v>552</v>
      </c>
      <c r="C556" s="9" t="s">
        <v>87</v>
      </c>
      <c r="D556" s="9" t="s">
        <v>23</v>
      </c>
      <c r="E556" s="9" t="s">
        <v>116</v>
      </c>
      <c r="F556" s="9" t="s">
        <v>104</v>
      </c>
      <c r="G556" s="9" t="s">
        <v>2616</v>
      </c>
      <c r="H556" s="9" t="s">
        <v>2617</v>
      </c>
      <c r="I556" s="9" t="s">
        <v>3615</v>
      </c>
      <c r="J556" s="9" t="s">
        <v>2918</v>
      </c>
      <c r="K556" s="9" t="s">
        <v>3588</v>
      </c>
      <c r="L556" s="9" t="s">
        <v>3563</v>
      </c>
      <c r="M556" s="9" t="s">
        <v>2514</v>
      </c>
      <c r="N556" s="9" t="s">
        <v>189</v>
      </c>
      <c r="O556" s="9" t="s">
        <v>189</v>
      </c>
      <c r="P556" s="9" t="s">
        <v>190</v>
      </c>
      <c r="Q556" s="9" t="s">
        <v>2620</v>
      </c>
      <c r="R556" s="9" t="s">
        <v>1048</v>
      </c>
      <c r="S556" s="9" t="s">
        <v>3566</v>
      </c>
      <c r="T556" s="9" t="s">
        <v>2621</v>
      </c>
      <c r="U556" s="19" t="n">
        <v>25</v>
      </c>
      <c r="V556" s="9"/>
      <c r="W556" s="9"/>
      <c r="X556" s="9" t="s">
        <v>195</v>
      </c>
      <c r="Y556" s="23" t="n">
        <v>0.00048252</v>
      </c>
      <c r="Z556" s="23" t="n">
        <v>0.006</v>
      </c>
      <c r="AA556" s="23" t="n">
        <v>24</v>
      </c>
      <c r="AB556" s="9" t="s">
        <v>3563</v>
      </c>
      <c r="AC556" s="9" t="s">
        <v>3590</v>
      </c>
      <c r="AD556" s="23" t="s">
        <v>197</v>
      </c>
      <c r="AE556" s="23" t="s">
        <v>197</v>
      </c>
      <c r="AF556" s="23" t="s">
        <v>197</v>
      </c>
      <c r="AG556" s="23" t="s">
        <v>197</v>
      </c>
      <c r="AH556" s="23" t="s">
        <v>197</v>
      </c>
      <c r="AI556" s="23" t="s">
        <v>197</v>
      </c>
      <c r="AJ556" s="23" t="s">
        <v>197</v>
      </c>
      <c r="AK556" s="23" t="s">
        <v>197</v>
      </c>
      <c r="AL556" s="23" t="s">
        <v>197</v>
      </c>
      <c r="AM556" s="23" t="s">
        <v>197</v>
      </c>
      <c r="AN556" s="9" t="s">
        <v>197</v>
      </c>
      <c r="AO556" s="23" t="s">
        <v>197</v>
      </c>
      <c r="AP556" s="23" t="s">
        <v>197</v>
      </c>
      <c r="AQ556" s="23" t="s">
        <v>197</v>
      </c>
    </row>
    <row r="557" customFormat="false" ht="21.75" hidden="false" customHeight="true" outlineLevel="0" collapsed="false">
      <c r="B557" s="14" t="n">
        <v>553</v>
      </c>
      <c r="C557" s="7" t="s">
        <v>87</v>
      </c>
      <c r="D557" s="7" t="s">
        <v>23</v>
      </c>
      <c r="E557" s="7" t="s">
        <v>116</v>
      </c>
      <c r="F557" s="7" t="s">
        <v>104</v>
      </c>
      <c r="G557" s="7" t="s">
        <v>2627</v>
      </c>
      <c r="H557" s="7" t="s">
        <v>2623</v>
      </c>
      <c r="I557" s="7" t="s">
        <v>3615</v>
      </c>
      <c r="J557" s="7" t="s">
        <v>2918</v>
      </c>
      <c r="K557" s="7" t="s">
        <v>3588</v>
      </c>
      <c r="L557" s="7" t="s">
        <v>3563</v>
      </c>
      <c r="M557" s="7" t="s">
        <v>2514</v>
      </c>
      <c r="N557" s="7" t="s">
        <v>189</v>
      </c>
      <c r="O557" s="7" t="s">
        <v>189</v>
      </c>
      <c r="P557" s="7" t="s">
        <v>190</v>
      </c>
      <c r="Q557" s="7" t="s">
        <v>2620</v>
      </c>
      <c r="R557" s="7" t="s">
        <v>1048</v>
      </c>
      <c r="S557" s="7" t="s">
        <v>3566</v>
      </c>
      <c r="T557" s="7" t="s">
        <v>2621</v>
      </c>
      <c r="U557" s="18" t="n">
        <v>40</v>
      </c>
      <c r="V557" s="7"/>
      <c r="W557" s="7"/>
      <c r="X557" s="7" t="s">
        <v>199</v>
      </c>
      <c r="Y557" s="22" t="n">
        <v>0.00059636</v>
      </c>
      <c r="Z557" s="22" t="n">
        <v>0.008</v>
      </c>
      <c r="AA557" s="22" t="n">
        <v>24</v>
      </c>
      <c r="AB557" s="7" t="s">
        <v>3563</v>
      </c>
      <c r="AC557" s="7" t="s">
        <v>3590</v>
      </c>
      <c r="AD557" s="22" t="s">
        <v>197</v>
      </c>
      <c r="AE557" s="22" t="s">
        <v>197</v>
      </c>
      <c r="AF557" s="22" t="s">
        <v>197</v>
      </c>
      <c r="AG557" s="22" t="s">
        <v>197</v>
      </c>
      <c r="AH557" s="22" t="s">
        <v>197</v>
      </c>
      <c r="AI557" s="22" t="s">
        <v>197</v>
      </c>
      <c r="AJ557" s="22" t="s">
        <v>197</v>
      </c>
      <c r="AK557" s="22" t="s">
        <v>197</v>
      </c>
      <c r="AL557" s="22" t="s">
        <v>197</v>
      </c>
      <c r="AM557" s="22" t="s">
        <v>197</v>
      </c>
      <c r="AN557" s="7" t="s">
        <v>197</v>
      </c>
      <c r="AO557" s="22" t="s">
        <v>197</v>
      </c>
      <c r="AP557" s="22" t="s">
        <v>197</v>
      </c>
      <c r="AQ557" s="22" t="s">
        <v>197</v>
      </c>
    </row>
    <row r="558" customFormat="false" ht="21.75" hidden="false" customHeight="true" outlineLevel="0" collapsed="false">
      <c r="B558" s="15" t="n">
        <v>554</v>
      </c>
      <c r="C558" s="9" t="s">
        <v>87</v>
      </c>
      <c r="D558" s="9" t="s">
        <v>23</v>
      </c>
      <c r="E558" s="9" t="s">
        <v>116</v>
      </c>
      <c r="F558" s="9" t="s">
        <v>104</v>
      </c>
      <c r="G558" s="9" t="s">
        <v>2622</v>
      </c>
      <c r="H558" s="9" t="s">
        <v>2625</v>
      </c>
      <c r="I558" s="9" t="s">
        <v>3615</v>
      </c>
      <c r="J558" s="9" t="s">
        <v>2918</v>
      </c>
      <c r="K558" s="9" t="s">
        <v>3588</v>
      </c>
      <c r="L558" s="9" t="s">
        <v>3563</v>
      </c>
      <c r="M558" s="9" t="s">
        <v>2514</v>
      </c>
      <c r="N558" s="9" t="s">
        <v>189</v>
      </c>
      <c r="O558" s="9" t="s">
        <v>189</v>
      </c>
      <c r="P558" s="9" t="s">
        <v>190</v>
      </c>
      <c r="Q558" s="9" t="s">
        <v>2620</v>
      </c>
      <c r="R558" s="9" t="s">
        <v>1048</v>
      </c>
      <c r="S558" s="9" t="s">
        <v>3566</v>
      </c>
      <c r="T558" s="9" t="s">
        <v>2621</v>
      </c>
      <c r="U558" s="19" t="n">
        <v>55</v>
      </c>
      <c r="V558" s="9"/>
      <c r="W558" s="9"/>
      <c r="X558" s="9" t="s">
        <v>3616</v>
      </c>
      <c r="Y558" s="23" t="n">
        <v>0.00052816</v>
      </c>
      <c r="Z558" s="23" t="n">
        <v>0.007</v>
      </c>
      <c r="AA558" s="23" t="n">
        <v>24</v>
      </c>
      <c r="AB558" s="9" t="s">
        <v>3563</v>
      </c>
      <c r="AC558" s="9" t="s">
        <v>3590</v>
      </c>
      <c r="AD558" s="23" t="s">
        <v>197</v>
      </c>
      <c r="AE558" s="23" t="s">
        <v>197</v>
      </c>
      <c r="AF558" s="23" t="s">
        <v>197</v>
      </c>
      <c r="AG558" s="23" t="s">
        <v>197</v>
      </c>
      <c r="AH558" s="23" t="s">
        <v>197</v>
      </c>
      <c r="AI558" s="23" t="s">
        <v>197</v>
      </c>
      <c r="AJ558" s="23" t="s">
        <v>197</v>
      </c>
      <c r="AK558" s="23" t="s">
        <v>197</v>
      </c>
      <c r="AL558" s="23" t="s">
        <v>197</v>
      </c>
      <c r="AM558" s="23" t="s">
        <v>197</v>
      </c>
      <c r="AN558" s="9" t="s">
        <v>197</v>
      </c>
      <c r="AO558" s="23" t="s">
        <v>197</v>
      </c>
      <c r="AP558" s="23" t="s">
        <v>197</v>
      </c>
      <c r="AQ558" s="23" t="s">
        <v>197</v>
      </c>
    </row>
    <row r="559" customFormat="false" ht="21.75" hidden="false" customHeight="true" outlineLevel="0" collapsed="false">
      <c r="B559" s="14" t="n">
        <v>555</v>
      </c>
      <c r="C559" s="7" t="s">
        <v>87</v>
      </c>
      <c r="D559" s="7" t="s">
        <v>23</v>
      </c>
      <c r="E559" s="7" t="s">
        <v>116</v>
      </c>
      <c r="F559" s="7" t="s">
        <v>104</v>
      </c>
      <c r="G559" s="7" t="s">
        <v>3617</v>
      </c>
      <c r="H559" s="7" t="s">
        <v>2628</v>
      </c>
      <c r="I559" s="7" t="s">
        <v>3615</v>
      </c>
      <c r="J559" s="7" t="s">
        <v>2918</v>
      </c>
      <c r="K559" s="7" t="s">
        <v>3588</v>
      </c>
      <c r="L559" s="7" t="s">
        <v>3563</v>
      </c>
      <c r="M559" s="7" t="s">
        <v>2514</v>
      </c>
      <c r="N559" s="7" t="s">
        <v>189</v>
      </c>
      <c r="O559" s="7" t="s">
        <v>189</v>
      </c>
      <c r="P559" s="7" t="s">
        <v>190</v>
      </c>
      <c r="Q559" s="7" t="s">
        <v>2620</v>
      </c>
      <c r="R559" s="7" t="s">
        <v>1048</v>
      </c>
      <c r="S559" s="7" t="s">
        <v>3566</v>
      </c>
      <c r="T559" s="7" t="s">
        <v>2621</v>
      </c>
      <c r="U559" s="18" t="n">
        <v>85</v>
      </c>
      <c r="V559" s="7"/>
      <c r="W559" s="7"/>
      <c r="X559" s="7" t="s">
        <v>203</v>
      </c>
      <c r="Y559" s="22" t="n">
        <v>0.0004552</v>
      </c>
      <c r="Z559" s="22" t="n">
        <v>0.006</v>
      </c>
      <c r="AA559" s="22" t="n">
        <v>24</v>
      </c>
      <c r="AB559" s="7" t="s">
        <v>3563</v>
      </c>
      <c r="AC559" s="7" t="s">
        <v>3590</v>
      </c>
      <c r="AD559" s="22" t="s">
        <v>197</v>
      </c>
      <c r="AE559" s="22" t="s">
        <v>197</v>
      </c>
      <c r="AF559" s="22" t="s">
        <v>197</v>
      </c>
      <c r="AG559" s="22" t="s">
        <v>197</v>
      </c>
      <c r="AH559" s="22" t="s">
        <v>197</v>
      </c>
      <c r="AI559" s="22" t="s">
        <v>197</v>
      </c>
      <c r="AJ559" s="22" t="s">
        <v>197</v>
      </c>
      <c r="AK559" s="22" t="s">
        <v>197</v>
      </c>
      <c r="AL559" s="22" t="s">
        <v>197</v>
      </c>
      <c r="AM559" s="22" t="s">
        <v>197</v>
      </c>
      <c r="AN559" s="7" t="s">
        <v>197</v>
      </c>
      <c r="AO559" s="22" t="s">
        <v>197</v>
      </c>
      <c r="AP559" s="22" t="s">
        <v>197</v>
      </c>
      <c r="AQ559" s="22" t="s">
        <v>197</v>
      </c>
    </row>
    <row r="560" customFormat="false" ht="21.75" hidden="false" customHeight="true" outlineLevel="0" collapsed="false">
      <c r="B560" s="15" t="n">
        <v>556</v>
      </c>
      <c r="C560" s="9" t="s">
        <v>87</v>
      </c>
      <c r="D560" s="9" t="s">
        <v>23</v>
      </c>
      <c r="E560" s="9" t="s">
        <v>116</v>
      </c>
      <c r="F560" s="9" t="s">
        <v>104</v>
      </c>
      <c r="G560" s="9" t="s">
        <v>3618</v>
      </c>
      <c r="H560" s="9" t="s">
        <v>2630</v>
      </c>
      <c r="I560" s="9" t="s">
        <v>3615</v>
      </c>
      <c r="J560" s="9" t="s">
        <v>2918</v>
      </c>
      <c r="K560" s="9" t="s">
        <v>3588</v>
      </c>
      <c r="L560" s="9" t="s">
        <v>3563</v>
      </c>
      <c r="M560" s="9" t="s">
        <v>2514</v>
      </c>
      <c r="N560" s="9" t="s">
        <v>189</v>
      </c>
      <c r="O560" s="9" t="s">
        <v>189</v>
      </c>
      <c r="P560" s="9" t="s">
        <v>190</v>
      </c>
      <c r="Q560" s="9" t="s">
        <v>2620</v>
      </c>
      <c r="R560" s="9" t="s">
        <v>1048</v>
      </c>
      <c r="S560" s="9" t="s">
        <v>3566</v>
      </c>
      <c r="T560" s="9" t="s">
        <v>2621</v>
      </c>
      <c r="U560" s="19" t="n">
        <v>125</v>
      </c>
      <c r="V560" s="9"/>
      <c r="W560" s="9"/>
      <c r="X560" s="9" t="s">
        <v>205</v>
      </c>
      <c r="Y560" s="23" t="n">
        <v>0.00073872</v>
      </c>
      <c r="Z560" s="23" t="n">
        <v>0.011</v>
      </c>
      <c r="AA560" s="23" t="n">
        <v>24</v>
      </c>
      <c r="AB560" s="9" t="s">
        <v>3563</v>
      </c>
      <c r="AC560" s="9" t="s">
        <v>3590</v>
      </c>
      <c r="AD560" s="23" t="s">
        <v>197</v>
      </c>
      <c r="AE560" s="23" t="s">
        <v>197</v>
      </c>
      <c r="AF560" s="23" t="s">
        <v>197</v>
      </c>
      <c r="AG560" s="23" t="s">
        <v>197</v>
      </c>
      <c r="AH560" s="23" t="s">
        <v>197</v>
      </c>
      <c r="AI560" s="23" t="s">
        <v>197</v>
      </c>
      <c r="AJ560" s="23" t="s">
        <v>197</v>
      </c>
      <c r="AK560" s="23" t="s">
        <v>197</v>
      </c>
      <c r="AL560" s="23" t="s">
        <v>197</v>
      </c>
      <c r="AM560" s="23" t="s">
        <v>197</v>
      </c>
      <c r="AN560" s="9" t="s">
        <v>197</v>
      </c>
      <c r="AO560" s="23" t="s">
        <v>197</v>
      </c>
      <c r="AP560" s="23" t="s">
        <v>197</v>
      </c>
      <c r="AQ560" s="23" t="s">
        <v>197</v>
      </c>
    </row>
    <row r="561" customFormat="false" ht="21.75" hidden="false" customHeight="true" outlineLevel="0" collapsed="false">
      <c r="B561" s="14" t="n">
        <v>557</v>
      </c>
      <c r="C561" s="7" t="s">
        <v>87</v>
      </c>
      <c r="D561" s="7" t="s">
        <v>23</v>
      </c>
      <c r="E561" s="7" t="s">
        <v>116</v>
      </c>
      <c r="F561" s="7" t="s">
        <v>105</v>
      </c>
      <c r="G561" s="7" t="s">
        <v>2631</v>
      </c>
      <c r="H561" s="7" t="s">
        <v>2632</v>
      </c>
      <c r="I561" s="7" t="s">
        <v>3619</v>
      </c>
      <c r="J561" s="7" t="s">
        <v>3032</v>
      </c>
      <c r="K561" s="7" t="s">
        <v>3588</v>
      </c>
      <c r="L561" s="7" t="s">
        <v>3563</v>
      </c>
      <c r="M561" s="7" t="s">
        <v>2514</v>
      </c>
      <c r="N561" s="7" t="s">
        <v>189</v>
      </c>
      <c r="O561" s="7" t="s">
        <v>189</v>
      </c>
      <c r="P561" s="7" t="s">
        <v>190</v>
      </c>
      <c r="Q561" s="7" t="s">
        <v>2620</v>
      </c>
      <c r="R561" s="7" t="s">
        <v>1048</v>
      </c>
      <c r="S561" s="7" t="s">
        <v>3566</v>
      </c>
      <c r="T561" s="7" t="s">
        <v>2926</v>
      </c>
      <c r="U561" s="18" t="n">
        <v>30</v>
      </c>
      <c r="V561" s="7"/>
      <c r="W561" s="7"/>
      <c r="X561" s="7" t="s">
        <v>195</v>
      </c>
      <c r="Y561" s="22" t="n">
        <v>0.00087548</v>
      </c>
      <c r="Z561" s="22" t="n">
        <v>0.058</v>
      </c>
      <c r="AA561" s="22" t="n">
        <v>24</v>
      </c>
      <c r="AB561" s="7" t="s">
        <v>3563</v>
      </c>
      <c r="AC561" s="7" t="s">
        <v>3590</v>
      </c>
      <c r="AD561" s="22" t="s">
        <v>197</v>
      </c>
      <c r="AE561" s="22" t="s">
        <v>197</v>
      </c>
      <c r="AF561" s="22" t="s">
        <v>197</v>
      </c>
      <c r="AG561" s="22" t="s">
        <v>197</v>
      </c>
      <c r="AH561" s="22" t="s">
        <v>197</v>
      </c>
      <c r="AI561" s="22" t="s">
        <v>197</v>
      </c>
      <c r="AJ561" s="22" t="s">
        <v>197</v>
      </c>
      <c r="AK561" s="22" t="s">
        <v>197</v>
      </c>
      <c r="AL561" s="22" t="s">
        <v>197</v>
      </c>
      <c r="AM561" s="22" t="s">
        <v>197</v>
      </c>
      <c r="AN561" s="7" t="s">
        <v>197</v>
      </c>
      <c r="AO561" s="22" t="s">
        <v>197</v>
      </c>
      <c r="AP561" s="22" t="s">
        <v>197</v>
      </c>
      <c r="AQ561" s="22" t="s">
        <v>197</v>
      </c>
    </row>
    <row r="562" customFormat="false" ht="21.75" hidden="false" customHeight="true" outlineLevel="0" collapsed="false">
      <c r="B562" s="15" t="n">
        <v>558</v>
      </c>
      <c r="C562" s="9" t="s">
        <v>87</v>
      </c>
      <c r="D562" s="9" t="s">
        <v>23</v>
      </c>
      <c r="E562" s="9" t="s">
        <v>116</v>
      </c>
      <c r="F562" s="9" t="s">
        <v>105</v>
      </c>
      <c r="G562" s="9" t="s">
        <v>3620</v>
      </c>
      <c r="H562" s="9" t="s">
        <v>2637</v>
      </c>
      <c r="I562" s="9" t="s">
        <v>3619</v>
      </c>
      <c r="J562" s="9" t="s">
        <v>3032</v>
      </c>
      <c r="K562" s="9" t="s">
        <v>3588</v>
      </c>
      <c r="L562" s="9" t="s">
        <v>3563</v>
      </c>
      <c r="M562" s="9" t="s">
        <v>2514</v>
      </c>
      <c r="N562" s="9" t="s">
        <v>189</v>
      </c>
      <c r="O562" s="9" t="s">
        <v>189</v>
      </c>
      <c r="P562" s="9" t="s">
        <v>190</v>
      </c>
      <c r="Q562" s="9" t="s">
        <v>2620</v>
      </c>
      <c r="R562" s="9" t="s">
        <v>1048</v>
      </c>
      <c r="S562" s="9" t="s">
        <v>3566</v>
      </c>
      <c r="T562" s="9" t="s">
        <v>2926</v>
      </c>
      <c r="U562" s="19" t="n">
        <v>45</v>
      </c>
      <c r="V562" s="9"/>
      <c r="W562" s="9"/>
      <c r="X562" s="9" t="s">
        <v>199</v>
      </c>
      <c r="Y562" s="23" t="n">
        <v>0.0008868</v>
      </c>
      <c r="Z562" s="23" t="n">
        <v>0.059</v>
      </c>
      <c r="AA562" s="23" t="n">
        <v>24</v>
      </c>
      <c r="AB562" s="9" t="s">
        <v>3563</v>
      </c>
      <c r="AC562" s="9" t="s">
        <v>3590</v>
      </c>
      <c r="AD562" s="23" t="s">
        <v>197</v>
      </c>
      <c r="AE562" s="23" t="s">
        <v>197</v>
      </c>
      <c r="AF562" s="23" t="s">
        <v>197</v>
      </c>
      <c r="AG562" s="23" t="s">
        <v>197</v>
      </c>
      <c r="AH562" s="23" t="s">
        <v>197</v>
      </c>
      <c r="AI562" s="23" t="s">
        <v>197</v>
      </c>
      <c r="AJ562" s="23" t="s">
        <v>197</v>
      </c>
      <c r="AK562" s="23" t="s">
        <v>197</v>
      </c>
      <c r="AL562" s="23" t="s">
        <v>197</v>
      </c>
      <c r="AM562" s="23" t="s">
        <v>197</v>
      </c>
      <c r="AN562" s="9" t="s">
        <v>197</v>
      </c>
      <c r="AO562" s="23" t="s">
        <v>197</v>
      </c>
      <c r="AP562" s="23" t="s">
        <v>197</v>
      </c>
      <c r="AQ562" s="23" t="s">
        <v>197</v>
      </c>
    </row>
    <row r="563" customFormat="false" ht="21.75" hidden="false" customHeight="true" outlineLevel="0" collapsed="false">
      <c r="B563" s="14" t="n">
        <v>559</v>
      </c>
      <c r="C563" s="7" t="s">
        <v>87</v>
      </c>
      <c r="D563" s="7" t="s">
        <v>23</v>
      </c>
      <c r="E563" s="7" t="s">
        <v>116</v>
      </c>
      <c r="F563" s="7" t="s">
        <v>105</v>
      </c>
      <c r="G563" s="7" t="s">
        <v>3621</v>
      </c>
      <c r="H563" s="7" t="s">
        <v>2639</v>
      </c>
      <c r="I563" s="7" t="s">
        <v>3619</v>
      </c>
      <c r="J563" s="7" t="s">
        <v>3032</v>
      </c>
      <c r="K563" s="7" t="s">
        <v>3588</v>
      </c>
      <c r="L563" s="7" t="s">
        <v>3563</v>
      </c>
      <c r="M563" s="7" t="s">
        <v>2514</v>
      </c>
      <c r="N563" s="7" t="s">
        <v>189</v>
      </c>
      <c r="O563" s="7" t="s">
        <v>189</v>
      </c>
      <c r="P563" s="7" t="s">
        <v>190</v>
      </c>
      <c r="Q563" s="7" t="s">
        <v>2620</v>
      </c>
      <c r="R563" s="7" t="s">
        <v>1048</v>
      </c>
      <c r="S563" s="7" t="s">
        <v>3566</v>
      </c>
      <c r="T563" s="7" t="s">
        <v>2926</v>
      </c>
      <c r="U563" s="18" t="n">
        <v>65</v>
      </c>
      <c r="V563" s="7"/>
      <c r="W563" s="7"/>
      <c r="X563" s="7" t="s">
        <v>3622</v>
      </c>
      <c r="Y563" s="22" t="n">
        <v>0.00069</v>
      </c>
      <c r="Z563" s="22" t="n">
        <v>0.039</v>
      </c>
      <c r="AA563" s="22" t="n">
        <v>24</v>
      </c>
      <c r="AB563" s="7" t="s">
        <v>3563</v>
      </c>
      <c r="AC563" s="7" t="s">
        <v>3590</v>
      </c>
      <c r="AD563" s="22" t="s">
        <v>197</v>
      </c>
      <c r="AE563" s="22" t="s">
        <v>197</v>
      </c>
      <c r="AF563" s="22" t="s">
        <v>197</v>
      </c>
      <c r="AG563" s="22" t="s">
        <v>197</v>
      </c>
      <c r="AH563" s="22" t="s">
        <v>197</v>
      </c>
      <c r="AI563" s="22" t="s">
        <v>197</v>
      </c>
      <c r="AJ563" s="22" t="s">
        <v>197</v>
      </c>
      <c r="AK563" s="22" t="s">
        <v>197</v>
      </c>
      <c r="AL563" s="22" t="s">
        <v>197</v>
      </c>
      <c r="AM563" s="22" t="s">
        <v>197</v>
      </c>
      <c r="AN563" s="7" t="s">
        <v>197</v>
      </c>
      <c r="AO563" s="22" t="s">
        <v>197</v>
      </c>
      <c r="AP563" s="22" t="s">
        <v>197</v>
      </c>
      <c r="AQ563" s="22" t="s">
        <v>197</v>
      </c>
    </row>
    <row r="564" customFormat="false" ht="21.75" hidden="false" customHeight="true" outlineLevel="0" collapsed="false">
      <c r="B564" s="15" t="n">
        <v>560</v>
      </c>
      <c r="C564" s="9" t="s">
        <v>87</v>
      </c>
      <c r="D564" s="9" t="s">
        <v>23</v>
      </c>
      <c r="E564" s="9" t="s">
        <v>116</v>
      </c>
      <c r="F564" s="9" t="s">
        <v>105</v>
      </c>
      <c r="G564" s="9" t="s">
        <v>3623</v>
      </c>
      <c r="H564" s="9" t="s">
        <v>2642</v>
      </c>
      <c r="I564" s="9" t="s">
        <v>3619</v>
      </c>
      <c r="J564" s="9" t="s">
        <v>3032</v>
      </c>
      <c r="K564" s="9" t="s">
        <v>3588</v>
      </c>
      <c r="L564" s="9" t="s">
        <v>3563</v>
      </c>
      <c r="M564" s="9" t="s">
        <v>2514</v>
      </c>
      <c r="N564" s="9" t="s">
        <v>189</v>
      </c>
      <c r="O564" s="9" t="s">
        <v>189</v>
      </c>
      <c r="P564" s="9" t="s">
        <v>190</v>
      </c>
      <c r="Q564" s="9" t="s">
        <v>2620</v>
      </c>
      <c r="R564" s="9" t="s">
        <v>1048</v>
      </c>
      <c r="S564" s="9" t="s">
        <v>3566</v>
      </c>
      <c r="T564" s="9" t="s">
        <v>2926</v>
      </c>
      <c r="U564" s="19" t="n">
        <v>95</v>
      </c>
      <c r="V564" s="9"/>
      <c r="W564" s="9"/>
      <c r="X564" s="9" t="s">
        <v>203</v>
      </c>
      <c r="Y564" s="23" t="n">
        <v>0.0005824</v>
      </c>
      <c r="Z564" s="23" t="n">
        <v>0.028</v>
      </c>
      <c r="AA564" s="23" t="n">
        <v>24</v>
      </c>
      <c r="AB564" s="9" t="s">
        <v>3563</v>
      </c>
      <c r="AC564" s="9" t="s">
        <v>3590</v>
      </c>
      <c r="AD564" s="23" t="s">
        <v>197</v>
      </c>
      <c r="AE564" s="23" t="s">
        <v>197</v>
      </c>
      <c r="AF564" s="23" t="s">
        <v>197</v>
      </c>
      <c r="AG564" s="23" t="s">
        <v>197</v>
      </c>
      <c r="AH564" s="23" t="s">
        <v>197</v>
      </c>
      <c r="AI564" s="23" t="s">
        <v>197</v>
      </c>
      <c r="AJ564" s="23" t="s">
        <v>197</v>
      </c>
      <c r="AK564" s="23" t="s">
        <v>197</v>
      </c>
      <c r="AL564" s="23" t="s">
        <v>197</v>
      </c>
      <c r="AM564" s="23" t="s">
        <v>197</v>
      </c>
      <c r="AN564" s="9" t="s">
        <v>197</v>
      </c>
      <c r="AO564" s="23" t="s">
        <v>197</v>
      </c>
      <c r="AP564" s="23" t="s">
        <v>197</v>
      </c>
      <c r="AQ564" s="23" t="s">
        <v>197</v>
      </c>
    </row>
    <row r="565" customFormat="false" ht="21.75" hidden="false" customHeight="true" outlineLevel="0" collapsed="false">
      <c r="B565" s="14" t="n">
        <v>561</v>
      </c>
      <c r="C565" s="7" t="s">
        <v>87</v>
      </c>
      <c r="D565" s="7" t="s">
        <v>23</v>
      </c>
      <c r="E565" s="7" t="s">
        <v>116</v>
      </c>
      <c r="F565" s="7" t="s">
        <v>105</v>
      </c>
      <c r="G565" s="7" t="s">
        <v>3624</v>
      </c>
      <c r="H565" s="7" t="s">
        <v>2644</v>
      </c>
      <c r="I565" s="7" t="s">
        <v>3619</v>
      </c>
      <c r="J565" s="7" t="s">
        <v>3032</v>
      </c>
      <c r="K565" s="7" t="s">
        <v>3588</v>
      </c>
      <c r="L565" s="7" t="s">
        <v>3563</v>
      </c>
      <c r="M565" s="7" t="s">
        <v>2514</v>
      </c>
      <c r="N565" s="7" t="s">
        <v>189</v>
      </c>
      <c r="O565" s="7" t="s">
        <v>189</v>
      </c>
      <c r="P565" s="7" t="s">
        <v>190</v>
      </c>
      <c r="Q565" s="7" t="s">
        <v>2620</v>
      </c>
      <c r="R565" s="7" t="s">
        <v>1048</v>
      </c>
      <c r="S565" s="7" t="s">
        <v>3566</v>
      </c>
      <c r="T565" s="7" t="s">
        <v>2926</v>
      </c>
      <c r="U565" s="18" t="n">
        <v>140</v>
      </c>
      <c r="V565" s="7"/>
      <c r="W565" s="7"/>
      <c r="X565" s="7" t="s">
        <v>205</v>
      </c>
      <c r="Y565" s="22" t="n">
        <v>0.00082212</v>
      </c>
      <c r="Z565" s="22" t="n">
        <v>0.052</v>
      </c>
      <c r="AA565" s="22" t="n">
        <v>24</v>
      </c>
      <c r="AB565" s="7" t="s">
        <v>3563</v>
      </c>
      <c r="AC565" s="7" t="s">
        <v>3590</v>
      </c>
      <c r="AD565" s="22" t="s">
        <v>197</v>
      </c>
      <c r="AE565" s="22" t="s">
        <v>197</v>
      </c>
      <c r="AF565" s="22" t="s">
        <v>197</v>
      </c>
      <c r="AG565" s="22" t="s">
        <v>197</v>
      </c>
      <c r="AH565" s="22" t="s">
        <v>197</v>
      </c>
      <c r="AI565" s="22" t="s">
        <v>197</v>
      </c>
      <c r="AJ565" s="22" t="s">
        <v>197</v>
      </c>
      <c r="AK565" s="22" t="s">
        <v>197</v>
      </c>
      <c r="AL565" s="22" t="s">
        <v>197</v>
      </c>
      <c r="AM565" s="22" t="s">
        <v>197</v>
      </c>
      <c r="AN565" s="7" t="s">
        <v>197</v>
      </c>
      <c r="AO565" s="22" t="s">
        <v>197</v>
      </c>
      <c r="AP565" s="22" t="s">
        <v>197</v>
      </c>
      <c r="AQ565" s="22" t="s">
        <v>197</v>
      </c>
    </row>
    <row r="566" customFormat="false" ht="21.75" hidden="false" customHeight="true" outlineLevel="0" collapsed="false">
      <c r="B566" s="15" t="n">
        <v>562</v>
      </c>
      <c r="C566" s="9" t="s">
        <v>87</v>
      </c>
      <c r="D566" s="9" t="s">
        <v>23</v>
      </c>
      <c r="E566" s="9" t="s">
        <v>116</v>
      </c>
      <c r="F566" s="9" t="s">
        <v>106</v>
      </c>
      <c r="G566" s="9" t="s">
        <v>2645</v>
      </c>
      <c r="H566" s="9" t="s">
        <v>2646</v>
      </c>
      <c r="I566" s="9" t="s">
        <v>3625</v>
      </c>
      <c r="J566" s="9" t="s">
        <v>2648</v>
      </c>
      <c r="K566" s="9" t="s">
        <v>2649</v>
      </c>
      <c r="L566" s="9" t="s">
        <v>3563</v>
      </c>
      <c r="M566" s="9" t="s">
        <v>2650</v>
      </c>
      <c r="N566" s="9" t="s">
        <v>1332</v>
      </c>
      <c r="O566" s="9" t="s">
        <v>189</v>
      </c>
      <c r="P566" s="9" t="s">
        <v>190</v>
      </c>
      <c r="Q566" s="9" t="s">
        <v>2651</v>
      </c>
      <c r="R566" s="9" t="s">
        <v>2081</v>
      </c>
      <c r="S566" s="9" t="s">
        <v>3566</v>
      </c>
      <c r="T566" s="9" t="s">
        <v>3626</v>
      </c>
      <c r="U566" s="19" t="n">
        <v>155</v>
      </c>
      <c r="V566" s="9"/>
      <c r="W566" s="9"/>
      <c r="X566" s="9" t="s">
        <v>195</v>
      </c>
      <c r="Y566" s="23" t="n">
        <v>0.085</v>
      </c>
      <c r="Z566" s="23" t="n">
        <v>0.243</v>
      </c>
      <c r="AA566" s="23" t="n">
        <v>24</v>
      </c>
      <c r="AB566" s="9" t="s">
        <v>3563</v>
      </c>
      <c r="AC566" s="9" t="s">
        <v>3627</v>
      </c>
      <c r="AD566" s="23" t="n">
        <v>0.085</v>
      </c>
      <c r="AE566" s="23" t="n">
        <v>0.243</v>
      </c>
      <c r="AF566" s="23" t="s">
        <v>197</v>
      </c>
      <c r="AG566" s="23" t="s">
        <v>197</v>
      </c>
      <c r="AH566" s="23" t="s">
        <v>197</v>
      </c>
      <c r="AI566" s="23" t="s">
        <v>197</v>
      </c>
      <c r="AJ566" s="23" t="s">
        <v>197</v>
      </c>
      <c r="AK566" s="23" t="s">
        <v>197</v>
      </c>
      <c r="AL566" s="23" t="s">
        <v>197</v>
      </c>
      <c r="AM566" s="23" t="s">
        <v>197</v>
      </c>
      <c r="AN566" s="9" t="s">
        <v>197</v>
      </c>
      <c r="AO566" s="23" t="s">
        <v>197</v>
      </c>
      <c r="AP566" s="23" t="n">
        <v>1.2</v>
      </c>
      <c r="AQ566" s="23" t="n">
        <v>1.7</v>
      </c>
    </row>
    <row r="567" customFormat="false" ht="21.75" hidden="false" customHeight="true" outlineLevel="0" collapsed="false">
      <c r="B567" s="14" t="n">
        <v>563</v>
      </c>
      <c r="C567" s="7" t="s">
        <v>87</v>
      </c>
      <c r="D567" s="7" t="s">
        <v>23</v>
      </c>
      <c r="E567" s="7" t="s">
        <v>116</v>
      </c>
      <c r="F567" s="7" t="s">
        <v>106</v>
      </c>
      <c r="G567" s="7" t="s">
        <v>3628</v>
      </c>
      <c r="H567" s="7" t="s">
        <v>2646</v>
      </c>
      <c r="I567" s="7" t="s">
        <v>3625</v>
      </c>
      <c r="J567" s="7" t="s">
        <v>2648</v>
      </c>
      <c r="K567" s="7" t="s">
        <v>2649</v>
      </c>
      <c r="L567" s="7" t="s">
        <v>3563</v>
      </c>
      <c r="M567" s="7" t="s">
        <v>2650</v>
      </c>
      <c r="N567" s="7" t="s">
        <v>1332</v>
      </c>
      <c r="O567" s="7" t="s">
        <v>189</v>
      </c>
      <c r="P567" s="7" t="s">
        <v>190</v>
      </c>
      <c r="Q567" s="7" t="s">
        <v>2651</v>
      </c>
      <c r="R567" s="7" t="s">
        <v>2081</v>
      </c>
      <c r="S567" s="7" t="s">
        <v>3566</v>
      </c>
      <c r="T567" s="7" t="s">
        <v>3626</v>
      </c>
      <c r="U567" s="18" t="n">
        <v>235</v>
      </c>
      <c r="V567" s="7"/>
      <c r="W567" s="7"/>
      <c r="X567" s="7" t="s">
        <v>199</v>
      </c>
      <c r="Y567" s="22" t="n">
        <v>0.085</v>
      </c>
      <c r="Z567" s="22" t="n">
        <v>0.35</v>
      </c>
      <c r="AA567" s="22" t="n">
        <v>24</v>
      </c>
      <c r="AB567" s="7" t="s">
        <v>3563</v>
      </c>
      <c r="AC567" s="7" t="s">
        <v>3627</v>
      </c>
      <c r="AD567" s="22" t="n">
        <v>0.085</v>
      </c>
      <c r="AE567" s="22" t="n">
        <v>0.35</v>
      </c>
      <c r="AF567" s="22" t="s">
        <v>197</v>
      </c>
      <c r="AG567" s="22" t="s">
        <v>197</v>
      </c>
      <c r="AH567" s="22" t="s">
        <v>197</v>
      </c>
      <c r="AI567" s="22" t="s">
        <v>197</v>
      </c>
      <c r="AJ567" s="22" t="s">
        <v>197</v>
      </c>
      <c r="AK567" s="22" t="s">
        <v>197</v>
      </c>
      <c r="AL567" s="22" t="s">
        <v>197</v>
      </c>
      <c r="AM567" s="22" t="s">
        <v>197</v>
      </c>
      <c r="AN567" s="7" t="s">
        <v>197</v>
      </c>
      <c r="AO567" s="22" t="s">
        <v>197</v>
      </c>
      <c r="AP567" s="22" t="n">
        <v>1.2</v>
      </c>
      <c r="AQ567" s="22" t="n">
        <v>1.7</v>
      </c>
    </row>
    <row r="568" customFormat="false" ht="21.75" hidden="false" customHeight="true" outlineLevel="0" collapsed="false">
      <c r="B568" s="15" t="n">
        <v>564</v>
      </c>
      <c r="C568" s="9" t="s">
        <v>87</v>
      </c>
      <c r="D568" s="9" t="s">
        <v>23</v>
      </c>
      <c r="E568" s="9" t="s">
        <v>116</v>
      </c>
      <c r="F568" s="9" t="s">
        <v>106</v>
      </c>
      <c r="G568" s="9" t="s">
        <v>3629</v>
      </c>
      <c r="H568" s="9" t="s">
        <v>2646</v>
      </c>
      <c r="I568" s="9" t="s">
        <v>3625</v>
      </c>
      <c r="J568" s="9" t="s">
        <v>2648</v>
      </c>
      <c r="K568" s="9" t="s">
        <v>2649</v>
      </c>
      <c r="L568" s="9" t="s">
        <v>3563</v>
      </c>
      <c r="M568" s="9" t="s">
        <v>2650</v>
      </c>
      <c r="N568" s="9" t="s">
        <v>1332</v>
      </c>
      <c r="O568" s="9" t="s">
        <v>189</v>
      </c>
      <c r="P568" s="9" t="s">
        <v>190</v>
      </c>
      <c r="Q568" s="9" t="s">
        <v>2651</v>
      </c>
      <c r="R568" s="9" t="s">
        <v>2081</v>
      </c>
      <c r="S568" s="9" t="s">
        <v>3566</v>
      </c>
      <c r="T568" s="9" t="s">
        <v>3626</v>
      </c>
      <c r="U568" s="19" t="n">
        <v>315</v>
      </c>
      <c r="V568" s="9"/>
      <c r="W568" s="9"/>
      <c r="X568" s="9" t="s">
        <v>3630</v>
      </c>
      <c r="Y568" s="23" t="n">
        <v>0.085</v>
      </c>
      <c r="Z568" s="23" t="n">
        <v>0.218</v>
      </c>
      <c r="AA568" s="23" t="n">
        <v>24</v>
      </c>
      <c r="AB568" s="9" t="s">
        <v>3563</v>
      </c>
      <c r="AC568" s="9" t="s">
        <v>3627</v>
      </c>
      <c r="AD568" s="23" t="n">
        <v>0.085</v>
      </c>
      <c r="AE568" s="23" t="n">
        <v>0.218</v>
      </c>
      <c r="AF568" s="23" t="s">
        <v>197</v>
      </c>
      <c r="AG568" s="23" t="s">
        <v>197</v>
      </c>
      <c r="AH568" s="23" t="s">
        <v>197</v>
      </c>
      <c r="AI568" s="23" t="s">
        <v>197</v>
      </c>
      <c r="AJ568" s="23" t="s">
        <v>197</v>
      </c>
      <c r="AK568" s="23" t="s">
        <v>197</v>
      </c>
      <c r="AL568" s="23" t="s">
        <v>197</v>
      </c>
      <c r="AM568" s="23" t="s">
        <v>197</v>
      </c>
      <c r="AN568" s="9" t="s">
        <v>197</v>
      </c>
      <c r="AO568" s="23" t="s">
        <v>197</v>
      </c>
      <c r="AP568" s="23" t="n">
        <v>1.2</v>
      </c>
      <c r="AQ568" s="23" t="n">
        <v>1.7</v>
      </c>
    </row>
    <row r="569" customFormat="false" ht="21.75" hidden="false" customHeight="true" outlineLevel="0" collapsed="false">
      <c r="B569" s="14" t="n">
        <v>565</v>
      </c>
      <c r="C569" s="7" t="s">
        <v>87</v>
      </c>
      <c r="D569" s="7" t="s">
        <v>23</v>
      </c>
      <c r="E569" s="7" t="s">
        <v>116</v>
      </c>
      <c r="F569" s="7" t="s">
        <v>106</v>
      </c>
      <c r="G569" s="7" t="s">
        <v>3631</v>
      </c>
      <c r="H569" s="7" t="s">
        <v>2646</v>
      </c>
      <c r="I569" s="7" t="s">
        <v>3625</v>
      </c>
      <c r="J569" s="7" t="s">
        <v>2648</v>
      </c>
      <c r="K569" s="7" t="s">
        <v>2649</v>
      </c>
      <c r="L569" s="7" t="s">
        <v>3563</v>
      </c>
      <c r="M569" s="7" t="s">
        <v>2650</v>
      </c>
      <c r="N569" s="7" t="s">
        <v>1332</v>
      </c>
      <c r="O569" s="7" t="s">
        <v>189</v>
      </c>
      <c r="P569" s="7" t="s">
        <v>190</v>
      </c>
      <c r="Q569" s="7" t="s">
        <v>2651</v>
      </c>
      <c r="R569" s="7" t="s">
        <v>2081</v>
      </c>
      <c r="S569" s="7" t="s">
        <v>3566</v>
      </c>
      <c r="T569" s="7" t="s">
        <v>3626</v>
      </c>
      <c r="U569" s="18" t="n">
        <v>470</v>
      </c>
      <c r="V569" s="7"/>
      <c r="W569" s="7"/>
      <c r="X569" s="7" t="s">
        <v>203</v>
      </c>
      <c r="Y569" s="22" t="n">
        <v>0.085</v>
      </c>
      <c r="Z569" s="22" t="n">
        <v>0.292</v>
      </c>
      <c r="AA569" s="22" t="n">
        <v>24</v>
      </c>
      <c r="AB569" s="7" t="s">
        <v>3563</v>
      </c>
      <c r="AC569" s="7" t="s">
        <v>3627</v>
      </c>
      <c r="AD569" s="22" t="n">
        <v>0.085</v>
      </c>
      <c r="AE569" s="22" t="n">
        <v>0.292</v>
      </c>
      <c r="AF569" s="22" t="s">
        <v>197</v>
      </c>
      <c r="AG569" s="22" t="s">
        <v>197</v>
      </c>
      <c r="AH569" s="22" t="s">
        <v>197</v>
      </c>
      <c r="AI569" s="22" t="s">
        <v>197</v>
      </c>
      <c r="AJ569" s="22" t="s">
        <v>197</v>
      </c>
      <c r="AK569" s="22" t="s">
        <v>197</v>
      </c>
      <c r="AL569" s="22" t="s">
        <v>197</v>
      </c>
      <c r="AM569" s="22" t="s">
        <v>197</v>
      </c>
      <c r="AN569" s="7" t="s">
        <v>197</v>
      </c>
      <c r="AO569" s="22" t="s">
        <v>197</v>
      </c>
      <c r="AP569" s="22" t="n">
        <v>1.2</v>
      </c>
      <c r="AQ569" s="22" t="n">
        <v>1.7</v>
      </c>
    </row>
    <row r="570" customFormat="false" ht="21.75" hidden="false" customHeight="true" outlineLevel="0" collapsed="false">
      <c r="B570" s="15" t="n">
        <v>566</v>
      </c>
      <c r="C570" s="9" t="s">
        <v>87</v>
      </c>
      <c r="D570" s="9" t="s">
        <v>23</v>
      </c>
      <c r="E570" s="9" t="s">
        <v>116</v>
      </c>
      <c r="F570" s="9" t="s">
        <v>106</v>
      </c>
      <c r="G570" s="9" t="s">
        <v>3632</v>
      </c>
      <c r="H570" s="9" t="s">
        <v>2646</v>
      </c>
      <c r="I570" s="9" t="s">
        <v>3625</v>
      </c>
      <c r="J570" s="9" t="s">
        <v>2648</v>
      </c>
      <c r="K570" s="9" t="s">
        <v>2649</v>
      </c>
      <c r="L570" s="9" t="s">
        <v>3563</v>
      </c>
      <c r="M570" s="9" t="s">
        <v>2650</v>
      </c>
      <c r="N570" s="9" t="s">
        <v>1332</v>
      </c>
      <c r="O570" s="9" t="s">
        <v>189</v>
      </c>
      <c r="P570" s="9" t="s">
        <v>190</v>
      </c>
      <c r="Q570" s="9" t="s">
        <v>2651</v>
      </c>
      <c r="R570" s="9" t="s">
        <v>2081</v>
      </c>
      <c r="S570" s="9" t="s">
        <v>3566</v>
      </c>
      <c r="T570" s="9" t="s">
        <v>3626</v>
      </c>
      <c r="U570" s="19" t="n">
        <v>690</v>
      </c>
      <c r="V570" s="9"/>
      <c r="W570" s="9"/>
      <c r="X570" s="9" t="s">
        <v>205</v>
      </c>
      <c r="Y570" s="23" t="n">
        <v>0.085</v>
      </c>
      <c r="Z570" s="23" t="n">
        <v>0.197</v>
      </c>
      <c r="AA570" s="23" t="n">
        <v>24</v>
      </c>
      <c r="AB570" s="9" t="s">
        <v>3563</v>
      </c>
      <c r="AC570" s="9" t="s">
        <v>3627</v>
      </c>
      <c r="AD570" s="23" t="n">
        <v>0.085</v>
      </c>
      <c r="AE570" s="23" t="n">
        <v>0.197</v>
      </c>
      <c r="AF570" s="23" t="s">
        <v>197</v>
      </c>
      <c r="AG570" s="23" t="s">
        <v>197</v>
      </c>
      <c r="AH570" s="23" t="s">
        <v>197</v>
      </c>
      <c r="AI570" s="23" t="s">
        <v>197</v>
      </c>
      <c r="AJ570" s="23" t="s">
        <v>197</v>
      </c>
      <c r="AK570" s="23" t="s">
        <v>197</v>
      </c>
      <c r="AL570" s="23" t="s">
        <v>197</v>
      </c>
      <c r="AM570" s="23" t="s">
        <v>197</v>
      </c>
      <c r="AN570" s="9" t="s">
        <v>197</v>
      </c>
      <c r="AO570" s="23" t="s">
        <v>197</v>
      </c>
      <c r="AP570" s="23" t="n">
        <v>1.2</v>
      </c>
      <c r="AQ570" s="23" t="n">
        <v>1.7</v>
      </c>
    </row>
    <row r="571" customFormat="false" ht="21.75" hidden="false" customHeight="true" outlineLevel="0" collapsed="false">
      <c r="B571" s="14" t="n">
        <v>567</v>
      </c>
      <c r="C571" s="7" t="s">
        <v>87</v>
      </c>
      <c r="D571" s="7" t="s">
        <v>23</v>
      </c>
      <c r="E571" s="7" t="s">
        <v>116</v>
      </c>
      <c r="F571" s="7" t="s">
        <v>107</v>
      </c>
      <c r="G571" s="7" t="s">
        <v>391</v>
      </c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18"/>
      <c r="V571" s="7"/>
      <c r="W571" s="7"/>
      <c r="X571" s="7" t="s">
        <v>3633</v>
      </c>
      <c r="Y571" s="22" t="s">
        <v>197</v>
      </c>
      <c r="Z571" s="22" t="s">
        <v>197</v>
      </c>
      <c r="AA571" s="22" t="s">
        <v>197</v>
      </c>
      <c r="AB571" s="7" t="s">
        <v>197</v>
      </c>
      <c r="AC571" s="7" t="s">
        <v>197</v>
      </c>
      <c r="AD571" s="22" t="s">
        <v>197</v>
      </c>
      <c r="AE571" s="22" t="s">
        <v>197</v>
      </c>
      <c r="AF571" s="22" t="s">
        <v>197</v>
      </c>
      <c r="AG571" s="22" t="s">
        <v>197</v>
      </c>
      <c r="AH571" s="22" t="s">
        <v>197</v>
      </c>
      <c r="AI571" s="22" t="s">
        <v>197</v>
      </c>
      <c r="AJ571" s="22" t="s">
        <v>197</v>
      </c>
      <c r="AK571" s="22" t="s">
        <v>197</v>
      </c>
      <c r="AL571" s="22" t="s">
        <v>197</v>
      </c>
      <c r="AM571" s="22" t="s">
        <v>197</v>
      </c>
      <c r="AN571" s="7" t="s">
        <v>197</v>
      </c>
      <c r="AO571" s="22" t="s">
        <v>197</v>
      </c>
      <c r="AP571" s="22" t="s">
        <v>197</v>
      </c>
      <c r="AQ571" s="22" t="s">
        <v>197</v>
      </c>
    </row>
    <row r="572" customFormat="false" ht="21.75" hidden="false" customHeight="true" outlineLevel="0" collapsed="false">
      <c r="B572" s="15" t="n">
        <v>568</v>
      </c>
      <c r="C572" s="9" t="s">
        <v>87</v>
      </c>
      <c r="D572" s="9" t="s">
        <v>23</v>
      </c>
      <c r="E572" s="9" t="s">
        <v>116</v>
      </c>
      <c r="F572" s="9" t="s">
        <v>108</v>
      </c>
      <c r="G572" s="9" t="s">
        <v>3634</v>
      </c>
      <c r="H572" s="9" t="s">
        <v>2661</v>
      </c>
      <c r="I572" s="9" t="s">
        <v>3635</v>
      </c>
      <c r="J572" s="9" t="s">
        <v>3636</v>
      </c>
      <c r="K572" s="9" t="s">
        <v>3588</v>
      </c>
      <c r="L572" s="9" t="s">
        <v>3563</v>
      </c>
      <c r="M572" s="9" t="s">
        <v>2514</v>
      </c>
      <c r="N572" s="9" t="s">
        <v>189</v>
      </c>
      <c r="O572" s="9" t="s">
        <v>189</v>
      </c>
      <c r="P572" s="9" t="s">
        <v>190</v>
      </c>
      <c r="Q572" s="9" t="s">
        <v>3637</v>
      </c>
      <c r="R572" s="9" t="s">
        <v>3638</v>
      </c>
      <c r="S572" s="9" t="s">
        <v>3566</v>
      </c>
      <c r="T572" s="9" t="s">
        <v>3639</v>
      </c>
      <c r="U572" s="19" t="n">
        <v>11</v>
      </c>
      <c r="V572" s="9"/>
      <c r="W572" s="9"/>
      <c r="X572" s="9" t="s">
        <v>195</v>
      </c>
      <c r="Y572" s="23" t="n">
        <v>0.00024572</v>
      </c>
      <c r="Z572" s="23" t="n">
        <v>0.001</v>
      </c>
      <c r="AA572" s="23" t="n">
        <v>24</v>
      </c>
      <c r="AB572" s="9" t="s">
        <v>3563</v>
      </c>
      <c r="AC572" s="9" t="s">
        <v>3640</v>
      </c>
      <c r="AD572" s="23" t="s">
        <v>197</v>
      </c>
      <c r="AE572" s="23" t="s">
        <v>197</v>
      </c>
      <c r="AF572" s="23" t="s">
        <v>197</v>
      </c>
      <c r="AG572" s="23" t="s">
        <v>197</v>
      </c>
      <c r="AH572" s="23" t="s">
        <v>197</v>
      </c>
      <c r="AI572" s="23" t="s">
        <v>197</v>
      </c>
      <c r="AJ572" s="23" t="s">
        <v>197</v>
      </c>
      <c r="AK572" s="23" t="s">
        <v>197</v>
      </c>
      <c r="AL572" s="23" t="s">
        <v>197</v>
      </c>
      <c r="AM572" s="23" t="s">
        <v>197</v>
      </c>
      <c r="AN572" s="9" t="s">
        <v>197</v>
      </c>
      <c r="AO572" s="23" t="s">
        <v>197</v>
      </c>
      <c r="AP572" s="23" t="s">
        <v>197</v>
      </c>
      <c r="AQ572" s="23" t="s">
        <v>197</v>
      </c>
    </row>
    <row r="573" customFormat="false" ht="21.75" hidden="false" customHeight="true" outlineLevel="0" collapsed="false">
      <c r="B573" s="14" t="n">
        <v>569</v>
      </c>
      <c r="C573" s="7" t="s">
        <v>87</v>
      </c>
      <c r="D573" s="7" t="s">
        <v>23</v>
      </c>
      <c r="E573" s="7" t="s">
        <v>116</v>
      </c>
      <c r="F573" s="7" t="s">
        <v>108</v>
      </c>
      <c r="G573" s="7" t="s">
        <v>2671</v>
      </c>
      <c r="H573" s="7" t="s">
        <v>2667</v>
      </c>
      <c r="I573" s="7" t="s">
        <v>3635</v>
      </c>
      <c r="J573" s="7" t="s">
        <v>3636</v>
      </c>
      <c r="K573" s="7" t="s">
        <v>3588</v>
      </c>
      <c r="L573" s="7" t="s">
        <v>3563</v>
      </c>
      <c r="M573" s="7" t="s">
        <v>2514</v>
      </c>
      <c r="N573" s="7" t="s">
        <v>189</v>
      </c>
      <c r="O573" s="7" t="s">
        <v>189</v>
      </c>
      <c r="P573" s="7" t="s">
        <v>190</v>
      </c>
      <c r="Q573" s="7" t="s">
        <v>3637</v>
      </c>
      <c r="R573" s="7" t="s">
        <v>3638</v>
      </c>
      <c r="S573" s="7" t="s">
        <v>3566</v>
      </c>
      <c r="T573" s="7" t="s">
        <v>3639</v>
      </c>
      <c r="U573" s="18" t="n">
        <v>16</v>
      </c>
      <c r="V573" s="7"/>
      <c r="W573" s="7"/>
      <c r="X573" s="7" t="s">
        <v>199</v>
      </c>
      <c r="Y573" s="22" t="n">
        <v>0.00037688</v>
      </c>
      <c r="Z573" s="22" t="n">
        <v>0.002</v>
      </c>
      <c r="AA573" s="22" t="n">
        <v>24</v>
      </c>
      <c r="AB573" s="7" t="s">
        <v>3563</v>
      </c>
      <c r="AC573" s="7" t="s">
        <v>3640</v>
      </c>
      <c r="AD573" s="22" t="s">
        <v>197</v>
      </c>
      <c r="AE573" s="22" t="s">
        <v>197</v>
      </c>
      <c r="AF573" s="22" t="s">
        <v>197</v>
      </c>
      <c r="AG573" s="22" t="s">
        <v>197</v>
      </c>
      <c r="AH573" s="22" t="s">
        <v>197</v>
      </c>
      <c r="AI573" s="22" t="s">
        <v>197</v>
      </c>
      <c r="AJ573" s="22" t="s">
        <v>197</v>
      </c>
      <c r="AK573" s="22" t="s">
        <v>197</v>
      </c>
      <c r="AL573" s="22" t="s">
        <v>197</v>
      </c>
      <c r="AM573" s="22" t="s">
        <v>197</v>
      </c>
      <c r="AN573" s="7" t="s">
        <v>197</v>
      </c>
      <c r="AO573" s="22" t="s">
        <v>197</v>
      </c>
      <c r="AP573" s="22" t="s">
        <v>197</v>
      </c>
      <c r="AQ573" s="22" t="s">
        <v>197</v>
      </c>
    </row>
    <row r="574" customFormat="false" ht="21.75" hidden="false" customHeight="true" outlineLevel="0" collapsed="false">
      <c r="B574" s="15" t="n">
        <v>570</v>
      </c>
      <c r="C574" s="9" t="s">
        <v>87</v>
      </c>
      <c r="D574" s="9" t="s">
        <v>23</v>
      </c>
      <c r="E574" s="9" t="s">
        <v>116</v>
      </c>
      <c r="F574" s="9" t="s">
        <v>108</v>
      </c>
      <c r="G574" s="9" t="s">
        <v>3641</v>
      </c>
      <c r="H574" s="9" t="s">
        <v>2669</v>
      </c>
      <c r="I574" s="9" t="s">
        <v>3635</v>
      </c>
      <c r="J574" s="9" t="s">
        <v>3636</v>
      </c>
      <c r="K574" s="9" t="s">
        <v>3588</v>
      </c>
      <c r="L574" s="9" t="s">
        <v>3563</v>
      </c>
      <c r="M574" s="9" t="s">
        <v>2514</v>
      </c>
      <c r="N574" s="9" t="s">
        <v>189</v>
      </c>
      <c r="O574" s="9" t="s">
        <v>189</v>
      </c>
      <c r="P574" s="9" t="s">
        <v>190</v>
      </c>
      <c r="Q574" s="9" t="s">
        <v>3637</v>
      </c>
      <c r="R574" s="9" t="s">
        <v>3638</v>
      </c>
      <c r="S574" s="9" t="s">
        <v>3566</v>
      </c>
      <c r="T574" s="9" t="s">
        <v>3639</v>
      </c>
      <c r="U574" s="19" t="n">
        <v>20</v>
      </c>
      <c r="V574" s="9"/>
      <c r="W574" s="9"/>
      <c r="X574" s="9" t="s">
        <v>3642</v>
      </c>
      <c r="Y574" s="23" t="n">
        <v>0.00027464</v>
      </c>
      <c r="Z574" s="23" t="n">
        <v>0.001</v>
      </c>
      <c r="AA574" s="23" t="n">
        <v>24</v>
      </c>
      <c r="AB574" s="9" t="s">
        <v>3563</v>
      </c>
      <c r="AC574" s="9" t="s">
        <v>3640</v>
      </c>
      <c r="AD574" s="23" t="s">
        <v>197</v>
      </c>
      <c r="AE574" s="23" t="s">
        <v>197</v>
      </c>
      <c r="AF574" s="23" t="s">
        <v>197</v>
      </c>
      <c r="AG574" s="23" t="s">
        <v>197</v>
      </c>
      <c r="AH574" s="23" t="s">
        <v>197</v>
      </c>
      <c r="AI574" s="23" t="s">
        <v>197</v>
      </c>
      <c r="AJ574" s="23" t="s">
        <v>197</v>
      </c>
      <c r="AK574" s="23" t="s">
        <v>197</v>
      </c>
      <c r="AL574" s="23" t="s">
        <v>197</v>
      </c>
      <c r="AM574" s="23" t="s">
        <v>197</v>
      </c>
      <c r="AN574" s="9" t="s">
        <v>197</v>
      </c>
      <c r="AO574" s="23" t="s">
        <v>197</v>
      </c>
      <c r="AP574" s="23" t="s">
        <v>197</v>
      </c>
      <c r="AQ574" s="23" t="s">
        <v>197</v>
      </c>
    </row>
    <row r="575" customFormat="false" ht="21.75" hidden="false" customHeight="true" outlineLevel="0" collapsed="false">
      <c r="B575" s="14" t="n">
        <v>571</v>
      </c>
      <c r="C575" s="7" t="s">
        <v>87</v>
      </c>
      <c r="D575" s="7" t="s">
        <v>23</v>
      </c>
      <c r="E575" s="7" t="s">
        <v>116</v>
      </c>
      <c r="F575" s="7" t="s">
        <v>108</v>
      </c>
      <c r="G575" s="7" t="s">
        <v>2666</v>
      </c>
      <c r="H575" s="7" t="s">
        <v>2672</v>
      </c>
      <c r="I575" s="7" t="s">
        <v>3635</v>
      </c>
      <c r="J575" s="7" t="s">
        <v>3636</v>
      </c>
      <c r="K575" s="7" t="s">
        <v>3588</v>
      </c>
      <c r="L575" s="7" t="s">
        <v>3563</v>
      </c>
      <c r="M575" s="7" t="s">
        <v>2514</v>
      </c>
      <c r="N575" s="7" t="s">
        <v>189</v>
      </c>
      <c r="O575" s="7" t="s">
        <v>189</v>
      </c>
      <c r="P575" s="7" t="s">
        <v>190</v>
      </c>
      <c r="Q575" s="7" t="s">
        <v>3637</v>
      </c>
      <c r="R575" s="7" t="s">
        <v>3638</v>
      </c>
      <c r="S575" s="7" t="s">
        <v>3566</v>
      </c>
      <c r="T575" s="7" t="s">
        <v>3639</v>
      </c>
      <c r="U575" s="18" t="n">
        <v>30</v>
      </c>
      <c r="V575" s="7"/>
      <c r="W575" s="7"/>
      <c r="X575" s="7" t="s">
        <v>203</v>
      </c>
      <c r="Y575" s="22" t="n">
        <v>0.00035348</v>
      </c>
      <c r="Z575" s="22" t="n">
        <v>0.002</v>
      </c>
      <c r="AA575" s="22" t="n">
        <v>24</v>
      </c>
      <c r="AB575" s="7" t="s">
        <v>3563</v>
      </c>
      <c r="AC575" s="7" t="s">
        <v>3640</v>
      </c>
      <c r="AD575" s="22" t="s">
        <v>197</v>
      </c>
      <c r="AE575" s="22" t="s">
        <v>197</v>
      </c>
      <c r="AF575" s="22" t="s">
        <v>197</v>
      </c>
      <c r="AG575" s="22" t="s">
        <v>197</v>
      </c>
      <c r="AH575" s="22" t="s">
        <v>197</v>
      </c>
      <c r="AI575" s="22" t="s">
        <v>197</v>
      </c>
      <c r="AJ575" s="22" t="s">
        <v>197</v>
      </c>
      <c r="AK575" s="22" t="s">
        <v>197</v>
      </c>
      <c r="AL575" s="22" t="s">
        <v>197</v>
      </c>
      <c r="AM575" s="22" t="s">
        <v>197</v>
      </c>
      <c r="AN575" s="7" t="s">
        <v>197</v>
      </c>
      <c r="AO575" s="22" t="s">
        <v>197</v>
      </c>
      <c r="AP575" s="22" t="s">
        <v>197</v>
      </c>
      <c r="AQ575" s="22" t="s">
        <v>197</v>
      </c>
    </row>
    <row r="576" customFormat="false" ht="21.75" hidden="false" customHeight="true" outlineLevel="0" collapsed="false">
      <c r="B576" s="15" t="n">
        <v>572</v>
      </c>
      <c r="C576" s="9" t="s">
        <v>87</v>
      </c>
      <c r="D576" s="9" t="s">
        <v>23</v>
      </c>
      <c r="E576" s="9" t="s">
        <v>116</v>
      </c>
      <c r="F576" s="9" t="s">
        <v>108</v>
      </c>
      <c r="G576" s="9" t="s">
        <v>2668</v>
      </c>
      <c r="H576" s="9" t="s">
        <v>2674</v>
      </c>
      <c r="I576" s="9" t="s">
        <v>3635</v>
      </c>
      <c r="J576" s="9" t="s">
        <v>3636</v>
      </c>
      <c r="K576" s="9" t="s">
        <v>3588</v>
      </c>
      <c r="L576" s="9" t="s">
        <v>3563</v>
      </c>
      <c r="M576" s="9" t="s">
        <v>2514</v>
      </c>
      <c r="N576" s="9" t="s">
        <v>189</v>
      </c>
      <c r="O576" s="9" t="s">
        <v>189</v>
      </c>
      <c r="P576" s="9" t="s">
        <v>190</v>
      </c>
      <c r="Q576" s="9" t="s">
        <v>3637</v>
      </c>
      <c r="R576" s="9" t="s">
        <v>3638</v>
      </c>
      <c r="S576" s="9" t="s">
        <v>3566</v>
      </c>
      <c r="T576" s="9" t="s">
        <v>3639</v>
      </c>
      <c r="U576" s="19" t="n">
        <v>45</v>
      </c>
      <c r="V576" s="9"/>
      <c r="W576" s="9"/>
      <c r="X576" s="9" t="s">
        <v>205</v>
      </c>
      <c r="Y576" s="23" t="n">
        <v>0.00039888</v>
      </c>
      <c r="Z576" s="23" t="n">
        <v>0.002</v>
      </c>
      <c r="AA576" s="23" t="n">
        <v>24</v>
      </c>
      <c r="AB576" s="9" t="s">
        <v>3563</v>
      </c>
      <c r="AC576" s="9" t="s">
        <v>3640</v>
      </c>
      <c r="AD576" s="23" t="s">
        <v>197</v>
      </c>
      <c r="AE576" s="23" t="s">
        <v>197</v>
      </c>
      <c r="AF576" s="23" t="s">
        <v>197</v>
      </c>
      <c r="AG576" s="23" t="s">
        <v>197</v>
      </c>
      <c r="AH576" s="23" t="s">
        <v>197</v>
      </c>
      <c r="AI576" s="23" t="s">
        <v>197</v>
      </c>
      <c r="AJ576" s="23" t="s">
        <v>197</v>
      </c>
      <c r="AK576" s="23" t="s">
        <v>197</v>
      </c>
      <c r="AL576" s="23" t="s">
        <v>197</v>
      </c>
      <c r="AM576" s="23" t="s">
        <v>197</v>
      </c>
      <c r="AN576" s="9" t="s">
        <v>197</v>
      </c>
      <c r="AO576" s="23" t="s">
        <v>197</v>
      </c>
      <c r="AP576" s="23" t="s">
        <v>197</v>
      </c>
      <c r="AQ576" s="23" t="s">
        <v>197</v>
      </c>
    </row>
    <row r="577" customFormat="false" ht="21.75" hidden="false" customHeight="true" outlineLevel="0" collapsed="false">
      <c r="B577" s="14" t="n">
        <v>573</v>
      </c>
      <c r="C577" s="7" t="s">
        <v>88</v>
      </c>
      <c r="D577" s="7" t="s">
        <v>26</v>
      </c>
      <c r="E577" s="7" t="s">
        <v>121</v>
      </c>
      <c r="F577" s="7" t="s">
        <v>93</v>
      </c>
      <c r="G577" s="7" t="s">
        <v>3643</v>
      </c>
      <c r="H577" s="7" t="s">
        <v>3644</v>
      </c>
      <c r="I577" s="7" t="s">
        <v>3645</v>
      </c>
      <c r="J577" s="7" t="s">
        <v>3646</v>
      </c>
      <c r="K577" s="7" t="s">
        <v>3647</v>
      </c>
      <c r="L577" s="7" t="s">
        <v>3648</v>
      </c>
      <c r="M577" s="7" t="s">
        <v>3649</v>
      </c>
      <c r="N577" s="7" t="s">
        <v>2957</v>
      </c>
      <c r="O577" s="7" t="s">
        <v>189</v>
      </c>
      <c r="P577" s="7" t="s">
        <v>640</v>
      </c>
      <c r="Q577" s="7" t="s">
        <v>3650</v>
      </c>
      <c r="R577" s="7" t="s">
        <v>2845</v>
      </c>
      <c r="S577" s="7" t="s">
        <v>3151</v>
      </c>
      <c r="T577" s="7" t="s">
        <v>3651</v>
      </c>
      <c r="U577" s="18" t="n">
        <v>155</v>
      </c>
      <c r="V577" s="7"/>
      <c r="W577" s="7"/>
      <c r="X577" s="7" t="s">
        <v>195</v>
      </c>
      <c r="Y577" s="22" t="n">
        <v>0.28</v>
      </c>
      <c r="Z577" s="22" t="n">
        <v>2.085</v>
      </c>
      <c r="AA577" s="22" t="n">
        <v>24</v>
      </c>
      <c r="AB577" s="7" t="s">
        <v>3648</v>
      </c>
      <c r="AC577" s="7" t="s">
        <v>3652</v>
      </c>
      <c r="AD577" s="22" t="n">
        <v>0.28</v>
      </c>
      <c r="AE577" s="22" t="n">
        <v>2.085</v>
      </c>
      <c r="AF577" s="22" t="n">
        <v>6</v>
      </c>
      <c r="AG577" s="22" t="s">
        <v>197</v>
      </c>
      <c r="AH577" s="22" t="s">
        <v>197</v>
      </c>
      <c r="AI577" s="22" t="s">
        <v>197</v>
      </c>
      <c r="AJ577" s="22" t="s">
        <v>197</v>
      </c>
      <c r="AK577" s="22" t="s">
        <v>197</v>
      </c>
      <c r="AL577" s="22" t="s">
        <v>197</v>
      </c>
      <c r="AM577" s="22" t="s">
        <v>197</v>
      </c>
      <c r="AN577" s="7" t="s">
        <v>197</v>
      </c>
      <c r="AO577" s="22" t="s">
        <v>197</v>
      </c>
      <c r="AP577" s="22" t="s">
        <v>197</v>
      </c>
      <c r="AQ577" s="22" t="s">
        <v>197</v>
      </c>
    </row>
    <row r="578" customFormat="false" ht="21.75" hidden="false" customHeight="true" outlineLevel="0" collapsed="false">
      <c r="B578" s="15" t="n">
        <v>574</v>
      </c>
      <c r="C578" s="9" t="s">
        <v>88</v>
      </c>
      <c r="D578" s="9" t="s">
        <v>26</v>
      </c>
      <c r="E578" s="9" t="s">
        <v>121</v>
      </c>
      <c r="F578" s="9" t="s">
        <v>93</v>
      </c>
      <c r="G578" s="9" t="s">
        <v>3653</v>
      </c>
      <c r="H578" s="9" t="s">
        <v>3644</v>
      </c>
      <c r="I578" s="9" t="s">
        <v>3645</v>
      </c>
      <c r="J578" s="9" t="s">
        <v>3646</v>
      </c>
      <c r="K578" s="9" t="s">
        <v>3647</v>
      </c>
      <c r="L578" s="9" t="s">
        <v>3648</v>
      </c>
      <c r="M578" s="9" t="s">
        <v>3649</v>
      </c>
      <c r="N578" s="9" t="s">
        <v>2957</v>
      </c>
      <c r="O578" s="9" t="s">
        <v>189</v>
      </c>
      <c r="P578" s="9" t="s">
        <v>640</v>
      </c>
      <c r="Q578" s="9" t="s">
        <v>3650</v>
      </c>
      <c r="R578" s="9" t="s">
        <v>2845</v>
      </c>
      <c r="S578" s="9" t="s">
        <v>3151</v>
      </c>
      <c r="T578" s="9" t="s">
        <v>3651</v>
      </c>
      <c r="U578" s="19" t="n">
        <v>230</v>
      </c>
      <c r="V578" s="9"/>
      <c r="W578" s="9"/>
      <c r="X578" s="9" t="s">
        <v>199</v>
      </c>
      <c r="Y578" s="23" t="n">
        <v>0.28</v>
      </c>
      <c r="Z578" s="23" t="n">
        <v>2.707</v>
      </c>
      <c r="AA578" s="23" t="n">
        <v>24</v>
      </c>
      <c r="AB578" s="9" t="s">
        <v>3648</v>
      </c>
      <c r="AC578" s="9" t="s">
        <v>3652</v>
      </c>
      <c r="AD578" s="23" t="n">
        <v>0.28</v>
      </c>
      <c r="AE578" s="23" t="n">
        <v>2.707</v>
      </c>
      <c r="AF578" s="23" t="n">
        <v>6</v>
      </c>
      <c r="AG578" s="23" t="s">
        <v>197</v>
      </c>
      <c r="AH578" s="23" t="s">
        <v>197</v>
      </c>
      <c r="AI578" s="23" t="s">
        <v>197</v>
      </c>
      <c r="AJ578" s="23" t="s">
        <v>197</v>
      </c>
      <c r="AK578" s="23" t="s">
        <v>197</v>
      </c>
      <c r="AL578" s="23" t="s">
        <v>197</v>
      </c>
      <c r="AM578" s="23" t="s">
        <v>197</v>
      </c>
      <c r="AN578" s="9" t="s">
        <v>197</v>
      </c>
      <c r="AO578" s="23" t="s">
        <v>197</v>
      </c>
      <c r="AP578" s="23" t="s">
        <v>197</v>
      </c>
      <c r="AQ578" s="23" t="s">
        <v>197</v>
      </c>
    </row>
    <row r="579" customFormat="false" ht="21.75" hidden="false" customHeight="true" outlineLevel="0" collapsed="false">
      <c r="B579" s="14" t="n">
        <v>575</v>
      </c>
      <c r="C579" s="7" t="s">
        <v>88</v>
      </c>
      <c r="D579" s="7" t="s">
        <v>26</v>
      </c>
      <c r="E579" s="7" t="s">
        <v>121</v>
      </c>
      <c r="F579" s="7" t="s">
        <v>93</v>
      </c>
      <c r="G579" s="7" t="s">
        <v>3654</v>
      </c>
      <c r="H579" s="7" t="s">
        <v>3644</v>
      </c>
      <c r="I579" s="7" t="s">
        <v>3645</v>
      </c>
      <c r="J579" s="7" t="s">
        <v>3646</v>
      </c>
      <c r="K579" s="7" t="s">
        <v>3647</v>
      </c>
      <c r="L579" s="7" t="s">
        <v>3648</v>
      </c>
      <c r="M579" s="7" t="s">
        <v>3649</v>
      </c>
      <c r="N579" s="7" t="s">
        <v>2957</v>
      </c>
      <c r="O579" s="7" t="s">
        <v>189</v>
      </c>
      <c r="P579" s="7" t="s">
        <v>640</v>
      </c>
      <c r="Q579" s="7" t="s">
        <v>3650</v>
      </c>
      <c r="R579" s="7" t="s">
        <v>2845</v>
      </c>
      <c r="S579" s="7" t="s">
        <v>3151</v>
      </c>
      <c r="T579" s="7" t="s">
        <v>3651</v>
      </c>
      <c r="U579" s="18" t="n">
        <v>310</v>
      </c>
      <c r="V579" s="7"/>
      <c r="W579" s="7"/>
      <c r="X579" s="7" t="s">
        <v>3655</v>
      </c>
      <c r="Y579" s="22" t="n">
        <v>0.28</v>
      </c>
      <c r="Z579" s="22" t="n">
        <v>2.88</v>
      </c>
      <c r="AA579" s="22" t="n">
        <v>24</v>
      </c>
      <c r="AB579" s="7" t="s">
        <v>3648</v>
      </c>
      <c r="AC579" s="7" t="s">
        <v>3652</v>
      </c>
      <c r="AD579" s="22" t="n">
        <v>0.28</v>
      </c>
      <c r="AE579" s="22" t="n">
        <v>2.88</v>
      </c>
      <c r="AF579" s="22" t="n">
        <v>6</v>
      </c>
      <c r="AG579" s="22" t="s">
        <v>197</v>
      </c>
      <c r="AH579" s="22" t="s">
        <v>197</v>
      </c>
      <c r="AI579" s="22" t="s">
        <v>197</v>
      </c>
      <c r="AJ579" s="22" t="s">
        <v>197</v>
      </c>
      <c r="AK579" s="22" t="s">
        <v>197</v>
      </c>
      <c r="AL579" s="22" t="s">
        <v>197</v>
      </c>
      <c r="AM579" s="22" t="s">
        <v>197</v>
      </c>
      <c r="AN579" s="7" t="s">
        <v>197</v>
      </c>
      <c r="AO579" s="22" t="s">
        <v>197</v>
      </c>
      <c r="AP579" s="22" t="s">
        <v>197</v>
      </c>
      <c r="AQ579" s="22" t="s">
        <v>197</v>
      </c>
    </row>
    <row r="580" customFormat="false" ht="21.75" hidden="false" customHeight="true" outlineLevel="0" collapsed="false">
      <c r="B580" s="15" t="n">
        <v>576</v>
      </c>
      <c r="C580" s="9" t="s">
        <v>88</v>
      </c>
      <c r="D580" s="9" t="s">
        <v>26</v>
      </c>
      <c r="E580" s="9" t="s">
        <v>121</v>
      </c>
      <c r="F580" s="9" t="s">
        <v>93</v>
      </c>
      <c r="G580" s="9" t="s">
        <v>3656</v>
      </c>
      <c r="H580" s="9" t="s">
        <v>3644</v>
      </c>
      <c r="I580" s="9" t="s">
        <v>3645</v>
      </c>
      <c r="J580" s="9" t="s">
        <v>3646</v>
      </c>
      <c r="K580" s="9" t="s">
        <v>3647</v>
      </c>
      <c r="L580" s="9" t="s">
        <v>3648</v>
      </c>
      <c r="M580" s="9" t="s">
        <v>3649</v>
      </c>
      <c r="N580" s="9" t="s">
        <v>2957</v>
      </c>
      <c r="O580" s="9" t="s">
        <v>189</v>
      </c>
      <c r="P580" s="9" t="s">
        <v>640</v>
      </c>
      <c r="Q580" s="9" t="s">
        <v>3650</v>
      </c>
      <c r="R580" s="9" t="s">
        <v>2845</v>
      </c>
      <c r="S580" s="9" t="s">
        <v>3151</v>
      </c>
      <c r="T580" s="9" t="s">
        <v>3651</v>
      </c>
      <c r="U580" s="19" t="n">
        <v>465</v>
      </c>
      <c r="V580" s="9"/>
      <c r="W580" s="9"/>
      <c r="X580" s="9" t="s">
        <v>203</v>
      </c>
      <c r="Y580" s="23" t="n">
        <v>0.28</v>
      </c>
      <c r="Z580" s="23" t="n">
        <v>3.188</v>
      </c>
      <c r="AA580" s="23" t="n">
        <v>24</v>
      </c>
      <c r="AB580" s="9" t="s">
        <v>3648</v>
      </c>
      <c r="AC580" s="9" t="s">
        <v>3652</v>
      </c>
      <c r="AD580" s="23" t="n">
        <v>0.28</v>
      </c>
      <c r="AE580" s="23" t="n">
        <v>3.188</v>
      </c>
      <c r="AF580" s="23" t="n">
        <v>6</v>
      </c>
      <c r="AG580" s="23" t="s">
        <v>197</v>
      </c>
      <c r="AH580" s="23" t="s">
        <v>197</v>
      </c>
      <c r="AI580" s="23" t="s">
        <v>197</v>
      </c>
      <c r="AJ580" s="23" t="s">
        <v>197</v>
      </c>
      <c r="AK580" s="23" t="s">
        <v>197</v>
      </c>
      <c r="AL580" s="23" t="s">
        <v>197</v>
      </c>
      <c r="AM580" s="23" t="s">
        <v>197</v>
      </c>
      <c r="AN580" s="9" t="s">
        <v>197</v>
      </c>
      <c r="AO580" s="23" t="s">
        <v>197</v>
      </c>
      <c r="AP580" s="23" t="s">
        <v>197</v>
      </c>
      <c r="AQ580" s="23" t="s">
        <v>197</v>
      </c>
    </row>
    <row r="581" customFormat="false" ht="21.75" hidden="false" customHeight="true" outlineLevel="0" collapsed="false">
      <c r="B581" s="14" t="n">
        <v>577</v>
      </c>
      <c r="C581" s="7" t="s">
        <v>88</v>
      </c>
      <c r="D581" s="7" t="s">
        <v>26</v>
      </c>
      <c r="E581" s="7" t="s">
        <v>121</v>
      </c>
      <c r="F581" s="7" t="s">
        <v>93</v>
      </c>
      <c r="G581" s="7" t="s">
        <v>3657</v>
      </c>
      <c r="H581" s="7" t="s">
        <v>3644</v>
      </c>
      <c r="I581" s="7" t="s">
        <v>3645</v>
      </c>
      <c r="J581" s="7" t="s">
        <v>3646</v>
      </c>
      <c r="K581" s="7" t="s">
        <v>3647</v>
      </c>
      <c r="L581" s="7" t="s">
        <v>3648</v>
      </c>
      <c r="M581" s="7" t="s">
        <v>3649</v>
      </c>
      <c r="N581" s="7" t="s">
        <v>2957</v>
      </c>
      <c r="O581" s="7" t="s">
        <v>189</v>
      </c>
      <c r="P581" s="7" t="s">
        <v>640</v>
      </c>
      <c r="Q581" s="7" t="s">
        <v>3650</v>
      </c>
      <c r="R581" s="7" t="s">
        <v>2845</v>
      </c>
      <c r="S581" s="7" t="s">
        <v>3151</v>
      </c>
      <c r="T581" s="7" t="s">
        <v>3651</v>
      </c>
      <c r="U581" s="18" t="n">
        <v>680</v>
      </c>
      <c r="V581" s="7"/>
      <c r="W581" s="7"/>
      <c r="X581" s="7" t="s">
        <v>205</v>
      </c>
      <c r="Y581" s="22" t="n">
        <v>0.28</v>
      </c>
      <c r="Z581" s="22" t="n">
        <v>2.937</v>
      </c>
      <c r="AA581" s="22" t="n">
        <v>24</v>
      </c>
      <c r="AB581" s="7" t="s">
        <v>3648</v>
      </c>
      <c r="AC581" s="7" t="s">
        <v>3652</v>
      </c>
      <c r="AD581" s="22" t="n">
        <v>0.28</v>
      </c>
      <c r="AE581" s="22" t="n">
        <v>2.937</v>
      </c>
      <c r="AF581" s="22" t="n">
        <v>6</v>
      </c>
      <c r="AG581" s="22" t="s">
        <v>197</v>
      </c>
      <c r="AH581" s="22" t="s">
        <v>197</v>
      </c>
      <c r="AI581" s="22" t="s">
        <v>197</v>
      </c>
      <c r="AJ581" s="22" t="s">
        <v>197</v>
      </c>
      <c r="AK581" s="22" t="s">
        <v>197</v>
      </c>
      <c r="AL581" s="22" t="s">
        <v>197</v>
      </c>
      <c r="AM581" s="22" t="s">
        <v>197</v>
      </c>
      <c r="AN581" s="7" t="s">
        <v>197</v>
      </c>
      <c r="AO581" s="22" t="s">
        <v>197</v>
      </c>
      <c r="AP581" s="22" t="s">
        <v>197</v>
      </c>
      <c r="AQ581" s="22" t="s">
        <v>197</v>
      </c>
    </row>
    <row r="582" customFormat="false" ht="21.75" hidden="false" customHeight="true" outlineLevel="0" collapsed="false">
      <c r="B582" s="15" t="n">
        <v>578</v>
      </c>
      <c r="C582" s="9" t="s">
        <v>88</v>
      </c>
      <c r="D582" s="9" t="s">
        <v>26</v>
      </c>
      <c r="E582" s="9" t="s">
        <v>121</v>
      </c>
      <c r="F582" s="9" t="s">
        <v>94</v>
      </c>
      <c r="G582" s="9" t="s">
        <v>3658</v>
      </c>
      <c r="H582" s="9" t="s">
        <v>3659</v>
      </c>
      <c r="I582" s="9" t="s">
        <v>3161</v>
      </c>
      <c r="J582" s="9" t="s">
        <v>3162</v>
      </c>
      <c r="K582" s="9" t="s">
        <v>189</v>
      </c>
      <c r="L582" s="9" t="s">
        <v>3648</v>
      </c>
      <c r="M582" s="9" t="s">
        <v>3163</v>
      </c>
      <c r="N582" s="9" t="s">
        <v>3660</v>
      </c>
      <c r="O582" s="9" t="s">
        <v>189</v>
      </c>
      <c r="P582" s="9" t="s">
        <v>640</v>
      </c>
      <c r="Q582" s="9" t="s">
        <v>3661</v>
      </c>
      <c r="R582" s="9" t="s">
        <v>642</v>
      </c>
      <c r="S582" s="9" t="s">
        <v>3151</v>
      </c>
      <c r="T582" s="9" t="s">
        <v>2960</v>
      </c>
      <c r="U582" s="19" t="n">
        <v>80</v>
      </c>
      <c r="V582" s="9"/>
      <c r="W582" s="9"/>
      <c r="X582" s="9" t="s">
        <v>195</v>
      </c>
      <c r="Y582" s="23" t="n">
        <v>0.11</v>
      </c>
      <c r="Z582" s="23" t="n">
        <v>3.452</v>
      </c>
      <c r="AA582" s="23" t="n">
        <v>24</v>
      </c>
      <c r="AB582" s="9" t="s">
        <v>3648</v>
      </c>
      <c r="AC582" s="9" t="s">
        <v>3652</v>
      </c>
      <c r="AD582" s="23" t="n">
        <v>0.11</v>
      </c>
      <c r="AE582" s="23" t="n">
        <v>3.452</v>
      </c>
      <c r="AF582" s="23" t="n">
        <v>2.5</v>
      </c>
      <c r="AG582" s="23" t="n">
        <v>2</v>
      </c>
      <c r="AH582" s="23" t="s">
        <v>197</v>
      </c>
      <c r="AI582" s="23" t="s">
        <v>197</v>
      </c>
      <c r="AJ582" s="23" t="s">
        <v>197</v>
      </c>
      <c r="AK582" s="23" t="s">
        <v>197</v>
      </c>
      <c r="AL582" s="23" t="s">
        <v>197</v>
      </c>
      <c r="AM582" s="23" t="s">
        <v>197</v>
      </c>
      <c r="AN582" s="9" t="s">
        <v>197</v>
      </c>
      <c r="AO582" s="23" t="s">
        <v>197</v>
      </c>
      <c r="AP582" s="23" t="s">
        <v>197</v>
      </c>
      <c r="AQ582" s="23" t="s">
        <v>197</v>
      </c>
    </row>
    <row r="583" customFormat="false" ht="21.75" hidden="false" customHeight="true" outlineLevel="0" collapsed="false">
      <c r="B583" s="14" t="n">
        <v>579</v>
      </c>
      <c r="C583" s="7" t="s">
        <v>88</v>
      </c>
      <c r="D583" s="7" t="s">
        <v>26</v>
      </c>
      <c r="E583" s="7" t="s">
        <v>121</v>
      </c>
      <c r="F583" s="7" t="s">
        <v>94</v>
      </c>
      <c r="G583" s="7" t="s">
        <v>3662</v>
      </c>
      <c r="H583" s="7" t="s">
        <v>3659</v>
      </c>
      <c r="I583" s="7" t="s">
        <v>3161</v>
      </c>
      <c r="J583" s="7" t="s">
        <v>3162</v>
      </c>
      <c r="K583" s="7" t="s">
        <v>189</v>
      </c>
      <c r="L583" s="7" t="s">
        <v>3648</v>
      </c>
      <c r="M583" s="7" t="s">
        <v>3163</v>
      </c>
      <c r="N583" s="7" t="s">
        <v>3660</v>
      </c>
      <c r="O583" s="7" t="s">
        <v>189</v>
      </c>
      <c r="P583" s="7" t="s">
        <v>640</v>
      </c>
      <c r="Q583" s="7" t="s">
        <v>3661</v>
      </c>
      <c r="R583" s="7" t="s">
        <v>642</v>
      </c>
      <c r="S583" s="7" t="s">
        <v>3151</v>
      </c>
      <c r="T583" s="7" t="s">
        <v>2960</v>
      </c>
      <c r="U583" s="18" t="n">
        <v>120</v>
      </c>
      <c r="V583" s="7"/>
      <c r="W583" s="7"/>
      <c r="X583" s="7" t="s">
        <v>199</v>
      </c>
      <c r="Y583" s="22" t="n">
        <v>0.11</v>
      </c>
      <c r="Z583" s="22" t="n">
        <v>2.895</v>
      </c>
      <c r="AA583" s="22" t="n">
        <v>24</v>
      </c>
      <c r="AB583" s="7" t="s">
        <v>3648</v>
      </c>
      <c r="AC583" s="7" t="s">
        <v>3652</v>
      </c>
      <c r="AD583" s="22" t="n">
        <v>0.11</v>
      </c>
      <c r="AE583" s="22" t="n">
        <v>2.895</v>
      </c>
      <c r="AF583" s="22" t="n">
        <v>2.5</v>
      </c>
      <c r="AG583" s="22" t="n">
        <v>2</v>
      </c>
      <c r="AH583" s="22" t="s">
        <v>197</v>
      </c>
      <c r="AI583" s="22" t="s">
        <v>197</v>
      </c>
      <c r="AJ583" s="22" t="s">
        <v>197</v>
      </c>
      <c r="AK583" s="22" t="s">
        <v>197</v>
      </c>
      <c r="AL583" s="22" t="s">
        <v>197</v>
      </c>
      <c r="AM583" s="22" t="s">
        <v>197</v>
      </c>
      <c r="AN583" s="7" t="s">
        <v>197</v>
      </c>
      <c r="AO583" s="22" t="s">
        <v>197</v>
      </c>
      <c r="AP583" s="22" t="s">
        <v>197</v>
      </c>
      <c r="AQ583" s="22" t="s">
        <v>197</v>
      </c>
    </row>
    <row r="584" customFormat="false" ht="21.75" hidden="false" customHeight="true" outlineLevel="0" collapsed="false">
      <c r="B584" s="15" t="n">
        <v>580</v>
      </c>
      <c r="C584" s="9" t="s">
        <v>88</v>
      </c>
      <c r="D584" s="9" t="s">
        <v>26</v>
      </c>
      <c r="E584" s="9" t="s">
        <v>121</v>
      </c>
      <c r="F584" s="9" t="s">
        <v>94</v>
      </c>
      <c r="G584" s="9" t="s">
        <v>3663</v>
      </c>
      <c r="H584" s="9" t="s">
        <v>3659</v>
      </c>
      <c r="I584" s="9" t="s">
        <v>3161</v>
      </c>
      <c r="J584" s="9" t="s">
        <v>3162</v>
      </c>
      <c r="K584" s="9" t="s">
        <v>189</v>
      </c>
      <c r="L584" s="9" t="s">
        <v>3648</v>
      </c>
      <c r="M584" s="9" t="s">
        <v>3163</v>
      </c>
      <c r="N584" s="9" t="s">
        <v>3660</v>
      </c>
      <c r="O584" s="9" t="s">
        <v>189</v>
      </c>
      <c r="P584" s="9" t="s">
        <v>640</v>
      </c>
      <c r="Q584" s="9" t="s">
        <v>3661</v>
      </c>
      <c r="R584" s="9" t="s">
        <v>642</v>
      </c>
      <c r="S584" s="9" t="s">
        <v>3151</v>
      </c>
      <c r="T584" s="9" t="s">
        <v>2960</v>
      </c>
      <c r="U584" s="19" t="n">
        <v>165</v>
      </c>
      <c r="V584" s="9"/>
      <c r="W584" s="9"/>
      <c r="X584" s="9" t="s">
        <v>3664</v>
      </c>
      <c r="Y584" s="23" t="n">
        <v>0.11</v>
      </c>
      <c r="Z584" s="23" t="n">
        <v>2.007</v>
      </c>
      <c r="AA584" s="23" t="n">
        <v>24</v>
      </c>
      <c r="AB584" s="9" t="s">
        <v>3648</v>
      </c>
      <c r="AC584" s="9" t="s">
        <v>3652</v>
      </c>
      <c r="AD584" s="23" t="n">
        <v>0.11</v>
      </c>
      <c r="AE584" s="23" t="n">
        <v>2.007</v>
      </c>
      <c r="AF584" s="23" t="n">
        <v>2.5</v>
      </c>
      <c r="AG584" s="23" t="n">
        <v>2</v>
      </c>
      <c r="AH584" s="23" t="s">
        <v>197</v>
      </c>
      <c r="AI584" s="23" t="s">
        <v>197</v>
      </c>
      <c r="AJ584" s="23" t="s">
        <v>197</v>
      </c>
      <c r="AK584" s="23" t="s">
        <v>197</v>
      </c>
      <c r="AL584" s="23" t="s">
        <v>197</v>
      </c>
      <c r="AM584" s="23" t="s">
        <v>197</v>
      </c>
      <c r="AN584" s="9" t="s">
        <v>197</v>
      </c>
      <c r="AO584" s="23" t="s">
        <v>197</v>
      </c>
      <c r="AP584" s="23" t="s">
        <v>197</v>
      </c>
      <c r="AQ584" s="23" t="s">
        <v>197</v>
      </c>
    </row>
    <row r="585" customFormat="false" ht="21.75" hidden="false" customHeight="true" outlineLevel="0" collapsed="false">
      <c r="B585" s="14" t="n">
        <v>581</v>
      </c>
      <c r="C585" s="7" t="s">
        <v>88</v>
      </c>
      <c r="D585" s="7" t="s">
        <v>26</v>
      </c>
      <c r="E585" s="7" t="s">
        <v>121</v>
      </c>
      <c r="F585" s="7" t="s">
        <v>94</v>
      </c>
      <c r="G585" s="7" t="s">
        <v>3665</v>
      </c>
      <c r="H585" s="7" t="s">
        <v>3659</v>
      </c>
      <c r="I585" s="7" t="s">
        <v>3161</v>
      </c>
      <c r="J585" s="7" t="s">
        <v>3162</v>
      </c>
      <c r="K585" s="7" t="s">
        <v>189</v>
      </c>
      <c r="L585" s="7" t="s">
        <v>3648</v>
      </c>
      <c r="M585" s="7" t="s">
        <v>3163</v>
      </c>
      <c r="N585" s="7" t="s">
        <v>3660</v>
      </c>
      <c r="O585" s="7" t="s">
        <v>189</v>
      </c>
      <c r="P585" s="7" t="s">
        <v>640</v>
      </c>
      <c r="Q585" s="7" t="s">
        <v>3661</v>
      </c>
      <c r="R585" s="7" t="s">
        <v>642</v>
      </c>
      <c r="S585" s="7" t="s">
        <v>3151</v>
      </c>
      <c r="T585" s="7" t="s">
        <v>2960</v>
      </c>
      <c r="U585" s="18" t="n">
        <v>245</v>
      </c>
      <c r="V585" s="7"/>
      <c r="W585" s="7"/>
      <c r="X585" s="7" t="s">
        <v>203</v>
      </c>
      <c r="Y585" s="22" t="n">
        <v>0.11</v>
      </c>
      <c r="Z585" s="22" t="n">
        <v>2.807</v>
      </c>
      <c r="AA585" s="22" t="n">
        <v>24</v>
      </c>
      <c r="AB585" s="7" t="s">
        <v>3648</v>
      </c>
      <c r="AC585" s="7" t="s">
        <v>3652</v>
      </c>
      <c r="AD585" s="22" t="n">
        <v>0.11</v>
      </c>
      <c r="AE585" s="22" t="n">
        <v>2.807</v>
      </c>
      <c r="AF585" s="22" t="n">
        <v>2.5</v>
      </c>
      <c r="AG585" s="22" t="n">
        <v>2</v>
      </c>
      <c r="AH585" s="22" t="s">
        <v>197</v>
      </c>
      <c r="AI585" s="22" t="s">
        <v>197</v>
      </c>
      <c r="AJ585" s="22" t="s">
        <v>197</v>
      </c>
      <c r="AK585" s="22" t="s">
        <v>197</v>
      </c>
      <c r="AL585" s="22" t="s">
        <v>197</v>
      </c>
      <c r="AM585" s="22" t="s">
        <v>197</v>
      </c>
      <c r="AN585" s="7" t="s">
        <v>197</v>
      </c>
      <c r="AO585" s="22" t="s">
        <v>197</v>
      </c>
      <c r="AP585" s="22" t="s">
        <v>197</v>
      </c>
      <c r="AQ585" s="22" t="s">
        <v>197</v>
      </c>
    </row>
    <row r="586" customFormat="false" ht="21.75" hidden="false" customHeight="true" outlineLevel="0" collapsed="false">
      <c r="B586" s="15" t="n">
        <v>582</v>
      </c>
      <c r="C586" s="9" t="s">
        <v>88</v>
      </c>
      <c r="D586" s="9" t="s">
        <v>26</v>
      </c>
      <c r="E586" s="9" t="s">
        <v>121</v>
      </c>
      <c r="F586" s="9" t="s">
        <v>94</v>
      </c>
      <c r="G586" s="9" t="s">
        <v>3666</v>
      </c>
      <c r="H586" s="9" t="s">
        <v>3659</v>
      </c>
      <c r="I586" s="9" t="s">
        <v>3161</v>
      </c>
      <c r="J586" s="9" t="s">
        <v>3162</v>
      </c>
      <c r="K586" s="9" t="s">
        <v>189</v>
      </c>
      <c r="L586" s="9" t="s">
        <v>3648</v>
      </c>
      <c r="M586" s="9" t="s">
        <v>3163</v>
      </c>
      <c r="N586" s="9" t="s">
        <v>3660</v>
      </c>
      <c r="O586" s="9" t="s">
        <v>189</v>
      </c>
      <c r="P586" s="9" t="s">
        <v>640</v>
      </c>
      <c r="Q586" s="9" t="s">
        <v>3661</v>
      </c>
      <c r="R586" s="9" t="s">
        <v>642</v>
      </c>
      <c r="S586" s="9" t="s">
        <v>3151</v>
      </c>
      <c r="T586" s="9" t="s">
        <v>2960</v>
      </c>
      <c r="U586" s="19" t="n">
        <v>360</v>
      </c>
      <c r="V586" s="9"/>
      <c r="W586" s="9"/>
      <c r="X586" s="9" t="s">
        <v>205</v>
      </c>
      <c r="Y586" s="23" t="n">
        <v>0.11</v>
      </c>
      <c r="Z586" s="23" t="n">
        <v>3.297</v>
      </c>
      <c r="AA586" s="23" t="n">
        <v>24</v>
      </c>
      <c r="AB586" s="9" t="s">
        <v>3648</v>
      </c>
      <c r="AC586" s="9" t="s">
        <v>3652</v>
      </c>
      <c r="AD586" s="23" t="n">
        <v>0.11</v>
      </c>
      <c r="AE586" s="23" t="n">
        <v>3.297</v>
      </c>
      <c r="AF586" s="23" t="n">
        <v>2.5</v>
      </c>
      <c r="AG586" s="23" t="n">
        <v>2</v>
      </c>
      <c r="AH586" s="23" t="s">
        <v>197</v>
      </c>
      <c r="AI586" s="23" t="s">
        <v>197</v>
      </c>
      <c r="AJ586" s="23" t="s">
        <v>197</v>
      </c>
      <c r="AK586" s="23" t="s">
        <v>197</v>
      </c>
      <c r="AL586" s="23" t="s">
        <v>197</v>
      </c>
      <c r="AM586" s="23" t="s">
        <v>197</v>
      </c>
      <c r="AN586" s="9" t="s">
        <v>197</v>
      </c>
      <c r="AO586" s="23" t="s">
        <v>197</v>
      </c>
      <c r="AP586" s="23" t="s">
        <v>197</v>
      </c>
      <c r="AQ586" s="23" t="s">
        <v>197</v>
      </c>
    </row>
    <row r="587" customFormat="false" ht="21.75" hidden="false" customHeight="true" outlineLevel="0" collapsed="false">
      <c r="B587" s="14" t="n">
        <v>583</v>
      </c>
      <c r="C587" s="7" t="s">
        <v>88</v>
      </c>
      <c r="D587" s="7" t="s">
        <v>26</v>
      </c>
      <c r="E587" s="7" t="s">
        <v>121</v>
      </c>
      <c r="F587" s="7" t="s">
        <v>95</v>
      </c>
      <c r="G587" s="7" t="s">
        <v>3667</v>
      </c>
      <c r="H587" s="7" t="s">
        <v>2510</v>
      </c>
      <c r="I587" s="7" t="s">
        <v>2695</v>
      </c>
      <c r="J587" s="7" t="s">
        <v>3173</v>
      </c>
      <c r="K587" s="7" t="s">
        <v>2697</v>
      </c>
      <c r="L587" s="7" t="s">
        <v>3648</v>
      </c>
      <c r="M587" s="7" t="s">
        <v>2698</v>
      </c>
      <c r="N587" s="7" t="s">
        <v>189</v>
      </c>
      <c r="O587" s="7" t="s">
        <v>189</v>
      </c>
      <c r="P587" s="7" t="s">
        <v>640</v>
      </c>
      <c r="Q587" s="7" t="s">
        <v>2712</v>
      </c>
      <c r="R587" s="7" t="s">
        <v>780</v>
      </c>
      <c r="S587" s="7" t="s">
        <v>3151</v>
      </c>
      <c r="T587" s="7" t="s">
        <v>3174</v>
      </c>
      <c r="U587" s="18" t="n">
        <v>8</v>
      </c>
      <c r="V587" s="7"/>
      <c r="W587" s="7"/>
      <c r="X587" s="7" t="s">
        <v>195</v>
      </c>
      <c r="Y587" s="22" t="n">
        <v>4.348E-005</v>
      </c>
      <c r="Z587" s="22" t="n">
        <v>0.043</v>
      </c>
      <c r="AA587" s="22" t="n">
        <v>24</v>
      </c>
      <c r="AB587" s="7" t="s">
        <v>3648</v>
      </c>
      <c r="AC587" s="7" t="s">
        <v>2701</v>
      </c>
      <c r="AD587" s="22" t="s">
        <v>197</v>
      </c>
      <c r="AE587" s="22" t="s">
        <v>197</v>
      </c>
      <c r="AF587" s="22" t="s">
        <v>197</v>
      </c>
      <c r="AG587" s="22" t="s">
        <v>197</v>
      </c>
      <c r="AH587" s="22" t="s">
        <v>197</v>
      </c>
      <c r="AI587" s="22" t="s">
        <v>197</v>
      </c>
      <c r="AJ587" s="22" t="n">
        <v>60</v>
      </c>
      <c r="AK587" s="22" t="s">
        <v>197</v>
      </c>
      <c r="AL587" s="22" t="s">
        <v>197</v>
      </c>
      <c r="AM587" s="22" t="s">
        <v>197</v>
      </c>
      <c r="AN587" s="7" t="s">
        <v>2518</v>
      </c>
      <c r="AO587" s="22" t="s">
        <v>197</v>
      </c>
      <c r="AP587" s="22" t="n">
        <v>2.5</v>
      </c>
      <c r="AQ587" s="22" t="n">
        <v>6</v>
      </c>
    </row>
    <row r="588" customFormat="false" ht="21.75" hidden="false" customHeight="true" outlineLevel="0" collapsed="false">
      <c r="B588" s="15" t="n">
        <v>584</v>
      </c>
      <c r="C588" s="9" t="s">
        <v>88</v>
      </c>
      <c r="D588" s="9" t="s">
        <v>26</v>
      </c>
      <c r="E588" s="9" t="s">
        <v>121</v>
      </c>
      <c r="F588" s="9" t="s">
        <v>95</v>
      </c>
      <c r="G588" s="9" t="s">
        <v>3668</v>
      </c>
      <c r="H588" s="9" t="s">
        <v>2520</v>
      </c>
      <c r="I588" s="9" t="s">
        <v>2695</v>
      </c>
      <c r="J588" s="9" t="s">
        <v>3173</v>
      </c>
      <c r="K588" s="9" t="s">
        <v>2697</v>
      </c>
      <c r="L588" s="9" t="s">
        <v>3648</v>
      </c>
      <c r="M588" s="9" t="s">
        <v>2698</v>
      </c>
      <c r="N588" s="9" t="s">
        <v>189</v>
      </c>
      <c r="O588" s="9" t="s">
        <v>189</v>
      </c>
      <c r="P588" s="9" t="s">
        <v>640</v>
      </c>
      <c r="Q588" s="9" t="s">
        <v>2712</v>
      </c>
      <c r="R588" s="9" t="s">
        <v>780</v>
      </c>
      <c r="S588" s="9" t="s">
        <v>3151</v>
      </c>
      <c r="T588" s="9" t="s">
        <v>3174</v>
      </c>
      <c r="U588" s="19" t="n">
        <v>12</v>
      </c>
      <c r="V588" s="9"/>
      <c r="W588" s="9"/>
      <c r="X588" s="9" t="s">
        <v>199</v>
      </c>
      <c r="Y588" s="23" t="n">
        <v>5.774E-005</v>
      </c>
      <c r="Z588" s="23" t="n">
        <v>0.058</v>
      </c>
      <c r="AA588" s="23" t="n">
        <v>24</v>
      </c>
      <c r="AB588" s="9" t="s">
        <v>3648</v>
      </c>
      <c r="AC588" s="9" t="s">
        <v>2701</v>
      </c>
      <c r="AD588" s="23" t="s">
        <v>197</v>
      </c>
      <c r="AE588" s="23" t="s">
        <v>197</v>
      </c>
      <c r="AF588" s="23" t="s">
        <v>197</v>
      </c>
      <c r="AG588" s="23" t="s">
        <v>197</v>
      </c>
      <c r="AH588" s="23" t="s">
        <v>197</v>
      </c>
      <c r="AI588" s="23" t="s">
        <v>197</v>
      </c>
      <c r="AJ588" s="23" t="n">
        <v>80</v>
      </c>
      <c r="AK588" s="23" t="s">
        <v>197</v>
      </c>
      <c r="AL588" s="23" t="s">
        <v>197</v>
      </c>
      <c r="AM588" s="23" t="s">
        <v>197</v>
      </c>
      <c r="AN588" s="9" t="s">
        <v>2518</v>
      </c>
      <c r="AO588" s="23" t="s">
        <v>197</v>
      </c>
      <c r="AP588" s="23" t="n">
        <v>2.5</v>
      </c>
      <c r="AQ588" s="23" t="n">
        <v>6</v>
      </c>
    </row>
    <row r="589" customFormat="false" ht="21.75" hidden="false" customHeight="true" outlineLevel="0" collapsed="false">
      <c r="B589" s="14" t="n">
        <v>585</v>
      </c>
      <c r="C589" s="7" t="s">
        <v>88</v>
      </c>
      <c r="D589" s="7" t="s">
        <v>26</v>
      </c>
      <c r="E589" s="7" t="s">
        <v>121</v>
      </c>
      <c r="F589" s="7" t="s">
        <v>95</v>
      </c>
      <c r="G589" s="7" t="s">
        <v>3669</v>
      </c>
      <c r="H589" s="7" t="s">
        <v>2522</v>
      </c>
      <c r="I589" s="7" t="s">
        <v>2695</v>
      </c>
      <c r="J589" s="7" t="s">
        <v>3173</v>
      </c>
      <c r="K589" s="7" t="s">
        <v>2697</v>
      </c>
      <c r="L589" s="7" t="s">
        <v>3648</v>
      </c>
      <c r="M589" s="7" t="s">
        <v>2698</v>
      </c>
      <c r="N589" s="7" t="s">
        <v>189</v>
      </c>
      <c r="O589" s="7" t="s">
        <v>189</v>
      </c>
      <c r="P589" s="7" t="s">
        <v>640</v>
      </c>
      <c r="Q589" s="7" t="s">
        <v>2712</v>
      </c>
      <c r="R589" s="7" t="s">
        <v>780</v>
      </c>
      <c r="S589" s="7" t="s">
        <v>3151</v>
      </c>
      <c r="T589" s="7" t="s">
        <v>3174</v>
      </c>
      <c r="U589" s="18" t="n">
        <v>16</v>
      </c>
      <c r="V589" s="7"/>
      <c r="W589" s="7"/>
      <c r="X589" s="7" t="s">
        <v>3670</v>
      </c>
      <c r="Y589" s="22" t="n">
        <v>5.3E-005</v>
      </c>
      <c r="Z589" s="22" t="n">
        <v>0.053</v>
      </c>
      <c r="AA589" s="22" t="n">
        <v>24</v>
      </c>
      <c r="AB589" s="7" t="s">
        <v>3648</v>
      </c>
      <c r="AC589" s="7" t="s">
        <v>2701</v>
      </c>
      <c r="AD589" s="22" t="s">
        <v>197</v>
      </c>
      <c r="AE589" s="22" t="s">
        <v>197</v>
      </c>
      <c r="AF589" s="22" t="s">
        <v>197</v>
      </c>
      <c r="AG589" s="22" t="s">
        <v>197</v>
      </c>
      <c r="AH589" s="22" t="s">
        <v>197</v>
      </c>
      <c r="AI589" s="22" t="s">
        <v>197</v>
      </c>
      <c r="AJ589" s="22" t="n">
        <v>100</v>
      </c>
      <c r="AK589" s="22" t="s">
        <v>197</v>
      </c>
      <c r="AL589" s="22" t="s">
        <v>197</v>
      </c>
      <c r="AM589" s="22" t="s">
        <v>197</v>
      </c>
      <c r="AN589" s="7" t="s">
        <v>2518</v>
      </c>
      <c r="AO589" s="22" t="s">
        <v>197</v>
      </c>
      <c r="AP589" s="22" t="n">
        <v>2.5</v>
      </c>
      <c r="AQ589" s="22" t="n">
        <v>6</v>
      </c>
    </row>
    <row r="590" customFormat="false" ht="21.75" hidden="false" customHeight="true" outlineLevel="0" collapsed="false">
      <c r="B590" s="15" t="n">
        <v>586</v>
      </c>
      <c r="C590" s="9" t="s">
        <v>88</v>
      </c>
      <c r="D590" s="9" t="s">
        <v>26</v>
      </c>
      <c r="E590" s="9" t="s">
        <v>121</v>
      </c>
      <c r="F590" s="9" t="s">
        <v>95</v>
      </c>
      <c r="G590" s="9" t="s">
        <v>3671</v>
      </c>
      <c r="H590" s="9" t="s">
        <v>2706</v>
      </c>
      <c r="I590" s="9" t="s">
        <v>2695</v>
      </c>
      <c r="J590" s="9" t="s">
        <v>3173</v>
      </c>
      <c r="K590" s="9" t="s">
        <v>2697</v>
      </c>
      <c r="L590" s="9" t="s">
        <v>3648</v>
      </c>
      <c r="M590" s="9" t="s">
        <v>2698</v>
      </c>
      <c r="N590" s="9" t="s">
        <v>189</v>
      </c>
      <c r="O590" s="9" t="s">
        <v>189</v>
      </c>
      <c r="P590" s="9" t="s">
        <v>640</v>
      </c>
      <c r="Q590" s="9" t="s">
        <v>2712</v>
      </c>
      <c r="R590" s="9" t="s">
        <v>780</v>
      </c>
      <c r="S590" s="9" t="s">
        <v>3151</v>
      </c>
      <c r="T590" s="9" t="s">
        <v>3174</v>
      </c>
      <c r="U590" s="19" t="n">
        <v>20</v>
      </c>
      <c r="V590" s="9"/>
      <c r="W590" s="9"/>
      <c r="X590" s="9" t="s">
        <v>203</v>
      </c>
      <c r="Y590" s="23" t="n">
        <v>4.108E-005</v>
      </c>
      <c r="Z590" s="23" t="n">
        <v>0.041</v>
      </c>
      <c r="AA590" s="23" t="n">
        <v>24</v>
      </c>
      <c r="AB590" s="9" t="s">
        <v>3648</v>
      </c>
      <c r="AC590" s="9" t="s">
        <v>2701</v>
      </c>
      <c r="AD590" s="23" t="s">
        <v>197</v>
      </c>
      <c r="AE590" s="23" t="s">
        <v>197</v>
      </c>
      <c r="AF590" s="23" t="s">
        <v>197</v>
      </c>
      <c r="AG590" s="23" t="s">
        <v>197</v>
      </c>
      <c r="AH590" s="23" t="s">
        <v>197</v>
      </c>
      <c r="AI590" s="23" t="s">
        <v>197</v>
      </c>
      <c r="AJ590" s="23" t="n">
        <v>100</v>
      </c>
      <c r="AK590" s="23" t="s">
        <v>197</v>
      </c>
      <c r="AL590" s="23" t="s">
        <v>197</v>
      </c>
      <c r="AM590" s="23" t="s">
        <v>197</v>
      </c>
      <c r="AN590" s="9" t="s">
        <v>2518</v>
      </c>
      <c r="AO590" s="23" t="s">
        <v>197</v>
      </c>
      <c r="AP590" s="23" t="n">
        <v>2.5</v>
      </c>
      <c r="AQ590" s="23" t="n">
        <v>6</v>
      </c>
    </row>
    <row r="591" customFormat="false" ht="21.75" hidden="false" customHeight="true" outlineLevel="0" collapsed="false">
      <c r="B591" s="14" t="n">
        <v>587</v>
      </c>
      <c r="C591" s="7" t="s">
        <v>88</v>
      </c>
      <c r="D591" s="7" t="s">
        <v>26</v>
      </c>
      <c r="E591" s="7" t="s">
        <v>121</v>
      </c>
      <c r="F591" s="7" t="s">
        <v>95</v>
      </c>
      <c r="G591" s="7" t="s">
        <v>3672</v>
      </c>
      <c r="H591" s="7" t="s">
        <v>2527</v>
      </c>
      <c r="I591" s="7" t="s">
        <v>2695</v>
      </c>
      <c r="J591" s="7" t="s">
        <v>3173</v>
      </c>
      <c r="K591" s="7" t="s">
        <v>2697</v>
      </c>
      <c r="L591" s="7" t="s">
        <v>3648</v>
      </c>
      <c r="M591" s="7" t="s">
        <v>2698</v>
      </c>
      <c r="N591" s="7" t="s">
        <v>189</v>
      </c>
      <c r="O591" s="7" t="s">
        <v>189</v>
      </c>
      <c r="P591" s="7" t="s">
        <v>640</v>
      </c>
      <c r="Q591" s="7" t="s">
        <v>2712</v>
      </c>
      <c r="R591" s="7" t="s">
        <v>780</v>
      </c>
      <c r="S591" s="7" t="s">
        <v>3151</v>
      </c>
      <c r="T591" s="7" t="s">
        <v>3174</v>
      </c>
      <c r="U591" s="18" t="n">
        <v>35</v>
      </c>
      <c r="V591" s="7"/>
      <c r="W591" s="7"/>
      <c r="X591" s="7" t="s">
        <v>205</v>
      </c>
      <c r="Y591" s="22" t="n">
        <v>5.004E-005</v>
      </c>
      <c r="Z591" s="22" t="n">
        <v>0.05</v>
      </c>
      <c r="AA591" s="22" t="n">
        <v>24</v>
      </c>
      <c r="AB591" s="7" t="s">
        <v>3648</v>
      </c>
      <c r="AC591" s="7" t="s">
        <v>2701</v>
      </c>
      <c r="AD591" s="22" t="s">
        <v>197</v>
      </c>
      <c r="AE591" s="22" t="s">
        <v>197</v>
      </c>
      <c r="AF591" s="22" t="s">
        <v>197</v>
      </c>
      <c r="AG591" s="22" t="s">
        <v>197</v>
      </c>
      <c r="AH591" s="22" t="s">
        <v>197</v>
      </c>
      <c r="AI591" s="22" t="s">
        <v>197</v>
      </c>
      <c r="AJ591" s="22" t="n">
        <v>120</v>
      </c>
      <c r="AK591" s="22" t="s">
        <v>197</v>
      </c>
      <c r="AL591" s="22" t="s">
        <v>197</v>
      </c>
      <c r="AM591" s="22" t="s">
        <v>197</v>
      </c>
      <c r="AN591" s="7" t="s">
        <v>2518</v>
      </c>
      <c r="AO591" s="22" t="s">
        <v>197</v>
      </c>
      <c r="AP591" s="22" t="n">
        <v>2.5</v>
      </c>
      <c r="AQ591" s="22" t="n">
        <v>6</v>
      </c>
    </row>
    <row r="592" customFormat="false" ht="21.75" hidden="false" customHeight="true" outlineLevel="0" collapsed="false">
      <c r="B592" s="15" t="n">
        <v>588</v>
      </c>
      <c r="C592" s="9" t="s">
        <v>88</v>
      </c>
      <c r="D592" s="9" t="s">
        <v>26</v>
      </c>
      <c r="E592" s="9" t="s">
        <v>121</v>
      </c>
      <c r="F592" s="9" t="s">
        <v>96</v>
      </c>
      <c r="G592" s="9" t="s">
        <v>391</v>
      </c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19"/>
      <c r="V592" s="9"/>
      <c r="W592" s="9"/>
      <c r="X592" s="9" t="s">
        <v>3673</v>
      </c>
      <c r="Y592" s="23" t="s">
        <v>197</v>
      </c>
      <c r="Z592" s="23" t="s">
        <v>197</v>
      </c>
      <c r="AA592" s="23" t="s">
        <v>197</v>
      </c>
      <c r="AB592" s="9" t="s">
        <v>197</v>
      </c>
      <c r="AC592" s="9" t="s">
        <v>197</v>
      </c>
      <c r="AD592" s="23" t="s">
        <v>197</v>
      </c>
      <c r="AE592" s="23" t="s">
        <v>197</v>
      </c>
      <c r="AF592" s="23" t="s">
        <v>197</v>
      </c>
      <c r="AG592" s="23" t="s">
        <v>197</v>
      </c>
      <c r="AH592" s="23" t="s">
        <v>197</v>
      </c>
      <c r="AI592" s="23" t="s">
        <v>197</v>
      </c>
      <c r="AJ592" s="23" t="s">
        <v>197</v>
      </c>
      <c r="AK592" s="23" t="s">
        <v>197</v>
      </c>
      <c r="AL592" s="23" t="s">
        <v>197</v>
      </c>
      <c r="AM592" s="23" t="s">
        <v>197</v>
      </c>
      <c r="AN592" s="9" t="s">
        <v>197</v>
      </c>
      <c r="AO592" s="23" t="s">
        <v>197</v>
      </c>
      <c r="AP592" s="23" t="s">
        <v>197</v>
      </c>
      <c r="AQ592" s="23" t="s">
        <v>197</v>
      </c>
    </row>
    <row r="593" customFormat="false" ht="21.75" hidden="false" customHeight="true" outlineLevel="0" collapsed="false">
      <c r="B593" s="14" t="n">
        <v>589</v>
      </c>
      <c r="C593" s="7" t="s">
        <v>88</v>
      </c>
      <c r="D593" s="7" t="s">
        <v>26</v>
      </c>
      <c r="E593" s="7" t="s">
        <v>121</v>
      </c>
      <c r="F593" s="7" t="s">
        <v>97</v>
      </c>
      <c r="G593" s="7" t="s">
        <v>391</v>
      </c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18"/>
      <c r="V593" s="7"/>
      <c r="W593" s="7"/>
      <c r="X593" s="7" t="s">
        <v>3674</v>
      </c>
      <c r="Y593" s="22" t="s">
        <v>197</v>
      </c>
      <c r="Z593" s="22" t="s">
        <v>197</v>
      </c>
      <c r="AA593" s="22" t="s">
        <v>197</v>
      </c>
      <c r="AB593" s="7" t="s">
        <v>197</v>
      </c>
      <c r="AC593" s="7" t="s">
        <v>197</v>
      </c>
      <c r="AD593" s="22" t="s">
        <v>197</v>
      </c>
      <c r="AE593" s="22" t="s">
        <v>197</v>
      </c>
      <c r="AF593" s="22" t="s">
        <v>197</v>
      </c>
      <c r="AG593" s="22" t="s">
        <v>197</v>
      </c>
      <c r="AH593" s="22" t="s">
        <v>197</v>
      </c>
      <c r="AI593" s="22" t="s">
        <v>197</v>
      </c>
      <c r="AJ593" s="22" t="s">
        <v>197</v>
      </c>
      <c r="AK593" s="22" t="s">
        <v>197</v>
      </c>
      <c r="AL593" s="22" t="s">
        <v>197</v>
      </c>
      <c r="AM593" s="22" t="s">
        <v>197</v>
      </c>
      <c r="AN593" s="7" t="s">
        <v>197</v>
      </c>
      <c r="AO593" s="22" t="s">
        <v>197</v>
      </c>
      <c r="AP593" s="22" t="s">
        <v>197</v>
      </c>
      <c r="AQ593" s="22" t="s">
        <v>197</v>
      </c>
    </row>
    <row r="594" customFormat="false" ht="21.75" hidden="false" customHeight="true" outlineLevel="0" collapsed="false">
      <c r="B594" s="15" t="n">
        <v>590</v>
      </c>
      <c r="C594" s="9" t="s">
        <v>88</v>
      </c>
      <c r="D594" s="9" t="s">
        <v>26</v>
      </c>
      <c r="E594" s="9" t="s">
        <v>121</v>
      </c>
      <c r="F594" s="9" t="s">
        <v>98</v>
      </c>
      <c r="G594" s="9" t="s">
        <v>391</v>
      </c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19"/>
      <c r="V594" s="9"/>
      <c r="W594" s="9"/>
      <c r="X594" s="9" t="s">
        <v>3675</v>
      </c>
      <c r="Y594" s="23" t="s">
        <v>197</v>
      </c>
      <c r="Z594" s="23" t="s">
        <v>197</v>
      </c>
      <c r="AA594" s="23" t="s">
        <v>197</v>
      </c>
      <c r="AB594" s="9" t="s">
        <v>197</v>
      </c>
      <c r="AC594" s="9" t="s">
        <v>197</v>
      </c>
      <c r="AD594" s="23" t="s">
        <v>197</v>
      </c>
      <c r="AE594" s="23" t="s">
        <v>197</v>
      </c>
      <c r="AF594" s="23" t="s">
        <v>197</v>
      </c>
      <c r="AG594" s="23" t="s">
        <v>197</v>
      </c>
      <c r="AH594" s="23" t="s">
        <v>197</v>
      </c>
      <c r="AI594" s="23" t="s">
        <v>197</v>
      </c>
      <c r="AJ594" s="23" t="s">
        <v>197</v>
      </c>
      <c r="AK594" s="23" t="s">
        <v>197</v>
      </c>
      <c r="AL594" s="23" t="s">
        <v>197</v>
      </c>
      <c r="AM594" s="23" t="s">
        <v>197</v>
      </c>
      <c r="AN594" s="9" t="s">
        <v>197</v>
      </c>
      <c r="AO594" s="23" t="s">
        <v>197</v>
      </c>
      <c r="AP594" s="23" t="s">
        <v>197</v>
      </c>
      <c r="AQ594" s="23" t="s">
        <v>197</v>
      </c>
    </row>
    <row r="595" customFormat="false" ht="21.75" hidden="false" customHeight="true" outlineLevel="0" collapsed="false">
      <c r="B595" s="14" t="n">
        <v>591</v>
      </c>
      <c r="C595" s="7" t="s">
        <v>88</v>
      </c>
      <c r="D595" s="7" t="s">
        <v>26</v>
      </c>
      <c r="E595" s="7" t="s">
        <v>121</v>
      </c>
      <c r="F595" s="7" t="s">
        <v>99</v>
      </c>
      <c r="G595" s="7" t="s">
        <v>391</v>
      </c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18"/>
      <c r="V595" s="7"/>
      <c r="W595" s="7"/>
      <c r="X595" s="7" t="s">
        <v>3676</v>
      </c>
      <c r="Y595" s="22" t="s">
        <v>197</v>
      </c>
      <c r="Z595" s="22" t="s">
        <v>197</v>
      </c>
      <c r="AA595" s="22" t="s">
        <v>197</v>
      </c>
      <c r="AB595" s="7" t="s">
        <v>197</v>
      </c>
      <c r="AC595" s="7" t="s">
        <v>197</v>
      </c>
      <c r="AD595" s="22" t="s">
        <v>197</v>
      </c>
      <c r="AE595" s="22" t="s">
        <v>197</v>
      </c>
      <c r="AF595" s="22" t="s">
        <v>197</v>
      </c>
      <c r="AG595" s="22" t="s">
        <v>197</v>
      </c>
      <c r="AH595" s="22" t="s">
        <v>197</v>
      </c>
      <c r="AI595" s="22" t="s">
        <v>197</v>
      </c>
      <c r="AJ595" s="22" t="s">
        <v>197</v>
      </c>
      <c r="AK595" s="22" t="s">
        <v>197</v>
      </c>
      <c r="AL595" s="22" t="s">
        <v>197</v>
      </c>
      <c r="AM595" s="22" t="s">
        <v>197</v>
      </c>
      <c r="AN595" s="7" t="s">
        <v>197</v>
      </c>
      <c r="AO595" s="22" t="s">
        <v>197</v>
      </c>
      <c r="AP595" s="22" t="s">
        <v>197</v>
      </c>
      <c r="AQ595" s="22" t="s">
        <v>197</v>
      </c>
    </row>
    <row r="596" customFormat="false" ht="21.75" hidden="false" customHeight="true" outlineLevel="0" collapsed="false">
      <c r="B596" s="15" t="n">
        <v>592</v>
      </c>
      <c r="C596" s="9" t="s">
        <v>88</v>
      </c>
      <c r="D596" s="9" t="s">
        <v>26</v>
      </c>
      <c r="E596" s="9" t="s">
        <v>121</v>
      </c>
      <c r="F596" s="9" t="s">
        <v>100</v>
      </c>
      <c r="G596" s="9" t="s">
        <v>391</v>
      </c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19"/>
      <c r="V596" s="9"/>
      <c r="W596" s="9"/>
      <c r="X596" s="9" t="s">
        <v>3677</v>
      </c>
      <c r="Y596" s="23" t="s">
        <v>197</v>
      </c>
      <c r="Z596" s="23" t="s">
        <v>197</v>
      </c>
      <c r="AA596" s="23" t="s">
        <v>197</v>
      </c>
      <c r="AB596" s="9" t="s">
        <v>197</v>
      </c>
      <c r="AC596" s="9" t="s">
        <v>197</v>
      </c>
      <c r="AD596" s="23" t="s">
        <v>197</v>
      </c>
      <c r="AE596" s="23" t="s">
        <v>197</v>
      </c>
      <c r="AF596" s="23" t="s">
        <v>197</v>
      </c>
      <c r="AG596" s="23" t="s">
        <v>197</v>
      </c>
      <c r="AH596" s="23" t="s">
        <v>197</v>
      </c>
      <c r="AI596" s="23" t="s">
        <v>197</v>
      </c>
      <c r="AJ596" s="23" t="s">
        <v>197</v>
      </c>
      <c r="AK596" s="23" t="s">
        <v>197</v>
      </c>
      <c r="AL596" s="23" t="s">
        <v>197</v>
      </c>
      <c r="AM596" s="23" t="s">
        <v>197</v>
      </c>
      <c r="AN596" s="9" t="s">
        <v>197</v>
      </c>
      <c r="AO596" s="23" t="s">
        <v>197</v>
      </c>
      <c r="AP596" s="23" t="s">
        <v>197</v>
      </c>
      <c r="AQ596" s="23" t="s">
        <v>197</v>
      </c>
    </row>
    <row r="597" customFormat="false" ht="21.75" hidden="false" customHeight="true" outlineLevel="0" collapsed="false">
      <c r="B597" s="14" t="n">
        <v>593</v>
      </c>
      <c r="C597" s="7" t="s">
        <v>88</v>
      </c>
      <c r="D597" s="7" t="s">
        <v>26</v>
      </c>
      <c r="E597" s="7" t="s">
        <v>121</v>
      </c>
      <c r="F597" s="7" t="s">
        <v>101</v>
      </c>
      <c r="G597" s="7" t="s">
        <v>391</v>
      </c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18"/>
      <c r="V597" s="7"/>
      <c r="W597" s="7"/>
      <c r="X597" s="7" t="s">
        <v>3678</v>
      </c>
      <c r="Y597" s="22" t="s">
        <v>197</v>
      </c>
      <c r="Z597" s="22" t="s">
        <v>197</v>
      </c>
      <c r="AA597" s="22" t="s">
        <v>197</v>
      </c>
      <c r="AB597" s="7" t="s">
        <v>197</v>
      </c>
      <c r="AC597" s="7" t="s">
        <v>197</v>
      </c>
      <c r="AD597" s="22" t="s">
        <v>197</v>
      </c>
      <c r="AE597" s="22" t="s">
        <v>197</v>
      </c>
      <c r="AF597" s="22" t="s">
        <v>197</v>
      </c>
      <c r="AG597" s="22" t="s">
        <v>197</v>
      </c>
      <c r="AH597" s="22" t="s">
        <v>197</v>
      </c>
      <c r="AI597" s="22" t="s">
        <v>197</v>
      </c>
      <c r="AJ597" s="22" t="s">
        <v>197</v>
      </c>
      <c r="AK597" s="22" t="s">
        <v>197</v>
      </c>
      <c r="AL597" s="22" t="s">
        <v>197</v>
      </c>
      <c r="AM597" s="22" t="s">
        <v>197</v>
      </c>
      <c r="AN597" s="7" t="s">
        <v>197</v>
      </c>
      <c r="AO597" s="22" t="s">
        <v>197</v>
      </c>
      <c r="AP597" s="22" t="s">
        <v>197</v>
      </c>
      <c r="AQ597" s="22" t="s">
        <v>197</v>
      </c>
    </row>
    <row r="598" customFormat="false" ht="21.75" hidden="false" customHeight="true" outlineLevel="0" collapsed="false">
      <c r="B598" s="15" t="n">
        <v>594</v>
      </c>
      <c r="C598" s="9" t="s">
        <v>88</v>
      </c>
      <c r="D598" s="9" t="s">
        <v>26</v>
      </c>
      <c r="E598" s="9" t="s">
        <v>121</v>
      </c>
      <c r="F598" s="9" t="s">
        <v>102</v>
      </c>
      <c r="G598" s="9" t="s">
        <v>3679</v>
      </c>
      <c r="H598" s="9" t="s">
        <v>2601</v>
      </c>
      <c r="I598" s="9" t="s">
        <v>3203</v>
      </c>
      <c r="J598" s="9" t="s">
        <v>3680</v>
      </c>
      <c r="K598" s="9" t="s">
        <v>2697</v>
      </c>
      <c r="L598" s="9" t="s">
        <v>3648</v>
      </c>
      <c r="M598" s="9" t="s">
        <v>2698</v>
      </c>
      <c r="N598" s="9" t="s">
        <v>189</v>
      </c>
      <c r="O598" s="9" t="s">
        <v>189</v>
      </c>
      <c r="P598" s="9" t="s">
        <v>640</v>
      </c>
      <c r="Q598" s="9" t="s">
        <v>3205</v>
      </c>
      <c r="R598" s="9" t="s">
        <v>1190</v>
      </c>
      <c r="S598" s="9" t="s">
        <v>3151</v>
      </c>
      <c r="T598" s="9" t="s">
        <v>3206</v>
      </c>
      <c r="U598" s="19" t="n">
        <v>9</v>
      </c>
      <c r="V598" s="9"/>
      <c r="W598" s="9"/>
      <c r="X598" s="9" t="s">
        <v>195</v>
      </c>
      <c r="Y598" s="23" t="n">
        <v>0</v>
      </c>
      <c r="Z598" s="23" t="n">
        <v>0.023</v>
      </c>
      <c r="AA598" s="23" t="n">
        <v>24</v>
      </c>
      <c r="AB598" s="9" t="s">
        <v>3648</v>
      </c>
      <c r="AC598" s="9" t="s">
        <v>2701</v>
      </c>
      <c r="AD598" s="23" t="s">
        <v>197</v>
      </c>
      <c r="AE598" s="23" t="s">
        <v>197</v>
      </c>
      <c r="AF598" s="23" t="s">
        <v>197</v>
      </c>
      <c r="AG598" s="23" t="s">
        <v>197</v>
      </c>
      <c r="AH598" s="23" t="s">
        <v>197</v>
      </c>
      <c r="AI598" s="23" t="s">
        <v>197</v>
      </c>
      <c r="AJ598" s="23" t="s">
        <v>197</v>
      </c>
      <c r="AK598" s="23" t="s">
        <v>197</v>
      </c>
      <c r="AL598" s="23" t="s">
        <v>197</v>
      </c>
      <c r="AM598" s="23" t="s">
        <v>197</v>
      </c>
      <c r="AN598" s="9" t="s">
        <v>197</v>
      </c>
      <c r="AO598" s="23" t="s">
        <v>197</v>
      </c>
      <c r="AP598" s="23" t="n">
        <v>1.05</v>
      </c>
      <c r="AQ598" s="23" t="n">
        <v>1.4</v>
      </c>
    </row>
    <row r="599" customFormat="false" ht="21.75" hidden="false" customHeight="true" outlineLevel="0" collapsed="false">
      <c r="B599" s="14" t="n">
        <v>595</v>
      </c>
      <c r="C599" s="7" t="s">
        <v>88</v>
      </c>
      <c r="D599" s="7" t="s">
        <v>26</v>
      </c>
      <c r="E599" s="7" t="s">
        <v>121</v>
      </c>
      <c r="F599" s="7" t="s">
        <v>102</v>
      </c>
      <c r="G599" s="7" t="s">
        <v>3681</v>
      </c>
      <c r="H599" s="7" t="s">
        <v>2607</v>
      </c>
      <c r="I599" s="7" t="s">
        <v>3203</v>
      </c>
      <c r="J599" s="7" t="s">
        <v>3680</v>
      </c>
      <c r="K599" s="7" t="s">
        <v>2697</v>
      </c>
      <c r="L599" s="7" t="s">
        <v>3648</v>
      </c>
      <c r="M599" s="7" t="s">
        <v>2698</v>
      </c>
      <c r="N599" s="7" t="s">
        <v>189</v>
      </c>
      <c r="O599" s="7" t="s">
        <v>189</v>
      </c>
      <c r="P599" s="7" t="s">
        <v>640</v>
      </c>
      <c r="Q599" s="7" t="s">
        <v>3205</v>
      </c>
      <c r="R599" s="7" t="s">
        <v>1190</v>
      </c>
      <c r="S599" s="7" t="s">
        <v>3151</v>
      </c>
      <c r="T599" s="7" t="s">
        <v>3206</v>
      </c>
      <c r="U599" s="18" t="n">
        <v>14</v>
      </c>
      <c r="V599" s="7"/>
      <c r="W599" s="7"/>
      <c r="X599" s="7" t="s">
        <v>199</v>
      </c>
      <c r="Y599" s="22" t="n">
        <v>0</v>
      </c>
      <c r="Z599" s="22" t="n">
        <v>0.01</v>
      </c>
      <c r="AA599" s="22" t="n">
        <v>24</v>
      </c>
      <c r="AB599" s="7" t="s">
        <v>3648</v>
      </c>
      <c r="AC599" s="7" t="s">
        <v>2701</v>
      </c>
      <c r="AD599" s="22" t="s">
        <v>197</v>
      </c>
      <c r="AE599" s="22" t="s">
        <v>197</v>
      </c>
      <c r="AF599" s="22" t="s">
        <v>197</v>
      </c>
      <c r="AG599" s="22" t="s">
        <v>197</v>
      </c>
      <c r="AH599" s="22" t="s">
        <v>197</v>
      </c>
      <c r="AI599" s="22" t="s">
        <v>197</v>
      </c>
      <c r="AJ599" s="22" t="s">
        <v>197</v>
      </c>
      <c r="AK599" s="22" t="s">
        <v>197</v>
      </c>
      <c r="AL599" s="22" t="s">
        <v>197</v>
      </c>
      <c r="AM599" s="22" t="s">
        <v>197</v>
      </c>
      <c r="AN599" s="7" t="s">
        <v>197</v>
      </c>
      <c r="AO599" s="22" t="s">
        <v>197</v>
      </c>
      <c r="AP599" s="22" t="n">
        <v>1.05</v>
      </c>
      <c r="AQ599" s="22" t="n">
        <v>1.4</v>
      </c>
    </row>
    <row r="600" customFormat="false" ht="21.75" hidden="false" customHeight="true" outlineLevel="0" collapsed="false">
      <c r="B600" s="15" t="n">
        <v>596</v>
      </c>
      <c r="C600" s="9" t="s">
        <v>88</v>
      </c>
      <c r="D600" s="9" t="s">
        <v>26</v>
      </c>
      <c r="E600" s="9" t="s">
        <v>121</v>
      </c>
      <c r="F600" s="9" t="s">
        <v>102</v>
      </c>
      <c r="G600" s="9" t="s">
        <v>3682</v>
      </c>
      <c r="H600" s="9" t="s">
        <v>2609</v>
      </c>
      <c r="I600" s="9" t="s">
        <v>3203</v>
      </c>
      <c r="J600" s="9" t="s">
        <v>3680</v>
      </c>
      <c r="K600" s="9" t="s">
        <v>2697</v>
      </c>
      <c r="L600" s="9" t="s">
        <v>3648</v>
      </c>
      <c r="M600" s="9" t="s">
        <v>2698</v>
      </c>
      <c r="N600" s="9" t="s">
        <v>189</v>
      </c>
      <c r="O600" s="9" t="s">
        <v>189</v>
      </c>
      <c r="P600" s="9" t="s">
        <v>640</v>
      </c>
      <c r="Q600" s="9" t="s">
        <v>3205</v>
      </c>
      <c r="R600" s="9" t="s">
        <v>1190</v>
      </c>
      <c r="S600" s="9" t="s">
        <v>3151</v>
      </c>
      <c r="T600" s="9" t="s">
        <v>3206</v>
      </c>
      <c r="U600" s="19" t="n">
        <v>18</v>
      </c>
      <c r="V600" s="9"/>
      <c r="W600" s="9"/>
      <c r="X600" s="9" t="s">
        <v>3683</v>
      </c>
      <c r="Y600" s="23" t="n">
        <v>0</v>
      </c>
      <c r="Z600" s="23" t="n">
        <v>0.024</v>
      </c>
      <c r="AA600" s="23" t="n">
        <v>24</v>
      </c>
      <c r="AB600" s="9" t="s">
        <v>3648</v>
      </c>
      <c r="AC600" s="9" t="s">
        <v>2701</v>
      </c>
      <c r="AD600" s="23" t="s">
        <v>197</v>
      </c>
      <c r="AE600" s="23" t="s">
        <v>197</v>
      </c>
      <c r="AF600" s="23" t="s">
        <v>197</v>
      </c>
      <c r="AG600" s="23" t="s">
        <v>197</v>
      </c>
      <c r="AH600" s="23" t="s">
        <v>197</v>
      </c>
      <c r="AI600" s="23" t="s">
        <v>197</v>
      </c>
      <c r="AJ600" s="23" t="s">
        <v>197</v>
      </c>
      <c r="AK600" s="23" t="s">
        <v>197</v>
      </c>
      <c r="AL600" s="23" t="s">
        <v>197</v>
      </c>
      <c r="AM600" s="23" t="s">
        <v>197</v>
      </c>
      <c r="AN600" s="9" t="s">
        <v>197</v>
      </c>
      <c r="AO600" s="23" t="s">
        <v>197</v>
      </c>
      <c r="AP600" s="23" t="n">
        <v>1.05</v>
      </c>
      <c r="AQ600" s="23" t="n">
        <v>1.4</v>
      </c>
    </row>
    <row r="601" customFormat="false" ht="21.75" hidden="false" customHeight="true" outlineLevel="0" collapsed="false">
      <c r="B601" s="14" t="n">
        <v>597</v>
      </c>
      <c r="C601" s="7" t="s">
        <v>88</v>
      </c>
      <c r="D601" s="7" t="s">
        <v>26</v>
      </c>
      <c r="E601" s="7" t="s">
        <v>121</v>
      </c>
      <c r="F601" s="7" t="s">
        <v>102</v>
      </c>
      <c r="G601" s="7" t="s">
        <v>3684</v>
      </c>
      <c r="H601" s="7" t="s">
        <v>2612</v>
      </c>
      <c r="I601" s="7" t="s">
        <v>3203</v>
      </c>
      <c r="J601" s="7" t="s">
        <v>3680</v>
      </c>
      <c r="K601" s="7" t="s">
        <v>2697</v>
      </c>
      <c r="L601" s="7" t="s">
        <v>3648</v>
      </c>
      <c r="M601" s="7" t="s">
        <v>2698</v>
      </c>
      <c r="N601" s="7" t="s">
        <v>189</v>
      </c>
      <c r="O601" s="7" t="s">
        <v>189</v>
      </c>
      <c r="P601" s="7" t="s">
        <v>640</v>
      </c>
      <c r="Q601" s="7" t="s">
        <v>3205</v>
      </c>
      <c r="R601" s="7" t="s">
        <v>1190</v>
      </c>
      <c r="S601" s="7" t="s">
        <v>3151</v>
      </c>
      <c r="T601" s="7" t="s">
        <v>3206</v>
      </c>
      <c r="U601" s="18" t="n">
        <v>25</v>
      </c>
      <c r="V601" s="7"/>
      <c r="W601" s="7"/>
      <c r="X601" s="7" t="s">
        <v>203</v>
      </c>
      <c r="Y601" s="22" t="n">
        <v>0</v>
      </c>
      <c r="Z601" s="22" t="n">
        <v>0.022</v>
      </c>
      <c r="AA601" s="22" t="n">
        <v>24</v>
      </c>
      <c r="AB601" s="7" t="s">
        <v>3648</v>
      </c>
      <c r="AC601" s="7" t="s">
        <v>2701</v>
      </c>
      <c r="AD601" s="22" t="s">
        <v>197</v>
      </c>
      <c r="AE601" s="22" t="s">
        <v>197</v>
      </c>
      <c r="AF601" s="22" t="s">
        <v>197</v>
      </c>
      <c r="AG601" s="22" t="s">
        <v>197</v>
      </c>
      <c r="AH601" s="22" t="s">
        <v>197</v>
      </c>
      <c r="AI601" s="22" t="s">
        <v>197</v>
      </c>
      <c r="AJ601" s="22" t="s">
        <v>197</v>
      </c>
      <c r="AK601" s="22" t="s">
        <v>197</v>
      </c>
      <c r="AL601" s="22" t="s">
        <v>197</v>
      </c>
      <c r="AM601" s="22" t="s">
        <v>197</v>
      </c>
      <c r="AN601" s="7" t="s">
        <v>197</v>
      </c>
      <c r="AO601" s="22" t="s">
        <v>197</v>
      </c>
      <c r="AP601" s="22" t="n">
        <v>1.05</v>
      </c>
      <c r="AQ601" s="22" t="n">
        <v>1.4</v>
      </c>
    </row>
    <row r="602" customFormat="false" ht="21.75" hidden="false" customHeight="true" outlineLevel="0" collapsed="false">
      <c r="B602" s="15" t="n">
        <v>598</v>
      </c>
      <c r="C602" s="9" t="s">
        <v>88</v>
      </c>
      <c r="D602" s="9" t="s">
        <v>26</v>
      </c>
      <c r="E602" s="9" t="s">
        <v>121</v>
      </c>
      <c r="F602" s="9" t="s">
        <v>102</v>
      </c>
      <c r="G602" s="9" t="s">
        <v>3685</v>
      </c>
      <c r="H602" s="9" t="s">
        <v>2614</v>
      </c>
      <c r="I602" s="9" t="s">
        <v>3203</v>
      </c>
      <c r="J602" s="9" t="s">
        <v>3680</v>
      </c>
      <c r="K602" s="9" t="s">
        <v>2697</v>
      </c>
      <c r="L602" s="9" t="s">
        <v>3648</v>
      </c>
      <c r="M602" s="9" t="s">
        <v>2698</v>
      </c>
      <c r="N602" s="9" t="s">
        <v>189</v>
      </c>
      <c r="O602" s="9" t="s">
        <v>189</v>
      </c>
      <c r="P602" s="9" t="s">
        <v>640</v>
      </c>
      <c r="Q602" s="9" t="s">
        <v>3205</v>
      </c>
      <c r="R602" s="9" t="s">
        <v>1190</v>
      </c>
      <c r="S602" s="9" t="s">
        <v>3151</v>
      </c>
      <c r="T602" s="9" t="s">
        <v>3206</v>
      </c>
      <c r="U602" s="19" t="n">
        <v>35</v>
      </c>
      <c r="V602" s="9"/>
      <c r="W602" s="9"/>
      <c r="X602" s="9" t="s">
        <v>205</v>
      </c>
      <c r="Y602" s="23" t="n">
        <v>0</v>
      </c>
      <c r="Z602" s="23" t="n">
        <v>0.022</v>
      </c>
      <c r="AA602" s="23" t="n">
        <v>24</v>
      </c>
      <c r="AB602" s="9" t="s">
        <v>3648</v>
      </c>
      <c r="AC602" s="9" t="s">
        <v>2701</v>
      </c>
      <c r="AD602" s="23" t="s">
        <v>197</v>
      </c>
      <c r="AE602" s="23" t="s">
        <v>197</v>
      </c>
      <c r="AF602" s="23" t="s">
        <v>197</v>
      </c>
      <c r="AG602" s="23" t="s">
        <v>197</v>
      </c>
      <c r="AH602" s="23" t="s">
        <v>197</v>
      </c>
      <c r="AI602" s="23" t="s">
        <v>197</v>
      </c>
      <c r="AJ602" s="23" t="s">
        <v>197</v>
      </c>
      <c r="AK602" s="23" t="s">
        <v>197</v>
      </c>
      <c r="AL602" s="23" t="s">
        <v>197</v>
      </c>
      <c r="AM602" s="23" t="s">
        <v>197</v>
      </c>
      <c r="AN602" s="9" t="s">
        <v>197</v>
      </c>
      <c r="AO602" s="23" t="s">
        <v>197</v>
      </c>
      <c r="AP602" s="23" t="n">
        <v>1.05</v>
      </c>
      <c r="AQ602" s="23" t="n">
        <v>1.4</v>
      </c>
    </row>
    <row r="603" customFormat="false" ht="21.75" hidden="false" customHeight="true" outlineLevel="0" collapsed="false">
      <c r="B603" s="14" t="n">
        <v>599</v>
      </c>
      <c r="C603" s="7" t="s">
        <v>88</v>
      </c>
      <c r="D603" s="7" t="s">
        <v>26</v>
      </c>
      <c r="E603" s="7" t="s">
        <v>121</v>
      </c>
      <c r="F603" s="7" t="s">
        <v>103</v>
      </c>
      <c r="G603" s="7" t="s">
        <v>3686</v>
      </c>
      <c r="H603" s="7" t="s">
        <v>3004</v>
      </c>
      <c r="I603" s="7" t="s">
        <v>3687</v>
      </c>
      <c r="J603" s="7" t="s">
        <v>914</v>
      </c>
      <c r="K603" s="7" t="s">
        <v>3007</v>
      </c>
      <c r="L603" s="7" t="s">
        <v>3648</v>
      </c>
      <c r="M603" s="7" t="s">
        <v>3008</v>
      </c>
      <c r="N603" s="7" t="s">
        <v>189</v>
      </c>
      <c r="O603" s="7" t="s">
        <v>3688</v>
      </c>
      <c r="P603" s="7" t="s">
        <v>640</v>
      </c>
      <c r="Q603" s="7" t="s">
        <v>3689</v>
      </c>
      <c r="R603" s="7" t="s">
        <v>1427</v>
      </c>
      <c r="S603" s="7" t="s">
        <v>3151</v>
      </c>
      <c r="T603" s="7" t="s">
        <v>3534</v>
      </c>
      <c r="U603" s="18" t="n">
        <v>17</v>
      </c>
      <c r="V603" s="7"/>
      <c r="W603" s="7"/>
      <c r="X603" s="7" t="s">
        <v>195</v>
      </c>
      <c r="Y603" s="22" t="n">
        <v>0.00053232</v>
      </c>
      <c r="Z603" s="22" t="n">
        <v>0.096</v>
      </c>
      <c r="AA603" s="22" t="n">
        <v>24</v>
      </c>
      <c r="AB603" s="7" t="s">
        <v>3648</v>
      </c>
      <c r="AC603" s="7" t="s">
        <v>3011</v>
      </c>
      <c r="AD603" s="22" t="s">
        <v>197</v>
      </c>
      <c r="AE603" s="22" t="s">
        <v>197</v>
      </c>
      <c r="AF603" s="22" t="s">
        <v>197</v>
      </c>
      <c r="AG603" s="22" t="s">
        <v>197</v>
      </c>
      <c r="AH603" s="22" t="s">
        <v>197</v>
      </c>
      <c r="AI603" s="22" t="s">
        <v>197</v>
      </c>
      <c r="AJ603" s="22" t="s">
        <v>197</v>
      </c>
      <c r="AK603" s="22" t="s">
        <v>197</v>
      </c>
      <c r="AL603" s="22" t="s">
        <v>197</v>
      </c>
      <c r="AM603" s="22" t="s">
        <v>197</v>
      </c>
      <c r="AN603" s="7" t="s">
        <v>197</v>
      </c>
      <c r="AO603" s="22" t="n">
        <v>22.1</v>
      </c>
      <c r="AP603" s="22" t="n">
        <v>2</v>
      </c>
      <c r="AQ603" s="22" t="n">
        <v>2.45</v>
      </c>
    </row>
    <row r="604" customFormat="false" ht="21.75" hidden="false" customHeight="true" outlineLevel="0" collapsed="false">
      <c r="B604" s="15" t="n">
        <v>600</v>
      </c>
      <c r="C604" s="9" t="s">
        <v>88</v>
      </c>
      <c r="D604" s="9" t="s">
        <v>26</v>
      </c>
      <c r="E604" s="9" t="s">
        <v>121</v>
      </c>
      <c r="F604" s="9" t="s">
        <v>103</v>
      </c>
      <c r="G604" s="9" t="s">
        <v>3690</v>
      </c>
      <c r="H604" s="9" t="s">
        <v>3013</v>
      </c>
      <c r="I604" s="9" t="s">
        <v>3687</v>
      </c>
      <c r="J604" s="9" t="s">
        <v>914</v>
      </c>
      <c r="K604" s="9" t="s">
        <v>3007</v>
      </c>
      <c r="L604" s="9" t="s">
        <v>3648</v>
      </c>
      <c r="M604" s="9" t="s">
        <v>3008</v>
      </c>
      <c r="N604" s="9" t="s">
        <v>189</v>
      </c>
      <c r="O604" s="9" t="s">
        <v>3688</v>
      </c>
      <c r="P604" s="9" t="s">
        <v>640</v>
      </c>
      <c r="Q604" s="9" t="s">
        <v>3689</v>
      </c>
      <c r="R604" s="9" t="s">
        <v>1427</v>
      </c>
      <c r="S604" s="9" t="s">
        <v>3151</v>
      </c>
      <c r="T604" s="9" t="s">
        <v>3534</v>
      </c>
      <c r="U604" s="19" t="n">
        <v>25</v>
      </c>
      <c r="V604" s="9"/>
      <c r="W604" s="9"/>
      <c r="X604" s="9" t="s">
        <v>199</v>
      </c>
      <c r="Y604" s="23" t="n">
        <v>0.00044328</v>
      </c>
      <c r="Z604" s="23" t="n">
        <v>0.083</v>
      </c>
      <c r="AA604" s="23" t="n">
        <v>24</v>
      </c>
      <c r="AB604" s="9" t="s">
        <v>3648</v>
      </c>
      <c r="AC604" s="9" t="s">
        <v>3011</v>
      </c>
      <c r="AD604" s="23" t="s">
        <v>197</v>
      </c>
      <c r="AE604" s="23" t="s">
        <v>197</v>
      </c>
      <c r="AF604" s="23" t="s">
        <v>197</v>
      </c>
      <c r="AG604" s="23" t="s">
        <v>197</v>
      </c>
      <c r="AH604" s="23" t="s">
        <v>197</v>
      </c>
      <c r="AI604" s="23" t="s">
        <v>197</v>
      </c>
      <c r="AJ604" s="23" t="s">
        <v>197</v>
      </c>
      <c r="AK604" s="23" t="s">
        <v>197</v>
      </c>
      <c r="AL604" s="23" t="s">
        <v>197</v>
      </c>
      <c r="AM604" s="23" t="s">
        <v>197</v>
      </c>
      <c r="AN604" s="9" t="s">
        <v>197</v>
      </c>
      <c r="AO604" s="23" t="n">
        <v>20.2</v>
      </c>
      <c r="AP604" s="23" t="n">
        <v>2</v>
      </c>
      <c r="AQ604" s="23" t="n">
        <v>2.45</v>
      </c>
    </row>
    <row r="605" customFormat="false" ht="21.75" hidden="false" customHeight="true" outlineLevel="0" collapsed="false">
      <c r="B605" s="14" t="n">
        <v>601</v>
      </c>
      <c r="C605" s="7" t="s">
        <v>88</v>
      </c>
      <c r="D605" s="7" t="s">
        <v>26</v>
      </c>
      <c r="E605" s="7" t="s">
        <v>121</v>
      </c>
      <c r="F605" s="7" t="s">
        <v>103</v>
      </c>
      <c r="G605" s="7" t="s">
        <v>3691</v>
      </c>
      <c r="H605" s="7" t="s">
        <v>3015</v>
      </c>
      <c r="I605" s="7" t="s">
        <v>3687</v>
      </c>
      <c r="J605" s="7" t="s">
        <v>914</v>
      </c>
      <c r="K605" s="7" t="s">
        <v>3007</v>
      </c>
      <c r="L605" s="7" t="s">
        <v>3648</v>
      </c>
      <c r="M605" s="7" t="s">
        <v>3008</v>
      </c>
      <c r="N605" s="7" t="s">
        <v>189</v>
      </c>
      <c r="O605" s="7" t="s">
        <v>3688</v>
      </c>
      <c r="P605" s="7" t="s">
        <v>640</v>
      </c>
      <c r="Q605" s="7" t="s">
        <v>3689</v>
      </c>
      <c r="R605" s="7" t="s">
        <v>1427</v>
      </c>
      <c r="S605" s="7" t="s">
        <v>3151</v>
      </c>
      <c r="T605" s="7" t="s">
        <v>3534</v>
      </c>
      <c r="U605" s="18" t="n">
        <v>30</v>
      </c>
      <c r="V605" s="7"/>
      <c r="W605" s="7"/>
      <c r="X605" s="7" t="s">
        <v>3692</v>
      </c>
      <c r="Y605" s="22" t="n">
        <v>0.00062456</v>
      </c>
      <c r="Z605" s="22" t="n">
        <v>0.108</v>
      </c>
      <c r="AA605" s="22" t="n">
        <v>24</v>
      </c>
      <c r="AB605" s="7" t="s">
        <v>3648</v>
      </c>
      <c r="AC605" s="7" t="s">
        <v>3011</v>
      </c>
      <c r="AD605" s="22" t="s">
        <v>197</v>
      </c>
      <c r="AE605" s="22" t="s">
        <v>197</v>
      </c>
      <c r="AF605" s="22" t="s">
        <v>197</v>
      </c>
      <c r="AG605" s="22" t="s">
        <v>197</v>
      </c>
      <c r="AH605" s="22" t="s">
        <v>197</v>
      </c>
      <c r="AI605" s="22" t="s">
        <v>197</v>
      </c>
      <c r="AJ605" s="22" t="s">
        <v>197</v>
      </c>
      <c r="AK605" s="22" t="s">
        <v>197</v>
      </c>
      <c r="AL605" s="22" t="s">
        <v>197</v>
      </c>
      <c r="AM605" s="22" t="s">
        <v>197</v>
      </c>
      <c r="AN605" s="7" t="s">
        <v>197</v>
      </c>
      <c r="AO605" s="22" t="n">
        <v>24</v>
      </c>
      <c r="AP605" s="22" t="n">
        <v>2</v>
      </c>
      <c r="AQ605" s="22" t="n">
        <v>2.45</v>
      </c>
    </row>
    <row r="606" customFormat="false" ht="21.75" hidden="false" customHeight="true" outlineLevel="0" collapsed="false">
      <c r="B606" s="15" t="n">
        <v>602</v>
      </c>
      <c r="C606" s="9" t="s">
        <v>88</v>
      </c>
      <c r="D606" s="9" t="s">
        <v>26</v>
      </c>
      <c r="E606" s="9" t="s">
        <v>121</v>
      </c>
      <c r="F606" s="9" t="s">
        <v>103</v>
      </c>
      <c r="G606" s="9" t="s">
        <v>3693</v>
      </c>
      <c r="H606" s="9" t="s">
        <v>3018</v>
      </c>
      <c r="I606" s="9" t="s">
        <v>3687</v>
      </c>
      <c r="J606" s="9" t="s">
        <v>914</v>
      </c>
      <c r="K606" s="9" t="s">
        <v>3007</v>
      </c>
      <c r="L606" s="9" t="s">
        <v>3648</v>
      </c>
      <c r="M606" s="9" t="s">
        <v>3008</v>
      </c>
      <c r="N606" s="9" t="s">
        <v>189</v>
      </c>
      <c r="O606" s="9" t="s">
        <v>3688</v>
      </c>
      <c r="P606" s="9" t="s">
        <v>640</v>
      </c>
      <c r="Q606" s="9" t="s">
        <v>3689</v>
      </c>
      <c r="R606" s="9" t="s">
        <v>1427</v>
      </c>
      <c r="S606" s="9" t="s">
        <v>3151</v>
      </c>
      <c r="T606" s="9" t="s">
        <v>3534</v>
      </c>
      <c r="U606" s="19" t="n">
        <v>50</v>
      </c>
      <c r="V606" s="9"/>
      <c r="W606" s="9"/>
      <c r="X606" s="9" t="s">
        <v>203</v>
      </c>
      <c r="Y606" s="23" t="n">
        <v>0.00056136</v>
      </c>
      <c r="Z606" s="23" t="n">
        <v>0.1</v>
      </c>
      <c r="AA606" s="23" t="n">
        <v>24</v>
      </c>
      <c r="AB606" s="9" t="s">
        <v>3648</v>
      </c>
      <c r="AC606" s="9" t="s">
        <v>3011</v>
      </c>
      <c r="AD606" s="23" t="s">
        <v>197</v>
      </c>
      <c r="AE606" s="23" t="s">
        <v>197</v>
      </c>
      <c r="AF606" s="23" t="s">
        <v>197</v>
      </c>
      <c r="AG606" s="23" t="s">
        <v>197</v>
      </c>
      <c r="AH606" s="23" t="s">
        <v>197</v>
      </c>
      <c r="AI606" s="23" t="s">
        <v>197</v>
      </c>
      <c r="AJ606" s="23" t="s">
        <v>197</v>
      </c>
      <c r="AK606" s="23" t="s">
        <v>197</v>
      </c>
      <c r="AL606" s="23" t="s">
        <v>197</v>
      </c>
      <c r="AM606" s="23" t="s">
        <v>197</v>
      </c>
      <c r="AN606" s="9" t="s">
        <v>197</v>
      </c>
      <c r="AO606" s="23" t="n">
        <v>22.7</v>
      </c>
      <c r="AP606" s="23" t="n">
        <v>2</v>
      </c>
      <c r="AQ606" s="23" t="n">
        <v>2.45</v>
      </c>
    </row>
    <row r="607" customFormat="false" ht="21.75" hidden="false" customHeight="true" outlineLevel="0" collapsed="false">
      <c r="B607" s="14" t="n">
        <v>603</v>
      </c>
      <c r="C607" s="7" t="s">
        <v>88</v>
      </c>
      <c r="D607" s="7" t="s">
        <v>26</v>
      </c>
      <c r="E607" s="7" t="s">
        <v>121</v>
      </c>
      <c r="F607" s="7" t="s">
        <v>103</v>
      </c>
      <c r="G607" s="7" t="s">
        <v>3694</v>
      </c>
      <c r="H607" s="7" t="s">
        <v>3020</v>
      </c>
      <c r="I607" s="7" t="s">
        <v>3687</v>
      </c>
      <c r="J607" s="7" t="s">
        <v>914</v>
      </c>
      <c r="K607" s="7" t="s">
        <v>3007</v>
      </c>
      <c r="L607" s="7" t="s">
        <v>3648</v>
      </c>
      <c r="M607" s="7" t="s">
        <v>3008</v>
      </c>
      <c r="N607" s="7" t="s">
        <v>189</v>
      </c>
      <c r="O607" s="7" t="s">
        <v>3688</v>
      </c>
      <c r="P607" s="7" t="s">
        <v>640</v>
      </c>
      <c r="Q607" s="7" t="s">
        <v>3689</v>
      </c>
      <c r="R607" s="7" t="s">
        <v>1427</v>
      </c>
      <c r="S607" s="7" t="s">
        <v>3151</v>
      </c>
      <c r="T607" s="7" t="s">
        <v>3534</v>
      </c>
      <c r="U607" s="18" t="n">
        <v>70</v>
      </c>
      <c r="V607" s="7"/>
      <c r="W607" s="7"/>
      <c r="X607" s="7" t="s">
        <v>205</v>
      </c>
      <c r="Y607" s="22" t="n">
        <v>0.00080232</v>
      </c>
      <c r="Z607" s="22" t="n">
        <v>0.133</v>
      </c>
      <c r="AA607" s="22" t="n">
        <v>24</v>
      </c>
      <c r="AB607" s="7" t="s">
        <v>3648</v>
      </c>
      <c r="AC607" s="7" t="s">
        <v>3011</v>
      </c>
      <c r="AD607" s="22" t="s">
        <v>197</v>
      </c>
      <c r="AE607" s="22" t="s">
        <v>197</v>
      </c>
      <c r="AF607" s="22" t="s">
        <v>197</v>
      </c>
      <c r="AG607" s="22" t="s">
        <v>197</v>
      </c>
      <c r="AH607" s="22" t="s">
        <v>197</v>
      </c>
      <c r="AI607" s="22" t="s">
        <v>197</v>
      </c>
      <c r="AJ607" s="22" t="s">
        <v>197</v>
      </c>
      <c r="AK607" s="22" t="s">
        <v>197</v>
      </c>
      <c r="AL607" s="22" t="s">
        <v>197</v>
      </c>
      <c r="AM607" s="22" t="s">
        <v>197</v>
      </c>
      <c r="AN607" s="7" t="s">
        <v>197</v>
      </c>
      <c r="AO607" s="22" t="n">
        <v>27.8</v>
      </c>
      <c r="AP607" s="22" t="n">
        <v>2</v>
      </c>
      <c r="AQ607" s="22" t="n">
        <v>2.45</v>
      </c>
    </row>
    <row r="608" customFormat="false" ht="21.75" hidden="false" customHeight="true" outlineLevel="0" collapsed="false">
      <c r="B608" s="15" t="n">
        <v>604</v>
      </c>
      <c r="C608" s="9" t="s">
        <v>88</v>
      </c>
      <c r="D608" s="9" t="s">
        <v>26</v>
      </c>
      <c r="E608" s="9" t="s">
        <v>121</v>
      </c>
      <c r="F608" s="9" t="s">
        <v>104</v>
      </c>
      <c r="G608" s="9" t="s">
        <v>391</v>
      </c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19"/>
      <c r="V608" s="9"/>
      <c r="W608" s="9"/>
      <c r="X608" s="9" t="s">
        <v>3695</v>
      </c>
      <c r="Y608" s="23" t="s">
        <v>197</v>
      </c>
      <c r="Z608" s="23" t="s">
        <v>197</v>
      </c>
      <c r="AA608" s="23" t="s">
        <v>197</v>
      </c>
      <c r="AB608" s="9" t="s">
        <v>197</v>
      </c>
      <c r="AC608" s="9" t="s">
        <v>197</v>
      </c>
      <c r="AD608" s="23" t="s">
        <v>197</v>
      </c>
      <c r="AE608" s="23" t="s">
        <v>197</v>
      </c>
      <c r="AF608" s="23" t="s">
        <v>197</v>
      </c>
      <c r="AG608" s="23" t="s">
        <v>197</v>
      </c>
      <c r="AH608" s="23" t="s">
        <v>197</v>
      </c>
      <c r="AI608" s="23" t="s">
        <v>197</v>
      </c>
      <c r="AJ608" s="23" t="s">
        <v>197</v>
      </c>
      <c r="AK608" s="23" t="s">
        <v>197</v>
      </c>
      <c r="AL608" s="23" t="s">
        <v>197</v>
      </c>
      <c r="AM608" s="23" t="s">
        <v>197</v>
      </c>
      <c r="AN608" s="9" t="s">
        <v>197</v>
      </c>
      <c r="AO608" s="23" t="s">
        <v>197</v>
      </c>
      <c r="AP608" s="23" t="s">
        <v>197</v>
      </c>
      <c r="AQ608" s="23" t="s">
        <v>197</v>
      </c>
    </row>
    <row r="609" customFormat="false" ht="21.75" hidden="false" customHeight="true" outlineLevel="0" collapsed="false">
      <c r="B609" s="14" t="n">
        <v>605</v>
      </c>
      <c r="C609" s="7" t="s">
        <v>88</v>
      </c>
      <c r="D609" s="7" t="s">
        <v>26</v>
      </c>
      <c r="E609" s="7" t="s">
        <v>121</v>
      </c>
      <c r="F609" s="7" t="s">
        <v>105</v>
      </c>
      <c r="G609" s="7" t="s">
        <v>391</v>
      </c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18"/>
      <c r="V609" s="7"/>
      <c r="W609" s="7"/>
      <c r="X609" s="7" t="s">
        <v>3695</v>
      </c>
      <c r="Y609" s="22" t="s">
        <v>197</v>
      </c>
      <c r="Z609" s="22" t="s">
        <v>197</v>
      </c>
      <c r="AA609" s="22" t="s">
        <v>197</v>
      </c>
      <c r="AB609" s="7" t="s">
        <v>197</v>
      </c>
      <c r="AC609" s="7" t="s">
        <v>197</v>
      </c>
      <c r="AD609" s="22" t="s">
        <v>197</v>
      </c>
      <c r="AE609" s="22" t="s">
        <v>197</v>
      </c>
      <c r="AF609" s="22" t="s">
        <v>197</v>
      </c>
      <c r="AG609" s="22" t="s">
        <v>197</v>
      </c>
      <c r="AH609" s="22" t="s">
        <v>197</v>
      </c>
      <c r="AI609" s="22" t="s">
        <v>197</v>
      </c>
      <c r="AJ609" s="22" t="s">
        <v>197</v>
      </c>
      <c r="AK609" s="22" t="s">
        <v>197</v>
      </c>
      <c r="AL609" s="22" t="s">
        <v>197</v>
      </c>
      <c r="AM609" s="22" t="s">
        <v>197</v>
      </c>
      <c r="AN609" s="7" t="s">
        <v>197</v>
      </c>
      <c r="AO609" s="22" t="s">
        <v>197</v>
      </c>
      <c r="AP609" s="22" t="s">
        <v>197</v>
      </c>
      <c r="AQ609" s="22" t="s">
        <v>197</v>
      </c>
    </row>
    <row r="610" customFormat="false" ht="21.75" hidden="false" customHeight="true" outlineLevel="0" collapsed="false">
      <c r="B610" s="15" t="n">
        <v>606</v>
      </c>
      <c r="C610" s="9" t="s">
        <v>88</v>
      </c>
      <c r="D610" s="9" t="s">
        <v>26</v>
      </c>
      <c r="E610" s="9" t="s">
        <v>121</v>
      </c>
      <c r="F610" s="9" t="s">
        <v>106</v>
      </c>
      <c r="G610" s="9" t="s">
        <v>391</v>
      </c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19"/>
      <c r="V610" s="9"/>
      <c r="W610" s="9"/>
      <c r="X610" s="9" t="s">
        <v>3696</v>
      </c>
      <c r="Y610" s="23" t="s">
        <v>197</v>
      </c>
      <c r="Z610" s="23" t="s">
        <v>197</v>
      </c>
      <c r="AA610" s="23" t="s">
        <v>197</v>
      </c>
      <c r="AB610" s="9" t="s">
        <v>197</v>
      </c>
      <c r="AC610" s="9" t="s">
        <v>197</v>
      </c>
      <c r="AD610" s="23" t="s">
        <v>197</v>
      </c>
      <c r="AE610" s="23" t="s">
        <v>197</v>
      </c>
      <c r="AF610" s="23" t="s">
        <v>197</v>
      </c>
      <c r="AG610" s="23" t="s">
        <v>197</v>
      </c>
      <c r="AH610" s="23" t="s">
        <v>197</v>
      </c>
      <c r="AI610" s="23" t="s">
        <v>197</v>
      </c>
      <c r="AJ610" s="23" t="s">
        <v>197</v>
      </c>
      <c r="AK610" s="23" t="s">
        <v>197</v>
      </c>
      <c r="AL610" s="23" t="s">
        <v>197</v>
      </c>
      <c r="AM610" s="23" t="s">
        <v>197</v>
      </c>
      <c r="AN610" s="9" t="s">
        <v>197</v>
      </c>
      <c r="AO610" s="23" t="s">
        <v>197</v>
      </c>
      <c r="AP610" s="23" t="s">
        <v>197</v>
      </c>
      <c r="AQ610" s="23" t="s">
        <v>197</v>
      </c>
    </row>
    <row r="611" customFormat="false" ht="21.75" hidden="false" customHeight="true" outlineLevel="0" collapsed="false">
      <c r="B611" s="14" t="n">
        <v>607</v>
      </c>
      <c r="C611" s="7" t="s">
        <v>88</v>
      </c>
      <c r="D611" s="7" t="s">
        <v>26</v>
      </c>
      <c r="E611" s="7" t="s">
        <v>121</v>
      </c>
      <c r="F611" s="7" t="s">
        <v>107</v>
      </c>
      <c r="G611" s="7" t="s">
        <v>391</v>
      </c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18"/>
      <c r="V611" s="7"/>
      <c r="W611" s="7"/>
      <c r="X611" s="7" t="s">
        <v>3697</v>
      </c>
      <c r="Y611" s="22" t="s">
        <v>197</v>
      </c>
      <c r="Z611" s="22" t="s">
        <v>197</v>
      </c>
      <c r="AA611" s="22" t="s">
        <v>197</v>
      </c>
      <c r="AB611" s="7" t="s">
        <v>197</v>
      </c>
      <c r="AC611" s="7" t="s">
        <v>197</v>
      </c>
      <c r="AD611" s="22" t="s">
        <v>197</v>
      </c>
      <c r="AE611" s="22" t="s">
        <v>197</v>
      </c>
      <c r="AF611" s="22" t="s">
        <v>197</v>
      </c>
      <c r="AG611" s="22" t="s">
        <v>197</v>
      </c>
      <c r="AH611" s="22" t="s">
        <v>197</v>
      </c>
      <c r="AI611" s="22" t="s">
        <v>197</v>
      </c>
      <c r="AJ611" s="22" t="s">
        <v>197</v>
      </c>
      <c r="AK611" s="22" t="s">
        <v>197</v>
      </c>
      <c r="AL611" s="22" t="s">
        <v>197</v>
      </c>
      <c r="AM611" s="22" t="s">
        <v>197</v>
      </c>
      <c r="AN611" s="7" t="s">
        <v>197</v>
      </c>
      <c r="AO611" s="22" t="s">
        <v>197</v>
      </c>
      <c r="AP611" s="22" t="s">
        <v>197</v>
      </c>
      <c r="AQ611" s="22" t="s">
        <v>197</v>
      </c>
    </row>
    <row r="612" customFormat="false" ht="21.75" hidden="false" customHeight="true" outlineLevel="0" collapsed="false">
      <c r="B612" s="15" t="n">
        <v>608</v>
      </c>
      <c r="C612" s="9" t="s">
        <v>88</v>
      </c>
      <c r="D612" s="9" t="s">
        <v>26</v>
      </c>
      <c r="E612" s="9" t="s">
        <v>121</v>
      </c>
      <c r="F612" s="9" t="s">
        <v>108</v>
      </c>
      <c r="G612" s="9" t="s">
        <v>391</v>
      </c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19"/>
      <c r="V612" s="9"/>
      <c r="W612" s="9"/>
      <c r="X612" s="9" t="s">
        <v>3698</v>
      </c>
      <c r="Y612" s="23" t="s">
        <v>197</v>
      </c>
      <c r="Z612" s="23" t="s">
        <v>197</v>
      </c>
      <c r="AA612" s="23" t="s">
        <v>197</v>
      </c>
      <c r="AB612" s="9" t="s">
        <v>197</v>
      </c>
      <c r="AC612" s="9" t="s">
        <v>197</v>
      </c>
      <c r="AD612" s="23" t="s">
        <v>197</v>
      </c>
      <c r="AE612" s="23" t="s">
        <v>197</v>
      </c>
      <c r="AF612" s="23" t="s">
        <v>197</v>
      </c>
      <c r="AG612" s="23" t="s">
        <v>197</v>
      </c>
      <c r="AH612" s="23" t="s">
        <v>197</v>
      </c>
      <c r="AI612" s="23" t="s">
        <v>197</v>
      </c>
      <c r="AJ612" s="23" t="s">
        <v>197</v>
      </c>
      <c r="AK612" s="23" t="s">
        <v>197</v>
      </c>
      <c r="AL612" s="23" t="s">
        <v>197</v>
      </c>
      <c r="AM612" s="23" t="s">
        <v>197</v>
      </c>
      <c r="AN612" s="9" t="s">
        <v>197</v>
      </c>
      <c r="AO612" s="23" t="s">
        <v>197</v>
      </c>
      <c r="AP612" s="23" t="s">
        <v>197</v>
      </c>
      <c r="AQ612" s="23" t="s">
        <v>197</v>
      </c>
    </row>
    <row r="613" customFormat="false" ht="21.75" hidden="false" customHeight="true" outlineLevel="0" collapsed="false">
      <c r="B613" s="14" t="n">
        <v>609</v>
      </c>
      <c r="C613" s="7" t="s">
        <v>89</v>
      </c>
      <c r="D613" s="7" t="s">
        <v>20</v>
      </c>
      <c r="E613" s="7" t="s">
        <v>121</v>
      </c>
      <c r="F613" s="7" t="s">
        <v>93</v>
      </c>
      <c r="G613" s="7" t="s">
        <v>3699</v>
      </c>
      <c r="H613" s="7" t="s">
        <v>3700</v>
      </c>
      <c r="I613" s="7" t="s">
        <v>3701</v>
      </c>
      <c r="J613" s="7" t="s">
        <v>3702</v>
      </c>
      <c r="K613" s="7" t="s">
        <v>3703</v>
      </c>
      <c r="L613" s="7" t="s">
        <v>3704</v>
      </c>
      <c r="M613" s="7" t="s">
        <v>3705</v>
      </c>
      <c r="N613" s="7" t="s">
        <v>2682</v>
      </c>
      <c r="O613" s="7" t="s">
        <v>189</v>
      </c>
      <c r="P613" s="7" t="s">
        <v>640</v>
      </c>
      <c r="Q613" s="7" t="s">
        <v>3706</v>
      </c>
      <c r="R613" s="7" t="s">
        <v>3707</v>
      </c>
      <c r="S613" s="7" t="s">
        <v>3708</v>
      </c>
      <c r="T613" s="7" t="s">
        <v>3709</v>
      </c>
      <c r="U613" s="18" t="n">
        <v>660</v>
      </c>
      <c r="V613" s="7"/>
      <c r="W613" s="7"/>
      <c r="X613" s="7" t="s">
        <v>195</v>
      </c>
      <c r="Y613" s="22" t="n">
        <v>0.45</v>
      </c>
      <c r="Z613" s="22" t="n">
        <v>2.339</v>
      </c>
      <c r="AA613" s="22" t="n">
        <v>24</v>
      </c>
      <c r="AB613" s="7" t="s">
        <v>3704</v>
      </c>
      <c r="AC613" s="7" t="s">
        <v>3710</v>
      </c>
      <c r="AD613" s="22" t="n">
        <v>0.45</v>
      </c>
      <c r="AE613" s="22" t="n">
        <v>2.339</v>
      </c>
      <c r="AF613" s="22" t="n">
        <v>8</v>
      </c>
      <c r="AG613" s="22" t="s">
        <v>197</v>
      </c>
      <c r="AH613" s="22" t="n">
        <v>4</v>
      </c>
      <c r="AI613" s="22" t="n">
        <v>400</v>
      </c>
      <c r="AJ613" s="22" t="s">
        <v>197</v>
      </c>
      <c r="AK613" s="22" t="s">
        <v>197</v>
      </c>
      <c r="AL613" s="22" t="s">
        <v>197</v>
      </c>
      <c r="AM613" s="22" t="s">
        <v>197</v>
      </c>
      <c r="AN613" s="7" t="s">
        <v>197</v>
      </c>
      <c r="AO613" s="22" t="s">
        <v>197</v>
      </c>
      <c r="AP613" s="22" t="s">
        <v>197</v>
      </c>
      <c r="AQ613" s="22" t="s">
        <v>197</v>
      </c>
    </row>
    <row r="614" customFormat="false" ht="21.75" hidden="false" customHeight="true" outlineLevel="0" collapsed="false">
      <c r="B614" s="15" t="n">
        <v>610</v>
      </c>
      <c r="C614" s="9" t="s">
        <v>89</v>
      </c>
      <c r="D614" s="9" t="s">
        <v>20</v>
      </c>
      <c r="E614" s="9" t="s">
        <v>121</v>
      </c>
      <c r="F614" s="9" t="s">
        <v>93</v>
      </c>
      <c r="G614" s="9" t="s">
        <v>3711</v>
      </c>
      <c r="H614" s="9" t="s">
        <v>3700</v>
      </c>
      <c r="I614" s="9" t="s">
        <v>3701</v>
      </c>
      <c r="J614" s="9" t="s">
        <v>3702</v>
      </c>
      <c r="K614" s="9" t="s">
        <v>3703</v>
      </c>
      <c r="L614" s="9" t="s">
        <v>3704</v>
      </c>
      <c r="M614" s="9" t="s">
        <v>3705</v>
      </c>
      <c r="N614" s="9" t="s">
        <v>2682</v>
      </c>
      <c r="O614" s="9" t="s">
        <v>189</v>
      </c>
      <c r="P614" s="9" t="s">
        <v>640</v>
      </c>
      <c r="Q614" s="9" t="s">
        <v>3706</v>
      </c>
      <c r="R614" s="9" t="s">
        <v>3707</v>
      </c>
      <c r="S614" s="9" t="s">
        <v>3708</v>
      </c>
      <c r="T614" s="9" t="s">
        <v>3709</v>
      </c>
      <c r="U614" s="19" t="n">
        <v>990</v>
      </c>
      <c r="V614" s="9"/>
      <c r="W614" s="9"/>
      <c r="X614" s="9" t="s">
        <v>199</v>
      </c>
      <c r="Y614" s="23" t="n">
        <v>0.45</v>
      </c>
      <c r="Z614" s="23" t="n">
        <v>2.767</v>
      </c>
      <c r="AA614" s="23" t="n">
        <v>24</v>
      </c>
      <c r="AB614" s="9" t="s">
        <v>3704</v>
      </c>
      <c r="AC614" s="9" t="s">
        <v>3710</v>
      </c>
      <c r="AD614" s="23" t="n">
        <v>0.45</v>
      </c>
      <c r="AE614" s="23" t="n">
        <v>2.767</v>
      </c>
      <c r="AF614" s="23" t="n">
        <v>8</v>
      </c>
      <c r="AG614" s="23" t="s">
        <v>197</v>
      </c>
      <c r="AH614" s="23" t="n">
        <v>4</v>
      </c>
      <c r="AI614" s="23" t="n">
        <v>400</v>
      </c>
      <c r="AJ614" s="23" t="s">
        <v>197</v>
      </c>
      <c r="AK614" s="23" t="s">
        <v>197</v>
      </c>
      <c r="AL614" s="23" t="s">
        <v>197</v>
      </c>
      <c r="AM614" s="23" t="s">
        <v>197</v>
      </c>
      <c r="AN614" s="9" t="s">
        <v>197</v>
      </c>
      <c r="AO614" s="23" t="s">
        <v>197</v>
      </c>
      <c r="AP614" s="23" t="s">
        <v>197</v>
      </c>
      <c r="AQ614" s="23" t="s">
        <v>197</v>
      </c>
    </row>
    <row r="615" customFormat="false" ht="21.75" hidden="false" customHeight="true" outlineLevel="0" collapsed="false">
      <c r="B615" s="14" t="n">
        <v>611</v>
      </c>
      <c r="C615" s="7" t="s">
        <v>89</v>
      </c>
      <c r="D615" s="7" t="s">
        <v>20</v>
      </c>
      <c r="E615" s="7" t="s">
        <v>121</v>
      </c>
      <c r="F615" s="7" t="s">
        <v>93</v>
      </c>
      <c r="G615" s="7" t="s">
        <v>3712</v>
      </c>
      <c r="H615" s="7" t="s">
        <v>3700</v>
      </c>
      <c r="I615" s="7" t="s">
        <v>3701</v>
      </c>
      <c r="J615" s="7" t="s">
        <v>3702</v>
      </c>
      <c r="K615" s="7" t="s">
        <v>3703</v>
      </c>
      <c r="L615" s="7" t="s">
        <v>3704</v>
      </c>
      <c r="M615" s="7" t="s">
        <v>3705</v>
      </c>
      <c r="N615" s="7" t="s">
        <v>2682</v>
      </c>
      <c r="O615" s="7" t="s">
        <v>189</v>
      </c>
      <c r="P615" s="7" t="s">
        <v>640</v>
      </c>
      <c r="Q615" s="7" t="s">
        <v>3706</v>
      </c>
      <c r="R615" s="7" t="s">
        <v>3707</v>
      </c>
      <c r="S615" s="7" t="s">
        <v>3708</v>
      </c>
      <c r="T615" s="7" t="s">
        <v>3709</v>
      </c>
      <c r="U615" s="18" t="n">
        <v>1320</v>
      </c>
      <c r="V615" s="7"/>
      <c r="W615" s="7"/>
      <c r="X615" s="7" t="s">
        <v>3713</v>
      </c>
      <c r="Y615" s="22" t="n">
        <v>0.45</v>
      </c>
      <c r="Z615" s="22" t="n">
        <v>2.553</v>
      </c>
      <c r="AA615" s="22" t="n">
        <v>24</v>
      </c>
      <c r="AB615" s="7" t="s">
        <v>3704</v>
      </c>
      <c r="AC615" s="7" t="s">
        <v>3710</v>
      </c>
      <c r="AD615" s="22" t="n">
        <v>0.45</v>
      </c>
      <c r="AE615" s="22" t="n">
        <v>2.553</v>
      </c>
      <c r="AF615" s="22" t="n">
        <v>8</v>
      </c>
      <c r="AG615" s="22" t="s">
        <v>197</v>
      </c>
      <c r="AH615" s="22" t="n">
        <v>4</v>
      </c>
      <c r="AI615" s="22" t="n">
        <v>400</v>
      </c>
      <c r="AJ615" s="22" t="s">
        <v>197</v>
      </c>
      <c r="AK615" s="22" t="s">
        <v>197</v>
      </c>
      <c r="AL615" s="22" t="s">
        <v>197</v>
      </c>
      <c r="AM615" s="22" t="s">
        <v>197</v>
      </c>
      <c r="AN615" s="7" t="s">
        <v>197</v>
      </c>
      <c r="AO615" s="22" t="s">
        <v>197</v>
      </c>
      <c r="AP615" s="22" t="s">
        <v>197</v>
      </c>
      <c r="AQ615" s="22" t="s">
        <v>197</v>
      </c>
    </row>
    <row r="616" customFormat="false" ht="21.75" hidden="false" customHeight="true" outlineLevel="0" collapsed="false">
      <c r="B616" s="15" t="n">
        <v>612</v>
      </c>
      <c r="C616" s="9" t="s">
        <v>89</v>
      </c>
      <c r="D616" s="9" t="s">
        <v>20</v>
      </c>
      <c r="E616" s="9" t="s">
        <v>121</v>
      </c>
      <c r="F616" s="9" t="s">
        <v>93</v>
      </c>
      <c r="G616" s="9" t="s">
        <v>3714</v>
      </c>
      <c r="H616" s="9" t="s">
        <v>3700</v>
      </c>
      <c r="I616" s="9" t="s">
        <v>3701</v>
      </c>
      <c r="J616" s="9" t="s">
        <v>3702</v>
      </c>
      <c r="K616" s="9" t="s">
        <v>3703</v>
      </c>
      <c r="L616" s="9" t="s">
        <v>3704</v>
      </c>
      <c r="M616" s="9" t="s">
        <v>3705</v>
      </c>
      <c r="N616" s="9" t="s">
        <v>2682</v>
      </c>
      <c r="O616" s="9" t="s">
        <v>189</v>
      </c>
      <c r="P616" s="9" t="s">
        <v>640</v>
      </c>
      <c r="Q616" s="9" t="s">
        <v>3706</v>
      </c>
      <c r="R616" s="9" t="s">
        <v>3707</v>
      </c>
      <c r="S616" s="9" t="s">
        <v>3708</v>
      </c>
      <c r="T616" s="9" t="s">
        <v>3709</v>
      </c>
      <c r="U616" s="19" t="n">
        <v>1980</v>
      </c>
      <c r="V616" s="9"/>
      <c r="W616" s="9"/>
      <c r="X616" s="9" t="s">
        <v>203</v>
      </c>
      <c r="Y616" s="23" t="n">
        <v>0.45</v>
      </c>
      <c r="Z616" s="23" t="n">
        <v>2.637</v>
      </c>
      <c r="AA616" s="23" t="n">
        <v>24</v>
      </c>
      <c r="AB616" s="9" t="s">
        <v>3704</v>
      </c>
      <c r="AC616" s="9" t="s">
        <v>3710</v>
      </c>
      <c r="AD616" s="23" t="n">
        <v>0.45</v>
      </c>
      <c r="AE616" s="23" t="n">
        <v>2.637</v>
      </c>
      <c r="AF616" s="23" t="n">
        <v>8</v>
      </c>
      <c r="AG616" s="23" t="s">
        <v>197</v>
      </c>
      <c r="AH616" s="23" t="n">
        <v>4</v>
      </c>
      <c r="AI616" s="23" t="n">
        <v>400</v>
      </c>
      <c r="AJ616" s="23" t="s">
        <v>197</v>
      </c>
      <c r="AK616" s="23" t="s">
        <v>197</v>
      </c>
      <c r="AL616" s="23" t="s">
        <v>197</v>
      </c>
      <c r="AM616" s="23" t="s">
        <v>197</v>
      </c>
      <c r="AN616" s="9" t="s">
        <v>197</v>
      </c>
      <c r="AO616" s="23" t="s">
        <v>197</v>
      </c>
      <c r="AP616" s="23" t="s">
        <v>197</v>
      </c>
      <c r="AQ616" s="23" t="s">
        <v>197</v>
      </c>
    </row>
    <row r="617" customFormat="false" ht="21.75" hidden="false" customHeight="true" outlineLevel="0" collapsed="false">
      <c r="B617" s="14" t="n">
        <v>613</v>
      </c>
      <c r="C617" s="7" t="s">
        <v>89</v>
      </c>
      <c r="D617" s="7" t="s">
        <v>20</v>
      </c>
      <c r="E617" s="7" t="s">
        <v>121</v>
      </c>
      <c r="F617" s="7" t="s">
        <v>93</v>
      </c>
      <c r="G617" s="7" t="s">
        <v>3715</v>
      </c>
      <c r="H617" s="7" t="s">
        <v>3700</v>
      </c>
      <c r="I617" s="7" t="s">
        <v>3701</v>
      </c>
      <c r="J617" s="7" t="s">
        <v>3702</v>
      </c>
      <c r="K617" s="7" t="s">
        <v>3703</v>
      </c>
      <c r="L617" s="7" t="s">
        <v>3704</v>
      </c>
      <c r="M617" s="7" t="s">
        <v>3705</v>
      </c>
      <c r="N617" s="7" t="s">
        <v>2682</v>
      </c>
      <c r="O617" s="7" t="s">
        <v>189</v>
      </c>
      <c r="P617" s="7" t="s">
        <v>640</v>
      </c>
      <c r="Q617" s="7" t="s">
        <v>3706</v>
      </c>
      <c r="R617" s="7" t="s">
        <v>3707</v>
      </c>
      <c r="S617" s="7" t="s">
        <v>3708</v>
      </c>
      <c r="T617" s="7" t="s">
        <v>3709</v>
      </c>
      <c r="U617" s="18" t="n">
        <v>2900</v>
      </c>
      <c r="V617" s="7"/>
      <c r="W617" s="7"/>
      <c r="X617" s="7" t="s">
        <v>205</v>
      </c>
      <c r="Y617" s="22" t="n">
        <v>0.45</v>
      </c>
      <c r="Z617" s="22" t="n">
        <v>2.736</v>
      </c>
      <c r="AA617" s="22" t="n">
        <v>24</v>
      </c>
      <c r="AB617" s="7" t="s">
        <v>3704</v>
      </c>
      <c r="AC617" s="7" t="s">
        <v>3710</v>
      </c>
      <c r="AD617" s="22" t="n">
        <v>0.45</v>
      </c>
      <c r="AE617" s="22" t="n">
        <v>2.736</v>
      </c>
      <c r="AF617" s="22" t="n">
        <v>8</v>
      </c>
      <c r="AG617" s="22" t="s">
        <v>197</v>
      </c>
      <c r="AH617" s="22" t="n">
        <v>4</v>
      </c>
      <c r="AI617" s="22" t="n">
        <v>400</v>
      </c>
      <c r="AJ617" s="22" t="s">
        <v>197</v>
      </c>
      <c r="AK617" s="22" t="s">
        <v>197</v>
      </c>
      <c r="AL617" s="22" t="s">
        <v>197</v>
      </c>
      <c r="AM617" s="22" t="s">
        <v>197</v>
      </c>
      <c r="AN617" s="7" t="s">
        <v>197</v>
      </c>
      <c r="AO617" s="22" t="s">
        <v>197</v>
      </c>
      <c r="AP617" s="22" t="s">
        <v>197</v>
      </c>
      <c r="AQ617" s="22" t="s">
        <v>197</v>
      </c>
    </row>
    <row r="618" customFormat="false" ht="21.75" hidden="false" customHeight="true" outlineLevel="0" collapsed="false">
      <c r="B618" s="15" t="n">
        <v>614</v>
      </c>
      <c r="C618" s="9" t="s">
        <v>89</v>
      </c>
      <c r="D618" s="9" t="s">
        <v>20</v>
      </c>
      <c r="E618" s="9" t="s">
        <v>121</v>
      </c>
      <c r="F618" s="9" t="s">
        <v>94</v>
      </c>
      <c r="G618" s="9" t="s">
        <v>3699</v>
      </c>
      <c r="H618" s="9" t="s">
        <v>3716</v>
      </c>
      <c r="I618" s="9" t="s">
        <v>3717</v>
      </c>
      <c r="J618" s="9" t="s">
        <v>3718</v>
      </c>
      <c r="K618" s="9" t="s">
        <v>189</v>
      </c>
      <c r="L618" s="9" t="s">
        <v>3704</v>
      </c>
      <c r="M618" s="9" t="s">
        <v>3649</v>
      </c>
      <c r="N618" s="9" t="s">
        <v>2843</v>
      </c>
      <c r="O618" s="9" t="s">
        <v>189</v>
      </c>
      <c r="P618" s="9" t="s">
        <v>640</v>
      </c>
      <c r="Q618" s="9" t="s">
        <v>3719</v>
      </c>
      <c r="R618" s="9" t="s">
        <v>3720</v>
      </c>
      <c r="S618" s="9" t="s">
        <v>3708</v>
      </c>
      <c r="T618" s="9" t="s">
        <v>3073</v>
      </c>
      <c r="U618" s="19" t="n">
        <v>260</v>
      </c>
      <c r="V618" s="9"/>
      <c r="W618" s="9"/>
      <c r="X618" s="9" t="s">
        <v>195</v>
      </c>
      <c r="Y618" s="23" t="n">
        <v>0.3</v>
      </c>
      <c r="Z618" s="23" t="n">
        <v>2.339</v>
      </c>
      <c r="AA618" s="23" t="n">
        <v>24</v>
      </c>
      <c r="AB618" s="9" t="s">
        <v>3704</v>
      </c>
      <c r="AC618" s="9" t="s">
        <v>3710</v>
      </c>
      <c r="AD618" s="23" t="n">
        <v>0.3</v>
      </c>
      <c r="AE618" s="23" t="n">
        <v>2.339</v>
      </c>
      <c r="AF618" s="23" t="n">
        <v>2.5</v>
      </c>
      <c r="AG618" s="23" t="s">
        <v>197</v>
      </c>
      <c r="AH618" s="23" t="n">
        <v>2</v>
      </c>
      <c r="AI618" s="23" t="n">
        <v>126</v>
      </c>
      <c r="AJ618" s="23" t="s">
        <v>197</v>
      </c>
      <c r="AK618" s="23" t="s">
        <v>197</v>
      </c>
      <c r="AL618" s="23" t="s">
        <v>197</v>
      </c>
      <c r="AM618" s="23" t="s">
        <v>197</v>
      </c>
      <c r="AN618" s="9" t="s">
        <v>197</v>
      </c>
      <c r="AO618" s="23" t="s">
        <v>197</v>
      </c>
      <c r="AP618" s="23" t="s">
        <v>197</v>
      </c>
      <c r="AQ618" s="23" t="s">
        <v>197</v>
      </c>
    </row>
    <row r="619" customFormat="false" ht="21.75" hidden="false" customHeight="true" outlineLevel="0" collapsed="false">
      <c r="B619" s="14" t="n">
        <v>615</v>
      </c>
      <c r="C619" s="7" t="s">
        <v>89</v>
      </c>
      <c r="D619" s="7" t="s">
        <v>20</v>
      </c>
      <c r="E619" s="7" t="s">
        <v>121</v>
      </c>
      <c r="F619" s="7" t="s">
        <v>94</v>
      </c>
      <c r="G619" s="7" t="s">
        <v>3711</v>
      </c>
      <c r="H619" s="7" t="s">
        <v>3716</v>
      </c>
      <c r="I619" s="7" t="s">
        <v>3717</v>
      </c>
      <c r="J619" s="7" t="s">
        <v>3718</v>
      </c>
      <c r="K619" s="7" t="s">
        <v>189</v>
      </c>
      <c r="L619" s="7" t="s">
        <v>3704</v>
      </c>
      <c r="M619" s="7" t="s">
        <v>3649</v>
      </c>
      <c r="N619" s="7" t="s">
        <v>2843</v>
      </c>
      <c r="O619" s="7" t="s">
        <v>189</v>
      </c>
      <c r="P619" s="7" t="s">
        <v>640</v>
      </c>
      <c r="Q619" s="7" t="s">
        <v>3719</v>
      </c>
      <c r="R619" s="7" t="s">
        <v>3720</v>
      </c>
      <c r="S619" s="7" t="s">
        <v>3708</v>
      </c>
      <c r="T619" s="7" t="s">
        <v>3073</v>
      </c>
      <c r="U619" s="18" t="n">
        <v>390</v>
      </c>
      <c r="V619" s="7"/>
      <c r="W619" s="7"/>
      <c r="X619" s="7" t="s">
        <v>199</v>
      </c>
      <c r="Y619" s="22" t="n">
        <v>0.3</v>
      </c>
      <c r="Z619" s="22" t="n">
        <v>2.767</v>
      </c>
      <c r="AA619" s="22" t="n">
        <v>24</v>
      </c>
      <c r="AB619" s="7" t="s">
        <v>3704</v>
      </c>
      <c r="AC619" s="7" t="s">
        <v>3710</v>
      </c>
      <c r="AD619" s="22" t="n">
        <v>0.3</v>
      </c>
      <c r="AE619" s="22" t="n">
        <v>2.767</v>
      </c>
      <c r="AF619" s="22" t="n">
        <v>2.5</v>
      </c>
      <c r="AG619" s="22" t="s">
        <v>197</v>
      </c>
      <c r="AH619" s="22" t="n">
        <v>2</v>
      </c>
      <c r="AI619" s="22" t="n">
        <v>126</v>
      </c>
      <c r="AJ619" s="22" t="s">
        <v>197</v>
      </c>
      <c r="AK619" s="22" t="s">
        <v>197</v>
      </c>
      <c r="AL619" s="22" t="s">
        <v>197</v>
      </c>
      <c r="AM619" s="22" t="s">
        <v>197</v>
      </c>
      <c r="AN619" s="7" t="s">
        <v>197</v>
      </c>
      <c r="AO619" s="22" t="s">
        <v>197</v>
      </c>
      <c r="AP619" s="22" t="s">
        <v>197</v>
      </c>
      <c r="AQ619" s="22" t="s">
        <v>197</v>
      </c>
    </row>
    <row r="620" customFormat="false" ht="21.75" hidden="false" customHeight="true" outlineLevel="0" collapsed="false">
      <c r="B620" s="15" t="n">
        <v>616</v>
      </c>
      <c r="C620" s="9" t="s">
        <v>89</v>
      </c>
      <c r="D620" s="9" t="s">
        <v>20</v>
      </c>
      <c r="E620" s="9" t="s">
        <v>121</v>
      </c>
      <c r="F620" s="9" t="s">
        <v>94</v>
      </c>
      <c r="G620" s="9" t="s">
        <v>3721</v>
      </c>
      <c r="H620" s="9" t="s">
        <v>3716</v>
      </c>
      <c r="I620" s="9" t="s">
        <v>3717</v>
      </c>
      <c r="J620" s="9" t="s">
        <v>3718</v>
      </c>
      <c r="K620" s="9" t="s">
        <v>189</v>
      </c>
      <c r="L620" s="9" t="s">
        <v>3704</v>
      </c>
      <c r="M620" s="9" t="s">
        <v>3649</v>
      </c>
      <c r="N620" s="9" t="s">
        <v>2843</v>
      </c>
      <c r="O620" s="9" t="s">
        <v>189</v>
      </c>
      <c r="P620" s="9" t="s">
        <v>640</v>
      </c>
      <c r="Q620" s="9" t="s">
        <v>3719</v>
      </c>
      <c r="R620" s="9" t="s">
        <v>3720</v>
      </c>
      <c r="S620" s="9" t="s">
        <v>3708</v>
      </c>
      <c r="T620" s="9" t="s">
        <v>3073</v>
      </c>
      <c r="U620" s="19" t="n">
        <v>520</v>
      </c>
      <c r="V620" s="9"/>
      <c r="W620" s="9"/>
      <c r="X620" s="9" t="s">
        <v>3722</v>
      </c>
      <c r="Y620" s="23" t="n">
        <v>0.3</v>
      </c>
      <c r="Z620" s="23" t="n">
        <v>1.815</v>
      </c>
      <c r="AA620" s="23" t="n">
        <v>24</v>
      </c>
      <c r="AB620" s="9" t="s">
        <v>3704</v>
      </c>
      <c r="AC620" s="9" t="s">
        <v>3710</v>
      </c>
      <c r="AD620" s="23" t="n">
        <v>0.3</v>
      </c>
      <c r="AE620" s="23" t="n">
        <v>1.815</v>
      </c>
      <c r="AF620" s="23" t="n">
        <v>2.5</v>
      </c>
      <c r="AG620" s="23" t="s">
        <v>197</v>
      </c>
      <c r="AH620" s="23" t="n">
        <v>2</v>
      </c>
      <c r="AI620" s="23" t="n">
        <v>126</v>
      </c>
      <c r="AJ620" s="23" t="s">
        <v>197</v>
      </c>
      <c r="AK620" s="23" t="s">
        <v>197</v>
      </c>
      <c r="AL620" s="23" t="s">
        <v>197</v>
      </c>
      <c r="AM620" s="23" t="s">
        <v>197</v>
      </c>
      <c r="AN620" s="9" t="s">
        <v>197</v>
      </c>
      <c r="AO620" s="23" t="s">
        <v>197</v>
      </c>
      <c r="AP620" s="23" t="s">
        <v>197</v>
      </c>
      <c r="AQ620" s="23" t="s">
        <v>197</v>
      </c>
    </row>
    <row r="621" customFormat="false" ht="21.75" hidden="false" customHeight="true" outlineLevel="0" collapsed="false">
      <c r="B621" s="14" t="n">
        <v>617</v>
      </c>
      <c r="C621" s="7" t="s">
        <v>89</v>
      </c>
      <c r="D621" s="7" t="s">
        <v>20</v>
      </c>
      <c r="E621" s="7" t="s">
        <v>121</v>
      </c>
      <c r="F621" s="7" t="s">
        <v>94</v>
      </c>
      <c r="G621" s="7" t="s">
        <v>3723</v>
      </c>
      <c r="H621" s="7" t="s">
        <v>3716</v>
      </c>
      <c r="I621" s="7" t="s">
        <v>3717</v>
      </c>
      <c r="J621" s="7" t="s">
        <v>3718</v>
      </c>
      <c r="K621" s="7" t="s">
        <v>189</v>
      </c>
      <c r="L621" s="7" t="s">
        <v>3704</v>
      </c>
      <c r="M621" s="7" t="s">
        <v>3649</v>
      </c>
      <c r="N621" s="7" t="s">
        <v>2843</v>
      </c>
      <c r="O621" s="7" t="s">
        <v>189</v>
      </c>
      <c r="P621" s="7" t="s">
        <v>640</v>
      </c>
      <c r="Q621" s="7" t="s">
        <v>3719</v>
      </c>
      <c r="R621" s="7" t="s">
        <v>3720</v>
      </c>
      <c r="S621" s="7" t="s">
        <v>3708</v>
      </c>
      <c r="T621" s="7" t="s">
        <v>3073</v>
      </c>
      <c r="U621" s="18" t="n">
        <v>780</v>
      </c>
      <c r="V621" s="7"/>
      <c r="W621" s="7"/>
      <c r="X621" s="7" t="s">
        <v>203</v>
      </c>
      <c r="Y621" s="22" t="n">
        <v>0.3</v>
      </c>
      <c r="Z621" s="22" t="n">
        <v>3.262</v>
      </c>
      <c r="AA621" s="22" t="n">
        <v>24</v>
      </c>
      <c r="AB621" s="7" t="s">
        <v>3704</v>
      </c>
      <c r="AC621" s="7" t="s">
        <v>3710</v>
      </c>
      <c r="AD621" s="22" t="n">
        <v>0.3</v>
      </c>
      <c r="AE621" s="22" t="n">
        <v>3.262</v>
      </c>
      <c r="AF621" s="22" t="n">
        <v>2.5</v>
      </c>
      <c r="AG621" s="22" t="s">
        <v>197</v>
      </c>
      <c r="AH621" s="22" t="n">
        <v>2</v>
      </c>
      <c r="AI621" s="22" t="n">
        <v>126</v>
      </c>
      <c r="AJ621" s="22" t="s">
        <v>197</v>
      </c>
      <c r="AK621" s="22" t="s">
        <v>197</v>
      </c>
      <c r="AL621" s="22" t="s">
        <v>197</v>
      </c>
      <c r="AM621" s="22" t="s">
        <v>197</v>
      </c>
      <c r="AN621" s="7" t="s">
        <v>197</v>
      </c>
      <c r="AO621" s="22" t="s">
        <v>197</v>
      </c>
      <c r="AP621" s="22" t="s">
        <v>197</v>
      </c>
      <c r="AQ621" s="22" t="s">
        <v>197</v>
      </c>
    </row>
    <row r="622" customFormat="false" ht="21.75" hidden="false" customHeight="true" outlineLevel="0" collapsed="false">
      <c r="B622" s="15" t="n">
        <v>618</v>
      </c>
      <c r="C622" s="9" t="s">
        <v>89</v>
      </c>
      <c r="D622" s="9" t="s">
        <v>20</v>
      </c>
      <c r="E622" s="9" t="s">
        <v>121</v>
      </c>
      <c r="F622" s="9" t="s">
        <v>94</v>
      </c>
      <c r="G622" s="9" t="s">
        <v>3724</v>
      </c>
      <c r="H622" s="9" t="s">
        <v>3716</v>
      </c>
      <c r="I622" s="9" t="s">
        <v>3717</v>
      </c>
      <c r="J622" s="9" t="s">
        <v>3718</v>
      </c>
      <c r="K622" s="9" t="s">
        <v>189</v>
      </c>
      <c r="L622" s="9" t="s">
        <v>3704</v>
      </c>
      <c r="M622" s="9" t="s">
        <v>3649</v>
      </c>
      <c r="N622" s="9" t="s">
        <v>2843</v>
      </c>
      <c r="O622" s="9" t="s">
        <v>189</v>
      </c>
      <c r="P622" s="9" t="s">
        <v>640</v>
      </c>
      <c r="Q622" s="9" t="s">
        <v>3719</v>
      </c>
      <c r="R622" s="9" t="s">
        <v>3720</v>
      </c>
      <c r="S622" s="9" t="s">
        <v>3708</v>
      </c>
      <c r="T622" s="9" t="s">
        <v>3073</v>
      </c>
      <c r="U622" s="19" t="n">
        <v>1140</v>
      </c>
      <c r="V622" s="9"/>
      <c r="W622" s="9"/>
      <c r="X622" s="9" t="s">
        <v>205</v>
      </c>
      <c r="Y622" s="23" t="n">
        <v>0.3</v>
      </c>
      <c r="Z622" s="23" t="n">
        <v>1.887</v>
      </c>
      <c r="AA622" s="23" t="n">
        <v>24</v>
      </c>
      <c r="AB622" s="9" t="s">
        <v>3704</v>
      </c>
      <c r="AC622" s="9" t="s">
        <v>3710</v>
      </c>
      <c r="AD622" s="23" t="n">
        <v>0.3</v>
      </c>
      <c r="AE622" s="23" t="n">
        <v>1.887</v>
      </c>
      <c r="AF622" s="23" t="n">
        <v>2.5</v>
      </c>
      <c r="AG622" s="23" t="s">
        <v>197</v>
      </c>
      <c r="AH622" s="23" t="n">
        <v>2</v>
      </c>
      <c r="AI622" s="23" t="n">
        <v>126</v>
      </c>
      <c r="AJ622" s="23" t="s">
        <v>197</v>
      </c>
      <c r="AK622" s="23" t="s">
        <v>197</v>
      </c>
      <c r="AL622" s="23" t="s">
        <v>197</v>
      </c>
      <c r="AM622" s="23" t="s">
        <v>197</v>
      </c>
      <c r="AN622" s="9" t="s">
        <v>197</v>
      </c>
      <c r="AO622" s="23" t="s">
        <v>197</v>
      </c>
      <c r="AP622" s="23" t="s">
        <v>197</v>
      </c>
      <c r="AQ622" s="23" t="s">
        <v>197</v>
      </c>
    </row>
    <row r="623" customFormat="false" ht="21.75" hidden="false" customHeight="true" outlineLevel="0" collapsed="false">
      <c r="B623" s="14" t="n">
        <v>619</v>
      </c>
      <c r="C623" s="7" t="s">
        <v>89</v>
      </c>
      <c r="D623" s="7" t="s">
        <v>20</v>
      </c>
      <c r="E623" s="7" t="s">
        <v>121</v>
      </c>
      <c r="F623" s="7" t="s">
        <v>95</v>
      </c>
      <c r="G623" s="7" t="s">
        <v>391</v>
      </c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18"/>
      <c r="V623" s="7"/>
      <c r="W623" s="7"/>
      <c r="X623" s="7" t="s">
        <v>3725</v>
      </c>
      <c r="Y623" s="22" t="s">
        <v>197</v>
      </c>
      <c r="Z623" s="22" t="s">
        <v>197</v>
      </c>
      <c r="AA623" s="22" t="s">
        <v>197</v>
      </c>
      <c r="AB623" s="7" t="s">
        <v>197</v>
      </c>
      <c r="AC623" s="7" t="s">
        <v>197</v>
      </c>
      <c r="AD623" s="22" t="s">
        <v>197</v>
      </c>
      <c r="AE623" s="22" t="s">
        <v>197</v>
      </c>
      <c r="AF623" s="22" t="s">
        <v>197</v>
      </c>
      <c r="AG623" s="22" t="s">
        <v>197</v>
      </c>
      <c r="AH623" s="22" t="s">
        <v>197</v>
      </c>
      <c r="AI623" s="22" t="s">
        <v>197</v>
      </c>
      <c r="AJ623" s="22" t="s">
        <v>197</v>
      </c>
      <c r="AK623" s="22" t="s">
        <v>197</v>
      </c>
      <c r="AL623" s="22" t="s">
        <v>197</v>
      </c>
      <c r="AM623" s="22" t="s">
        <v>197</v>
      </c>
      <c r="AN623" s="7" t="s">
        <v>197</v>
      </c>
      <c r="AO623" s="22" t="s">
        <v>197</v>
      </c>
      <c r="AP623" s="22" t="s">
        <v>197</v>
      </c>
      <c r="AQ623" s="22" t="s">
        <v>197</v>
      </c>
    </row>
    <row r="624" customFormat="false" ht="21.75" hidden="false" customHeight="true" outlineLevel="0" collapsed="false">
      <c r="B624" s="15" t="n">
        <v>620</v>
      </c>
      <c r="C624" s="9" t="s">
        <v>89</v>
      </c>
      <c r="D624" s="9" t="s">
        <v>20</v>
      </c>
      <c r="E624" s="9" t="s">
        <v>121</v>
      </c>
      <c r="F624" s="9" t="s">
        <v>96</v>
      </c>
      <c r="G624" s="9" t="s">
        <v>3726</v>
      </c>
      <c r="H624" s="9" t="s">
        <v>2510</v>
      </c>
      <c r="I624" s="9" t="s">
        <v>3727</v>
      </c>
      <c r="J624" s="9" t="s">
        <v>3728</v>
      </c>
      <c r="K624" s="9" t="s">
        <v>3729</v>
      </c>
      <c r="L624" s="9" t="s">
        <v>3704</v>
      </c>
      <c r="M624" s="9" t="s">
        <v>2514</v>
      </c>
      <c r="N624" s="9" t="s">
        <v>189</v>
      </c>
      <c r="O624" s="9" t="s">
        <v>189</v>
      </c>
      <c r="P624" s="9" t="s">
        <v>640</v>
      </c>
      <c r="Q624" s="9" t="s">
        <v>3730</v>
      </c>
      <c r="R624" s="9" t="s">
        <v>911</v>
      </c>
      <c r="S624" s="9" t="s">
        <v>3708</v>
      </c>
      <c r="T624" s="9" t="s">
        <v>3174</v>
      </c>
      <c r="U624" s="19" t="n">
        <v>45</v>
      </c>
      <c r="V624" s="9"/>
      <c r="W624" s="9"/>
      <c r="X624" s="9" t="s">
        <v>195</v>
      </c>
      <c r="Y624" s="23" t="n">
        <v>0.00010499</v>
      </c>
      <c r="Z624" s="23" t="n">
        <v>0.004</v>
      </c>
      <c r="AA624" s="23" t="n">
        <v>24</v>
      </c>
      <c r="AB624" s="9" t="s">
        <v>3704</v>
      </c>
      <c r="AC624" s="9" t="s">
        <v>3731</v>
      </c>
      <c r="AD624" s="23" t="s">
        <v>197</v>
      </c>
      <c r="AE624" s="23" t="s">
        <v>197</v>
      </c>
      <c r="AF624" s="23" t="s">
        <v>197</v>
      </c>
      <c r="AG624" s="23" t="s">
        <v>197</v>
      </c>
      <c r="AH624" s="23" t="s">
        <v>197</v>
      </c>
      <c r="AI624" s="23" t="s">
        <v>197</v>
      </c>
      <c r="AJ624" s="23" t="n">
        <v>60</v>
      </c>
      <c r="AK624" s="23" t="s">
        <v>197</v>
      </c>
      <c r="AL624" s="23" t="s">
        <v>197</v>
      </c>
      <c r="AM624" s="23" t="s">
        <v>197</v>
      </c>
      <c r="AN624" s="9" t="s">
        <v>2518</v>
      </c>
      <c r="AO624" s="23" t="s">
        <v>197</v>
      </c>
      <c r="AP624" s="23" t="n">
        <v>2.5</v>
      </c>
      <c r="AQ624" s="23" t="n">
        <v>6</v>
      </c>
    </row>
    <row r="625" customFormat="false" ht="21.75" hidden="false" customHeight="true" outlineLevel="0" collapsed="false">
      <c r="B625" s="14" t="n">
        <v>621</v>
      </c>
      <c r="C625" s="7" t="s">
        <v>89</v>
      </c>
      <c r="D625" s="7" t="s">
        <v>20</v>
      </c>
      <c r="E625" s="7" t="s">
        <v>121</v>
      </c>
      <c r="F625" s="7" t="s">
        <v>96</v>
      </c>
      <c r="G625" s="7" t="s">
        <v>3732</v>
      </c>
      <c r="H625" s="7" t="s">
        <v>2520</v>
      </c>
      <c r="I625" s="7" t="s">
        <v>3727</v>
      </c>
      <c r="J625" s="7" t="s">
        <v>3728</v>
      </c>
      <c r="K625" s="7" t="s">
        <v>3729</v>
      </c>
      <c r="L625" s="7" t="s">
        <v>3704</v>
      </c>
      <c r="M625" s="7" t="s">
        <v>2514</v>
      </c>
      <c r="N625" s="7" t="s">
        <v>189</v>
      </c>
      <c r="O625" s="7" t="s">
        <v>189</v>
      </c>
      <c r="P625" s="7" t="s">
        <v>640</v>
      </c>
      <c r="Q625" s="7" t="s">
        <v>3730</v>
      </c>
      <c r="R625" s="7" t="s">
        <v>911</v>
      </c>
      <c r="S625" s="7" t="s">
        <v>3708</v>
      </c>
      <c r="T625" s="7" t="s">
        <v>3174</v>
      </c>
      <c r="U625" s="18" t="n">
        <v>65</v>
      </c>
      <c r="V625" s="7"/>
      <c r="W625" s="7"/>
      <c r="X625" s="7" t="s">
        <v>199</v>
      </c>
      <c r="Y625" s="22" t="n">
        <v>0.00010456</v>
      </c>
      <c r="Z625" s="22" t="n">
        <v>0.004</v>
      </c>
      <c r="AA625" s="22" t="n">
        <v>24</v>
      </c>
      <c r="AB625" s="7" t="s">
        <v>3704</v>
      </c>
      <c r="AC625" s="7" t="s">
        <v>3731</v>
      </c>
      <c r="AD625" s="22" t="s">
        <v>197</v>
      </c>
      <c r="AE625" s="22" t="s">
        <v>197</v>
      </c>
      <c r="AF625" s="22" t="s">
        <v>197</v>
      </c>
      <c r="AG625" s="22" t="s">
        <v>197</v>
      </c>
      <c r="AH625" s="22" t="s">
        <v>197</v>
      </c>
      <c r="AI625" s="22" t="s">
        <v>197</v>
      </c>
      <c r="AJ625" s="22" t="n">
        <v>80</v>
      </c>
      <c r="AK625" s="22" t="s">
        <v>197</v>
      </c>
      <c r="AL625" s="22" t="s">
        <v>197</v>
      </c>
      <c r="AM625" s="22" t="s">
        <v>197</v>
      </c>
      <c r="AN625" s="7" t="s">
        <v>2518</v>
      </c>
      <c r="AO625" s="22" t="s">
        <v>197</v>
      </c>
      <c r="AP625" s="22" t="n">
        <v>2.5</v>
      </c>
      <c r="AQ625" s="22" t="n">
        <v>6</v>
      </c>
    </row>
    <row r="626" customFormat="false" ht="21.75" hidden="false" customHeight="true" outlineLevel="0" collapsed="false">
      <c r="B626" s="15" t="n">
        <v>622</v>
      </c>
      <c r="C626" s="9" t="s">
        <v>89</v>
      </c>
      <c r="D626" s="9" t="s">
        <v>20</v>
      </c>
      <c r="E626" s="9" t="s">
        <v>121</v>
      </c>
      <c r="F626" s="9" t="s">
        <v>96</v>
      </c>
      <c r="G626" s="9" t="s">
        <v>3733</v>
      </c>
      <c r="H626" s="9" t="s">
        <v>2522</v>
      </c>
      <c r="I626" s="9" t="s">
        <v>3727</v>
      </c>
      <c r="J626" s="9" t="s">
        <v>3728</v>
      </c>
      <c r="K626" s="9" t="s">
        <v>3729</v>
      </c>
      <c r="L626" s="9" t="s">
        <v>3704</v>
      </c>
      <c r="M626" s="9" t="s">
        <v>2514</v>
      </c>
      <c r="N626" s="9" t="s">
        <v>189</v>
      </c>
      <c r="O626" s="9" t="s">
        <v>189</v>
      </c>
      <c r="P626" s="9" t="s">
        <v>640</v>
      </c>
      <c r="Q626" s="9" t="s">
        <v>3730</v>
      </c>
      <c r="R626" s="9" t="s">
        <v>911</v>
      </c>
      <c r="S626" s="9" t="s">
        <v>3708</v>
      </c>
      <c r="T626" s="9" t="s">
        <v>3174</v>
      </c>
      <c r="U626" s="19" t="n">
        <v>90</v>
      </c>
      <c r="V626" s="9"/>
      <c r="W626" s="9"/>
      <c r="X626" s="9" t="s">
        <v>3734</v>
      </c>
      <c r="Y626" s="23" t="n">
        <v>0.00010765</v>
      </c>
      <c r="Z626" s="23" t="n">
        <v>0.004</v>
      </c>
      <c r="AA626" s="23" t="n">
        <v>24</v>
      </c>
      <c r="AB626" s="9" t="s">
        <v>3704</v>
      </c>
      <c r="AC626" s="9" t="s">
        <v>3731</v>
      </c>
      <c r="AD626" s="23" t="s">
        <v>197</v>
      </c>
      <c r="AE626" s="23" t="s">
        <v>197</v>
      </c>
      <c r="AF626" s="23" t="s">
        <v>197</v>
      </c>
      <c r="AG626" s="23" t="s">
        <v>197</v>
      </c>
      <c r="AH626" s="23" t="s">
        <v>197</v>
      </c>
      <c r="AI626" s="23" t="s">
        <v>197</v>
      </c>
      <c r="AJ626" s="23" t="n">
        <v>100</v>
      </c>
      <c r="AK626" s="23" t="s">
        <v>197</v>
      </c>
      <c r="AL626" s="23" t="s">
        <v>197</v>
      </c>
      <c r="AM626" s="23" t="s">
        <v>197</v>
      </c>
      <c r="AN626" s="9" t="s">
        <v>2518</v>
      </c>
      <c r="AO626" s="23" t="s">
        <v>197</v>
      </c>
      <c r="AP626" s="23" t="n">
        <v>2.5</v>
      </c>
      <c r="AQ626" s="23" t="n">
        <v>6</v>
      </c>
    </row>
    <row r="627" customFormat="false" ht="21.75" hidden="false" customHeight="true" outlineLevel="0" collapsed="false">
      <c r="B627" s="14" t="n">
        <v>623</v>
      </c>
      <c r="C627" s="7" t="s">
        <v>89</v>
      </c>
      <c r="D627" s="7" t="s">
        <v>20</v>
      </c>
      <c r="E627" s="7" t="s">
        <v>121</v>
      </c>
      <c r="F627" s="7" t="s">
        <v>96</v>
      </c>
      <c r="G627" s="7" t="s">
        <v>3735</v>
      </c>
      <c r="H627" s="7" t="s">
        <v>2525</v>
      </c>
      <c r="I627" s="7" t="s">
        <v>3727</v>
      </c>
      <c r="J627" s="7" t="s">
        <v>3728</v>
      </c>
      <c r="K627" s="7" t="s">
        <v>3729</v>
      </c>
      <c r="L627" s="7" t="s">
        <v>3704</v>
      </c>
      <c r="M627" s="7" t="s">
        <v>2514</v>
      </c>
      <c r="N627" s="7" t="s">
        <v>189</v>
      </c>
      <c r="O627" s="7" t="s">
        <v>189</v>
      </c>
      <c r="P627" s="7" t="s">
        <v>640</v>
      </c>
      <c r="Q627" s="7" t="s">
        <v>3730</v>
      </c>
      <c r="R627" s="7" t="s">
        <v>911</v>
      </c>
      <c r="S627" s="7" t="s">
        <v>3708</v>
      </c>
      <c r="T627" s="7" t="s">
        <v>3174</v>
      </c>
      <c r="U627" s="18" t="n">
        <v>135</v>
      </c>
      <c r="V627" s="7"/>
      <c r="W627" s="7"/>
      <c r="X627" s="7" t="s">
        <v>203</v>
      </c>
      <c r="Y627" s="22" t="n">
        <v>0.00010432</v>
      </c>
      <c r="Z627" s="22" t="n">
        <v>0.004</v>
      </c>
      <c r="AA627" s="22" t="n">
        <v>24</v>
      </c>
      <c r="AB627" s="7" t="s">
        <v>3704</v>
      </c>
      <c r="AC627" s="7" t="s">
        <v>3731</v>
      </c>
      <c r="AD627" s="22" t="s">
        <v>197</v>
      </c>
      <c r="AE627" s="22" t="s">
        <v>197</v>
      </c>
      <c r="AF627" s="22" t="s">
        <v>197</v>
      </c>
      <c r="AG627" s="22" t="s">
        <v>197</v>
      </c>
      <c r="AH627" s="22" t="s">
        <v>197</v>
      </c>
      <c r="AI627" s="22" t="s">
        <v>197</v>
      </c>
      <c r="AJ627" s="22" t="n">
        <v>100</v>
      </c>
      <c r="AK627" s="22" t="s">
        <v>197</v>
      </c>
      <c r="AL627" s="22" t="s">
        <v>197</v>
      </c>
      <c r="AM627" s="22" t="s">
        <v>197</v>
      </c>
      <c r="AN627" s="7" t="s">
        <v>2518</v>
      </c>
      <c r="AO627" s="22" t="s">
        <v>197</v>
      </c>
      <c r="AP627" s="22" t="n">
        <v>2.5</v>
      </c>
      <c r="AQ627" s="22" t="n">
        <v>6</v>
      </c>
    </row>
    <row r="628" customFormat="false" ht="21.75" hidden="false" customHeight="true" outlineLevel="0" collapsed="false">
      <c r="B628" s="15" t="n">
        <v>624</v>
      </c>
      <c r="C628" s="9" t="s">
        <v>89</v>
      </c>
      <c r="D628" s="9" t="s">
        <v>20</v>
      </c>
      <c r="E628" s="9" t="s">
        <v>121</v>
      </c>
      <c r="F628" s="9" t="s">
        <v>96</v>
      </c>
      <c r="G628" s="9" t="s">
        <v>3736</v>
      </c>
      <c r="H628" s="9" t="s">
        <v>2527</v>
      </c>
      <c r="I628" s="9" t="s">
        <v>3727</v>
      </c>
      <c r="J628" s="9" t="s">
        <v>3728</v>
      </c>
      <c r="K628" s="9" t="s">
        <v>3729</v>
      </c>
      <c r="L628" s="9" t="s">
        <v>3704</v>
      </c>
      <c r="M628" s="9" t="s">
        <v>2514</v>
      </c>
      <c r="N628" s="9" t="s">
        <v>189</v>
      </c>
      <c r="O628" s="9" t="s">
        <v>189</v>
      </c>
      <c r="P628" s="9" t="s">
        <v>640</v>
      </c>
      <c r="Q628" s="9" t="s">
        <v>3730</v>
      </c>
      <c r="R628" s="9" t="s">
        <v>911</v>
      </c>
      <c r="S628" s="9" t="s">
        <v>3708</v>
      </c>
      <c r="T628" s="9" t="s">
        <v>3174</v>
      </c>
      <c r="U628" s="19" t="n">
        <v>200</v>
      </c>
      <c r="V628" s="9"/>
      <c r="W628" s="9"/>
      <c r="X628" s="9" t="s">
        <v>205</v>
      </c>
      <c r="Y628" s="23" t="n">
        <v>9.969E-005</v>
      </c>
      <c r="Z628" s="23" t="n">
        <v>0.004</v>
      </c>
      <c r="AA628" s="23" t="n">
        <v>24</v>
      </c>
      <c r="AB628" s="9" t="s">
        <v>3704</v>
      </c>
      <c r="AC628" s="9" t="s">
        <v>3731</v>
      </c>
      <c r="AD628" s="23" t="s">
        <v>197</v>
      </c>
      <c r="AE628" s="23" t="s">
        <v>197</v>
      </c>
      <c r="AF628" s="23" t="s">
        <v>197</v>
      </c>
      <c r="AG628" s="23" t="s">
        <v>197</v>
      </c>
      <c r="AH628" s="23" t="s">
        <v>197</v>
      </c>
      <c r="AI628" s="23" t="s">
        <v>197</v>
      </c>
      <c r="AJ628" s="23" t="n">
        <v>120</v>
      </c>
      <c r="AK628" s="23" t="s">
        <v>197</v>
      </c>
      <c r="AL628" s="23" t="s">
        <v>197</v>
      </c>
      <c r="AM628" s="23" t="s">
        <v>197</v>
      </c>
      <c r="AN628" s="9" t="s">
        <v>2518</v>
      </c>
      <c r="AO628" s="23" t="s">
        <v>197</v>
      </c>
      <c r="AP628" s="23" t="n">
        <v>2.5</v>
      </c>
      <c r="AQ628" s="23" t="n">
        <v>6</v>
      </c>
    </row>
    <row r="629" customFormat="false" ht="21.75" hidden="false" customHeight="true" outlineLevel="0" collapsed="false">
      <c r="B629" s="14" t="n">
        <v>625</v>
      </c>
      <c r="C629" s="7" t="s">
        <v>89</v>
      </c>
      <c r="D629" s="7" t="s">
        <v>20</v>
      </c>
      <c r="E629" s="7" t="s">
        <v>121</v>
      </c>
      <c r="F629" s="7" t="s">
        <v>97</v>
      </c>
      <c r="G629" s="7" t="s">
        <v>391</v>
      </c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18"/>
      <c r="V629" s="7"/>
      <c r="W629" s="7"/>
      <c r="X629" s="7" t="s">
        <v>3737</v>
      </c>
      <c r="Y629" s="22" t="s">
        <v>197</v>
      </c>
      <c r="Z629" s="22" t="s">
        <v>197</v>
      </c>
      <c r="AA629" s="22" t="s">
        <v>197</v>
      </c>
      <c r="AB629" s="7" t="s">
        <v>197</v>
      </c>
      <c r="AC629" s="7" t="s">
        <v>197</v>
      </c>
      <c r="AD629" s="22" t="s">
        <v>197</v>
      </c>
      <c r="AE629" s="22" t="s">
        <v>197</v>
      </c>
      <c r="AF629" s="22" t="s">
        <v>197</v>
      </c>
      <c r="AG629" s="22" t="s">
        <v>197</v>
      </c>
      <c r="AH629" s="22" t="s">
        <v>197</v>
      </c>
      <c r="AI629" s="22" t="s">
        <v>197</v>
      </c>
      <c r="AJ629" s="22" t="s">
        <v>197</v>
      </c>
      <c r="AK629" s="22" t="s">
        <v>197</v>
      </c>
      <c r="AL629" s="22" t="s">
        <v>197</v>
      </c>
      <c r="AM629" s="22" t="s">
        <v>197</v>
      </c>
      <c r="AN629" s="7" t="s">
        <v>197</v>
      </c>
      <c r="AO629" s="22" t="s">
        <v>197</v>
      </c>
      <c r="AP629" s="22" t="s">
        <v>197</v>
      </c>
      <c r="AQ629" s="22" t="s">
        <v>197</v>
      </c>
    </row>
    <row r="630" customFormat="false" ht="21.75" hidden="false" customHeight="true" outlineLevel="0" collapsed="false">
      <c r="B630" s="15" t="n">
        <v>626</v>
      </c>
      <c r="C630" s="9" t="s">
        <v>89</v>
      </c>
      <c r="D630" s="9" t="s">
        <v>20</v>
      </c>
      <c r="E630" s="9" t="s">
        <v>121</v>
      </c>
      <c r="F630" s="9" t="s">
        <v>98</v>
      </c>
      <c r="G630" s="9" t="s">
        <v>3738</v>
      </c>
      <c r="H630" s="9" t="s">
        <v>2544</v>
      </c>
      <c r="I630" s="9" t="s">
        <v>3739</v>
      </c>
      <c r="J630" s="9" t="s">
        <v>3740</v>
      </c>
      <c r="K630" s="9" t="s">
        <v>3729</v>
      </c>
      <c r="L630" s="9" t="s">
        <v>3704</v>
      </c>
      <c r="M630" s="9" t="s">
        <v>2514</v>
      </c>
      <c r="N630" s="9" t="s">
        <v>189</v>
      </c>
      <c r="O630" s="9" t="s">
        <v>189</v>
      </c>
      <c r="P630" s="9" t="s">
        <v>640</v>
      </c>
      <c r="Q630" s="9" t="s">
        <v>3730</v>
      </c>
      <c r="R630" s="9" t="s">
        <v>3741</v>
      </c>
      <c r="S630" s="9" t="s">
        <v>3708</v>
      </c>
      <c r="T630" s="9" t="s">
        <v>3742</v>
      </c>
      <c r="U630" s="19" t="n">
        <v>55</v>
      </c>
      <c r="V630" s="9"/>
      <c r="W630" s="9"/>
      <c r="X630" s="9" t="s">
        <v>195</v>
      </c>
      <c r="Y630" s="23" t="n">
        <v>0.00011403</v>
      </c>
      <c r="Z630" s="23" t="n">
        <v>0.004</v>
      </c>
      <c r="AA630" s="23" t="n">
        <v>24</v>
      </c>
      <c r="AB630" s="9" t="s">
        <v>3704</v>
      </c>
      <c r="AC630" s="9" t="s">
        <v>3731</v>
      </c>
      <c r="AD630" s="23" t="s">
        <v>197</v>
      </c>
      <c r="AE630" s="23" t="s">
        <v>197</v>
      </c>
      <c r="AF630" s="23" t="s">
        <v>197</v>
      </c>
      <c r="AG630" s="23" t="s">
        <v>197</v>
      </c>
      <c r="AH630" s="23" t="s">
        <v>197</v>
      </c>
      <c r="AI630" s="23" t="s">
        <v>197</v>
      </c>
      <c r="AJ630" s="23" t="n">
        <v>99</v>
      </c>
      <c r="AK630" s="23" t="s">
        <v>197</v>
      </c>
      <c r="AL630" s="23" t="s">
        <v>197</v>
      </c>
      <c r="AM630" s="23" t="s">
        <v>197</v>
      </c>
      <c r="AN630" s="9" t="s">
        <v>2549</v>
      </c>
      <c r="AO630" s="23" t="s">
        <v>197</v>
      </c>
      <c r="AP630" s="23" t="n">
        <v>2.5</v>
      </c>
      <c r="AQ630" s="23" t="n">
        <v>6</v>
      </c>
    </row>
    <row r="631" customFormat="false" ht="21.75" hidden="false" customHeight="true" outlineLevel="0" collapsed="false">
      <c r="B631" s="14" t="n">
        <v>627</v>
      </c>
      <c r="C631" s="7" t="s">
        <v>89</v>
      </c>
      <c r="D631" s="7" t="s">
        <v>20</v>
      </c>
      <c r="E631" s="7" t="s">
        <v>121</v>
      </c>
      <c r="F631" s="7" t="s">
        <v>98</v>
      </c>
      <c r="G631" s="7" t="s">
        <v>3743</v>
      </c>
      <c r="H631" s="7" t="s">
        <v>2551</v>
      </c>
      <c r="I631" s="7" t="s">
        <v>3739</v>
      </c>
      <c r="J631" s="7" t="s">
        <v>3740</v>
      </c>
      <c r="K631" s="7" t="s">
        <v>3729</v>
      </c>
      <c r="L631" s="7" t="s">
        <v>3704</v>
      </c>
      <c r="M631" s="7" t="s">
        <v>2514</v>
      </c>
      <c r="N631" s="7" t="s">
        <v>189</v>
      </c>
      <c r="O631" s="7" t="s">
        <v>189</v>
      </c>
      <c r="P631" s="7" t="s">
        <v>640</v>
      </c>
      <c r="Q631" s="7" t="s">
        <v>3730</v>
      </c>
      <c r="R631" s="7" t="s">
        <v>3741</v>
      </c>
      <c r="S631" s="7" t="s">
        <v>3708</v>
      </c>
      <c r="T631" s="7" t="s">
        <v>3742</v>
      </c>
      <c r="U631" s="18" t="n">
        <v>85</v>
      </c>
      <c r="V631" s="7"/>
      <c r="W631" s="7"/>
      <c r="X631" s="7" t="s">
        <v>199</v>
      </c>
      <c r="Y631" s="22" t="n">
        <v>0.00011185</v>
      </c>
      <c r="Z631" s="22" t="n">
        <v>0.004</v>
      </c>
      <c r="AA631" s="22" t="n">
        <v>24</v>
      </c>
      <c r="AB631" s="7" t="s">
        <v>3704</v>
      </c>
      <c r="AC631" s="7" t="s">
        <v>3731</v>
      </c>
      <c r="AD631" s="22" t="s">
        <v>197</v>
      </c>
      <c r="AE631" s="22" t="s">
        <v>197</v>
      </c>
      <c r="AF631" s="22" t="s">
        <v>197</v>
      </c>
      <c r="AG631" s="22" t="s">
        <v>197</v>
      </c>
      <c r="AH631" s="22" t="s">
        <v>197</v>
      </c>
      <c r="AI631" s="22" t="s">
        <v>197</v>
      </c>
      <c r="AJ631" s="22" t="n">
        <v>98</v>
      </c>
      <c r="AK631" s="22" t="s">
        <v>197</v>
      </c>
      <c r="AL631" s="22" t="s">
        <v>197</v>
      </c>
      <c r="AM631" s="22" t="s">
        <v>197</v>
      </c>
      <c r="AN631" s="7" t="s">
        <v>2549</v>
      </c>
      <c r="AO631" s="22" t="s">
        <v>197</v>
      </c>
      <c r="AP631" s="22" t="n">
        <v>2.5</v>
      </c>
      <c r="AQ631" s="22" t="n">
        <v>6</v>
      </c>
    </row>
    <row r="632" customFormat="false" ht="21.75" hidden="false" customHeight="true" outlineLevel="0" collapsed="false">
      <c r="B632" s="15" t="n">
        <v>628</v>
      </c>
      <c r="C632" s="9" t="s">
        <v>89</v>
      </c>
      <c r="D632" s="9" t="s">
        <v>20</v>
      </c>
      <c r="E632" s="9" t="s">
        <v>121</v>
      </c>
      <c r="F632" s="9" t="s">
        <v>98</v>
      </c>
      <c r="G632" s="9" t="s">
        <v>3744</v>
      </c>
      <c r="H632" s="9" t="s">
        <v>2553</v>
      </c>
      <c r="I632" s="9" t="s">
        <v>3739</v>
      </c>
      <c r="J632" s="9" t="s">
        <v>3740</v>
      </c>
      <c r="K632" s="9" t="s">
        <v>3729</v>
      </c>
      <c r="L632" s="9" t="s">
        <v>3704</v>
      </c>
      <c r="M632" s="9" t="s">
        <v>2514</v>
      </c>
      <c r="N632" s="9" t="s">
        <v>189</v>
      </c>
      <c r="O632" s="9" t="s">
        <v>189</v>
      </c>
      <c r="P632" s="9" t="s">
        <v>640</v>
      </c>
      <c r="Q632" s="9" t="s">
        <v>3730</v>
      </c>
      <c r="R632" s="9" t="s">
        <v>3741</v>
      </c>
      <c r="S632" s="9" t="s">
        <v>3708</v>
      </c>
      <c r="T632" s="9" t="s">
        <v>3742</v>
      </c>
      <c r="U632" s="19" t="n">
        <v>115</v>
      </c>
      <c r="V632" s="9"/>
      <c r="W632" s="9"/>
      <c r="X632" s="9" t="s">
        <v>3745</v>
      </c>
      <c r="Y632" s="23" t="n">
        <v>8.187E-005</v>
      </c>
      <c r="Z632" s="23" t="n">
        <v>0.003</v>
      </c>
      <c r="AA632" s="23" t="n">
        <v>24</v>
      </c>
      <c r="AB632" s="9" t="s">
        <v>3704</v>
      </c>
      <c r="AC632" s="9" t="s">
        <v>3731</v>
      </c>
      <c r="AD632" s="23" t="s">
        <v>197</v>
      </c>
      <c r="AE632" s="23" t="s">
        <v>197</v>
      </c>
      <c r="AF632" s="23" t="s">
        <v>197</v>
      </c>
      <c r="AG632" s="23" t="s">
        <v>197</v>
      </c>
      <c r="AH632" s="23" t="s">
        <v>197</v>
      </c>
      <c r="AI632" s="23" t="s">
        <v>197</v>
      </c>
      <c r="AJ632" s="23" t="n">
        <v>81</v>
      </c>
      <c r="AK632" s="23" t="s">
        <v>197</v>
      </c>
      <c r="AL632" s="23" t="s">
        <v>197</v>
      </c>
      <c r="AM632" s="23" t="s">
        <v>197</v>
      </c>
      <c r="AN632" s="9" t="s">
        <v>2549</v>
      </c>
      <c r="AO632" s="23" t="s">
        <v>197</v>
      </c>
      <c r="AP632" s="23" t="n">
        <v>2.5</v>
      </c>
      <c r="AQ632" s="23" t="n">
        <v>6</v>
      </c>
    </row>
    <row r="633" customFormat="false" ht="21.75" hidden="false" customHeight="true" outlineLevel="0" collapsed="false">
      <c r="B633" s="14" t="n">
        <v>629</v>
      </c>
      <c r="C633" s="7" t="s">
        <v>89</v>
      </c>
      <c r="D633" s="7" t="s">
        <v>20</v>
      </c>
      <c r="E633" s="7" t="s">
        <v>121</v>
      </c>
      <c r="F633" s="7" t="s">
        <v>98</v>
      </c>
      <c r="G633" s="7" t="s">
        <v>3746</v>
      </c>
      <c r="H633" s="7" t="s">
        <v>2556</v>
      </c>
      <c r="I633" s="7" t="s">
        <v>3739</v>
      </c>
      <c r="J633" s="7" t="s">
        <v>3740</v>
      </c>
      <c r="K633" s="7" t="s">
        <v>3729</v>
      </c>
      <c r="L633" s="7" t="s">
        <v>3704</v>
      </c>
      <c r="M633" s="7" t="s">
        <v>2514</v>
      </c>
      <c r="N633" s="7" t="s">
        <v>189</v>
      </c>
      <c r="O633" s="7" t="s">
        <v>189</v>
      </c>
      <c r="P633" s="7" t="s">
        <v>640</v>
      </c>
      <c r="Q633" s="7" t="s">
        <v>3730</v>
      </c>
      <c r="R633" s="7" t="s">
        <v>3741</v>
      </c>
      <c r="S633" s="7" t="s">
        <v>3708</v>
      </c>
      <c r="T633" s="7" t="s">
        <v>3742</v>
      </c>
      <c r="U633" s="18" t="n">
        <v>175</v>
      </c>
      <c r="V633" s="7"/>
      <c r="W633" s="7"/>
      <c r="X633" s="7" t="s">
        <v>203</v>
      </c>
      <c r="Y633" s="22" t="n">
        <v>0.00013791</v>
      </c>
      <c r="Z633" s="22" t="n">
        <v>0.005</v>
      </c>
      <c r="AA633" s="22" t="n">
        <v>24</v>
      </c>
      <c r="AB633" s="7" t="s">
        <v>3704</v>
      </c>
      <c r="AC633" s="7" t="s">
        <v>3731</v>
      </c>
      <c r="AD633" s="22" t="s">
        <v>197</v>
      </c>
      <c r="AE633" s="22" t="s">
        <v>197</v>
      </c>
      <c r="AF633" s="22" t="s">
        <v>197</v>
      </c>
      <c r="AG633" s="22" t="s">
        <v>197</v>
      </c>
      <c r="AH633" s="22" t="s">
        <v>197</v>
      </c>
      <c r="AI633" s="22" t="s">
        <v>197</v>
      </c>
      <c r="AJ633" s="22" t="n">
        <v>113</v>
      </c>
      <c r="AK633" s="22" t="s">
        <v>197</v>
      </c>
      <c r="AL633" s="22" t="s">
        <v>197</v>
      </c>
      <c r="AM633" s="22" t="s">
        <v>197</v>
      </c>
      <c r="AN633" s="7" t="s">
        <v>2549</v>
      </c>
      <c r="AO633" s="22" t="s">
        <v>197</v>
      </c>
      <c r="AP633" s="22" t="n">
        <v>2.5</v>
      </c>
      <c r="AQ633" s="22" t="n">
        <v>6</v>
      </c>
    </row>
    <row r="634" customFormat="false" ht="21.75" hidden="false" customHeight="true" outlineLevel="0" collapsed="false">
      <c r="B634" s="15" t="n">
        <v>630</v>
      </c>
      <c r="C634" s="9" t="s">
        <v>89</v>
      </c>
      <c r="D634" s="9" t="s">
        <v>20</v>
      </c>
      <c r="E634" s="9" t="s">
        <v>121</v>
      </c>
      <c r="F634" s="9" t="s">
        <v>98</v>
      </c>
      <c r="G634" s="9" t="s">
        <v>3747</v>
      </c>
      <c r="H634" s="9" t="s">
        <v>2558</v>
      </c>
      <c r="I634" s="9" t="s">
        <v>3739</v>
      </c>
      <c r="J634" s="9" t="s">
        <v>3740</v>
      </c>
      <c r="K634" s="9" t="s">
        <v>3729</v>
      </c>
      <c r="L634" s="9" t="s">
        <v>3704</v>
      </c>
      <c r="M634" s="9" t="s">
        <v>2514</v>
      </c>
      <c r="N634" s="9" t="s">
        <v>189</v>
      </c>
      <c r="O634" s="9" t="s">
        <v>189</v>
      </c>
      <c r="P634" s="9" t="s">
        <v>640</v>
      </c>
      <c r="Q634" s="9" t="s">
        <v>3730</v>
      </c>
      <c r="R634" s="9" t="s">
        <v>3741</v>
      </c>
      <c r="S634" s="9" t="s">
        <v>3708</v>
      </c>
      <c r="T634" s="9" t="s">
        <v>3742</v>
      </c>
      <c r="U634" s="19" t="n">
        <v>255</v>
      </c>
      <c r="V634" s="9"/>
      <c r="W634" s="9"/>
      <c r="X634" s="9" t="s">
        <v>205</v>
      </c>
      <c r="Y634" s="23" t="n">
        <v>9.631E-005</v>
      </c>
      <c r="Z634" s="23" t="n">
        <v>0.004</v>
      </c>
      <c r="AA634" s="23" t="n">
        <v>24</v>
      </c>
      <c r="AB634" s="9" t="s">
        <v>3704</v>
      </c>
      <c r="AC634" s="9" t="s">
        <v>3731</v>
      </c>
      <c r="AD634" s="23" t="s">
        <v>197</v>
      </c>
      <c r="AE634" s="23" t="s">
        <v>197</v>
      </c>
      <c r="AF634" s="23" t="s">
        <v>197</v>
      </c>
      <c r="AG634" s="23" t="s">
        <v>197</v>
      </c>
      <c r="AH634" s="23" t="s">
        <v>197</v>
      </c>
      <c r="AI634" s="23" t="s">
        <v>197</v>
      </c>
      <c r="AJ634" s="23" t="n">
        <v>89</v>
      </c>
      <c r="AK634" s="23" t="s">
        <v>197</v>
      </c>
      <c r="AL634" s="23" t="s">
        <v>197</v>
      </c>
      <c r="AM634" s="23" t="s">
        <v>197</v>
      </c>
      <c r="AN634" s="9" t="s">
        <v>2549</v>
      </c>
      <c r="AO634" s="23" t="s">
        <v>197</v>
      </c>
      <c r="AP634" s="23" t="n">
        <v>2.5</v>
      </c>
      <c r="AQ634" s="23" t="n">
        <v>6</v>
      </c>
    </row>
    <row r="635" customFormat="false" ht="21.75" hidden="false" customHeight="true" outlineLevel="0" collapsed="false">
      <c r="B635" s="14" t="n">
        <v>631</v>
      </c>
      <c r="C635" s="7" t="s">
        <v>89</v>
      </c>
      <c r="D635" s="7" t="s">
        <v>20</v>
      </c>
      <c r="E635" s="7" t="s">
        <v>121</v>
      </c>
      <c r="F635" s="7" t="s">
        <v>99</v>
      </c>
      <c r="G635" s="7" t="s">
        <v>391</v>
      </c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18"/>
      <c r="V635" s="7"/>
      <c r="W635" s="7"/>
      <c r="X635" s="7" t="s">
        <v>3748</v>
      </c>
      <c r="Y635" s="22" t="s">
        <v>197</v>
      </c>
      <c r="Z635" s="22" t="s">
        <v>197</v>
      </c>
      <c r="AA635" s="22" t="s">
        <v>197</v>
      </c>
      <c r="AB635" s="7" t="s">
        <v>197</v>
      </c>
      <c r="AC635" s="7" t="s">
        <v>197</v>
      </c>
      <c r="AD635" s="22" t="s">
        <v>197</v>
      </c>
      <c r="AE635" s="22" t="s">
        <v>197</v>
      </c>
      <c r="AF635" s="22" t="s">
        <v>197</v>
      </c>
      <c r="AG635" s="22" t="s">
        <v>197</v>
      </c>
      <c r="AH635" s="22" t="s">
        <v>197</v>
      </c>
      <c r="AI635" s="22" t="s">
        <v>197</v>
      </c>
      <c r="AJ635" s="22" t="s">
        <v>197</v>
      </c>
      <c r="AK635" s="22" t="s">
        <v>197</v>
      </c>
      <c r="AL635" s="22" t="s">
        <v>197</v>
      </c>
      <c r="AM635" s="22" t="s">
        <v>197</v>
      </c>
      <c r="AN635" s="7" t="s">
        <v>197</v>
      </c>
      <c r="AO635" s="22" t="s">
        <v>197</v>
      </c>
      <c r="AP635" s="22" t="s">
        <v>197</v>
      </c>
      <c r="AQ635" s="22" t="s">
        <v>197</v>
      </c>
    </row>
    <row r="636" customFormat="false" ht="21.75" hidden="false" customHeight="true" outlineLevel="0" collapsed="false">
      <c r="B636" s="15" t="n">
        <v>632</v>
      </c>
      <c r="C636" s="9" t="s">
        <v>89</v>
      </c>
      <c r="D636" s="9" t="s">
        <v>20</v>
      </c>
      <c r="E636" s="9" t="s">
        <v>121</v>
      </c>
      <c r="F636" s="9" t="s">
        <v>100</v>
      </c>
      <c r="G636" s="9" t="s">
        <v>391</v>
      </c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19"/>
      <c r="V636" s="9"/>
      <c r="W636" s="9"/>
      <c r="X636" s="9" t="s">
        <v>3749</v>
      </c>
      <c r="Y636" s="23" t="s">
        <v>197</v>
      </c>
      <c r="Z636" s="23" t="s">
        <v>197</v>
      </c>
      <c r="AA636" s="23" t="s">
        <v>197</v>
      </c>
      <c r="AB636" s="9" t="s">
        <v>197</v>
      </c>
      <c r="AC636" s="9" t="s">
        <v>197</v>
      </c>
      <c r="AD636" s="23" t="s">
        <v>197</v>
      </c>
      <c r="AE636" s="23" t="s">
        <v>197</v>
      </c>
      <c r="AF636" s="23" t="s">
        <v>197</v>
      </c>
      <c r="AG636" s="23" t="s">
        <v>197</v>
      </c>
      <c r="AH636" s="23" t="s">
        <v>197</v>
      </c>
      <c r="AI636" s="23" t="s">
        <v>197</v>
      </c>
      <c r="AJ636" s="23" t="s">
        <v>197</v>
      </c>
      <c r="AK636" s="23" t="s">
        <v>197</v>
      </c>
      <c r="AL636" s="23" t="s">
        <v>197</v>
      </c>
      <c r="AM636" s="23" t="s">
        <v>197</v>
      </c>
      <c r="AN636" s="9" t="s">
        <v>197</v>
      </c>
      <c r="AO636" s="23" t="s">
        <v>197</v>
      </c>
      <c r="AP636" s="23" t="s">
        <v>197</v>
      </c>
      <c r="AQ636" s="23" t="s">
        <v>197</v>
      </c>
    </row>
    <row r="637" customFormat="false" ht="21.75" hidden="false" customHeight="true" outlineLevel="0" collapsed="false">
      <c r="B637" s="14" t="n">
        <v>633</v>
      </c>
      <c r="C637" s="7" t="s">
        <v>89</v>
      </c>
      <c r="D637" s="7" t="s">
        <v>20</v>
      </c>
      <c r="E637" s="7" t="s">
        <v>121</v>
      </c>
      <c r="F637" s="7" t="s">
        <v>101</v>
      </c>
      <c r="G637" s="7" t="s">
        <v>391</v>
      </c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18"/>
      <c r="V637" s="7"/>
      <c r="W637" s="7"/>
      <c r="X637" s="7" t="s">
        <v>3750</v>
      </c>
      <c r="Y637" s="22" t="s">
        <v>197</v>
      </c>
      <c r="Z637" s="22" t="s">
        <v>197</v>
      </c>
      <c r="AA637" s="22" t="s">
        <v>197</v>
      </c>
      <c r="AB637" s="7" t="s">
        <v>197</v>
      </c>
      <c r="AC637" s="7" t="s">
        <v>197</v>
      </c>
      <c r="AD637" s="22" t="s">
        <v>197</v>
      </c>
      <c r="AE637" s="22" t="s">
        <v>197</v>
      </c>
      <c r="AF637" s="22" t="s">
        <v>197</v>
      </c>
      <c r="AG637" s="22" t="s">
        <v>197</v>
      </c>
      <c r="AH637" s="22" t="s">
        <v>197</v>
      </c>
      <c r="AI637" s="22" t="s">
        <v>197</v>
      </c>
      <c r="AJ637" s="22" t="s">
        <v>197</v>
      </c>
      <c r="AK637" s="22" t="s">
        <v>197</v>
      </c>
      <c r="AL637" s="22" t="s">
        <v>197</v>
      </c>
      <c r="AM637" s="22" t="s">
        <v>197</v>
      </c>
      <c r="AN637" s="7" t="s">
        <v>197</v>
      </c>
      <c r="AO637" s="22" t="s">
        <v>197</v>
      </c>
      <c r="AP637" s="22" t="s">
        <v>197</v>
      </c>
      <c r="AQ637" s="22" t="s">
        <v>197</v>
      </c>
    </row>
    <row r="638" customFormat="false" ht="21.75" hidden="false" customHeight="true" outlineLevel="0" collapsed="false">
      <c r="B638" s="15" t="n">
        <v>634</v>
      </c>
      <c r="C638" s="9" t="s">
        <v>89</v>
      </c>
      <c r="D638" s="9" t="s">
        <v>20</v>
      </c>
      <c r="E638" s="9" t="s">
        <v>121</v>
      </c>
      <c r="F638" s="9" t="s">
        <v>102</v>
      </c>
      <c r="G638" s="9" t="s">
        <v>3751</v>
      </c>
      <c r="H638" s="9" t="s">
        <v>2601</v>
      </c>
      <c r="I638" s="9" t="s">
        <v>3752</v>
      </c>
      <c r="J638" s="9" t="s">
        <v>3753</v>
      </c>
      <c r="K638" s="9" t="s">
        <v>3729</v>
      </c>
      <c r="L638" s="9" t="s">
        <v>3704</v>
      </c>
      <c r="M638" s="9" t="s">
        <v>2514</v>
      </c>
      <c r="N638" s="9" t="s">
        <v>189</v>
      </c>
      <c r="O638" s="9" t="s">
        <v>189</v>
      </c>
      <c r="P638" s="9" t="s">
        <v>640</v>
      </c>
      <c r="Q638" s="9" t="s">
        <v>3754</v>
      </c>
      <c r="R638" s="9" t="s">
        <v>2775</v>
      </c>
      <c r="S638" s="9" t="s">
        <v>3708</v>
      </c>
      <c r="T638" s="9" t="s">
        <v>3206</v>
      </c>
      <c r="U638" s="19" t="n">
        <v>25</v>
      </c>
      <c r="V638" s="9"/>
      <c r="W638" s="9"/>
      <c r="X638" s="9" t="s">
        <v>195</v>
      </c>
      <c r="Y638" s="23" t="n">
        <v>0.0002537</v>
      </c>
      <c r="Z638" s="23" t="n">
        <v>0.004</v>
      </c>
      <c r="AA638" s="23" t="n">
        <v>24</v>
      </c>
      <c r="AB638" s="9" t="s">
        <v>3704</v>
      </c>
      <c r="AC638" s="9" t="s">
        <v>3731</v>
      </c>
      <c r="AD638" s="23" t="s">
        <v>197</v>
      </c>
      <c r="AE638" s="23" t="s">
        <v>197</v>
      </c>
      <c r="AF638" s="23" t="s">
        <v>197</v>
      </c>
      <c r="AG638" s="23" t="s">
        <v>197</v>
      </c>
      <c r="AH638" s="23" t="s">
        <v>197</v>
      </c>
      <c r="AI638" s="23" t="s">
        <v>197</v>
      </c>
      <c r="AJ638" s="23" t="s">
        <v>197</v>
      </c>
      <c r="AK638" s="23" t="s">
        <v>197</v>
      </c>
      <c r="AL638" s="23" t="s">
        <v>197</v>
      </c>
      <c r="AM638" s="23" t="s">
        <v>197</v>
      </c>
      <c r="AN638" s="9" t="s">
        <v>197</v>
      </c>
      <c r="AO638" s="23" t="s">
        <v>197</v>
      </c>
      <c r="AP638" s="23" t="n">
        <v>1.05</v>
      </c>
      <c r="AQ638" s="23" t="n">
        <v>1.4</v>
      </c>
    </row>
    <row r="639" customFormat="false" ht="21.75" hidden="false" customHeight="true" outlineLevel="0" collapsed="false">
      <c r="B639" s="14" t="n">
        <v>635</v>
      </c>
      <c r="C639" s="7" t="s">
        <v>89</v>
      </c>
      <c r="D639" s="7" t="s">
        <v>20</v>
      </c>
      <c r="E639" s="7" t="s">
        <v>121</v>
      </c>
      <c r="F639" s="7" t="s">
        <v>102</v>
      </c>
      <c r="G639" s="7" t="s">
        <v>3755</v>
      </c>
      <c r="H639" s="7" t="s">
        <v>2607</v>
      </c>
      <c r="I639" s="7" t="s">
        <v>3752</v>
      </c>
      <c r="J639" s="7" t="s">
        <v>3753</v>
      </c>
      <c r="K639" s="7" t="s">
        <v>3729</v>
      </c>
      <c r="L639" s="7" t="s">
        <v>3704</v>
      </c>
      <c r="M639" s="7" t="s">
        <v>2514</v>
      </c>
      <c r="N639" s="7" t="s">
        <v>189</v>
      </c>
      <c r="O639" s="7" t="s">
        <v>189</v>
      </c>
      <c r="P639" s="7" t="s">
        <v>640</v>
      </c>
      <c r="Q639" s="7" t="s">
        <v>3754</v>
      </c>
      <c r="R639" s="7" t="s">
        <v>2775</v>
      </c>
      <c r="S639" s="7" t="s">
        <v>3708</v>
      </c>
      <c r="T639" s="7" t="s">
        <v>3206</v>
      </c>
      <c r="U639" s="18" t="n">
        <v>40</v>
      </c>
      <c r="V639" s="7"/>
      <c r="W639" s="7"/>
      <c r="X639" s="7" t="s">
        <v>199</v>
      </c>
      <c r="Y639" s="22" t="n">
        <v>0.0002507</v>
      </c>
      <c r="Z639" s="22" t="n">
        <v>0.004</v>
      </c>
      <c r="AA639" s="22" t="n">
        <v>24</v>
      </c>
      <c r="AB639" s="7" t="s">
        <v>3704</v>
      </c>
      <c r="AC639" s="7" t="s">
        <v>3731</v>
      </c>
      <c r="AD639" s="22" t="s">
        <v>197</v>
      </c>
      <c r="AE639" s="22" t="s">
        <v>197</v>
      </c>
      <c r="AF639" s="22" t="s">
        <v>197</v>
      </c>
      <c r="AG639" s="22" t="s">
        <v>197</v>
      </c>
      <c r="AH639" s="22" t="s">
        <v>197</v>
      </c>
      <c r="AI639" s="22" t="s">
        <v>197</v>
      </c>
      <c r="AJ639" s="22" t="s">
        <v>197</v>
      </c>
      <c r="AK639" s="22" t="s">
        <v>197</v>
      </c>
      <c r="AL639" s="22" t="s">
        <v>197</v>
      </c>
      <c r="AM639" s="22" t="s">
        <v>197</v>
      </c>
      <c r="AN639" s="7" t="s">
        <v>197</v>
      </c>
      <c r="AO639" s="22" t="s">
        <v>197</v>
      </c>
      <c r="AP639" s="22" t="n">
        <v>1.05</v>
      </c>
      <c r="AQ639" s="22" t="n">
        <v>1.4</v>
      </c>
    </row>
    <row r="640" customFormat="false" ht="21.75" hidden="false" customHeight="true" outlineLevel="0" collapsed="false">
      <c r="B640" s="15" t="n">
        <v>636</v>
      </c>
      <c r="C640" s="9" t="s">
        <v>89</v>
      </c>
      <c r="D640" s="9" t="s">
        <v>20</v>
      </c>
      <c r="E640" s="9" t="s">
        <v>121</v>
      </c>
      <c r="F640" s="9" t="s">
        <v>102</v>
      </c>
      <c r="G640" s="9" t="s">
        <v>3756</v>
      </c>
      <c r="H640" s="9" t="s">
        <v>2609</v>
      </c>
      <c r="I640" s="9" t="s">
        <v>3752</v>
      </c>
      <c r="J640" s="9" t="s">
        <v>3753</v>
      </c>
      <c r="K640" s="9" t="s">
        <v>3729</v>
      </c>
      <c r="L640" s="9" t="s">
        <v>3704</v>
      </c>
      <c r="M640" s="9" t="s">
        <v>2514</v>
      </c>
      <c r="N640" s="9" t="s">
        <v>189</v>
      </c>
      <c r="O640" s="9" t="s">
        <v>189</v>
      </c>
      <c r="P640" s="9" t="s">
        <v>640</v>
      </c>
      <c r="Q640" s="9" t="s">
        <v>3754</v>
      </c>
      <c r="R640" s="9" t="s">
        <v>2775</v>
      </c>
      <c r="S640" s="9" t="s">
        <v>3708</v>
      </c>
      <c r="T640" s="9" t="s">
        <v>3206</v>
      </c>
      <c r="U640" s="19" t="n">
        <v>50</v>
      </c>
      <c r="V640" s="9"/>
      <c r="W640" s="9"/>
      <c r="X640" s="9" t="s">
        <v>3757</v>
      </c>
      <c r="Y640" s="23" t="n">
        <v>0.00028984</v>
      </c>
      <c r="Z640" s="23" t="n">
        <v>0.004</v>
      </c>
      <c r="AA640" s="23" t="n">
        <v>24</v>
      </c>
      <c r="AB640" s="9" t="s">
        <v>3704</v>
      </c>
      <c r="AC640" s="9" t="s">
        <v>3731</v>
      </c>
      <c r="AD640" s="23" t="s">
        <v>197</v>
      </c>
      <c r="AE640" s="23" t="s">
        <v>197</v>
      </c>
      <c r="AF640" s="23" t="s">
        <v>197</v>
      </c>
      <c r="AG640" s="23" t="s">
        <v>197</v>
      </c>
      <c r="AH640" s="23" t="s">
        <v>197</v>
      </c>
      <c r="AI640" s="23" t="s">
        <v>197</v>
      </c>
      <c r="AJ640" s="23" t="s">
        <v>197</v>
      </c>
      <c r="AK640" s="23" t="s">
        <v>197</v>
      </c>
      <c r="AL640" s="23" t="s">
        <v>197</v>
      </c>
      <c r="AM640" s="23" t="s">
        <v>197</v>
      </c>
      <c r="AN640" s="9" t="s">
        <v>197</v>
      </c>
      <c r="AO640" s="23" t="s">
        <v>197</v>
      </c>
      <c r="AP640" s="23" t="n">
        <v>1.05</v>
      </c>
      <c r="AQ640" s="23" t="n">
        <v>1.4</v>
      </c>
    </row>
    <row r="641" customFormat="false" ht="21.75" hidden="false" customHeight="true" outlineLevel="0" collapsed="false">
      <c r="B641" s="14" t="n">
        <v>637</v>
      </c>
      <c r="C641" s="7" t="s">
        <v>89</v>
      </c>
      <c r="D641" s="7" t="s">
        <v>20</v>
      </c>
      <c r="E641" s="7" t="s">
        <v>121</v>
      </c>
      <c r="F641" s="7" t="s">
        <v>102</v>
      </c>
      <c r="G641" s="7" t="s">
        <v>3758</v>
      </c>
      <c r="H641" s="7" t="s">
        <v>2612</v>
      </c>
      <c r="I641" s="7" t="s">
        <v>3752</v>
      </c>
      <c r="J641" s="7" t="s">
        <v>3753</v>
      </c>
      <c r="K641" s="7" t="s">
        <v>3729</v>
      </c>
      <c r="L641" s="7" t="s">
        <v>3704</v>
      </c>
      <c r="M641" s="7" t="s">
        <v>2514</v>
      </c>
      <c r="N641" s="7" t="s">
        <v>189</v>
      </c>
      <c r="O641" s="7" t="s">
        <v>189</v>
      </c>
      <c r="P641" s="7" t="s">
        <v>640</v>
      </c>
      <c r="Q641" s="7" t="s">
        <v>3754</v>
      </c>
      <c r="R641" s="7" t="s">
        <v>2775</v>
      </c>
      <c r="S641" s="7" t="s">
        <v>3708</v>
      </c>
      <c r="T641" s="7" t="s">
        <v>3206</v>
      </c>
      <c r="U641" s="18" t="n">
        <v>80</v>
      </c>
      <c r="V641" s="7"/>
      <c r="W641" s="7"/>
      <c r="X641" s="7" t="s">
        <v>203</v>
      </c>
      <c r="Y641" s="22" t="n">
        <v>0.00035646</v>
      </c>
      <c r="Z641" s="22" t="n">
        <v>0.005</v>
      </c>
      <c r="AA641" s="22" t="n">
        <v>24</v>
      </c>
      <c r="AB641" s="7" t="s">
        <v>3704</v>
      </c>
      <c r="AC641" s="7" t="s">
        <v>3731</v>
      </c>
      <c r="AD641" s="22" t="s">
        <v>197</v>
      </c>
      <c r="AE641" s="22" t="s">
        <v>197</v>
      </c>
      <c r="AF641" s="22" t="s">
        <v>197</v>
      </c>
      <c r="AG641" s="22" t="s">
        <v>197</v>
      </c>
      <c r="AH641" s="22" t="s">
        <v>197</v>
      </c>
      <c r="AI641" s="22" t="s">
        <v>197</v>
      </c>
      <c r="AJ641" s="22" t="s">
        <v>197</v>
      </c>
      <c r="AK641" s="22" t="s">
        <v>197</v>
      </c>
      <c r="AL641" s="22" t="s">
        <v>197</v>
      </c>
      <c r="AM641" s="22" t="s">
        <v>197</v>
      </c>
      <c r="AN641" s="7" t="s">
        <v>197</v>
      </c>
      <c r="AO641" s="22" t="s">
        <v>197</v>
      </c>
      <c r="AP641" s="22" t="n">
        <v>1.05</v>
      </c>
      <c r="AQ641" s="22" t="n">
        <v>1.4</v>
      </c>
    </row>
    <row r="642" customFormat="false" ht="21.75" hidden="false" customHeight="true" outlineLevel="0" collapsed="false">
      <c r="B642" s="15" t="n">
        <v>638</v>
      </c>
      <c r="C642" s="9" t="s">
        <v>89</v>
      </c>
      <c r="D642" s="9" t="s">
        <v>20</v>
      </c>
      <c r="E642" s="9" t="s">
        <v>121</v>
      </c>
      <c r="F642" s="9" t="s">
        <v>102</v>
      </c>
      <c r="G642" s="9" t="s">
        <v>3759</v>
      </c>
      <c r="H642" s="9" t="s">
        <v>2614</v>
      </c>
      <c r="I642" s="9" t="s">
        <v>3752</v>
      </c>
      <c r="J642" s="9" t="s">
        <v>3753</v>
      </c>
      <c r="K642" s="9" t="s">
        <v>3729</v>
      </c>
      <c r="L642" s="9" t="s">
        <v>3704</v>
      </c>
      <c r="M642" s="9" t="s">
        <v>2514</v>
      </c>
      <c r="N642" s="9" t="s">
        <v>189</v>
      </c>
      <c r="O642" s="9" t="s">
        <v>189</v>
      </c>
      <c r="P642" s="9" t="s">
        <v>640</v>
      </c>
      <c r="Q642" s="9" t="s">
        <v>3754</v>
      </c>
      <c r="R642" s="9" t="s">
        <v>2775</v>
      </c>
      <c r="S642" s="9" t="s">
        <v>3708</v>
      </c>
      <c r="T642" s="9" t="s">
        <v>3206</v>
      </c>
      <c r="U642" s="19" t="n">
        <v>115</v>
      </c>
      <c r="V642" s="9"/>
      <c r="W642" s="9"/>
      <c r="X642" s="9" t="s">
        <v>205</v>
      </c>
      <c r="Y642" s="23" t="n">
        <v>0.00023642</v>
      </c>
      <c r="Z642" s="23" t="n">
        <v>0.003</v>
      </c>
      <c r="AA642" s="23" t="n">
        <v>24</v>
      </c>
      <c r="AB642" s="9" t="s">
        <v>3704</v>
      </c>
      <c r="AC642" s="9" t="s">
        <v>3731</v>
      </c>
      <c r="AD642" s="23" t="s">
        <v>197</v>
      </c>
      <c r="AE642" s="23" t="s">
        <v>197</v>
      </c>
      <c r="AF642" s="23" t="s">
        <v>197</v>
      </c>
      <c r="AG642" s="23" t="s">
        <v>197</v>
      </c>
      <c r="AH642" s="23" t="s">
        <v>197</v>
      </c>
      <c r="AI642" s="23" t="s">
        <v>197</v>
      </c>
      <c r="AJ642" s="23" t="s">
        <v>197</v>
      </c>
      <c r="AK642" s="23" t="s">
        <v>197</v>
      </c>
      <c r="AL642" s="23" t="s">
        <v>197</v>
      </c>
      <c r="AM642" s="23" t="s">
        <v>197</v>
      </c>
      <c r="AN642" s="9" t="s">
        <v>197</v>
      </c>
      <c r="AO642" s="23" t="s">
        <v>197</v>
      </c>
      <c r="AP642" s="23" t="n">
        <v>1.05</v>
      </c>
      <c r="AQ642" s="23" t="n">
        <v>1.4</v>
      </c>
    </row>
    <row r="643" customFormat="false" ht="21.75" hidden="false" customHeight="true" outlineLevel="0" collapsed="false">
      <c r="B643" s="14" t="n">
        <v>639</v>
      </c>
      <c r="C643" s="7" t="s">
        <v>89</v>
      </c>
      <c r="D643" s="7" t="s">
        <v>20</v>
      </c>
      <c r="E643" s="7" t="s">
        <v>121</v>
      </c>
      <c r="F643" s="7" t="s">
        <v>103</v>
      </c>
      <c r="G643" s="7" t="s">
        <v>3760</v>
      </c>
      <c r="H643" s="7" t="s">
        <v>3004</v>
      </c>
      <c r="I643" s="7" t="s">
        <v>3761</v>
      </c>
      <c r="J643" s="7" t="s">
        <v>3762</v>
      </c>
      <c r="K643" s="7" t="s">
        <v>3729</v>
      </c>
      <c r="L643" s="7" t="s">
        <v>3704</v>
      </c>
      <c r="M643" s="7" t="s">
        <v>2514</v>
      </c>
      <c r="N643" s="7" t="s">
        <v>189</v>
      </c>
      <c r="O643" s="7" t="s">
        <v>189</v>
      </c>
      <c r="P643" s="7" t="s">
        <v>640</v>
      </c>
      <c r="Q643" s="7" t="s">
        <v>3763</v>
      </c>
      <c r="R643" s="7" t="s">
        <v>238</v>
      </c>
      <c r="S643" s="7" t="s">
        <v>3708</v>
      </c>
      <c r="T643" s="7" t="s">
        <v>3365</v>
      </c>
      <c r="U643" s="18" t="n">
        <v>40</v>
      </c>
      <c r="V643" s="7"/>
      <c r="W643" s="7"/>
      <c r="X643" s="7" t="s">
        <v>195</v>
      </c>
      <c r="Y643" s="22" t="n">
        <v>0.00096976</v>
      </c>
      <c r="Z643" s="22" t="n">
        <v>0.156</v>
      </c>
      <c r="AA643" s="22" t="n">
        <v>24</v>
      </c>
      <c r="AB643" s="7" t="s">
        <v>3704</v>
      </c>
      <c r="AC643" s="7" t="s">
        <v>3011</v>
      </c>
      <c r="AD643" s="22" t="s">
        <v>197</v>
      </c>
      <c r="AE643" s="22" t="s">
        <v>197</v>
      </c>
      <c r="AF643" s="22" t="s">
        <v>197</v>
      </c>
      <c r="AG643" s="22" t="s">
        <v>197</v>
      </c>
      <c r="AH643" s="22" t="s">
        <v>197</v>
      </c>
      <c r="AI643" s="22" t="s">
        <v>197</v>
      </c>
      <c r="AJ643" s="22" t="s">
        <v>197</v>
      </c>
      <c r="AK643" s="22" t="s">
        <v>197</v>
      </c>
      <c r="AL643" s="22" t="s">
        <v>197</v>
      </c>
      <c r="AM643" s="22" t="s">
        <v>197</v>
      </c>
      <c r="AN643" s="7" t="s">
        <v>197</v>
      </c>
      <c r="AO643" s="22" t="n">
        <v>31.4</v>
      </c>
      <c r="AP643" s="22" t="n">
        <v>2</v>
      </c>
      <c r="AQ643" s="22" t="n">
        <v>2.45</v>
      </c>
    </row>
    <row r="644" customFormat="false" ht="21.75" hidden="false" customHeight="true" outlineLevel="0" collapsed="false">
      <c r="B644" s="15" t="n">
        <v>640</v>
      </c>
      <c r="C644" s="9" t="s">
        <v>89</v>
      </c>
      <c r="D644" s="9" t="s">
        <v>20</v>
      </c>
      <c r="E644" s="9" t="s">
        <v>121</v>
      </c>
      <c r="F644" s="9" t="s">
        <v>103</v>
      </c>
      <c r="G644" s="9" t="s">
        <v>3764</v>
      </c>
      <c r="H644" s="9" t="s">
        <v>3013</v>
      </c>
      <c r="I644" s="9" t="s">
        <v>3761</v>
      </c>
      <c r="J644" s="9" t="s">
        <v>3762</v>
      </c>
      <c r="K644" s="9" t="s">
        <v>3729</v>
      </c>
      <c r="L644" s="9" t="s">
        <v>3704</v>
      </c>
      <c r="M644" s="9" t="s">
        <v>2514</v>
      </c>
      <c r="N644" s="9" t="s">
        <v>189</v>
      </c>
      <c r="O644" s="9" t="s">
        <v>189</v>
      </c>
      <c r="P644" s="9" t="s">
        <v>640</v>
      </c>
      <c r="Q644" s="9" t="s">
        <v>3763</v>
      </c>
      <c r="R644" s="9" t="s">
        <v>238</v>
      </c>
      <c r="S644" s="9" t="s">
        <v>3708</v>
      </c>
      <c r="T644" s="9" t="s">
        <v>3365</v>
      </c>
      <c r="U644" s="19" t="n">
        <v>65</v>
      </c>
      <c r="V644" s="9"/>
      <c r="W644" s="9"/>
      <c r="X644" s="9" t="s">
        <v>199</v>
      </c>
      <c r="Y644" s="23" t="n">
        <v>0.0005416</v>
      </c>
      <c r="Z644" s="23" t="n">
        <v>0.097</v>
      </c>
      <c r="AA644" s="23" t="n">
        <v>24</v>
      </c>
      <c r="AB644" s="9" t="s">
        <v>3704</v>
      </c>
      <c r="AC644" s="9" t="s">
        <v>3011</v>
      </c>
      <c r="AD644" s="23" t="s">
        <v>197</v>
      </c>
      <c r="AE644" s="23" t="s">
        <v>197</v>
      </c>
      <c r="AF644" s="23" t="s">
        <v>197</v>
      </c>
      <c r="AG644" s="23" t="s">
        <v>197</v>
      </c>
      <c r="AH644" s="23" t="s">
        <v>197</v>
      </c>
      <c r="AI644" s="23" t="s">
        <v>197</v>
      </c>
      <c r="AJ644" s="23" t="s">
        <v>197</v>
      </c>
      <c r="AK644" s="23" t="s">
        <v>197</v>
      </c>
      <c r="AL644" s="23" t="s">
        <v>197</v>
      </c>
      <c r="AM644" s="23" t="s">
        <v>197</v>
      </c>
      <c r="AN644" s="9" t="s">
        <v>197</v>
      </c>
      <c r="AO644" s="23" t="n">
        <v>22.3</v>
      </c>
      <c r="AP644" s="23" t="n">
        <v>2</v>
      </c>
      <c r="AQ644" s="23" t="n">
        <v>2.45</v>
      </c>
    </row>
    <row r="645" customFormat="false" ht="21.75" hidden="false" customHeight="true" outlineLevel="0" collapsed="false">
      <c r="B645" s="14" t="n">
        <v>641</v>
      </c>
      <c r="C645" s="7" t="s">
        <v>89</v>
      </c>
      <c r="D645" s="7" t="s">
        <v>20</v>
      </c>
      <c r="E645" s="7" t="s">
        <v>121</v>
      </c>
      <c r="F645" s="7" t="s">
        <v>103</v>
      </c>
      <c r="G645" s="7" t="s">
        <v>3765</v>
      </c>
      <c r="H645" s="7" t="s">
        <v>3015</v>
      </c>
      <c r="I645" s="7" t="s">
        <v>3761</v>
      </c>
      <c r="J645" s="7" t="s">
        <v>3762</v>
      </c>
      <c r="K645" s="7" t="s">
        <v>3729</v>
      </c>
      <c r="L645" s="7" t="s">
        <v>3704</v>
      </c>
      <c r="M645" s="7" t="s">
        <v>2514</v>
      </c>
      <c r="N645" s="7" t="s">
        <v>189</v>
      </c>
      <c r="O645" s="7" t="s">
        <v>189</v>
      </c>
      <c r="P645" s="7" t="s">
        <v>640</v>
      </c>
      <c r="Q645" s="7" t="s">
        <v>3763</v>
      </c>
      <c r="R645" s="7" t="s">
        <v>238</v>
      </c>
      <c r="S645" s="7" t="s">
        <v>3708</v>
      </c>
      <c r="T645" s="7" t="s">
        <v>3365</v>
      </c>
      <c r="U645" s="18" t="n">
        <v>85</v>
      </c>
      <c r="V645" s="7"/>
      <c r="W645" s="7"/>
      <c r="X645" s="7" t="s">
        <v>3766</v>
      </c>
      <c r="Y645" s="22" t="n">
        <v>0.00022816</v>
      </c>
      <c r="Z645" s="22" t="n">
        <v>0.054</v>
      </c>
      <c r="AA645" s="22" t="n">
        <v>24</v>
      </c>
      <c r="AB645" s="7" t="s">
        <v>3704</v>
      </c>
      <c r="AC645" s="7" t="s">
        <v>3011</v>
      </c>
      <c r="AD645" s="22" t="s">
        <v>197</v>
      </c>
      <c r="AE645" s="22" t="s">
        <v>197</v>
      </c>
      <c r="AF645" s="22" t="s">
        <v>197</v>
      </c>
      <c r="AG645" s="22" t="s">
        <v>197</v>
      </c>
      <c r="AH645" s="22" t="s">
        <v>197</v>
      </c>
      <c r="AI645" s="22" t="s">
        <v>197</v>
      </c>
      <c r="AJ645" s="22" t="s">
        <v>197</v>
      </c>
      <c r="AK645" s="22" t="s">
        <v>197</v>
      </c>
      <c r="AL645" s="22" t="s">
        <v>197</v>
      </c>
      <c r="AM645" s="22" t="s">
        <v>197</v>
      </c>
      <c r="AN645" s="7" t="s">
        <v>197</v>
      </c>
      <c r="AO645" s="22" t="n">
        <v>15.6</v>
      </c>
      <c r="AP645" s="22" t="n">
        <v>2</v>
      </c>
      <c r="AQ645" s="22" t="n">
        <v>2.45</v>
      </c>
    </row>
    <row r="646" customFormat="false" ht="21.75" hidden="false" customHeight="true" outlineLevel="0" collapsed="false">
      <c r="B646" s="15" t="n">
        <v>642</v>
      </c>
      <c r="C646" s="9" t="s">
        <v>89</v>
      </c>
      <c r="D646" s="9" t="s">
        <v>20</v>
      </c>
      <c r="E646" s="9" t="s">
        <v>121</v>
      </c>
      <c r="F646" s="9" t="s">
        <v>103</v>
      </c>
      <c r="G646" s="9" t="s">
        <v>3767</v>
      </c>
      <c r="H646" s="9" t="s">
        <v>3018</v>
      </c>
      <c r="I646" s="9" t="s">
        <v>3761</v>
      </c>
      <c r="J646" s="9" t="s">
        <v>3762</v>
      </c>
      <c r="K646" s="9" t="s">
        <v>3729</v>
      </c>
      <c r="L646" s="9" t="s">
        <v>3704</v>
      </c>
      <c r="M646" s="9" t="s">
        <v>2514</v>
      </c>
      <c r="N646" s="9" t="s">
        <v>189</v>
      </c>
      <c r="O646" s="9" t="s">
        <v>189</v>
      </c>
      <c r="P646" s="9" t="s">
        <v>640</v>
      </c>
      <c r="Q646" s="9" t="s">
        <v>3763</v>
      </c>
      <c r="R646" s="9" t="s">
        <v>238</v>
      </c>
      <c r="S646" s="9" t="s">
        <v>3708</v>
      </c>
      <c r="T646" s="9" t="s">
        <v>3365</v>
      </c>
      <c r="U646" s="19" t="n">
        <v>130</v>
      </c>
      <c r="V646" s="9"/>
      <c r="W646" s="9"/>
      <c r="X646" s="9" t="s">
        <v>203</v>
      </c>
      <c r="Y646" s="23" t="n">
        <v>0.00082048</v>
      </c>
      <c r="Z646" s="23" t="n">
        <v>0.135</v>
      </c>
      <c r="AA646" s="23" t="n">
        <v>24</v>
      </c>
      <c r="AB646" s="9" t="s">
        <v>3704</v>
      </c>
      <c r="AC646" s="9" t="s">
        <v>3011</v>
      </c>
      <c r="AD646" s="23" t="s">
        <v>197</v>
      </c>
      <c r="AE646" s="23" t="s">
        <v>197</v>
      </c>
      <c r="AF646" s="23" t="s">
        <v>197</v>
      </c>
      <c r="AG646" s="23" t="s">
        <v>197</v>
      </c>
      <c r="AH646" s="23" t="s">
        <v>197</v>
      </c>
      <c r="AI646" s="23" t="s">
        <v>197</v>
      </c>
      <c r="AJ646" s="23" t="s">
        <v>197</v>
      </c>
      <c r="AK646" s="23" t="s">
        <v>197</v>
      </c>
      <c r="AL646" s="23" t="s">
        <v>197</v>
      </c>
      <c r="AM646" s="23" t="s">
        <v>197</v>
      </c>
      <c r="AN646" s="9" t="s">
        <v>197</v>
      </c>
      <c r="AO646" s="23" t="n">
        <v>28.2</v>
      </c>
      <c r="AP646" s="23" t="n">
        <v>2</v>
      </c>
      <c r="AQ646" s="23" t="n">
        <v>2.45</v>
      </c>
    </row>
    <row r="647" customFormat="false" ht="21.75" hidden="false" customHeight="true" outlineLevel="0" collapsed="false">
      <c r="B647" s="14" t="n">
        <v>643</v>
      </c>
      <c r="C647" s="7" t="s">
        <v>89</v>
      </c>
      <c r="D647" s="7" t="s">
        <v>20</v>
      </c>
      <c r="E647" s="7" t="s">
        <v>121</v>
      </c>
      <c r="F647" s="7" t="s">
        <v>103</v>
      </c>
      <c r="G647" s="7" t="s">
        <v>3768</v>
      </c>
      <c r="H647" s="7" t="s">
        <v>3020</v>
      </c>
      <c r="I647" s="7" t="s">
        <v>3761</v>
      </c>
      <c r="J647" s="7" t="s">
        <v>3762</v>
      </c>
      <c r="K647" s="7" t="s">
        <v>3729</v>
      </c>
      <c r="L647" s="7" t="s">
        <v>3704</v>
      </c>
      <c r="M647" s="7" t="s">
        <v>2514</v>
      </c>
      <c r="N647" s="7" t="s">
        <v>189</v>
      </c>
      <c r="O647" s="7" t="s">
        <v>189</v>
      </c>
      <c r="P647" s="7" t="s">
        <v>640</v>
      </c>
      <c r="Q647" s="7" t="s">
        <v>3763</v>
      </c>
      <c r="R647" s="7" t="s">
        <v>238</v>
      </c>
      <c r="S647" s="7" t="s">
        <v>3708</v>
      </c>
      <c r="T647" s="7" t="s">
        <v>3365</v>
      </c>
      <c r="U647" s="18" t="n">
        <v>190</v>
      </c>
      <c r="V647" s="7"/>
      <c r="W647" s="7"/>
      <c r="X647" s="7" t="s">
        <v>205</v>
      </c>
      <c r="Y647" s="22" t="n">
        <v>0.00072792</v>
      </c>
      <c r="Z647" s="22" t="n">
        <v>0.123</v>
      </c>
      <c r="AA647" s="22" t="n">
        <v>24</v>
      </c>
      <c r="AB647" s="7" t="s">
        <v>3704</v>
      </c>
      <c r="AC647" s="7" t="s">
        <v>3011</v>
      </c>
      <c r="AD647" s="22" t="s">
        <v>197</v>
      </c>
      <c r="AE647" s="22" t="s">
        <v>197</v>
      </c>
      <c r="AF647" s="22" t="s">
        <v>197</v>
      </c>
      <c r="AG647" s="22" t="s">
        <v>197</v>
      </c>
      <c r="AH647" s="22" t="s">
        <v>197</v>
      </c>
      <c r="AI647" s="22" t="s">
        <v>197</v>
      </c>
      <c r="AJ647" s="22" t="s">
        <v>197</v>
      </c>
      <c r="AK647" s="22" t="s">
        <v>197</v>
      </c>
      <c r="AL647" s="22" t="s">
        <v>197</v>
      </c>
      <c r="AM647" s="22" t="s">
        <v>197</v>
      </c>
      <c r="AN647" s="7" t="s">
        <v>197</v>
      </c>
      <c r="AO647" s="22" t="n">
        <v>26.2</v>
      </c>
      <c r="AP647" s="22" t="n">
        <v>2</v>
      </c>
      <c r="AQ647" s="22" t="n">
        <v>2.45</v>
      </c>
    </row>
    <row r="648" customFormat="false" ht="21.75" hidden="false" customHeight="true" outlineLevel="0" collapsed="false">
      <c r="B648" s="15" t="n">
        <v>644</v>
      </c>
      <c r="C648" s="9" t="s">
        <v>89</v>
      </c>
      <c r="D648" s="9" t="s">
        <v>20</v>
      </c>
      <c r="E648" s="9" t="s">
        <v>121</v>
      </c>
      <c r="F648" s="9" t="s">
        <v>104</v>
      </c>
      <c r="G648" s="9" t="s">
        <v>391</v>
      </c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19"/>
      <c r="V648" s="9"/>
      <c r="W648" s="9"/>
      <c r="X648" s="9" t="s">
        <v>3769</v>
      </c>
      <c r="Y648" s="23" t="s">
        <v>197</v>
      </c>
      <c r="Z648" s="23" t="s">
        <v>197</v>
      </c>
      <c r="AA648" s="23" t="s">
        <v>197</v>
      </c>
      <c r="AB648" s="9" t="s">
        <v>197</v>
      </c>
      <c r="AC648" s="9" t="s">
        <v>197</v>
      </c>
      <c r="AD648" s="23" t="s">
        <v>197</v>
      </c>
      <c r="AE648" s="23" t="s">
        <v>197</v>
      </c>
      <c r="AF648" s="23" t="s">
        <v>197</v>
      </c>
      <c r="AG648" s="23" t="s">
        <v>197</v>
      </c>
      <c r="AH648" s="23" t="s">
        <v>197</v>
      </c>
      <c r="AI648" s="23" t="s">
        <v>197</v>
      </c>
      <c r="AJ648" s="23" t="s">
        <v>197</v>
      </c>
      <c r="AK648" s="23" t="s">
        <v>197</v>
      </c>
      <c r="AL648" s="23" t="s">
        <v>197</v>
      </c>
      <c r="AM648" s="23" t="s">
        <v>197</v>
      </c>
      <c r="AN648" s="9" t="s">
        <v>197</v>
      </c>
      <c r="AO648" s="23" t="s">
        <v>197</v>
      </c>
      <c r="AP648" s="23" t="s">
        <v>197</v>
      </c>
      <c r="AQ648" s="23" t="s">
        <v>197</v>
      </c>
    </row>
    <row r="649" customFormat="false" ht="21.75" hidden="false" customHeight="true" outlineLevel="0" collapsed="false">
      <c r="B649" s="14" t="n">
        <v>645</v>
      </c>
      <c r="C649" s="7" t="s">
        <v>89</v>
      </c>
      <c r="D649" s="7" t="s">
        <v>20</v>
      </c>
      <c r="E649" s="7" t="s">
        <v>121</v>
      </c>
      <c r="F649" s="7" t="s">
        <v>105</v>
      </c>
      <c r="G649" s="7" t="s">
        <v>391</v>
      </c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18"/>
      <c r="V649" s="7"/>
      <c r="W649" s="7"/>
      <c r="X649" s="7" t="s">
        <v>3769</v>
      </c>
      <c r="Y649" s="22" t="s">
        <v>197</v>
      </c>
      <c r="Z649" s="22" t="s">
        <v>197</v>
      </c>
      <c r="AA649" s="22" t="s">
        <v>197</v>
      </c>
      <c r="AB649" s="7" t="s">
        <v>197</v>
      </c>
      <c r="AC649" s="7" t="s">
        <v>197</v>
      </c>
      <c r="AD649" s="22" t="s">
        <v>197</v>
      </c>
      <c r="AE649" s="22" t="s">
        <v>197</v>
      </c>
      <c r="AF649" s="22" t="s">
        <v>197</v>
      </c>
      <c r="AG649" s="22" t="s">
        <v>197</v>
      </c>
      <c r="AH649" s="22" t="s">
        <v>197</v>
      </c>
      <c r="AI649" s="22" t="s">
        <v>197</v>
      </c>
      <c r="AJ649" s="22" t="s">
        <v>197</v>
      </c>
      <c r="AK649" s="22" t="s">
        <v>197</v>
      </c>
      <c r="AL649" s="22" t="s">
        <v>197</v>
      </c>
      <c r="AM649" s="22" t="s">
        <v>197</v>
      </c>
      <c r="AN649" s="7" t="s">
        <v>197</v>
      </c>
      <c r="AO649" s="22" t="s">
        <v>197</v>
      </c>
      <c r="AP649" s="22" t="s">
        <v>197</v>
      </c>
      <c r="AQ649" s="22" t="s">
        <v>197</v>
      </c>
    </row>
    <row r="650" customFormat="false" ht="21.75" hidden="false" customHeight="true" outlineLevel="0" collapsed="false">
      <c r="B650" s="15" t="n">
        <v>646</v>
      </c>
      <c r="C650" s="9" t="s">
        <v>89</v>
      </c>
      <c r="D650" s="9" t="s">
        <v>20</v>
      </c>
      <c r="E650" s="9" t="s">
        <v>121</v>
      </c>
      <c r="F650" s="9" t="s">
        <v>106</v>
      </c>
      <c r="G650" s="9" t="s">
        <v>391</v>
      </c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19"/>
      <c r="V650" s="9"/>
      <c r="W650" s="9"/>
      <c r="X650" s="9" t="s">
        <v>3770</v>
      </c>
      <c r="Y650" s="23" t="s">
        <v>197</v>
      </c>
      <c r="Z650" s="23" t="s">
        <v>197</v>
      </c>
      <c r="AA650" s="23" t="s">
        <v>197</v>
      </c>
      <c r="AB650" s="9" t="s">
        <v>197</v>
      </c>
      <c r="AC650" s="9" t="s">
        <v>197</v>
      </c>
      <c r="AD650" s="23" t="s">
        <v>197</v>
      </c>
      <c r="AE650" s="23" t="s">
        <v>197</v>
      </c>
      <c r="AF650" s="23" t="s">
        <v>197</v>
      </c>
      <c r="AG650" s="23" t="s">
        <v>197</v>
      </c>
      <c r="AH650" s="23" t="s">
        <v>197</v>
      </c>
      <c r="AI650" s="23" t="s">
        <v>197</v>
      </c>
      <c r="AJ650" s="23" t="s">
        <v>197</v>
      </c>
      <c r="AK650" s="23" t="s">
        <v>197</v>
      </c>
      <c r="AL650" s="23" t="s">
        <v>197</v>
      </c>
      <c r="AM650" s="23" t="s">
        <v>197</v>
      </c>
      <c r="AN650" s="9" t="s">
        <v>197</v>
      </c>
      <c r="AO650" s="23" t="s">
        <v>197</v>
      </c>
      <c r="AP650" s="23" t="s">
        <v>197</v>
      </c>
      <c r="AQ650" s="23" t="s">
        <v>197</v>
      </c>
    </row>
    <row r="651" customFormat="false" ht="21.75" hidden="false" customHeight="true" outlineLevel="0" collapsed="false">
      <c r="B651" s="14" t="n">
        <v>647</v>
      </c>
      <c r="C651" s="7" t="s">
        <v>89</v>
      </c>
      <c r="D651" s="7" t="s">
        <v>20</v>
      </c>
      <c r="E651" s="7" t="s">
        <v>121</v>
      </c>
      <c r="F651" s="7" t="s">
        <v>107</v>
      </c>
      <c r="G651" s="7" t="s">
        <v>391</v>
      </c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18"/>
      <c r="V651" s="7"/>
      <c r="W651" s="7"/>
      <c r="X651" s="7" t="s">
        <v>3771</v>
      </c>
      <c r="Y651" s="22" t="s">
        <v>197</v>
      </c>
      <c r="Z651" s="22" t="s">
        <v>197</v>
      </c>
      <c r="AA651" s="22" t="s">
        <v>197</v>
      </c>
      <c r="AB651" s="7" t="s">
        <v>197</v>
      </c>
      <c r="AC651" s="7" t="s">
        <v>197</v>
      </c>
      <c r="AD651" s="22" t="s">
        <v>197</v>
      </c>
      <c r="AE651" s="22" t="s">
        <v>197</v>
      </c>
      <c r="AF651" s="22" t="s">
        <v>197</v>
      </c>
      <c r="AG651" s="22" t="s">
        <v>197</v>
      </c>
      <c r="AH651" s="22" t="s">
        <v>197</v>
      </c>
      <c r="AI651" s="22" t="s">
        <v>197</v>
      </c>
      <c r="AJ651" s="22" t="s">
        <v>197</v>
      </c>
      <c r="AK651" s="22" t="s">
        <v>197</v>
      </c>
      <c r="AL651" s="22" t="s">
        <v>197</v>
      </c>
      <c r="AM651" s="22" t="s">
        <v>197</v>
      </c>
      <c r="AN651" s="7" t="s">
        <v>197</v>
      </c>
      <c r="AO651" s="22" t="s">
        <v>197</v>
      </c>
      <c r="AP651" s="22" t="s">
        <v>197</v>
      </c>
      <c r="AQ651" s="22" t="s">
        <v>197</v>
      </c>
    </row>
    <row r="652" customFormat="false" ht="21.75" hidden="false" customHeight="true" outlineLevel="0" collapsed="false">
      <c r="B652" s="15" t="n">
        <v>648</v>
      </c>
      <c r="C652" s="9" t="s">
        <v>89</v>
      </c>
      <c r="D652" s="9" t="s">
        <v>20</v>
      </c>
      <c r="E652" s="9" t="s">
        <v>121</v>
      </c>
      <c r="F652" s="9" t="s">
        <v>108</v>
      </c>
      <c r="G652" s="9" t="s">
        <v>391</v>
      </c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19"/>
      <c r="V652" s="9"/>
      <c r="W652" s="9"/>
      <c r="X652" s="9" t="s">
        <v>3772</v>
      </c>
      <c r="Y652" s="23" t="s">
        <v>197</v>
      </c>
      <c r="Z652" s="23" t="s">
        <v>197</v>
      </c>
      <c r="AA652" s="23" t="s">
        <v>197</v>
      </c>
      <c r="AB652" s="9" t="s">
        <v>197</v>
      </c>
      <c r="AC652" s="9" t="s">
        <v>197</v>
      </c>
      <c r="AD652" s="23" t="s">
        <v>197</v>
      </c>
      <c r="AE652" s="23" t="s">
        <v>197</v>
      </c>
      <c r="AF652" s="23" t="s">
        <v>197</v>
      </c>
      <c r="AG652" s="23" t="s">
        <v>197</v>
      </c>
      <c r="AH652" s="23" t="s">
        <v>197</v>
      </c>
      <c r="AI652" s="23" t="s">
        <v>197</v>
      </c>
      <c r="AJ652" s="23" t="s">
        <v>197</v>
      </c>
      <c r="AK652" s="23" t="s">
        <v>197</v>
      </c>
      <c r="AL652" s="23" t="s">
        <v>197</v>
      </c>
      <c r="AM652" s="23" t="s">
        <v>197</v>
      </c>
      <c r="AN652" s="9" t="s">
        <v>197</v>
      </c>
      <c r="AO652" s="23" t="s">
        <v>197</v>
      </c>
      <c r="AP652" s="23" t="s">
        <v>197</v>
      </c>
      <c r="AQ652" s="23" t="s">
        <v>197</v>
      </c>
    </row>
    <row r="653" customFormat="false" ht="21.75" hidden="false" customHeight="true" outlineLevel="0" collapsed="false">
      <c r="B653" s="14" t="n">
        <v>649</v>
      </c>
      <c r="C653" s="7" t="s">
        <v>90</v>
      </c>
      <c r="D653" s="7" t="s">
        <v>20</v>
      </c>
      <c r="E653" s="7" t="s">
        <v>129</v>
      </c>
      <c r="F653" s="7" t="s">
        <v>93</v>
      </c>
      <c r="G653" s="7" t="s">
        <v>391</v>
      </c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18"/>
      <c r="V653" s="7"/>
      <c r="W653" s="7"/>
      <c r="X653" s="7" t="s">
        <v>3773</v>
      </c>
      <c r="Y653" s="22" t="s">
        <v>197</v>
      </c>
      <c r="Z653" s="22" t="s">
        <v>197</v>
      </c>
      <c r="AA653" s="22" t="s">
        <v>197</v>
      </c>
      <c r="AB653" s="7" t="s">
        <v>197</v>
      </c>
      <c r="AC653" s="7" t="s">
        <v>197</v>
      </c>
      <c r="AD653" s="22" t="s">
        <v>197</v>
      </c>
      <c r="AE653" s="22" t="s">
        <v>197</v>
      </c>
      <c r="AF653" s="22" t="s">
        <v>197</v>
      </c>
      <c r="AG653" s="22" t="s">
        <v>197</v>
      </c>
      <c r="AH653" s="22" t="s">
        <v>197</v>
      </c>
      <c r="AI653" s="22" t="s">
        <v>197</v>
      </c>
      <c r="AJ653" s="22" t="s">
        <v>197</v>
      </c>
      <c r="AK653" s="22" t="s">
        <v>197</v>
      </c>
      <c r="AL653" s="22" t="s">
        <v>197</v>
      </c>
      <c r="AM653" s="22" t="s">
        <v>197</v>
      </c>
      <c r="AN653" s="7" t="s">
        <v>197</v>
      </c>
      <c r="AO653" s="22" t="s">
        <v>197</v>
      </c>
      <c r="AP653" s="22" t="s">
        <v>197</v>
      </c>
      <c r="AQ653" s="22" t="s">
        <v>197</v>
      </c>
    </row>
    <row r="654" customFormat="false" ht="21.75" hidden="false" customHeight="true" outlineLevel="0" collapsed="false">
      <c r="B654" s="15" t="n">
        <v>650</v>
      </c>
      <c r="C654" s="9" t="s">
        <v>90</v>
      </c>
      <c r="D654" s="9" t="s">
        <v>20</v>
      </c>
      <c r="E654" s="9" t="s">
        <v>129</v>
      </c>
      <c r="F654" s="9" t="s">
        <v>94</v>
      </c>
      <c r="G654" s="9" t="s">
        <v>391</v>
      </c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19"/>
      <c r="V654" s="9"/>
      <c r="W654" s="9"/>
      <c r="X654" s="9" t="s">
        <v>3774</v>
      </c>
      <c r="Y654" s="23" t="s">
        <v>197</v>
      </c>
      <c r="Z654" s="23" t="s">
        <v>197</v>
      </c>
      <c r="AA654" s="23" t="s">
        <v>197</v>
      </c>
      <c r="AB654" s="9" t="s">
        <v>197</v>
      </c>
      <c r="AC654" s="9" t="s">
        <v>197</v>
      </c>
      <c r="AD654" s="23" t="s">
        <v>197</v>
      </c>
      <c r="AE654" s="23" t="s">
        <v>197</v>
      </c>
      <c r="AF654" s="23" t="s">
        <v>197</v>
      </c>
      <c r="AG654" s="23" t="s">
        <v>197</v>
      </c>
      <c r="AH654" s="23" t="s">
        <v>197</v>
      </c>
      <c r="AI654" s="23" t="s">
        <v>197</v>
      </c>
      <c r="AJ654" s="23" t="s">
        <v>197</v>
      </c>
      <c r="AK654" s="23" t="s">
        <v>197</v>
      </c>
      <c r="AL654" s="23" t="s">
        <v>197</v>
      </c>
      <c r="AM654" s="23" t="s">
        <v>197</v>
      </c>
      <c r="AN654" s="9" t="s">
        <v>197</v>
      </c>
      <c r="AO654" s="23" t="s">
        <v>197</v>
      </c>
      <c r="AP654" s="23" t="s">
        <v>197</v>
      </c>
      <c r="AQ654" s="23" t="s">
        <v>197</v>
      </c>
    </row>
    <row r="655" customFormat="false" ht="21.75" hidden="false" customHeight="true" outlineLevel="0" collapsed="false">
      <c r="B655" s="14" t="n">
        <v>651</v>
      </c>
      <c r="C655" s="7" t="s">
        <v>90</v>
      </c>
      <c r="D655" s="7" t="s">
        <v>20</v>
      </c>
      <c r="E655" s="7" t="s">
        <v>129</v>
      </c>
      <c r="F655" s="7" t="s">
        <v>95</v>
      </c>
      <c r="G655" s="7" t="s">
        <v>391</v>
      </c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18"/>
      <c r="V655" s="7"/>
      <c r="W655" s="7"/>
      <c r="X655" s="7" t="s">
        <v>3775</v>
      </c>
      <c r="Y655" s="22" t="s">
        <v>197</v>
      </c>
      <c r="Z655" s="22" t="s">
        <v>197</v>
      </c>
      <c r="AA655" s="22" t="s">
        <v>197</v>
      </c>
      <c r="AB655" s="7" t="s">
        <v>197</v>
      </c>
      <c r="AC655" s="7" t="s">
        <v>197</v>
      </c>
      <c r="AD655" s="22" t="s">
        <v>197</v>
      </c>
      <c r="AE655" s="22" t="s">
        <v>197</v>
      </c>
      <c r="AF655" s="22" t="s">
        <v>197</v>
      </c>
      <c r="AG655" s="22" t="s">
        <v>197</v>
      </c>
      <c r="AH655" s="22" t="s">
        <v>197</v>
      </c>
      <c r="AI655" s="22" t="s">
        <v>197</v>
      </c>
      <c r="AJ655" s="22" t="s">
        <v>197</v>
      </c>
      <c r="AK655" s="22" t="s">
        <v>197</v>
      </c>
      <c r="AL655" s="22" t="s">
        <v>197</v>
      </c>
      <c r="AM655" s="22" t="s">
        <v>197</v>
      </c>
      <c r="AN655" s="7" t="s">
        <v>197</v>
      </c>
      <c r="AO655" s="22" t="s">
        <v>197</v>
      </c>
      <c r="AP655" s="22" t="s">
        <v>197</v>
      </c>
      <c r="AQ655" s="22" t="s">
        <v>197</v>
      </c>
    </row>
    <row r="656" customFormat="false" ht="21.75" hidden="false" customHeight="true" outlineLevel="0" collapsed="false">
      <c r="B656" s="15" t="n">
        <v>652</v>
      </c>
      <c r="C656" s="9" t="s">
        <v>90</v>
      </c>
      <c r="D656" s="9" t="s">
        <v>20</v>
      </c>
      <c r="E656" s="9" t="s">
        <v>129</v>
      </c>
      <c r="F656" s="9" t="s">
        <v>96</v>
      </c>
      <c r="G656" s="9" t="s">
        <v>391</v>
      </c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19"/>
      <c r="V656" s="9"/>
      <c r="W656" s="9"/>
      <c r="X656" s="9" t="s">
        <v>3776</v>
      </c>
      <c r="Y656" s="23" t="s">
        <v>197</v>
      </c>
      <c r="Z656" s="23" t="s">
        <v>197</v>
      </c>
      <c r="AA656" s="23" t="s">
        <v>197</v>
      </c>
      <c r="AB656" s="9" t="s">
        <v>197</v>
      </c>
      <c r="AC656" s="9" t="s">
        <v>197</v>
      </c>
      <c r="AD656" s="23" t="s">
        <v>197</v>
      </c>
      <c r="AE656" s="23" t="s">
        <v>197</v>
      </c>
      <c r="AF656" s="23" t="s">
        <v>197</v>
      </c>
      <c r="AG656" s="23" t="s">
        <v>197</v>
      </c>
      <c r="AH656" s="23" t="s">
        <v>197</v>
      </c>
      <c r="AI656" s="23" t="s">
        <v>197</v>
      </c>
      <c r="AJ656" s="23" t="s">
        <v>197</v>
      </c>
      <c r="AK656" s="23" t="s">
        <v>197</v>
      </c>
      <c r="AL656" s="23" t="s">
        <v>197</v>
      </c>
      <c r="AM656" s="23" t="s">
        <v>197</v>
      </c>
      <c r="AN656" s="9" t="s">
        <v>197</v>
      </c>
      <c r="AO656" s="23" t="s">
        <v>197</v>
      </c>
      <c r="AP656" s="23" t="s">
        <v>197</v>
      </c>
      <c r="AQ656" s="23" t="s">
        <v>197</v>
      </c>
    </row>
    <row r="657" customFormat="false" ht="21.75" hidden="false" customHeight="true" outlineLevel="0" collapsed="false">
      <c r="B657" s="14" t="n">
        <v>653</v>
      </c>
      <c r="C657" s="7" t="s">
        <v>90</v>
      </c>
      <c r="D657" s="7" t="s">
        <v>20</v>
      </c>
      <c r="E657" s="7" t="s">
        <v>129</v>
      </c>
      <c r="F657" s="7" t="s">
        <v>97</v>
      </c>
      <c r="G657" s="7" t="s">
        <v>391</v>
      </c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18"/>
      <c r="V657" s="7"/>
      <c r="W657" s="7"/>
      <c r="X657" s="7" t="s">
        <v>3777</v>
      </c>
      <c r="Y657" s="22" t="s">
        <v>197</v>
      </c>
      <c r="Z657" s="22" t="s">
        <v>197</v>
      </c>
      <c r="AA657" s="22" t="s">
        <v>197</v>
      </c>
      <c r="AB657" s="7" t="s">
        <v>197</v>
      </c>
      <c r="AC657" s="7" t="s">
        <v>197</v>
      </c>
      <c r="AD657" s="22" t="s">
        <v>197</v>
      </c>
      <c r="AE657" s="22" t="s">
        <v>197</v>
      </c>
      <c r="AF657" s="22" t="s">
        <v>197</v>
      </c>
      <c r="AG657" s="22" t="s">
        <v>197</v>
      </c>
      <c r="AH657" s="22" t="s">
        <v>197</v>
      </c>
      <c r="AI657" s="22" t="s">
        <v>197</v>
      </c>
      <c r="AJ657" s="22" t="s">
        <v>197</v>
      </c>
      <c r="AK657" s="22" t="s">
        <v>197</v>
      </c>
      <c r="AL657" s="22" t="s">
        <v>197</v>
      </c>
      <c r="AM657" s="22" t="s">
        <v>197</v>
      </c>
      <c r="AN657" s="7" t="s">
        <v>197</v>
      </c>
      <c r="AO657" s="22" t="s">
        <v>197</v>
      </c>
      <c r="AP657" s="22" t="s">
        <v>197</v>
      </c>
      <c r="AQ657" s="22" t="s">
        <v>197</v>
      </c>
    </row>
    <row r="658" customFormat="false" ht="21.75" hidden="false" customHeight="true" outlineLevel="0" collapsed="false">
      <c r="B658" s="15" t="n">
        <v>654</v>
      </c>
      <c r="C658" s="9" t="s">
        <v>90</v>
      </c>
      <c r="D658" s="9" t="s">
        <v>20</v>
      </c>
      <c r="E658" s="9" t="s">
        <v>129</v>
      </c>
      <c r="F658" s="9" t="s">
        <v>98</v>
      </c>
      <c r="G658" s="9" t="s">
        <v>391</v>
      </c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19"/>
      <c r="V658" s="9"/>
      <c r="W658" s="9"/>
      <c r="X658" s="9" t="s">
        <v>3778</v>
      </c>
      <c r="Y658" s="23" t="s">
        <v>197</v>
      </c>
      <c r="Z658" s="23" t="s">
        <v>197</v>
      </c>
      <c r="AA658" s="23" t="s">
        <v>197</v>
      </c>
      <c r="AB658" s="9" t="s">
        <v>197</v>
      </c>
      <c r="AC658" s="9" t="s">
        <v>197</v>
      </c>
      <c r="AD658" s="23" t="s">
        <v>197</v>
      </c>
      <c r="AE658" s="23" t="s">
        <v>197</v>
      </c>
      <c r="AF658" s="23" t="s">
        <v>197</v>
      </c>
      <c r="AG658" s="23" t="s">
        <v>197</v>
      </c>
      <c r="AH658" s="23" t="s">
        <v>197</v>
      </c>
      <c r="AI658" s="23" t="s">
        <v>197</v>
      </c>
      <c r="AJ658" s="23" t="s">
        <v>197</v>
      </c>
      <c r="AK658" s="23" t="s">
        <v>197</v>
      </c>
      <c r="AL658" s="23" t="s">
        <v>197</v>
      </c>
      <c r="AM658" s="23" t="s">
        <v>197</v>
      </c>
      <c r="AN658" s="9" t="s">
        <v>197</v>
      </c>
      <c r="AO658" s="23" t="s">
        <v>197</v>
      </c>
      <c r="AP658" s="23" t="s">
        <v>197</v>
      </c>
      <c r="AQ658" s="23" t="s">
        <v>197</v>
      </c>
    </row>
    <row r="659" customFormat="false" ht="21.75" hidden="false" customHeight="true" outlineLevel="0" collapsed="false">
      <c r="B659" s="14" t="n">
        <v>655</v>
      </c>
      <c r="C659" s="7" t="s">
        <v>90</v>
      </c>
      <c r="D659" s="7" t="s">
        <v>20</v>
      </c>
      <c r="E659" s="7" t="s">
        <v>129</v>
      </c>
      <c r="F659" s="7" t="s">
        <v>99</v>
      </c>
      <c r="G659" s="7" t="s">
        <v>391</v>
      </c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18"/>
      <c r="V659" s="7"/>
      <c r="W659" s="7"/>
      <c r="X659" s="7" t="s">
        <v>3779</v>
      </c>
      <c r="Y659" s="22" t="s">
        <v>197</v>
      </c>
      <c r="Z659" s="22" t="s">
        <v>197</v>
      </c>
      <c r="AA659" s="22" t="s">
        <v>197</v>
      </c>
      <c r="AB659" s="7" t="s">
        <v>197</v>
      </c>
      <c r="AC659" s="7" t="s">
        <v>197</v>
      </c>
      <c r="AD659" s="22" t="s">
        <v>197</v>
      </c>
      <c r="AE659" s="22" t="s">
        <v>197</v>
      </c>
      <c r="AF659" s="22" t="s">
        <v>197</v>
      </c>
      <c r="AG659" s="22" t="s">
        <v>197</v>
      </c>
      <c r="AH659" s="22" t="s">
        <v>197</v>
      </c>
      <c r="AI659" s="22" t="s">
        <v>197</v>
      </c>
      <c r="AJ659" s="22" t="s">
        <v>197</v>
      </c>
      <c r="AK659" s="22" t="s">
        <v>197</v>
      </c>
      <c r="AL659" s="22" t="s">
        <v>197</v>
      </c>
      <c r="AM659" s="22" t="s">
        <v>197</v>
      </c>
      <c r="AN659" s="7" t="s">
        <v>197</v>
      </c>
      <c r="AO659" s="22" t="s">
        <v>197</v>
      </c>
      <c r="AP659" s="22" t="s">
        <v>197</v>
      </c>
      <c r="AQ659" s="22" t="s">
        <v>197</v>
      </c>
    </row>
    <row r="660" customFormat="false" ht="21.75" hidden="false" customHeight="true" outlineLevel="0" collapsed="false">
      <c r="B660" s="15" t="n">
        <v>656</v>
      </c>
      <c r="C660" s="9" t="s">
        <v>90</v>
      </c>
      <c r="D660" s="9" t="s">
        <v>20</v>
      </c>
      <c r="E660" s="9" t="s">
        <v>129</v>
      </c>
      <c r="F660" s="9" t="s">
        <v>100</v>
      </c>
      <c r="G660" s="9" t="s">
        <v>3780</v>
      </c>
      <c r="H660" s="9" t="s">
        <v>2561</v>
      </c>
      <c r="I660" s="9" t="s">
        <v>3781</v>
      </c>
      <c r="J660" s="9" t="s">
        <v>3782</v>
      </c>
      <c r="K660" s="9" t="s">
        <v>3783</v>
      </c>
      <c r="L660" s="9" t="s">
        <v>3784</v>
      </c>
      <c r="M660" s="9" t="s">
        <v>2565</v>
      </c>
      <c r="N660" s="9" t="s">
        <v>3785</v>
      </c>
      <c r="O660" s="9" t="s">
        <v>2567</v>
      </c>
      <c r="P660" s="9" t="s">
        <v>3786</v>
      </c>
      <c r="Q660" s="9" t="s">
        <v>3787</v>
      </c>
      <c r="R660" s="9" t="s">
        <v>3489</v>
      </c>
      <c r="S660" s="9" t="s">
        <v>3788</v>
      </c>
      <c r="T660" s="9" t="s">
        <v>3789</v>
      </c>
      <c r="U660" s="19" t="n">
        <v>2200</v>
      </c>
      <c r="V660" s="9"/>
      <c r="W660" s="9"/>
      <c r="X660" s="9" t="s">
        <v>195</v>
      </c>
      <c r="Y660" s="23" t="n">
        <v>1.216</v>
      </c>
      <c r="Z660" s="23" t="n">
        <v>1.865</v>
      </c>
      <c r="AA660" s="23" t="n">
        <v>24</v>
      </c>
      <c r="AB660" s="9" t="s">
        <v>3784</v>
      </c>
      <c r="AC660" s="9" t="s">
        <v>3790</v>
      </c>
      <c r="AD660" s="23" t="s">
        <v>197</v>
      </c>
      <c r="AE660" s="23" t="s">
        <v>197</v>
      </c>
      <c r="AF660" s="23" t="s">
        <v>197</v>
      </c>
      <c r="AG660" s="23" t="s">
        <v>197</v>
      </c>
      <c r="AH660" s="23" t="s">
        <v>197</v>
      </c>
      <c r="AI660" s="23" t="s">
        <v>197</v>
      </c>
      <c r="AJ660" s="23" t="n">
        <v>800</v>
      </c>
      <c r="AK660" s="23" t="s">
        <v>197</v>
      </c>
      <c r="AL660" s="23" t="s">
        <v>197</v>
      </c>
      <c r="AM660" s="23" t="s">
        <v>197</v>
      </c>
      <c r="AN660" s="9" t="s">
        <v>2572</v>
      </c>
      <c r="AO660" s="23" t="s">
        <v>197</v>
      </c>
      <c r="AP660" s="23" t="n">
        <v>2.5</v>
      </c>
      <c r="AQ660" s="23" t="n">
        <v>25</v>
      </c>
    </row>
    <row r="661" customFormat="false" ht="21.75" hidden="false" customHeight="true" outlineLevel="0" collapsed="false">
      <c r="B661" s="14" t="n">
        <v>657</v>
      </c>
      <c r="C661" s="7" t="s">
        <v>90</v>
      </c>
      <c r="D661" s="7" t="s">
        <v>20</v>
      </c>
      <c r="E661" s="7" t="s">
        <v>129</v>
      </c>
      <c r="F661" s="7" t="s">
        <v>100</v>
      </c>
      <c r="G661" s="7" t="s">
        <v>3791</v>
      </c>
      <c r="H661" s="7" t="s">
        <v>2574</v>
      </c>
      <c r="I661" s="7" t="s">
        <v>3781</v>
      </c>
      <c r="J661" s="7" t="s">
        <v>3782</v>
      </c>
      <c r="K661" s="7" t="s">
        <v>3783</v>
      </c>
      <c r="L661" s="7" t="s">
        <v>3784</v>
      </c>
      <c r="M661" s="7" t="s">
        <v>2565</v>
      </c>
      <c r="N661" s="7" t="s">
        <v>3785</v>
      </c>
      <c r="O661" s="7" t="s">
        <v>2567</v>
      </c>
      <c r="P661" s="7" t="s">
        <v>3786</v>
      </c>
      <c r="Q661" s="7" t="s">
        <v>3787</v>
      </c>
      <c r="R661" s="7" t="s">
        <v>3489</v>
      </c>
      <c r="S661" s="7" t="s">
        <v>3788</v>
      </c>
      <c r="T661" s="7" t="s">
        <v>3789</v>
      </c>
      <c r="U661" s="18" t="n">
        <v>3300</v>
      </c>
      <c r="V661" s="7"/>
      <c r="W661" s="7"/>
      <c r="X661" s="7" t="s">
        <v>199</v>
      </c>
      <c r="Y661" s="22" t="n">
        <v>1.232</v>
      </c>
      <c r="Z661" s="22" t="n">
        <v>1.89</v>
      </c>
      <c r="AA661" s="22" t="n">
        <v>24</v>
      </c>
      <c r="AB661" s="7" t="s">
        <v>3784</v>
      </c>
      <c r="AC661" s="7" t="s">
        <v>3790</v>
      </c>
      <c r="AD661" s="22" t="s">
        <v>197</v>
      </c>
      <c r="AE661" s="22" t="s">
        <v>197</v>
      </c>
      <c r="AF661" s="22" t="s">
        <v>197</v>
      </c>
      <c r="AG661" s="22" t="s">
        <v>197</v>
      </c>
      <c r="AH661" s="22" t="s">
        <v>197</v>
      </c>
      <c r="AI661" s="22" t="s">
        <v>197</v>
      </c>
      <c r="AJ661" s="22" t="n">
        <v>1000</v>
      </c>
      <c r="AK661" s="22" t="s">
        <v>197</v>
      </c>
      <c r="AL661" s="22" t="s">
        <v>197</v>
      </c>
      <c r="AM661" s="22" t="s">
        <v>197</v>
      </c>
      <c r="AN661" s="7" t="s">
        <v>2572</v>
      </c>
      <c r="AO661" s="22" t="s">
        <v>197</v>
      </c>
      <c r="AP661" s="22" t="n">
        <v>2.5</v>
      </c>
      <c r="AQ661" s="22" t="n">
        <v>25</v>
      </c>
    </row>
    <row r="662" customFormat="false" ht="21.75" hidden="false" customHeight="true" outlineLevel="0" collapsed="false">
      <c r="B662" s="15" t="n">
        <v>658</v>
      </c>
      <c r="C662" s="9" t="s">
        <v>90</v>
      </c>
      <c r="D662" s="9" t="s">
        <v>20</v>
      </c>
      <c r="E662" s="9" t="s">
        <v>129</v>
      </c>
      <c r="F662" s="9" t="s">
        <v>100</v>
      </c>
      <c r="G662" s="9" t="s">
        <v>3792</v>
      </c>
      <c r="H662" s="9" t="s">
        <v>2576</v>
      </c>
      <c r="I662" s="9" t="s">
        <v>3781</v>
      </c>
      <c r="J662" s="9" t="s">
        <v>3782</v>
      </c>
      <c r="K662" s="9" t="s">
        <v>3783</v>
      </c>
      <c r="L662" s="9" t="s">
        <v>3784</v>
      </c>
      <c r="M662" s="9" t="s">
        <v>2565</v>
      </c>
      <c r="N662" s="9" t="s">
        <v>3785</v>
      </c>
      <c r="O662" s="9" t="s">
        <v>2567</v>
      </c>
      <c r="P662" s="9" t="s">
        <v>3786</v>
      </c>
      <c r="Q662" s="9" t="s">
        <v>3787</v>
      </c>
      <c r="R662" s="9" t="s">
        <v>3489</v>
      </c>
      <c r="S662" s="9" t="s">
        <v>3788</v>
      </c>
      <c r="T662" s="9" t="s">
        <v>3789</v>
      </c>
      <c r="U662" s="19" t="n">
        <v>4400</v>
      </c>
      <c r="V662" s="9"/>
      <c r="W662" s="9"/>
      <c r="X662" s="9" t="s">
        <v>3793</v>
      </c>
      <c r="Y662" s="23" t="n">
        <v>1.287</v>
      </c>
      <c r="Z662" s="23" t="n">
        <v>1.98</v>
      </c>
      <c r="AA662" s="23" t="n">
        <v>24</v>
      </c>
      <c r="AB662" s="9" t="s">
        <v>3784</v>
      </c>
      <c r="AC662" s="9" t="s">
        <v>3790</v>
      </c>
      <c r="AD662" s="23" t="s">
        <v>197</v>
      </c>
      <c r="AE662" s="23" t="s">
        <v>197</v>
      </c>
      <c r="AF662" s="23" t="s">
        <v>197</v>
      </c>
      <c r="AG662" s="23" t="s">
        <v>197</v>
      </c>
      <c r="AH662" s="23" t="s">
        <v>197</v>
      </c>
      <c r="AI662" s="23" t="s">
        <v>197</v>
      </c>
      <c r="AJ662" s="23" t="n">
        <v>1600</v>
      </c>
      <c r="AK662" s="23" t="s">
        <v>197</v>
      </c>
      <c r="AL662" s="23" t="s">
        <v>197</v>
      </c>
      <c r="AM662" s="23" t="s">
        <v>197</v>
      </c>
      <c r="AN662" s="9" t="s">
        <v>2572</v>
      </c>
      <c r="AO662" s="23" t="s">
        <v>197</v>
      </c>
      <c r="AP662" s="23" t="n">
        <v>2.5</v>
      </c>
      <c r="AQ662" s="23" t="n">
        <v>25</v>
      </c>
    </row>
    <row r="663" customFormat="false" ht="21.75" hidden="false" customHeight="true" outlineLevel="0" collapsed="false">
      <c r="B663" s="14" t="n">
        <v>659</v>
      </c>
      <c r="C663" s="7" t="s">
        <v>90</v>
      </c>
      <c r="D663" s="7" t="s">
        <v>20</v>
      </c>
      <c r="E663" s="7" t="s">
        <v>129</v>
      </c>
      <c r="F663" s="7" t="s">
        <v>100</v>
      </c>
      <c r="G663" s="7" t="s">
        <v>2580</v>
      </c>
      <c r="H663" s="7" t="s">
        <v>2579</v>
      </c>
      <c r="I663" s="7" t="s">
        <v>3781</v>
      </c>
      <c r="J663" s="7" t="s">
        <v>3782</v>
      </c>
      <c r="K663" s="7" t="s">
        <v>3783</v>
      </c>
      <c r="L663" s="7" t="s">
        <v>3784</v>
      </c>
      <c r="M663" s="7" t="s">
        <v>2565</v>
      </c>
      <c r="N663" s="7" t="s">
        <v>3785</v>
      </c>
      <c r="O663" s="7" t="s">
        <v>2567</v>
      </c>
      <c r="P663" s="7" t="s">
        <v>3786</v>
      </c>
      <c r="Q663" s="7" t="s">
        <v>3787</v>
      </c>
      <c r="R663" s="7" t="s">
        <v>3489</v>
      </c>
      <c r="S663" s="7" t="s">
        <v>3788</v>
      </c>
      <c r="T663" s="7" t="s">
        <v>3789</v>
      </c>
      <c r="U663" s="18" t="n">
        <v>6600</v>
      </c>
      <c r="V663" s="7"/>
      <c r="W663" s="7"/>
      <c r="X663" s="7" t="s">
        <v>203</v>
      </c>
      <c r="Y663" s="22" t="n">
        <v>1.274</v>
      </c>
      <c r="Z663" s="22" t="n">
        <v>1.959</v>
      </c>
      <c r="AA663" s="22" t="n">
        <v>24</v>
      </c>
      <c r="AB663" s="7" t="s">
        <v>3784</v>
      </c>
      <c r="AC663" s="7" t="s">
        <v>3790</v>
      </c>
      <c r="AD663" s="22" t="s">
        <v>197</v>
      </c>
      <c r="AE663" s="22" t="s">
        <v>197</v>
      </c>
      <c r="AF663" s="22" t="s">
        <v>197</v>
      </c>
      <c r="AG663" s="22" t="s">
        <v>197</v>
      </c>
      <c r="AH663" s="22" t="s">
        <v>197</v>
      </c>
      <c r="AI663" s="22" t="s">
        <v>197</v>
      </c>
      <c r="AJ663" s="22" t="n">
        <v>2000</v>
      </c>
      <c r="AK663" s="22" t="s">
        <v>197</v>
      </c>
      <c r="AL663" s="22" t="s">
        <v>197</v>
      </c>
      <c r="AM663" s="22" t="s">
        <v>197</v>
      </c>
      <c r="AN663" s="7" t="s">
        <v>2572</v>
      </c>
      <c r="AO663" s="22" t="s">
        <v>197</v>
      </c>
      <c r="AP663" s="22" t="n">
        <v>2.5</v>
      </c>
      <c r="AQ663" s="22" t="n">
        <v>25</v>
      </c>
    </row>
    <row r="664" customFormat="false" ht="21.75" hidden="false" customHeight="true" outlineLevel="0" collapsed="false">
      <c r="B664" s="15" t="n">
        <v>660</v>
      </c>
      <c r="C664" s="9" t="s">
        <v>90</v>
      </c>
      <c r="D664" s="9" t="s">
        <v>20</v>
      </c>
      <c r="E664" s="9" t="s">
        <v>129</v>
      </c>
      <c r="F664" s="9" t="s">
        <v>100</v>
      </c>
      <c r="G664" s="9" t="s">
        <v>3794</v>
      </c>
      <c r="H664" s="9" t="s">
        <v>2581</v>
      </c>
      <c r="I664" s="9" t="s">
        <v>3781</v>
      </c>
      <c r="J664" s="9" t="s">
        <v>3782</v>
      </c>
      <c r="K664" s="9" t="s">
        <v>3783</v>
      </c>
      <c r="L664" s="9" t="s">
        <v>3784</v>
      </c>
      <c r="M664" s="9" t="s">
        <v>2565</v>
      </c>
      <c r="N664" s="9" t="s">
        <v>3785</v>
      </c>
      <c r="O664" s="9" t="s">
        <v>2567</v>
      </c>
      <c r="P664" s="9" t="s">
        <v>3786</v>
      </c>
      <c r="Q664" s="9" t="s">
        <v>3787</v>
      </c>
      <c r="R664" s="9" t="s">
        <v>3489</v>
      </c>
      <c r="S664" s="9" t="s">
        <v>3788</v>
      </c>
      <c r="T664" s="9" t="s">
        <v>3789</v>
      </c>
      <c r="U664" s="19" t="n">
        <v>9680</v>
      </c>
      <c r="V664" s="9"/>
      <c r="W664" s="9"/>
      <c r="X664" s="9" t="s">
        <v>205</v>
      </c>
      <c r="Y664" s="23" t="n">
        <v>0.908</v>
      </c>
      <c r="Z664" s="23" t="n">
        <v>1.372</v>
      </c>
      <c r="AA664" s="23" t="n">
        <v>24</v>
      </c>
      <c r="AB664" s="9" t="s">
        <v>3784</v>
      </c>
      <c r="AC664" s="9" t="s">
        <v>3790</v>
      </c>
      <c r="AD664" s="23" t="s">
        <v>197</v>
      </c>
      <c r="AE664" s="23" t="s">
        <v>197</v>
      </c>
      <c r="AF664" s="23" t="s">
        <v>197</v>
      </c>
      <c r="AG664" s="23" t="s">
        <v>197</v>
      </c>
      <c r="AH664" s="23" t="s">
        <v>197</v>
      </c>
      <c r="AI664" s="23" t="s">
        <v>197</v>
      </c>
      <c r="AJ664" s="23" t="n">
        <v>2500</v>
      </c>
      <c r="AK664" s="23" t="s">
        <v>197</v>
      </c>
      <c r="AL664" s="23" t="s">
        <v>197</v>
      </c>
      <c r="AM664" s="23" t="s">
        <v>197</v>
      </c>
      <c r="AN664" s="9" t="s">
        <v>2572</v>
      </c>
      <c r="AO664" s="23" t="s">
        <v>197</v>
      </c>
      <c r="AP664" s="23" t="n">
        <v>2.5</v>
      </c>
      <c r="AQ664" s="23" t="n">
        <v>25</v>
      </c>
    </row>
    <row r="665" customFormat="false" ht="21.75" hidden="false" customHeight="true" outlineLevel="0" collapsed="false">
      <c r="B665" s="14" t="n">
        <v>661</v>
      </c>
      <c r="C665" s="7" t="s">
        <v>90</v>
      </c>
      <c r="D665" s="7" t="s">
        <v>20</v>
      </c>
      <c r="E665" s="7" t="s">
        <v>129</v>
      </c>
      <c r="F665" s="7" t="s">
        <v>101</v>
      </c>
      <c r="G665" s="7" t="s">
        <v>391</v>
      </c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18"/>
      <c r="V665" s="7"/>
      <c r="W665" s="7"/>
      <c r="X665" s="7" t="s">
        <v>3795</v>
      </c>
      <c r="Y665" s="22" t="s">
        <v>197</v>
      </c>
      <c r="Z665" s="22" t="s">
        <v>197</v>
      </c>
      <c r="AA665" s="22" t="s">
        <v>197</v>
      </c>
      <c r="AB665" s="7" t="s">
        <v>197</v>
      </c>
      <c r="AC665" s="7" t="s">
        <v>197</v>
      </c>
      <c r="AD665" s="22" t="s">
        <v>197</v>
      </c>
      <c r="AE665" s="22" t="s">
        <v>197</v>
      </c>
      <c r="AF665" s="22" t="s">
        <v>197</v>
      </c>
      <c r="AG665" s="22" t="s">
        <v>197</v>
      </c>
      <c r="AH665" s="22" t="s">
        <v>197</v>
      </c>
      <c r="AI665" s="22" t="s">
        <v>197</v>
      </c>
      <c r="AJ665" s="22" t="s">
        <v>197</v>
      </c>
      <c r="AK665" s="22" t="s">
        <v>197</v>
      </c>
      <c r="AL665" s="22" t="s">
        <v>197</v>
      </c>
      <c r="AM665" s="22" t="s">
        <v>197</v>
      </c>
      <c r="AN665" s="7" t="s">
        <v>197</v>
      </c>
      <c r="AO665" s="22" t="s">
        <v>197</v>
      </c>
      <c r="AP665" s="22" t="s">
        <v>197</v>
      </c>
      <c r="AQ665" s="22" t="s">
        <v>197</v>
      </c>
    </row>
    <row r="666" customFormat="false" ht="21.75" hidden="false" customHeight="true" outlineLevel="0" collapsed="false">
      <c r="B666" s="15" t="n">
        <v>662</v>
      </c>
      <c r="C666" s="9" t="s">
        <v>90</v>
      </c>
      <c r="D666" s="9" t="s">
        <v>20</v>
      </c>
      <c r="E666" s="9" t="s">
        <v>129</v>
      </c>
      <c r="F666" s="9" t="s">
        <v>102</v>
      </c>
      <c r="G666" s="9" t="s">
        <v>391</v>
      </c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19"/>
      <c r="V666" s="9"/>
      <c r="W666" s="9"/>
      <c r="X666" s="9" t="s">
        <v>3796</v>
      </c>
      <c r="Y666" s="23" t="s">
        <v>197</v>
      </c>
      <c r="Z666" s="23" t="s">
        <v>197</v>
      </c>
      <c r="AA666" s="23" t="s">
        <v>197</v>
      </c>
      <c r="AB666" s="9" t="s">
        <v>197</v>
      </c>
      <c r="AC666" s="9" t="s">
        <v>197</v>
      </c>
      <c r="AD666" s="23" t="s">
        <v>197</v>
      </c>
      <c r="AE666" s="23" t="s">
        <v>197</v>
      </c>
      <c r="AF666" s="23" t="s">
        <v>197</v>
      </c>
      <c r="AG666" s="23" t="s">
        <v>197</v>
      </c>
      <c r="AH666" s="23" t="s">
        <v>197</v>
      </c>
      <c r="AI666" s="23" t="s">
        <v>197</v>
      </c>
      <c r="AJ666" s="23" t="s">
        <v>197</v>
      </c>
      <c r="AK666" s="23" t="s">
        <v>197</v>
      </c>
      <c r="AL666" s="23" t="s">
        <v>197</v>
      </c>
      <c r="AM666" s="23" t="s">
        <v>197</v>
      </c>
      <c r="AN666" s="9" t="s">
        <v>197</v>
      </c>
      <c r="AO666" s="23" t="s">
        <v>197</v>
      </c>
      <c r="AP666" s="23" t="s">
        <v>197</v>
      </c>
      <c r="AQ666" s="23" t="s">
        <v>197</v>
      </c>
    </row>
    <row r="667" customFormat="false" ht="21.75" hidden="false" customHeight="true" outlineLevel="0" collapsed="false">
      <c r="B667" s="14" t="n">
        <v>663</v>
      </c>
      <c r="C667" s="7" t="s">
        <v>90</v>
      </c>
      <c r="D667" s="7" t="s">
        <v>20</v>
      </c>
      <c r="E667" s="7" t="s">
        <v>129</v>
      </c>
      <c r="F667" s="7" t="s">
        <v>103</v>
      </c>
      <c r="G667" s="7" t="s">
        <v>391</v>
      </c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18"/>
      <c r="V667" s="7"/>
      <c r="W667" s="7"/>
      <c r="X667" s="7" t="s">
        <v>3797</v>
      </c>
      <c r="Y667" s="22" t="s">
        <v>197</v>
      </c>
      <c r="Z667" s="22" t="s">
        <v>197</v>
      </c>
      <c r="AA667" s="22" t="s">
        <v>197</v>
      </c>
      <c r="AB667" s="7" t="s">
        <v>197</v>
      </c>
      <c r="AC667" s="7" t="s">
        <v>197</v>
      </c>
      <c r="AD667" s="22" t="s">
        <v>197</v>
      </c>
      <c r="AE667" s="22" t="s">
        <v>197</v>
      </c>
      <c r="AF667" s="22" t="s">
        <v>197</v>
      </c>
      <c r="AG667" s="22" t="s">
        <v>197</v>
      </c>
      <c r="AH667" s="22" t="s">
        <v>197</v>
      </c>
      <c r="AI667" s="22" t="s">
        <v>197</v>
      </c>
      <c r="AJ667" s="22" t="s">
        <v>197</v>
      </c>
      <c r="AK667" s="22" t="s">
        <v>197</v>
      </c>
      <c r="AL667" s="22" t="s">
        <v>197</v>
      </c>
      <c r="AM667" s="22" t="s">
        <v>197</v>
      </c>
      <c r="AN667" s="7" t="s">
        <v>197</v>
      </c>
      <c r="AO667" s="22" t="s">
        <v>197</v>
      </c>
      <c r="AP667" s="22" t="s">
        <v>197</v>
      </c>
      <c r="AQ667" s="22" t="s">
        <v>197</v>
      </c>
    </row>
    <row r="668" customFormat="false" ht="21.75" hidden="false" customHeight="true" outlineLevel="0" collapsed="false">
      <c r="B668" s="15" t="n">
        <v>664</v>
      </c>
      <c r="C668" s="9" t="s">
        <v>90</v>
      </c>
      <c r="D668" s="9" t="s">
        <v>20</v>
      </c>
      <c r="E668" s="9" t="s">
        <v>129</v>
      </c>
      <c r="F668" s="9" t="s">
        <v>104</v>
      </c>
      <c r="G668" s="9" t="s">
        <v>391</v>
      </c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19"/>
      <c r="V668" s="9"/>
      <c r="W668" s="9"/>
      <c r="X668" s="9" t="s">
        <v>3798</v>
      </c>
      <c r="Y668" s="23" t="s">
        <v>197</v>
      </c>
      <c r="Z668" s="23" t="s">
        <v>197</v>
      </c>
      <c r="AA668" s="23" t="s">
        <v>197</v>
      </c>
      <c r="AB668" s="9" t="s">
        <v>197</v>
      </c>
      <c r="AC668" s="9" t="s">
        <v>197</v>
      </c>
      <c r="AD668" s="23" t="s">
        <v>197</v>
      </c>
      <c r="AE668" s="23" t="s">
        <v>197</v>
      </c>
      <c r="AF668" s="23" t="s">
        <v>197</v>
      </c>
      <c r="AG668" s="23" t="s">
        <v>197</v>
      </c>
      <c r="AH668" s="23" t="s">
        <v>197</v>
      </c>
      <c r="AI668" s="23" t="s">
        <v>197</v>
      </c>
      <c r="AJ668" s="23" t="s">
        <v>197</v>
      </c>
      <c r="AK668" s="23" t="s">
        <v>197</v>
      </c>
      <c r="AL668" s="23" t="s">
        <v>197</v>
      </c>
      <c r="AM668" s="23" t="s">
        <v>197</v>
      </c>
      <c r="AN668" s="9" t="s">
        <v>197</v>
      </c>
      <c r="AO668" s="23" t="s">
        <v>197</v>
      </c>
      <c r="AP668" s="23" t="s">
        <v>197</v>
      </c>
      <c r="AQ668" s="23" t="s">
        <v>197</v>
      </c>
    </row>
    <row r="669" customFormat="false" ht="21.75" hidden="false" customHeight="true" outlineLevel="0" collapsed="false">
      <c r="B669" s="14" t="n">
        <v>665</v>
      </c>
      <c r="C669" s="7" t="s">
        <v>90</v>
      </c>
      <c r="D669" s="7" t="s">
        <v>20</v>
      </c>
      <c r="E669" s="7" t="s">
        <v>129</v>
      </c>
      <c r="F669" s="7" t="s">
        <v>105</v>
      </c>
      <c r="G669" s="7" t="s">
        <v>391</v>
      </c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18"/>
      <c r="V669" s="7"/>
      <c r="W669" s="7"/>
      <c r="X669" s="7" t="s">
        <v>3798</v>
      </c>
      <c r="Y669" s="22" t="s">
        <v>197</v>
      </c>
      <c r="Z669" s="22" t="s">
        <v>197</v>
      </c>
      <c r="AA669" s="22" t="s">
        <v>197</v>
      </c>
      <c r="AB669" s="7" t="s">
        <v>197</v>
      </c>
      <c r="AC669" s="7" t="s">
        <v>197</v>
      </c>
      <c r="AD669" s="22" t="s">
        <v>197</v>
      </c>
      <c r="AE669" s="22" t="s">
        <v>197</v>
      </c>
      <c r="AF669" s="22" t="s">
        <v>197</v>
      </c>
      <c r="AG669" s="22" t="s">
        <v>197</v>
      </c>
      <c r="AH669" s="22" t="s">
        <v>197</v>
      </c>
      <c r="AI669" s="22" t="s">
        <v>197</v>
      </c>
      <c r="AJ669" s="22" t="s">
        <v>197</v>
      </c>
      <c r="AK669" s="22" t="s">
        <v>197</v>
      </c>
      <c r="AL669" s="22" t="s">
        <v>197</v>
      </c>
      <c r="AM669" s="22" t="s">
        <v>197</v>
      </c>
      <c r="AN669" s="7" t="s">
        <v>197</v>
      </c>
      <c r="AO669" s="22" t="s">
        <v>197</v>
      </c>
      <c r="AP669" s="22" t="s">
        <v>197</v>
      </c>
      <c r="AQ669" s="22" t="s">
        <v>197</v>
      </c>
    </row>
    <row r="670" customFormat="false" ht="21.75" hidden="false" customHeight="true" outlineLevel="0" collapsed="false">
      <c r="B670" s="15" t="n">
        <v>666</v>
      </c>
      <c r="C670" s="9" t="s">
        <v>90</v>
      </c>
      <c r="D670" s="9" t="s">
        <v>20</v>
      </c>
      <c r="E670" s="9" t="s">
        <v>129</v>
      </c>
      <c r="F670" s="9" t="s">
        <v>106</v>
      </c>
      <c r="G670" s="9" t="s">
        <v>391</v>
      </c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19"/>
      <c r="V670" s="9"/>
      <c r="W670" s="9"/>
      <c r="X670" s="9" t="s">
        <v>3799</v>
      </c>
      <c r="Y670" s="23" t="s">
        <v>197</v>
      </c>
      <c r="Z670" s="23" t="s">
        <v>197</v>
      </c>
      <c r="AA670" s="23" t="s">
        <v>197</v>
      </c>
      <c r="AB670" s="9" t="s">
        <v>197</v>
      </c>
      <c r="AC670" s="9" t="s">
        <v>197</v>
      </c>
      <c r="AD670" s="23" t="s">
        <v>197</v>
      </c>
      <c r="AE670" s="23" t="s">
        <v>197</v>
      </c>
      <c r="AF670" s="23" t="s">
        <v>197</v>
      </c>
      <c r="AG670" s="23" t="s">
        <v>197</v>
      </c>
      <c r="AH670" s="23" t="s">
        <v>197</v>
      </c>
      <c r="AI670" s="23" t="s">
        <v>197</v>
      </c>
      <c r="AJ670" s="23" t="s">
        <v>197</v>
      </c>
      <c r="AK670" s="23" t="s">
        <v>197</v>
      </c>
      <c r="AL670" s="23" t="s">
        <v>197</v>
      </c>
      <c r="AM670" s="23" t="s">
        <v>197</v>
      </c>
      <c r="AN670" s="9" t="s">
        <v>197</v>
      </c>
      <c r="AO670" s="23" t="s">
        <v>197</v>
      </c>
      <c r="AP670" s="23" t="s">
        <v>197</v>
      </c>
      <c r="AQ670" s="23" t="s">
        <v>197</v>
      </c>
    </row>
    <row r="671" customFormat="false" ht="21.75" hidden="false" customHeight="true" outlineLevel="0" collapsed="false">
      <c r="B671" s="14" t="n">
        <v>667</v>
      </c>
      <c r="C671" s="7" t="s">
        <v>90</v>
      </c>
      <c r="D671" s="7" t="s">
        <v>20</v>
      </c>
      <c r="E671" s="7" t="s">
        <v>129</v>
      </c>
      <c r="F671" s="7" t="s">
        <v>107</v>
      </c>
      <c r="G671" s="7" t="s">
        <v>3800</v>
      </c>
      <c r="H671" s="7" t="s">
        <v>2796</v>
      </c>
      <c r="I671" s="7" t="s">
        <v>3801</v>
      </c>
      <c r="J671" s="7" t="s">
        <v>3802</v>
      </c>
      <c r="K671" s="7" t="s">
        <v>3803</v>
      </c>
      <c r="L671" s="7" t="s">
        <v>3784</v>
      </c>
      <c r="M671" s="7" t="s">
        <v>2565</v>
      </c>
      <c r="N671" s="7" t="s">
        <v>3804</v>
      </c>
      <c r="O671" s="7" t="s">
        <v>2567</v>
      </c>
      <c r="P671" s="7" t="s">
        <v>3786</v>
      </c>
      <c r="Q671" s="7" t="s">
        <v>3805</v>
      </c>
      <c r="R671" s="7" t="s">
        <v>3806</v>
      </c>
      <c r="S671" s="7" t="s">
        <v>3788</v>
      </c>
      <c r="T671" s="7" t="s">
        <v>3807</v>
      </c>
      <c r="U671" s="18" t="n">
        <v>1200</v>
      </c>
      <c r="V671" s="7"/>
      <c r="W671" s="7"/>
      <c r="X671" s="7" t="s">
        <v>195</v>
      </c>
      <c r="Y671" s="22" t="n">
        <v>0.074</v>
      </c>
      <c r="Z671" s="22" t="n">
        <v>0.11</v>
      </c>
      <c r="AA671" s="22" t="n">
        <v>24</v>
      </c>
      <c r="AB671" s="7" t="s">
        <v>3784</v>
      </c>
      <c r="AC671" s="7" t="s">
        <v>2801</v>
      </c>
      <c r="AD671" s="22" t="s">
        <v>197</v>
      </c>
      <c r="AE671" s="22" t="s">
        <v>197</v>
      </c>
      <c r="AF671" s="22" t="s">
        <v>197</v>
      </c>
      <c r="AG671" s="22" t="s">
        <v>197</v>
      </c>
      <c r="AH671" s="22" t="s">
        <v>197</v>
      </c>
      <c r="AI671" s="22" t="s">
        <v>197</v>
      </c>
      <c r="AJ671" s="22" t="s">
        <v>197</v>
      </c>
      <c r="AK671" s="22" t="s">
        <v>197</v>
      </c>
      <c r="AL671" s="22" t="s">
        <v>197</v>
      </c>
      <c r="AM671" s="22" t="s">
        <v>197</v>
      </c>
      <c r="AN671" s="7" t="s">
        <v>2802</v>
      </c>
      <c r="AO671" s="22" t="s">
        <v>197</v>
      </c>
      <c r="AP671" s="22" t="s">
        <v>197</v>
      </c>
      <c r="AQ671" s="22" t="s">
        <v>197</v>
      </c>
    </row>
    <row r="672" customFormat="false" ht="21.75" hidden="false" customHeight="true" outlineLevel="0" collapsed="false">
      <c r="B672" s="15" t="n">
        <v>668</v>
      </c>
      <c r="C672" s="9" t="s">
        <v>90</v>
      </c>
      <c r="D672" s="9" t="s">
        <v>20</v>
      </c>
      <c r="E672" s="9" t="s">
        <v>129</v>
      </c>
      <c r="F672" s="9" t="s">
        <v>107</v>
      </c>
      <c r="G672" s="9" t="s">
        <v>3808</v>
      </c>
      <c r="H672" s="9" t="s">
        <v>2804</v>
      </c>
      <c r="I672" s="9" t="s">
        <v>3801</v>
      </c>
      <c r="J672" s="9" t="s">
        <v>3802</v>
      </c>
      <c r="K672" s="9" t="s">
        <v>3803</v>
      </c>
      <c r="L672" s="9" t="s">
        <v>3784</v>
      </c>
      <c r="M672" s="9" t="s">
        <v>2565</v>
      </c>
      <c r="N672" s="9" t="s">
        <v>3804</v>
      </c>
      <c r="O672" s="9" t="s">
        <v>2567</v>
      </c>
      <c r="P672" s="9" t="s">
        <v>3786</v>
      </c>
      <c r="Q672" s="9" t="s">
        <v>3805</v>
      </c>
      <c r="R672" s="9" t="s">
        <v>3806</v>
      </c>
      <c r="S672" s="9" t="s">
        <v>3788</v>
      </c>
      <c r="T672" s="9" t="s">
        <v>3807</v>
      </c>
      <c r="U672" s="19" t="n">
        <v>1800</v>
      </c>
      <c r="V672" s="9"/>
      <c r="W672" s="9"/>
      <c r="X672" s="9" t="s">
        <v>199</v>
      </c>
      <c r="Y672" s="23" t="n">
        <v>0.075</v>
      </c>
      <c r="Z672" s="23" t="n">
        <v>0.113</v>
      </c>
      <c r="AA672" s="23" t="n">
        <v>24</v>
      </c>
      <c r="AB672" s="9" t="s">
        <v>3784</v>
      </c>
      <c r="AC672" s="9" t="s">
        <v>2801</v>
      </c>
      <c r="AD672" s="23" t="s">
        <v>197</v>
      </c>
      <c r="AE672" s="23" t="s">
        <v>197</v>
      </c>
      <c r="AF672" s="23" t="s">
        <v>197</v>
      </c>
      <c r="AG672" s="23" t="s">
        <v>197</v>
      </c>
      <c r="AH672" s="23" t="s">
        <v>197</v>
      </c>
      <c r="AI672" s="23" t="s">
        <v>197</v>
      </c>
      <c r="AJ672" s="23" t="s">
        <v>197</v>
      </c>
      <c r="AK672" s="23" t="s">
        <v>197</v>
      </c>
      <c r="AL672" s="23" t="s">
        <v>197</v>
      </c>
      <c r="AM672" s="23" t="s">
        <v>197</v>
      </c>
      <c r="AN672" s="9" t="s">
        <v>2802</v>
      </c>
      <c r="AO672" s="23" t="s">
        <v>197</v>
      </c>
      <c r="AP672" s="23" t="s">
        <v>197</v>
      </c>
      <c r="AQ672" s="23" t="s">
        <v>197</v>
      </c>
    </row>
    <row r="673" customFormat="false" ht="21.75" hidden="false" customHeight="true" outlineLevel="0" collapsed="false">
      <c r="B673" s="14" t="n">
        <v>669</v>
      </c>
      <c r="C673" s="7" t="s">
        <v>90</v>
      </c>
      <c r="D673" s="7" t="s">
        <v>20</v>
      </c>
      <c r="E673" s="7" t="s">
        <v>129</v>
      </c>
      <c r="F673" s="7" t="s">
        <v>107</v>
      </c>
      <c r="G673" s="7" t="s">
        <v>3809</v>
      </c>
      <c r="H673" s="7" t="s">
        <v>2806</v>
      </c>
      <c r="I673" s="7" t="s">
        <v>3801</v>
      </c>
      <c r="J673" s="7" t="s">
        <v>3802</v>
      </c>
      <c r="K673" s="7" t="s">
        <v>3803</v>
      </c>
      <c r="L673" s="7" t="s">
        <v>3784</v>
      </c>
      <c r="M673" s="7" t="s">
        <v>2565</v>
      </c>
      <c r="N673" s="7" t="s">
        <v>3804</v>
      </c>
      <c r="O673" s="7" t="s">
        <v>2567</v>
      </c>
      <c r="P673" s="7" t="s">
        <v>3786</v>
      </c>
      <c r="Q673" s="7" t="s">
        <v>3805</v>
      </c>
      <c r="R673" s="7" t="s">
        <v>3806</v>
      </c>
      <c r="S673" s="7" t="s">
        <v>3788</v>
      </c>
      <c r="T673" s="7" t="s">
        <v>3807</v>
      </c>
      <c r="U673" s="18" t="n">
        <v>2400</v>
      </c>
      <c r="V673" s="7"/>
      <c r="W673" s="7"/>
      <c r="X673" s="7" t="s">
        <v>3810</v>
      </c>
      <c r="Y673" s="22" t="n">
        <v>0.056</v>
      </c>
      <c r="Z673" s="22" t="n">
        <v>0.084</v>
      </c>
      <c r="AA673" s="22" t="n">
        <v>24</v>
      </c>
      <c r="AB673" s="7" t="s">
        <v>3784</v>
      </c>
      <c r="AC673" s="7" t="s">
        <v>2801</v>
      </c>
      <c r="AD673" s="22" t="s">
        <v>197</v>
      </c>
      <c r="AE673" s="22" t="s">
        <v>197</v>
      </c>
      <c r="AF673" s="22" t="s">
        <v>197</v>
      </c>
      <c r="AG673" s="22" t="s">
        <v>197</v>
      </c>
      <c r="AH673" s="22" t="s">
        <v>197</v>
      </c>
      <c r="AI673" s="22" t="s">
        <v>197</v>
      </c>
      <c r="AJ673" s="22" t="s">
        <v>197</v>
      </c>
      <c r="AK673" s="22" t="s">
        <v>197</v>
      </c>
      <c r="AL673" s="22" t="s">
        <v>197</v>
      </c>
      <c r="AM673" s="22" t="s">
        <v>197</v>
      </c>
      <c r="AN673" s="7" t="s">
        <v>2802</v>
      </c>
      <c r="AO673" s="22" t="s">
        <v>197</v>
      </c>
      <c r="AP673" s="22" t="s">
        <v>197</v>
      </c>
      <c r="AQ673" s="22" t="s">
        <v>197</v>
      </c>
    </row>
    <row r="674" customFormat="false" ht="21.75" hidden="false" customHeight="true" outlineLevel="0" collapsed="false">
      <c r="B674" s="15" t="n">
        <v>670</v>
      </c>
      <c r="C674" s="9" t="s">
        <v>90</v>
      </c>
      <c r="D674" s="9" t="s">
        <v>20</v>
      </c>
      <c r="E674" s="9" t="s">
        <v>129</v>
      </c>
      <c r="F674" s="9" t="s">
        <v>107</v>
      </c>
      <c r="G674" s="9" t="s">
        <v>3811</v>
      </c>
      <c r="H674" s="9" t="s">
        <v>2809</v>
      </c>
      <c r="I674" s="9" t="s">
        <v>3801</v>
      </c>
      <c r="J674" s="9" t="s">
        <v>3802</v>
      </c>
      <c r="K674" s="9" t="s">
        <v>3803</v>
      </c>
      <c r="L674" s="9" t="s">
        <v>3784</v>
      </c>
      <c r="M674" s="9" t="s">
        <v>2565</v>
      </c>
      <c r="N674" s="9" t="s">
        <v>3804</v>
      </c>
      <c r="O674" s="9" t="s">
        <v>2567</v>
      </c>
      <c r="P674" s="9" t="s">
        <v>3786</v>
      </c>
      <c r="Q674" s="9" t="s">
        <v>3805</v>
      </c>
      <c r="R674" s="9" t="s">
        <v>3806</v>
      </c>
      <c r="S674" s="9" t="s">
        <v>3788</v>
      </c>
      <c r="T674" s="9" t="s">
        <v>3807</v>
      </c>
      <c r="U674" s="19" t="n">
        <v>3600</v>
      </c>
      <c r="V674" s="9"/>
      <c r="W674" s="9"/>
      <c r="X674" s="9" t="s">
        <v>203</v>
      </c>
      <c r="Y674" s="23" t="n">
        <v>0.065</v>
      </c>
      <c r="Z674" s="23" t="n">
        <v>0.097</v>
      </c>
      <c r="AA674" s="23" t="n">
        <v>24</v>
      </c>
      <c r="AB674" s="9" t="s">
        <v>3784</v>
      </c>
      <c r="AC674" s="9" t="s">
        <v>2801</v>
      </c>
      <c r="AD674" s="23" t="s">
        <v>197</v>
      </c>
      <c r="AE674" s="23" t="s">
        <v>197</v>
      </c>
      <c r="AF674" s="23" t="s">
        <v>197</v>
      </c>
      <c r="AG674" s="23" t="s">
        <v>197</v>
      </c>
      <c r="AH674" s="23" t="s">
        <v>197</v>
      </c>
      <c r="AI674" s="23" t="s">
        <v>197</v>
      </c>
      <c r="AJ674" s="23" t="s">
        <v>197</v>
      </c>
      <c r="AK674" s="23" t="s">
        <v>197</v>
      </c>
      <c r="AL674" s="23" t="s">
        <v>197</v>
      </c>
      <c r="AM674" s="23" t="s">
        <v>197</v>
      </c>
      <c r="AN674" s="9" t="s">
        <v>2802</v>
      </c>
      <c r="AO674" s="23" t="s">
        <v>197</v>
      </c>
      <c r="AP674" s="23" t="s">
        <v>197</v>
      </c>
      <c r="AQ674" s="23" t="s">
        <v>197</v>
      </c>
    </row>
    <row r="675" customFormat="false" ht="21.75" hidden="false" customHeight="true" outlineLevel="0" collapsed="false">
      <c r="B675" s="14" t="n">
        <v>671</v>
      </c>
      <c r="C675" s="7" t="s">
        <v>90</v>
      </c>
      <c r="D675" s="7" t="s">
        <v>20</v>
      </c>
      <c r="E675" s="7" t="s">
        <v>129</v>
      </c>
      <c r="F675" s="7" t="s">
        <v>107</v>
      </c>
      <c r="G675" s="7" t="s">
        <v>3812</v>
      </c>
      <c r="H675" s="7" t="s">
        <v>2811</v>
      </c>
      <c r="I675" s="7" t="s">
        <v>3801</v>
      </c>
      <c r="J675" s="7" t="s">
        <v>3802</v>
      </c>
      <c r="K675" s="7" t="s">
        <v>3803</v>
      </c>
      <c r="L675" s="7" t="s">
        <v>3784</v>
      </c>
      <c r="M675" s="7" t="s">
        <v>2565</v>
      </c>
      <c r="N675" s="7" t="s">
        <v>3804</v>
      </c>
      <c r="O675" s="7" t="s">
        <v>2567</v>
      </c>
      <c r="P675" s="7" t="s">
        <v>3786</v>
      </c>
      <c r="Q675" s="7" t="s">
        <v>3805</v>
      </c>
      <c r="R675" s="7" t="s">
        <v>3806</v>
      </c>
      <c r="S675" s="7" t="s">
        <v>3788</v>
      </c>
      <c r="T675" s="7" t="s">
        <v>3807</v>
      </c>
      <c r="U675" s="18" t="n">
        <v>5280</v>
      </c>
      <c r="V675" s="7"/>
      <c r="W675" s="7"/>
      <c r="X675" s="7" t="s">
        <v>205</v>
      </c>
      <c r="Y675" s="22" t="n">
        <v>0.074</v>
      </c>
      <c r="Z675" s="22" t="n">
        <v>0.111</v>
      </c>
      <c r="AA675" s="22" t="n">
        <v>24</v>
      </c>
      <c r="AB675" s="7" t="s">
        <v>3784</v>
      </c>
      <c r="AC675" s="7" t="s">
        <v>2801</v>
      </c>
      <c r="AD675" s="22" t="s">
        <v>197</v>
      </c>
      <c r="AE675" s="22" t="s">
        <v>197</v>
      </c>
      <c r="AF675" s="22" t="s">
        <v>197</v>
      </c>
      <c r="AG675" s="22" t="s">
        <v>197</v>
      </c>
      <c r="AH675" s="22" t="s">
        <v>197</v>
      </c>
      <c r="AI675" s="22" t="s">
        <v>197</v>
      </c>
      <c r="AJ675" s="22" t="s">
        <v>197</v>
      </c>
      <c r="AK675" s="22" t="s">
        <v>197</v>
      </c>
      <c r="AL675" s="22" t="s">
        <v>197</v>
      </c>
      <c r="AM675" s="22" t="s">
        <v>197</v>
      </c>
      <c r="AN675" s="7" t="s">
        <v>2802</v>
      </c>
      <c r="AO675" s="22" t="s">
        <v>197</v>
      </c>
      <c r="AP675" s="22" t="s">
        <v>197</v>
      </c>
      <c r="AQ675" s="22" t="s">
        <v>197</v>
      </c>
    </row>
    <row r="676" customFormat="false" ht="21.75" hidden="false" customHeight="true" outlineLevel="0" collapsed="false">
      <c r="B676" s="15" t="n">
        <v>672</v>
      </c>
      <c r="C676" s="9" t="s">
        <v>90</v>
      </c>
      <c r="D676" s="9" t="s">
        <v>20</v>
      </c>
      <c r="E676" s="9" t="s">
        <v>129</v>
      </c>
      <c r="F676" s="9" t="s">
        <v>108</v>
      </c>
      <c r="G676" s="9" t="s">
        <v>391</v>
      </c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19"/>
      <c r="V676" s="9"/>
      <c r="W676" s="9"/>
      <c r="X676" s="9" t="s">
        <v>3813</v>
      </c>
      <c r="Y676" s="23" t="s">
        <v>197</v>
      </c>
      <c r="Z676" s="23" t="s">
        <v>197</v>
      </c>
      <c r="AA676" s="23" t="s">
        <v>197</v>
      </c>
      <c r="AB676" s="9" t="s">
        <v>197</v>
      </c>
      <c r="AC676" s="9" t="s">
        <v>197</v>
      </c>
      <c r="AD676" s="23" t="s">
        <v>197</v>
      </c>
      <c r="AE676" s="23" t="s">
        <v>197</v>
      </c>
      <c r="AF676" s="23" t="s">
        <v>197</v>
      </c>
      <c r="AG676" s="23" t="s">
        <v>197</v>
      </c>
      <c r="AH676" s="23" t="s">
        <v>197</v>
      </c>
      <c r="AI676" s="23" t="s">
        <v>197</v>
      </c>
      <c r="AJ676" s="23" t="s">
        <v>197</v>
      </c>
      <c r="AK676" s="23" t="s">
        <v>197</v>
      </c>
      <c r="AL676" s="23" t="s">
        <v>197</v>
      </c>
      <c r="AM676" s="23" t="s">
        <v>197</v>
      </c>
      <c r="AN676" s="9" t="s">
        <v>197</v>
      </c>
      <c r="AO676" s="23" t="s">
        <v>197</v>
      </c>
      <c r="AP676" s="23" t="s">
        <v>197</v>
      </c>
      <c r="AQ676" s="23" t="s">
        <v>197</v>
      </c>
    </row>
    <row r="677" customFormat="false" ht="21.75" hidden="false" customHeight="true" outlineLevel="0" collapsed="false">
      <c r="B677" s="14" t="n">
        <v>673</v>
      </c>
      <c r="C677" s="7" t="s">
        <v>91</v>
      </c>
      <c r="D677" s="7" t="s">
        <v>20</v>
      </c>
      <c r="E677" s="7" t="s">
        <v>116</v>
      </c>
      <c r="F677" s="7" t="s">
        <v>93</v>
      </c>
      <c r="G677" s="7" t="s">
        <v>391</v>
      </c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18"/>
      <c r="V677" s="7"/>
      <c r="W677" s="7"/>
      <c r="X677" s="7" t="s">
        <v>3814</v>
      </c>
      <c r="Y677" s="22" t="s">
        <v>197</v>
      </c>
      <c r="Z677" s="22" t="s">
        <v>197</v>
      </c>
      <c r="AA677" s="22" t="s">
        <v>197</v>
      </c>
      <c r="AB677" s="7" t="s">
        <v>197</v>
      </c>
      <c r="AC677" s="7" t="s">
        <v>197</v>
      </c>
      <c r="AD677" s="22" t="s">
        <v>197</v>
      </c>
      <c r="AE677" s="22" t="s">
        <v>197</v>
      </c>
      <c r="AF677" s="22" t="s">
        <v>197</v>
      </c>
      <c r="AG677" s="22" t="s">
        <v>197</v>
      </c>
      <c r="AH677" s="22" t="s">
        <v>197</v>
      </c>
      <c r="AI677" s="22" t="s">
        <v>197</v>
      </c>
      <c r="AJ677" s="22" t="s">
        <v>197</v>
      </c>
      <c r="AK677" s="22" t="s">
        <v>197</v>
      </c>
      <c r="AL677" s="22" t="s">
        <v>197</v>
      </c>
      <c r="AM677" s="22" t="s">
        <v>197</v>
      </c>
      <c r="AN677" s="7" t="s">
        <v>197</v>
      </c>
      <c r="AO677" s="22" t="s">
        <v>197</v>
      </c>
      <c r="AP677" s="22" t="s">
        <v>197</v>
      </c>
      <c r="AQ677" s="22" t="s">
        <v>197</v>
      </c>
    </row>
    <row r="678" customFormat="false" ht="21.75" hidden="false" customHeight="true" outlineLevel="0" collapsed="false">
      <c r="B678" s="15" t="n">
        <v>674</v>
      </c>
      <c r="C678" s="9" t="s">
        <v>91</v>
      </c>
      <c r="D678" s="9" t="s">
        <v>20</v>
      </c>
      <c r="E678" s="9" t="s">
        <v>116</v>
      </c>
      <c r="F678" s="9" t="s">
        <v>94</v>
      </c>
      <c r="G678" s="9" t="s">
        <v>391</v>
      </c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19"/>
      <c r="V678" s="9"/>
      <c r="W678" s="9"/>
      <c r="X678" s="9" t="s">
        <v>3815</v>
      </c>
      <c r="Y678" s="23" t="s">
        <v>197</v>
      </c>
      <c r="Z678" s="23" t="s">
        <v>197</v>
      </c>
      <c r="AA678" s="23" t="s">
        <v>197</v>
      </c>
      <c r="AB678" s="9" t="s">
        <v>197</v>
      </c>
      <c r="AC678" s="9" t="s">
        <v>197</v>
      </c>
      <c r="AD678" s="23" t="s">
        <v>197</v>
      </c>
      <c r="AE678" s="23" t="s">
        <v>197</v>
      </c>
      <c r="AF678" s="23" t="s">
        <v>197</v>
      </c>
      <c r="AG678" s="23" t="s">
        <v>197</v>
      </c>
      <c r="AH678" s="23" t="s">
        <v>197</v>
      </c>
      <c r="AI678" s="23" t="s">
        <v>197</v>
      </c>
      <c r="AJ678" s="23" t="s">
        <v>197</v>
      </c>
      <c r="AK678" s="23" t="s">
        <v>197</v>
      </c>
      <c r="AL678" s="23" t="s">
        <v>197</v>
      </c>
      <c r="AM678" s="23" t="s">
        <v>197</v>
      </c>
      <c r="AN678" s="9" t="s">
        <v>197</v>
      </c>
      <c r="AO678" s="23" t="s">
        <v>197</v>
      </c>
      <c r="AP678" s="23" t="s">
        <v>197</v>
      </c>
      <c r="AQ678" s="23" t="s">
        <v>197</v>
      </c>
    </row>
    <row r="679" customFormat="false" ht="21.75" hidden="false" customHeight="true" outlineLevel="0" collapsed="false">
      <c r="B679" s="14" t="n">
        <v>675</v>
      </c>
      <c r="C679" s="7" t="s">
        <v>91</v>
      </c>
      <c r="D679" s="7" t="s">
        <v>20</v>
      </c>
      <c r="E679" s="7" t="s">
        <v>116</v>
      </c>
      <c r="F679" s="7" t="s">
        <v>95</v>
      </c>
      <c r="G679" s="7" t="s">
        <v>391</v>
      </c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18"/>
      <c r="V679" s="7"/>
      <c r="W679" s="7"/>
      <c r="X679" s="7" t="s">
        <v>3816</v>
      </c>
      <c r="Y679" s="22" t="s">
        <v>197</v>
      </c>
      <c r="Z679" s="22" t="s">
        <v>197</v>
      </c>
      <c r="AA679" s="22" t="s">
        <v>197</v>
      </c>
      <c r="AB679" s="7" t="s">
        <v>197</v>
      </c>
      <c r="AC679" s="7" t="s">
        <v>197</v>
      </c>
      <c r="AD679" s="22" t="s">
        <v>197</v>
      </c>
      <c r="AE679" s="22" t="s">
        <v>197</v>
      </c>
      <c r="AF679" s="22" t="s">
        <v>197</v>
      </c>
      <c r="AG679" s="22" t="s">
        <v>197</v>
      </c>
      <c r="AH679" s="22" t="s">
        <v>197</v>
      </c>
      <c r="AI679" s="22" t="s">
        <v>197</v>
      </c>
      <c r="AJ679" s="22" t="s">
        <v>197</v>
      </c>
      <c r="AK679" s="22" t="s">
        <v>197</v>
      </c>
      <c r="AL679" s="22" t="s">
        <v>197</v>
      </c>
      <c r="AM679" s="22" t="s">
        <v>197</v>
      </c>
      <c r="AN679" s="7" t="s">
        <v>197</v>
      </c>
      <c r="AO679" s="22" t="s">
        <v>197</v>
      </c>
      <c r="AP679" s="22" t="s">
        <v>197</v>
      </c>
      <c r="AQ679" s="22" t="s">
        <v>197</v>
      </c>
    </row>
    <row r="680" customFormat="false" ht="21.75" hidden="false" customHeight="true" outlineLevel="0" collapsed="false">
      <c r="B680" s="15" t="n">
        <v>676</v>
      </c>
      <c r="C680" s="9" t="s">
        <v>91</v>
      </c>
      <c r="D680" s="9" t="s">
        <v>20</v>
      </c>
      <c r="E680" s="9" t="s">
        <v>116</v>
      </c>
      <c r="F680" s="9" t="s">
        <v>96</v>
      </c>
      <c r="G680" s="9" t="s">
        <v>391</v>
      </c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19"/>
      <c r="V680" s="9"/>
      <c r="W680" s="9"/>
      <c r="X680" s="9" t="s">
        <v>3817</v>
      </c>
      <c r="Y680" s="23" t="s">
        <v>197</v>
      </c>
      <c r="Z680" s="23" t="s">
        <v>197</v>
      </c>
      <c r="AA680" s="23" t="s">
        <v>197</v>
      </c>
      <c r="AB680" s="9" t="s">
        <v>197</v>
      </c>
      <c r="AC680" s="9" t="s">
        <v>197</v>
      </c>
      <c r="AD680" s="23" t="s">
        <v>197</v>
      </c>
      <c r="AE680" s="23" t="s">
        <v>197</v>
      </c>
      <c r="AF680" s="23" t="s">
        <v>197</v>
      </c>
      <c r="AG680" s="23" t="s">
        <v>197</v>
      </c>
      <c r="AH680" s="23" t="s">
        <v>197</v>
      </c>
      <c r="AI680" s="23" t="s">
        <v>197</v>
      </c>
      <c r="AJ680" s="23" t="s">
        <v>197</v>
      </c>
      <c r="AK680" s="23" t="s">
        <v>197</v>
      </c>
      <c r="AL680" s="23" t="s">
        <v>197</v>
      </c>
      <c r="AM680" s="23" t="s">
        <v>197</v>
      </c>
      <c r="AN680" s="9" t="s">
        <v>197</v>
      </c>
      <c r="AO680" s="23" t="s">
        <v>197</v>
      </c>
      <c r="AP680" s="23" t="s">
        <v>197</v>
      </c>
      <c r="AQ680" s="23" t="s">
        <v>197</v>
      </c>
    </row>
    <row r="681" customFormat="false" ht="21.75" hidden="false" customHeight="true" outlineLevel="0" collapsed="false">
      <c r="B681" s="14" t="n">
        <v>677</v>
      </c>
      <c r="C681" s="7" t="s">
        <v>91</v>
      </c>
      <c r="D681" s="7" t="s">
        <v>20</v>
      </c>
      <c r="E681" s="7" t="s">
        <v>116</v>
      </c>
      <c r="F681" s="7" t="s">
        <v>97</v>
      </c>
      <c r="G681" s="7" t="s">
        <v>391</v>
      </c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18"/>
      <c r="V681" s="7"/>
      <c r="W681" s="7"/>
      <c r="X681" s="7" t="s">
        <v>3817</v>
      </c>
      <c r="Y681" s="22" t="s">
        <v>197</v>
      </c>
      <c r="Z681" s="22" t="s">
        <v>197</v>
      </c>
      <c r="AA681" s="22" t="s">
        <v>197</v>
      </c>
      <c r="AB681" s="7" t="s">
        <v>197</v>
      </c>
      <c r="AC681" s="7" t="s">
        <v>197</v>
      </c>
      <c r="AD681" s="22" t="s">
        <v>197</v>
      </c>
      <c r="AE681" s="22" t="s">
        <v>197</v>
      </c>
      <c r="AF681" s="22" t="s">
        <v>197</v>
      </c>
      <c r="AG681" s="22" t="s">
        <v>197</v>
      </c>
      <c r="AH681" s="22" t="s">
        <v>197</v>
      </c>
      <c r="AI681" s="22" t="s">
        <v>197</v>
      </c>
      <c r="AJ681" s="22" t="s">
        <v>197</v>
      </c>
      <c r="AK681" s="22" t="s">
        <v>197</v>
      </c>
      <c r="AL681" s="22" t="s">
        <v>197</v>
      </c>
      <c r="AM681" s="22" t="s">
        <v>197</v>
      </c>
      <c r="AN681" s="7" t="s">
        <v>197</v>
      </c>
      <c r="AO681" s="22" t="s">
        <v>197</v>
      </c>
      <c r="AP681" s="22" t="s">
        <v>197</v>
      </c>
      <c r="AQ681" s="22" t="s">
        <v>197</v>
      </c>
    </row>
    <row r="682" customFormat="false" ht="21.75" hidden="false" customHeight="true" outlineLevel="0" collapsed="false">
      <c r="B682" s="15" t="n">
        <v>678</v>
      </c>
      <c r="C682" s="9" t="s">
        <v>91</v>
      </c>
      <c r="D682" s="9" t="s">
        <v>20</v>
      </c>
      <c r="E682" s="9" t="s">
        <v>116</v>
      </c>
      <c r="F682" s="9" t="s">
        <v>98</v>
      </c>
      <c r="G682" s="9" t="s">
        <v>391</v>
      </c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19"/>
      <c r="V682" s="9"/>
      <c r="W682" s="9"/>
      <c r="X682" s="9" t="s">
        <v>3818</v>
      </c>
      <c r="Y682" s="23" t="s">
        <v>197</v>
      </c>
      <c r="Z682" s="23" t="s">
        <v>197</v>
      </c>
      <c r="AA682" s="23" t="s">
        <v>197</v>
      </c>
      <c r="AB682" s="9" t="s">
        <v>197</v>
      </c>
      <c r="AC682" s="9" t="s">
        <v>197</v>
      </c>
      <c r="AD682" s="23" t="s">
        <v>197</v>
      </c>
      <c r="AE682" s="23" t="s">
        <v>197</v>
      </c>
      <c r="AF682" s="23" t="s">
        <v>197</v>
      </c>
      <c r="AG682" s="23" t="s">
        <v>197</v>
      </c>
      <c r="AH682" s="23" t="s">
        <v>197</v>
      </c>
      <c r="AI682" s="23" t="s">
        <v>197</v>
      </c>
      <c r="AJ682" s="23" t="s">
        <v>197</v>
      </c>
      <c r="AK682" s="23" t="s">
        <v>197</v>
      </c>
      <c r="AL682" s="23" t="s">
        <v>197</v>
      </c>
      <c r="AM682" s="23" t="s">
        <v>197</v>
      </c>
      <c r="AN682" s="9" t="s">
        <v>197</v>
      </c>
      <c r="AO682" s="23" t="s">
        <v>197</v>
      </c>
      <c r="AP682" s="23" t="s">
        <v>197</v>
      </c>
      <c r="AQ682" s="23" t="s">
        <v>197</v>
      </c>
    </row>
    <row r="683" customFormat="false" ht="21.75" hidden="false" customHeight="true" outlineLevel="0" collapsed="false">
      <c r="B683" s="14" t="n">
        <v>679</v>
      </c>
      <c r="C683" s="7" t="s">
        <v>91</v>
      </c>
      <c r="D683" s="7" t="s">
        <v>20</v>
      </c>
      <c r="E683" s="7" t="s">
        <v>116</v>
      </c>
      <c r="F683" s="7" t="s">
        <v>99</v>
      </c>
      <c r="G683" s="7" t="s">
        <v>3819</v>
      </c>
      <c r="H683" s="7" t="s">
        <v>2732</v>
      </c>
      <c r="I683" s="7" t="s">
        <v>3820</v>
      </c>
      <c r="J683" s="7" t="s">
        <v>3821</v>
      </c>
      <c r="K683" s="7" t="s">
        <v>3822</v>
      </c>
      <c r="L683" s="7" t="s">
        <v>3823</v>
      </c>
      <c r="M683" s="7" t="s">
        <v>2565</v>
      </c>
      <c r="N683" s="7" t="s">
        <v>3824</v>
      </c>
      <c r="O683" s="7" t="s">
        <v>3825</v>
      </c>
      <c r="P683" s="7" t="s">
        <v>3826</v>
      </c>
      <c r="Q683" s="7" t="s">
        <v>3827</v>
      </c>
      <c r="R683" s="7" t="s">
        <v>347</v>
      </c>
      <c r="S683" s="7" t="s">
        <v>3828</v>
      </c>
      <c r="T683" s="7" t="s">
        <v>3829</v>
      </c>
      <c r="U683" s="18" t="n">
        <v>725</v>
      </c>
      <c r="V683" s="7"/>
      <c r="W683" s="7"/>
      <c r="X683" s="7" t="s">
        <v>195</v>
      </c>
      <c r="Y683" s="22" t="n">
        <v>0.062</v>
      </c>
      <c r="Z683" s="22" t="n">
        <v>0.08</v>
      </c>
      <c r="AA683" s="22" t="n">
        <v>24</v>
      </c>
      <c r="AB683" s="7" t="s">
        <v>3823</v>
      </c>
      <c r="AC683" s="7" t="s">
        <v>3830</v>
      </c>
      <c r="AD683" s="22" t="s">
        <v>197</v>
      </c>
      <c r="AE683" s="22" t="s">
        <v>197</v>
      </c>
      <c r="AF683" s="22" t="s">
        <v>197</v>
      </c>
      <c r="AG683" s="22" t="s">
        <v>197</v>
      </c>
      <c r="AH683" s="22" t="s">
        <v>197</v>
      </c>
      <c r="AI683" s="22" t="s">
        <v>197</v>
      </c>
      <c r="AJ683" s="22" t="s">
        <v>197</v>
      </c>
      <c r="AK683" s="22" t="s">
        <v>197</v>
      </c>
      <c r="AL683" s="22" t="n">
        <v>12</v>
      </c>
      <c r="AM683" s="22" t="n">
        <v>114</v>
      </c>
      <c r="AN683" s="7" t="s">
        <v>2739</v>
      </c>
      <c r="AO683" s="22" t="s">
        <v>197</v>
      </c>
      <c r="AP683" s="22" t="s">
        <v>197</v>
      </c>
      <c r="AQ683" s="22" t="s">
        <v>197</v>
      </c>
    </row>
    <row r="684" customFormat="false" ht="21.75" hidden="false" customHeight="true" outlineLevel="0" collapsed="false">
      <c r="B684" s="15" t="n">
        <v>680</v>
      </c>
      <c r="C684" s="9" t="s">
        <v>91</v>
      </c>
      <c r="D684" s="9" t="s">
        <v>20</v>
      </c>
      <c r="E684" s="9" t="s">
        <v>116</v>
      </c>
      <c r="F684" s="9" t="s">
        <v>99</v>
      </c>
      <c r="G684" s="9" t="s">
        <v>3831</v>
      </c>
      <c r="H684" s="9" t="s">
        <v>2741</v>
      </c>
      <c r="I684" s="9" t="s">
        <v>3820</v>
      </c>
      <c r="J684" s="9" t="s">
        <v>3821</v>
      </c>
      <c r="K684" s="9" t="s">
        <v>3822</v>
      </c>
      <c r="L684" s="9" t="s">
        <v>3823</v>
      </c>
      <c r="M684" s="9" t="s">
        <v>2565</v>
      </c>
      <c r="N684" s="9" t="s">
        <v>3824</v>
      </c>
      <c r="O684" s="9" t="s">
        <v>3825</v>
      </c>
      <c r="P684" s="9" t="s">
        <v>3826</v>
      </c>
      <c r="Q684" s="9" t="s">
        <v>3827</v>
      </c>
      <c r="R684" s="9" t="s">
        <v>347</v>
      </c>
      <c r="S684" s="9" t="s">
        <v>3828</v>
      </c>
      <c r="T684" s="9" t="s">
        <v>3829</v>
      </c>
      <c r="U684" s="19" t="n">
        <v>1085</v>
      </c>
      <c r="V684" s="9"/>
      <c r="W684" s="9"/>
      <c r="X684" s="9" t="s">
        <v>199</v>
      </c>
      <c r="Y684" s="23" t="n">
        <v>0.063</v>
      </c>
      <c r="Z684" s="23" t="n">
        <v>0.082</v>
      </c>
      <c r="AA684" s="23" t="n">
        <v>24</v>
      </c>
      <c r="AB684" s="9" t="s">
        <v>3823</v>
      </c>
      <c r="AC684" s="9" t="s">
        <v>3830</v>
      </c>
      <c r="AD684" s="23" t="s">
        <v>197</v>
      </c>
      <c r="AE684" s="23" t="s">
        <v>197</v>
      </c>
      <c r="AF684" s="23" t="s">
        <v>197</v>
      </c>
      <c r="AG684" s="23" t="s">
        <v>197</v>
      </c>
      <c r="AH684" s="23" t="s">
        <v>197</v>
      </c>
      <c r="AI684" s="23" t="s">
        <v>197</v>
      </c>
      <c r="AJ684" s="23" t="s">
        <v>197</v>
      </c>
      <c r="AK684" s="23" t="s">
        <v>197</v>
      </c>
      <c r="AL684" s="23" t="n">
        <v>15</v>
      </c>
      <c r="AM684" s="23" t="n">
        <v>115</v>
      </c>
      <c r="AN684" s="9" t="s">
        <v>2739</v>
      </c>
      <c r="AO684" s="23" t="s">
        <v>197</v>
      </c>
      <c r="AP684" s="23" t="s">
        <v>197</v>
      </c>
      <c r="AQ684" s="23" t="s">
        <v>197</v>
      </c>
    </row>
    <row r="685" customFormat="false" ht="21.75" hidden="false" customHeight="true" outlineLevel="0" collapsed="false">
      <c r="B685" s="14" t="n">
        <v>681</v>
      </c>
      <c r="C685" s="7" t="s">
        <v>91</v>
      </c>
      <c r="D685" s="7" t="s">
        <v>20</v>
      </c>
      <c r="E685" s="7" t="s">
        <v>116</v>
      </c>
      <c r="F685" s="7" t="s">
        <v>99</v>
      </c>
      <c r="G685" s="7" t="s">
        <v>3832</v>
      </c>
      <c r="H685" s="7" t="s">
        <v>2743</v>
      </c>
      <c r="I685" s="7" t="s">
        <v>3820</v>
      </c>
      <c r="J685" s="7" t="s">
        <v>3821</v>
      </c>
      <c r="K685" s="7" t="s">
        <v>3822</v>
      </c>
      <c r="L685" s="7" t="s">
        <v>3823</v>
      </c>
      <c r="M685" s="7" t="s">
        <v>2565</v>
      </c>
      <c r="N685" s="7" t="s">
        <v>3824</v>
      </c>
      <c r="O685" s="7" t="s">
        <v>3825</v>
      </c>
      <c r="P685" s="7" t="s">
        <v>3826</v>
      </c>
      <c r="Q685" s="7" t="s">
        <v>3827</v>
      </c>
      <c r="R685" s="7" t="s">
        <v>347</v>
      </c>
      <c r="S685" s="7" t="s">
        <v>3828</v>
      </c>
      <c r="T685" s="7" t="s">
        <v>3829</v>
      </c>
      <c r="U685" s="18" t="n">
        <v>1450</v>
      </c>
      <c r="V685" s="7"/>
      <c r="W685" s="7"/>
      <c r="X685" s="7" t="s">
        <v>3833</v>
      </c>
      <c r="Y685" s="22" t="n">
        <v>0.068</v>
      </c>
      <c r="Z685" s="22" t="n">
        <v>0.088</v>
      </c>
      <c r="AA685" s="22" t="n">
        <v>24</v>
      </c>
      <c r="AB685" s="7" t="s">
        <v>3823</v>
      </c>
      <c r="AC685" s="7" t="s">
        <v>3830</v>
      </c>
      <c r="AD685" s="22" t="s">
        <v>197</v>
      </c>
      <c r="AE685" s="22" t="s">
        <v>197</v>
      </c>
      <c r="AF685" s="22" t="s">
        <v>197</v>
      </c>
      <c r="AG685" s="22" t="s">
        <v>197</v>
      </c>
      <c r="AH685" s="22" t="s">
        <v>197</v>
      </c>
      <c r="AI685" s="22" t="s">
        <v>197</v>
      </c>
      <c r="AJ685" s="22" t="s">
        <v>197</v>
      </c>
      <c r="AK685" s="22" t="s">
        <v>197</v>
      </c>
      <c r="AL685" s="22" t="n">
        <v>20</v>
      </c>
      <c r="AM685" s="22" t="n">
        <v>119</v>
      </c>
      <c r="AN685" s="7" t="s">
        <v>2739</v>
      </c>
      <c r="AO685" s="22" t="s">
        <v>197</v>
      </c>
      <c r="AP685" s="22" t="s">
        <v>197</v>
      </c>
      <c r="AQ685" s="22" t="s">
        <v>197</v>
      </c>
    </row>
    <row r="686" customFormat="false" ht="21.75" hidden="false" customHeight="true" outlineLevel="0" collapsed="false">
      <c r="B686" s="15" t="n">
        <v>682</v>
      </c>
      <c r="C686" s="9" t="s">
        <v>91</v>
      </c>
      <c r="D686" s="9" t="s">
        <v>20</v>
      </c>
      <c r="E686" s="9" t="s">
        <v>116</v>
      </c>
      <c r="F686" s="9" t="s">
        <v>99</v>
      </c>
      <c r="G686" s="9" t="s">
        <v>3834</v>
      </c>
      <c r="H686" s="9" t="s">
        <v>2746</v>
      </c>
      <c r="I686" s="9" t="s">
        <v>3820</v>
      </c>
      <c r="J686" s="9" t="s">
        <v>3821</v>
      </c>
      <c r="K686" s="9" t="s">
        <v>3822</v>
      </c>
      <c r="L686" s="9" t="s">
        <v>3823</v>
      </c>
      <c r="M686" s="9" t="s">
        <v>2565</v>
      </c>
      <c r="N686" s="9" t="s">
        <v>3824</v>
      </c>
      <c r="O686" s="9" t="s">
        <v>3825</v>
      </c>
      <c r="P686" s="9" t="s">
        <v>3826</v>
      </c>
      <c r="Q686" s="9" t="s">
        <v>3827</v>
      </c>
      <c r="R686" s="9" t="s">
        <v>347</v>
      </c>
      <c r="S686" s="9" t="s">
        <v>3828</v>
      </c>
      <c r="T686" s="9" t="s">
        <v>3829</v>
      </c>
      <c r="U686" s="19" t="n">
        <v>2175</v>
      </c>
      <c r="V686" s="9"/>
      <c r="W686" s="9"/>
      <c r="X686" s="9" t="s">
        <v>203</v>
      </c>
      <c r="Y686" s="23" t="n">
        <v>0.059</v>
      </c>
      <c r="Z686" s="23" t="n">
        <v>0.076</v>
      </c>
      <c r="AA686" s="23" t="n">
        <v>24</v>
      </c>
      <c r="AB686" s="9" t="s">
        <v>3823</v>
      </c>
      <c r="AC686" s="9" t="s">
        <v>3830</v>
      </c>
      <c r="AD686" s="23" t="s">
        <v>197</v>
      </c>
      <c r="AE686" s="23" t="s">
        <v>197</v>
      </c>
      <c r="AF686" s="23" t="s">
        <v>197</v>
      </c>
      <c r="AG686" s="23" t="s">
        <v>197</v>
      </c>
      <c r="AH686" s="23" t="s">
        <v>197</v>
      </c>
      <c r="AI686" s="23" t="s">
        <v>197</v>
      </c>
      <c r="AJ686" s="23" t="s">
        <v>197</v>
      </c>
      <c r="AK686" s="23" t="s">
        <v>197</v>
      </c>
      <c r="AL686" s="23" t="n">
        <v>25</v>
      </c>
      <c r="AM686" s="23" t="n">
        <v>112</v>
      </c>
      <c r="AN686" s="9" t="s">
        <v>2739</v>
      </c>
      <c r="AO686" s="23" t="s">
        <v>197</v>
      </c>
      <c r="AP686" s="23" t="s">
        <v>197</v>
      </c>
      <c r="AQ686" s="23" t="s">
        <v>197</v>
      </c>
    </row>
    <row r="687" customFormat="false" ht="21.75" hidden="false" customHeight="true" outlineLevel="0" collapsed="false">
      <c r="B687" s="14" t="n">
        <v>683</v>
      </c>
      <c r="C687" s="7" t="s">
        <v>91</v>
      </c>
      <c r="D687" s="7" t="s">
        <v>20</v>
      </c>
      <c r="E687" s="7" t="s">
        <v>116</v>
      </c>
      <c r="F687" s="7" t="s">
        <v>99</v>
      </c>
      <c r="G687" s="7" t="s">
        <v>3835</v>
      </c>
      <c r="H687" s="7" t="s">
        <v>2748</v>
      </c>
      <c r="I687" s="7" t="s">
        <v>3820</v>
      </c>
      <c r="J687" s="7" t="s">
        <v>3821</v>
      </c>
      <c r="K687" s="7" t="s">
        <v>3822</v>
      </c>
      <c r="L687" s="7" t="s">
        <v>3823</v>
      </c>
      <c r="M687" s="7" t="s">
        <v>2565</v>
      </c>
      <c r="N687" s="7" t="s">
        <v>3824</v>
      </c>
      <c r="O687" s="7" t="s">
        <v>3825</v>
      </c>
      <c r="P687" s="7" t="s">
        <v>3826</v>
      </c>
      <c r="Q687" s="7" t="s">
        <v>3827</v>
      </c>
      <c r="R687" s="7" t="s">
        <v>347</v>
      </c>
      <c r="S687" s="7" t="s">
        <v>3828</v>
      </c>
      <c r="T687" s="7" t="s">
        <v>3829</v>
      </c>
      <c r="U687" s="18" t="n">
        <v>3190</v>
      </c>
      <c r="V687" s="7"/>
      <c r="W687" s="7"/>
      <c r="X687" s="7" t="s">
        <v>205</v>
      </c>
      <c r="Y687" s="22" t="n">
        <v>0.07</v>
      </c>
      <c r="Z687" s="22" t="n">
        <v>0.09</v>
      </c>
      <c r="AA687" s="22" t="n">
        <v>24</v>
      </c>
      <c r="AB687" s="7" t="s">
        <v>3823</v>
      </c>
      <c r="AC687" s="7" t="s">
        <v>3830</v>
      </c>
      <c r="AD687" s="22" t="s">
        <v>197</v>
      </c>
      <c r="AE687" s="22" t="s">
        <v>197</v>
      </c>
      <c r="AF687" s="22" t="s">
        <v>197</v>
      </c>
      <c r="AG687" s="22" t="s">
        <v>197</v>
      </c>
      <c r="AH687" s="22" t="s">
        <v>197</v>
      </c>
      <c r="AI687" s="22" t="s">
        <v>197</v>
      </c>
      <c r="AJ687" s="22" t="s">
        <v>197</v>
      </c>
      <c r="AK687" s="22" t="s">
        <v>197</v>
      </c>
      <c r="AL687" s="22" t="n">
        <v>30</v>
      </c>
      <c r="AM687" s="22" t="n">
        <v>120</v>
      </c>
      <c r="AN687" s="7" t="s">
        <v>2739</v>
      </c>
      <c r="AO687" s="22" t="s">
        <v>197</v>
      </c>
      <c r="AP687" s="22" t="s">
        <v>197</v>
      </c>
      <c r="AQ687" s="22" t="s">
        <v>197</v>
      </c>
    </row>
    <row r="688" customFormat="false" ht="21.75" hidden="false" customHeight="true" outlineLevel="0" collapsed="false">
      <c r="B688" s="15" t="n">
        <v>684</v>
      </c>
      <c r="C688" s="9" t="s">
        <v>91</v>
      </c>
      <c r="D688" s="9" t="s">
        <v>20</v>
      </c>
      <c r="E688" s="9" t="s">
        <v>116</v>
      </c>
      <c r="F688" s="9" t="s">
        <v>100</v>
      </c>
      <c r="G688" s="9" t="s">
        <v>391</v>
      </c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19"/>
      <c r="V688" s="9"/>
      <c r="W688" s="9"/>
      <c r="X688" s="9" t="s">
        <v>3836</v>
      </c>
      <c r="Y688" s="23" t="s">
        <v>197</v>
      </c>
      <c r="Z688" s="23" t="s">
        <v>197</v>
      </c>
      <c r="AA688" s="23" t="s">
        <v>197</v>
      </c>
      <c r="AB688" s="9" t="s">
        <v>197</v>
      </c>
      <c r="AC688" s="9" t="s">
        <v>197</v>
      </c>
      <c r="AD688" s="23" t="s">
        <v>197</v>
      </c>
      <c r="AE688" s="23" t="s">
        <v>197</v>
      </c>
      <c r="AF688" s="23" t="s">
        <v>197</v>
      </c>
      <c r="AG688" s="23" t="s">
        <v>197</v>
      </c>
      <c r="AH688" s="23" t="s">
        <v>197</v>
      </c>
      <c r="AI688" s="23" t="s">
        <v>197</v>
      </c>
      <c r="AJ688" s="23" t="s">
        <v>197</v>
      </c>
      <c r="AK688" s="23" t="s">
        <v>197</v>
      </c>
      <c r="AL688" s="23" t="s">
        <v>197</v>
      </c>
      <c r="AM688" s="23" t="s">
        <v>197</v>
      </c>
      <c r="AN688" s="9" t="s">
        <v>197</v>
      </c>
      <c r="AO688" s="23" t="s">
        <v>197</v>
      </c>
      <c r="AP688" s="23" t="s">
        <v>197</v>
      </c>
      <c r="AQ688" s="23" t="s">
        <v>197</v>
      </c>
    </row>
    <row r="689" customFormat="false" ht="21.75" hidden="false" customHeight="true" outlineLevel="0" collapsed="false">
      <c r="B689" s="14" t="n">
        <v>685</v>
      </c>
      <c r="C689" s="7" t="s">
        <v>91</v>
      </c>
      <c r="D689" s="7" t="s">
        <v>20</v>
      </c>
      <c r="E689" s="7" t="s">
        <v>116</v>
      </c>
      <c r="F689" s="7" t="s">
        <v>101</v>
      </c>
      <c r="G689" s="7" t="s">
        <v>391</v>
      </c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18"/>
      <c r="V689" s="7"/>
      <c r="W689" s="7"/>
      <c r="X689" s="7" t="s">
        <v>3837</v>
      </c>
      <c r="Y689" s="22" t="s">
        <v>197</v>
      </c>
      <c r="Z689" s="22" t="s">
        <v>197</v>
      </c>
      <c r="AA689" s="22" t="s">
        <v>197</v>
      </c>
      <c r="AB689" s="7" t="s">
        <v>197</v>
      </c>
      <c r="AC689" s="7" t="s">
        <v>197</v>
      </c>
      <c r="AD689" s="22" t="s">
        <v>197</v>
      </c>
      <c r="AE689" s="22" t="s">
        <v>197</v>
      </c>
      <c r="AF689" s="22" t="s">
        <v>197</v>
      </c>
      <c r="AG689" s="22" t="s">
        <v>197</v>
      </c>
      <c r="AH689" s="22" t="s">
        <v>197</v>
      </c>
      <c r="AI689" s="22" t="s">
        <v>197</v>
      </c>
      <c r="AJ689" s="22" t="s">
        <v>197</v>
      </c>
      <c r="AK689" s="22" t="s">
        <v>197</v>
      </c>
      <c r="AL689" s="22" t="s">
        <v>197</v>
      </c>
      <c r="AM689" s="22" t="s">
        <v>197</v>
      </c>
      <c r="AN689" s="7" t="s">
        <v>197</v>
      </c>
      <c r="AO689" s="22" t="s">
        <v>197</v>
      </c>
      <c r="AP689" s="22" t="s">
        <v>197</v>
      </c>
      <c r="AQ689" s="22" t="s">
        <v>197</v>
      </c>
    </row>
    <row r="690" customFormat="false" ht="21.75" hidden="false" customHeight="true" outlineLevel="0" collapsed="false">
      <c r="B690" s="15" t="n">
        <v>686</v>
      </c>
      <c r="C690" s="9" t="s">
        <v>91</v>
      </c>
      <c r="D690" s="9" t="s">
        <v>20</v>
      </c>
      <c r="E690" s="9" t="s">
        <v>116</v>
      </c>
      <c r="F690" s="9" t="s">
        <v>102</v>
      </c>
      <c r="G690" s="9" t="s">
        <v>391</v>
      </c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19"/>
      <c r="V690" s="9"/>
      <c r="W690" s="9"/>
      <c r="X690" s="9" t="s">
        <v>3838</v>
      </c>
      <c r="Y690" s="23" t="s">
        <v>197</v>
      </c>
      <c r="Z690" s="23" t="s">
        <v>197</v>
      </c>
      <c r="AA690" s="23" t="s">
        <v>197</v>
      </c>
      <c r="AB690" s="9" t="s">
        <v>197</v>
      </c>
      <c r="AC690" s="9" t="s">
        <v>197</v>
      </c>
      <c r="AD690" s="23" t="s">
        <v>197</v>
      </c>
      <c r="AE690" s="23" t="s">
        <v>197</v>
      </c>
      <c r="AF690" s="23" t="s">
        <v>197</v>
      </c>
      <c r="AG690" s="23" t="s">
        <v>197</v>
      </c>
      <c r="AH690" s="23" t="s">
        <v>197</v>
      </c>
      <c r="AI690" s="23" t="s">
        <v>197</v>
      </c>
      <c r="AJ690" s="23" t="s">
        <v>197</v>
      </c>
      <c r="AK690" s="23" t="s">
        <v>197</v>
      </c>
      <c r="AL690" s="23" t="s">
        <v>197</v>
      </c>
      <c r="AM690" s="23" t="s">
        <v>197</v>
      </c>
      <c r="AN690" s="9" t="s">
        <v>197</v>
      </c>
      <c r="AO690" s="23" t="s">
        <v>197</v>
      </c>
      <c r="AP690" s="23" t="s">
        <v>197</v>
      </c>
      <c r="AQ690" s="23" t="s">
        <v>197</v>
      </c>
    </row>
    <row r="691" customFormat="false" ht="21.75" hidden="false" customHeight="true" outlineLevel="0" collapsed="false">
      <c r="B691" s="14" t="n">
        <v>687</v>
      </c>
      <c r="C691" s="7" t="s">
        <v>91</v>
      </c>
      <c r="D691" s="7" t="s">
        <v>20</v>
      </c>
      <c r="E691" s="7" t="s">
        <v>116</v>
      </c>
      <c r="F691" s="7" t="s">
        <v>103</v>
      </c>
      <c r="G691" s="7" t="s">
        <v>391</v>
      </c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18"/>
      <c r="V691" s="7"/>
      <c r="W691" s="7"/>
      <c r="X691" s="7" t="s">
        <v>3839</v>
      </c>
      <c r="Y691" s="22" t="s">
        <v>197</v>
      </c>
      <c r="Z691" s="22" t="s">
        <v>197</v>
      </c>
      <c r="AA691" s="22" t="s">
        <v>197</v>
      </c>
      <c r="AB691" s="7" t="s">
        <v>197</v>
      </c>
      <c r="AC691" s="7" t="s">
        <v>197</v>
      </c>
      <c r="AD691" s="22" t="s">
        <v>197</v>
      </c>
      <c r="AE691" s="22" t="s">
        <v>197</v>
      </c>
      <c r="AF691" s="22" t="s">
        <v>197</v>
      </c>
      <c r="AG691" s="22" t="s">
        <v>197</v>
      </c>
      <c r="AH691" s="22" t="s">
        <v>197</v>
      </c>
      <c r="AI691" s="22" t="s">
        <v>197</v>
      </c>
      <c r="AJ691" s="22" t="s">
        <v>197</v>
      </c>
      <c r="AK691" s="22" t="s">
        <v>197</v>
      </c>
      <c r="AL691" s="22" t="s">
        <v>197</v>
      </c>
      <c r="AM691" s="22" t="s">
        <v>197</v>
      </c>
      <c r="AN691" s="7" t="s">
        <v>197</v>
      </c>
      <c r="AO691" s="22" t="s">
        <v>197</v>
      </c>
      <c r="AP691" s="22" t="s">
        <v>197</v>
      </c>
      <c r="AQ691" s="22" t="s">
        <v>197</v>
      </c>
    </row>
    <row r="692" customFormat="false" ht="21.75" hidden="false" customHeight="true" outlineLevel="0" collapsed="false">
      <c r="B692" s="15" t="n">
        <v>688</v>
      </c>
      <c r="C692" s="9" t="s">
        <v>91</v>
      </c>
      <c r="D692" s="9" t="s">
        <v>20</v>
      </c>
      <c r="E692" s="9" t="s">
        <v>116</v>
      </c>
      <c r="F692" s="9" t="s">
        <v>104</v>
      </c>
      <c r="G692" s="9" t="s">
        <v>391</v>
      </c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19"/>
      <c r="V692" s="9"/>
      <c r="W692" s="9"/>
      <c r="X692" s="9" t="s">
        <v>3840</v>
      </c>
      <c r="Y692" s="23" t="s">
        <v>197</v>
      </c>
      <c r="Z692" s="23" t="s">
        <v>197</v>
      </c>
      <c r="AA692" s="23" t="s">
        <v>197</v>
      </c>
      <c r="AB692" s="9" t="s">
        <v>197</v>
      </c>
      <c r="AC692" s="9" t="s">
        <v>197</v>
      </c>
      <c r="AD692" s="23" t="s">
        <v>197</v>
      </c>
      <c r="AE692" s="23" t="s">
        <v>197</v>
      </c>
      <c r="AF692" s="23" t="s">
        <v>197</v>
      </c>
      <c r="AG692" s="23" t="s">
        <v>197</v>
      </c>
      <c r="AH692" s="23" t="s">
        <v>197</v>
      </c>
      <c r="AI692" s="23" t="s">
        <v>197</v>
      </c>
      <c r="AJ692" s="23" t="s">
        <v>197</v>
      </c>
      <c r="AK692" s="23" t="s">
        <v>197</v>
      </c>
      <c r="AL692" s="23" t="s">
        <v>197</v>
      </c>
      <c r="AM692" s="23" t="s">
        <v>197</v>
      </c>
      <c r="AN692" s="9" t="s">
        <v>197</v>
      </c>
      <c r="AO692" s="23" t="s">
        <v>197</v>
      </c>
      <c r="AP692" s="23" t="s">
        <v>197</v>
      </c>
      <c r="AQ692" s="23" t="s">
        <v>197</v>
      </c>
    </row>
    <row r="693" customFormat="false" ht="21.75" hidden="false" customHeight="true" outlineLevel="0" collapsed="false">
      <c r="B693" s="14" t="n">
        <v>689</v>
      </c>
      <c r="C693" s="7" t="s">
        <v>91</v>
      </c>
      <c r="D693" s="7" t="s">
        <v>20</v>
      </c>
      <c r="E693" s="7" t="s">
        <v>116</v>
      </c>
      <c r="F693" s="7" t="s">
        <v>105</v>
      </c>
      <c r="G693" s="7" t="s">
        <v>391</v>
      </c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18"/>
      <c r="V693" s="7"/>
      <c r="W693" s="7"/>
      <c r="X693" s="7" t="s">
        <v>3840</v>
      </c>
      <c r="Y693" s="22" t="s">
        <v>197</v>
      </c>
      <c r="Z693" s="22" t="s">
        <v>197</v>
      </c>
      <c r="AA693" s="22" t="s">
        <v>197</v>
      </c>
      <c r="AB693" s="7" t="s">
        <v>197</v>
      </c>
      <c r="AC693" s="7" t="s">
        <v>197</v>
      </c>
      <c r="AD693" s="22" t="s">
        <v>197</v>
      </c>
      <c r="AE693" s="22" t="s">
        <v>197</v>
      </c>
      <c r="AF693" s="22" t="s">
        <v>197</v>
      </c>
      <c r="AG693" s="22" t="s">
        <v>197</v>
      </c>
      <c r="AH693" s="22" t="s">
        <v>197</v>
      </c>
      <c r="AI693" s="22" t="s">
        <v>197</v>
      </c>
      <c r="AJ693" s="22" t="s">
        <v>197</v>
      </c>
      <c r="AK693" s="22" t="s">
        <v>197</v>
      </c>
      <c r="AL693" s="22" t="s">
        <v>197</v>
      </c>
      <c r="AM693" s="22" t="s">
        <v>197</v>
      </c>
      <c r="AN693" s="7" t="s">
        <v>197</v>
      </c>
      <c r="AO693" s="22" t="s">
        <v>197</v>
      </c>
      <c r="AP693" s="22" t="s">
        <v>197</v>
      </c>
      <c r="AQ693" s="22" t="s">
        <v>197</v>
      </c>
    </row>
    <row r="694" customFormat="false" ht="21.75" hidden="false" customHeight="true" outlineLevel="0" collapsed="false">
      <c r="B694" s="15" t="n">
        <v>690</v>
      </c>
      <c r="C694" s="9" t="s">
        <v>91</v>
      </c>
      <c r="D694" s="9" t="s">
        <v>20</v>
      </c>
      <c r="E694" s="9" t="s">
        <v>116</v>
      </c>
      <c r="F694" s="9" t="s">
        <v>106</v>
      </c>
      <c r="G694" s="9" t="s">
        <v>391</v>
      </c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19"/>
      <c r="V694" s="9"/>
      <c r="W694" s="9"/>
      <c r="X694" s="9" t="s">
        <v>3841</v>
      </c>
      <c r="Y694" s="23" t="s">
        <v>197</v>
      </c>
      <c r="Z694" s="23" t="s">
        <v>197</v>
      </c>
      <c r="AA694" s="23" t="s">
        <v>197</v>
      </c>
      <c r="AB694" s="9" t="s">
        <v>197</v>
      </c>
      <c r="AC694" s="9" t="s">
        <v>197</v>
      </c>
      <c r="AD694" s="23" t="s">
        <v>197</v>
      </c>
      <c r="AE694" s="23" t="s">
        <v>197</v>
      </c>
      <c r="AF694" s="23" t="s">
        <v>197</v>
      </c>
      <c r="AG694" s="23" t="s">
        <v>197</v>
      </c>
      <c r="AH694" s="23" t="s">
        <v>197</v>
      </c>
      <c r="AI694" s="23" t="s">
        <v>197</v>
      </c>
      <c r="AJ694" s="23" t="s">
        <v>197</v>
      </c>
      <c r="AK694" s="23" t="s">
        <v>197</v>
      </c>
      <c r="AL694" s="23" t="s">
        <v>197</v>
      </c>
      <c r="AM694" s="23" t="s">
        <v>197</v>
      </c>
      <c r="AN694" s="9" t="s">
        <v>197</v>
      </c>
      <c r="AO694" s="23" t="s">
        <v>197</v>
      </c>
      <c r="AP694" s="23" t="s">
        <v>197</v>
      </c>
      <c r="AQ694" s="23" t="s">
        <v>197</v>
      </c>
    </row>
    <row r="695" customFormat="false" ht="21.75" hidden="false" customHeight="true" outlineLevel="0" collapsed="false">
      <c r="B695" s="14" t="n">
        <v>691</v>
      </c>
      <c r="C695" s="7" t="s">
        <v>91</v>
      </c>
      <c r="D695" s="7" t="s">
        <v>20</v>
      </c>
      <c r="E695" s="7" t="s">
        <v>116</v>
      </c>
      <c r="F695" s="7" t="s">
        <v>107</v>
      </c>
      <c r="G695" s="7" t="s">
        <v>391</v>
      </c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18"/>
      <c r="V695" s="7"/>
      <c r="W695" s="7"/>
      <c r="X695" s="7" t="s">
        <v>3842</v>
      </c>
      <c r="Y695" s="22" t="s">
        <v>197</v>
      </c>
      <c r="Z695" s="22" t="s">
        <v>197</v>
      </c>
      <c r="AA695" s="22" t="s">
        <v>197</v>
      </c>
      <c r="AB695" s="7" t="s">
        <v>197</v>
      </c>
      <c r="AC695" s="7" t="s">
        <v>197</v>
      </c>
      <c r="AD695" s="22" t="s">
        <v>197</v>
      </c>
      <c r="AE695" s="22" t="s">
        <v>197</v>
      </c>
      <c r="AF695" s="22" t="s">
        <v>197</v>
      </c>
      <c r="AG695" s="22" t="s">
        <v>197</v>
      </c>
      <c r="AH695" s="22" t="s">
        <v>197</v>
      </c>
      <c r="AI695" s="22" t="s">
        <v>197</v>
      </c>
      <c r="AJ695" s="22" t="s">
        <v>197</v>
      </c>
      <c r="AK695" s="22" t="s">
        <v>197</v>
      </c>
      <c r="AL695" s="22" t="s">
        <v>197</v>
      </c>
      <c r="AM695" s="22" t="s">
        <v>197</v>
      </c>
      <c r="AN695" s="7" t="s">
        <v>197</v>
      </c>
      <c r="AO695" s="22" t="s">
        <v>197</v>
      </c>
      <c r="AP695" s="22" t="s">
        <v>197</v>
      </c>
      <c r="AQ695" s="22" t="s">
        <v>197</v>
      </c>
    </row>
    <row r="696" customFormat="false" ht="21.75" hidden="false" customHeight="true" outlineLevel="0" collapsed="false">
      <c r="B696" s="15" t="n">
        <v>692</v>
      </c>
      <c r="C696" s="9" t="s">
        <v>91</v>
      </c>
      <c r="D696" s="9" t="s">
        <v>20</v>
      </c>
      <c r="E696" s="9" t="s">
        <v>116</v>
      </c>
      <c r="F696" s="9" t="s">
        <v>108</v>
      </c>
      <c r="G696" s="9" t="s">
        <v>391</v>
      </c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19"/>
      <c r="V696" s="9"/>
      <c r="W696" s="9"/>
      <c r="X696" s="9" t="s">
        <v>3843</v>
      </c>
      <c r="Y696" s="23" t="s">
        <v>197</v>
      </c>
      <c r="Z696" s="23" t="s">
        <v>197</v>
      </c>
      <c r="AA696" s="23" t="s">
        <v>197</v>
      </c>
      <c r="AB696" s="9" t="s">
        <v>197</v>
      </c>
      <c r="AC696" s="9" t="s">
        <v>197</v>
      </c>
      <c r="AD696" s="23" t="s">
        <v>197</v>
      </c>
      <c r="AE696" s="23" t="s">
        <v>197</v>
      </c>
      <c r="AF696" s="23" t="s">
        <v>197</v>
      </c>
      <c r="AG696" s="23" t="s">
        <v>197</v>
      </c>
      <c r="AH696" s="23" t="s">
        <v>197</v>
      </c>
      <c r="AI696" s="23" t="s">
        <v>197</v>
      </c>
      <c r="AJ696" s="23" t="s">
        <v>197</v>
      </c>
      <c r="AK696" s="23" t="s">
        <v>197</v>
      </c>
      <c r="AL696" s="23" t="s">
        <v>197</v>
      </c>
      <c r="AM696" s="23" t="s">
        <v>197</v>
      </c>
      <c r="AN696" s="9" t="s">
        <v>197</v>
      </c>
      <c r="AO696" s="23" t="s">
        <v>197</v>
      </c>
      <c r="AP696" s="23" t="s">
        <v>197</v>
      </c>
      <c r="AQ696" s="23" t="s">
        <v>197</v>
      </c>
    </row>
    <row r="697" customFormat="false" ht="21.75" hidden="false" customHeight="true" outlineLevel="0" collapsed="false">
      <c r="B697" s="14" t="n">
        <v>693</v>
      </c>
      <c r="C697" s="7" t="s">
        <v>92</v>
      </c>
      <c r="D697" s="7" t="s">
        <v>20</v>
      </c>
      <c r="E697" s="7" t="s">
        <v>116</v>
      </c>
      <c r="F697" s="7" t="s">
        <v>93</v>
      </c>
      <c r="G697" s="7" t="s">
        <v>391</v>
      </c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18"/>
      <c r="V697" s="7"/>
      <c r="W697" s="7"/>
      <c r="X697" s="7" t="s">
        <v>3844</v>
      </c>
      <c r="Y697" s="22" t="s">
        <v>197</v>
      </c>
      <c r="Z697" s="22" t="s">
        <v>197</v>
      </c>
      <c r="AA697" s="22" t="s">
        <v>197</v>
      </c>
      <c r="AB697" s="7" t="s">
        <v>197</v>
      </c>
      <c r="AC697" s="7" t="s">
        <v>197</v>
      </c>
      <c r="AD697" s="22" t="s">
        <v>197</v>
      </c>
      <c r="AE697" s="22" t="s">
        <v>197</v>
      </c>
      <c r="AF697" s="22" t="s">
        <v>197</v>
      </c>
      <c r="AG697" s="22" t="s">
        <v>197</v>
      </c>
      <c r="AH697" s="22" t="s">
        <v>197</v>
      </c>
      <c r="AI697" s="22" t="s">
        <v>197</v>
      </c>
      <c r="AJ697" s="22" t="s">
        <v>197</v>
      </c>
      <c r="AK697" s="22" t="s">
        <v>197</v>
      </c>
      <c r="AL697" s="22" t="s">
        <v>197</v>
      </c>
      <c r="AM697" s="22" t="s">
        <v>197</v>
      </c>
      <c r="AN697" s="7" t="s">
        <v>197</v>
      </c>
      <c r="AO697" s="22" t="s">
        <v>197</v>
      </c>
      <c r="AP697" s="22" t="s">
        <v>197</v>
      </c>
      <c r="AQ697" s="22" t="s">
        <v>197</v>
      </c>
    </row>
    <row r="698" customFormat="false" ht="21.75" hidden="false" customHeight="true" outlineLevel="0" collapsed="false">
      <c r="B698" s="15" t="n">
        <v>694</v>
      </c>
      <c r="C698" s="9" t="s">
        <v>92</v>
      </c>
      <c r="D698" s="9" t="s">
        <v>20</v>
      </c>
      <c r="E698" s="9" t="s">
        <v>116</v>
      </c>
      <c r="F698" s="9" t="s">
        <v>94</v>
      </c>
      <c r="G698" s="9" t="s">
        <v>391</v>
      </c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19"/>
      <c r="V698" s="9"/>
      <c r="W698" s="9"/>
      <c r="X698" s="9" t="s">
        <v>3845</v>
      </c>
      <c r="Y698" s="23" t="s">
        <v>197</v>
      </c>
      <c r="Z698" s="23" t="s">
        <v>197</v>
      </c>
      <c r="AA698" s="23" t="s">
        <v>197</v>
      </c>
      <c r="AB698" s="9" t="s">
        <v>197</v>
      </c>
      <c r="AC698" s="9" t="s">
        <v>197</v>
      </c>
      <c r="AD698" s="23" t="s">
        <v>197</v>
      </c>
      <c r="AE698" s="23" t="s">
        <v>197</v>
      </c>
      <c r="AF698" s="23" t="s">
        <v>197</v>
      </c>
      <c r="AG698" s="23" t="s">
        <v>197</v>
      </c>
      <c r="AH698" s="23" t="s">
        <v>197</v>
      </c>
      <c r="AI698" s="23" t="s">
        <v>197</v>
      </c>
      <c r="AJ698" s="23" t="s">
        <v>197</v>
      </c>
      <c r="AK698" s="23" t="s">
        <v>197</v>
      </c>
      <c r="AL698" s="23" t="s">
        <v>197</v>
      </c>
      <c r="AM698" s="23" t="s">
        <v>197</v>
      </c>
      <c r="AN698" s="9" t="s">
        <v>197</v>
      </c>
      <c r="AO698" s="23" t="s">
        <v>197</v>
      </c>
      <c r="AP698" s="23" t="s">
        <v>197</v>
      </c>
      <c r="AQ698" s="23" t="s">
        <v>197</v>
      </c>
    </row>
    <row r="699" customFormat="false" ht="21.75" hidden="false" customHeight="true" outlineLevel="0" collapsed="false">
      <c r="B699" s="14" t="n">
        <v>695</v>
      </c>
      <c r="C699" s="7" t="s">
        <v>92</v>
      </c>
      <c r="D699" s="7" t="s">
        <v>20</v>
      </c>
      <c r="E699" s="7" t="s">
        <v>116</v>
      </c>
      <c r="F699" s="7" t="s">
        <v>95</v>
      </c>
      <c r="G699" s="7" t="s">
        <v>391</v>
      </c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18"/>
      <c r="V699" s="7"/>
      <c r="W699" s="7"/>
      <c r="X699" s="7" t="s">
        <v>3846</v>
      </c>
      <c r="Y699" s="22" t="s">
        <v>197</v>
      </c>
      <c r="Z699" s="22" t="s">
        <v>197</v>
      </c>
      <c r="AA699" s="22" t="s">
        <v>197</v>
      </c>
      <c r="AB699" s="7" t="s">
        <v>197</v>
      </c>
      <c r="AC699" s="7" t="s">
        <v>197</v>
      </c>
      <c r="AD699" s="22" t="s">
        <v>197</v>
      </c>
      <c r="AE699" s="22" t="s">
        <v>197</v>
      </c>
      <c r="AF699" s="22" t="s">
        <v>197</v>
      </c>
      <c r="AG699" s="22" t="s">
        <v>197</v>
      </c>
      <c r="AH699" s="22" t="s">
        <v>197</v>
      </c>
      <c r="AI699" s="22" t="s">
        <v>197</v>
      </c>
      <c r="AJ699" s="22" t="s">
        <v>197</v>
      </c>
      <c r="AK699" s="22" t="s">
        <v>197</v>
      </c>
      <c r="AL699" s="22" t="s">
        <v>197</v>
      </c>
      <c r="AM699" s="22" t="s">
        <v>197</v>
      </c>
      <c r="AN699" s="7" t="s">
        <v>197</v>
      </c>
      <c r="AO699" s="22" t="s">
        <v>197</v>
      </c>
      <c r="AP699" s="22" t="s">
        <v>197</v>
      </c>
      <c r="AQ699" s="22" t="s">
        <v>197</v>
      </c>
    </row>
    <row r="700" customFormat="false" ht="21.75" hidden="false" customHeight="true" outlineLevel="0" collapsed="false">
      <c r="B700" s="15" t="n">
        <v>696</v>
      </c>
      <c r="C700" s="9" t="s">
        <v>92</v>
      </c>
      <c r="D700" s="9" t="s">
        <v>20</v>
      </c>
      <c r="E700" s="9" t="s">
        <v>116</v>
      </c>
      <c r="F700" s="9" t="s">
        <v>96</v>
      </c>
      <c r="G700" s="9" t="s">
        <v>391</v>
      </c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19"/>
      <c r="V700" s="9"/>
      <c r="W700" s="9"/>
      <c r="X700" s="9" t="s">
        <v>3847</v>
      </c>
      <c r="Y700" s="23" t="s">
        <v>197</v>
      </c>
      <c r="Z700" s="23" t="s">
        <v>197</v>
      </c>
      <c r="AA700" s="23" t="s">
        <v>197</v>
      </c>
      <c r="AB700" s="9" t="s">
        <v>197</v>
      </c>
      <c r="AC700" s="9" t="s">
        <v>197</v>
      </c>
      <c r="AD700" s="23" t="s">
        <v>197</v>
      </c>
      <c r="AE700" s="23" t="s">
        <v>197</v>
      </c>
      <c r="AF700" s="23" t="s">
        <v>197</v>
      </c>
      <c r="AG700" s="23" t="s">
        <v>197</v>
      </c>
      <c r="AH700" s="23" t="s">
        <v>197</v>
      </c>
      <c r="AI700" s="23" t="s">
        <v>197</v>
      </c>
      <c r="AJ700" s="23" t="s">
        <v>197</v>
      </c>
      <c r="AK700" s="23" t="s">
        <v>197</v>
      </c>
      <c r="AL700" s="23" t="s">
        <v>197</v>
      </c>
      <c r="AM700" s="23" t="s">
        <v>197</v>
      </c>
      <c r="AN700" s="9" t="s">
        <v>197</v>
      </c>
      <c r="AO700" s="23" t="s">
        <v>197</v>
      </c>
      <c r="AP700" s="23" t="s">
        <v>197</v>
      </c>
      <c r="AQ700" s="23" t="s">
        <v>197</v>
      </c>
    </row>
    <row r="701" customFormat="false" ht="21.75" hidden="false" customHeight="true" outlineLevel="0" collapsed="false">
      <c r="B701" s="14" t="n">
        <v>697</v>
      </c>
      <c r="C701" s="7" t="s">
        <v>92</v>
      </c>
      <c r="D701" s="7" t="s">
        <v>20</v>
      </c>
      <c r="E701" s="7" t="s">
        <v>116</v>
      </c>
      <c r="F701" s="7" t="s">
        <v>97</v>
      </c>
      <c r="G701" s="7" t="s">
        <v>391</v>
      </c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18"/>
      <c r="V701" s="7"/>
      <c r="W701" s="7"/>
      <c r="X701" s="7" t="s">
        <v>3847</v>
      </c>
      <c r="Y701" s="22" t="s">
        <v>197</v>
      </c>
      <c r="Z701" s="22" t="s">
        <v>197</v>
      </c>
      <c r="AA701" s="22" t="s">
        <v>197</v>
      </c>
      <c r="AB701" s="7" t="s">
        <v>197</v>
      </c>
      <c r="AC701" s="7" t="s">
        <v>197</v>
      </c>
      <c r="AD701" s="22" t="s">
        <v>197</v>
      </c>
      <c r="AE701" s="22" t="s">
        <v>197</v>
      </c>
      <c r="AF701" s="22" t="s">
        <v>197</v>
      </c>
      <c r="AG701" s="22" t="s">
        <v>197</v>
      </c>
      <c r="AH701" s="22" t="s">
        <v>197</v>
      </c>
      <c r="AI701" s="22" t="s">
        <v>197</v>
      </c>
      <c r="AJ701" s="22" t="s">
        <v>197</v>
      </c>
      <c r="AK701" s="22" t="s">
        <v>197</v>
      </c>
      <c r="AL701" s="22" t="s">
        <v>197</v>
      </c>
      <c r="AM701" s="22" t="s">
        <v>197</v>
      </c>
      <c r="AN701" s="7" t="s">
        <v>197</v>
      </c>
      <c r="AO701" s="22" t="s">
        <v>197</v>
      </c>
      <c r="AP701" s="22" t="s">
        <v>197</v>
      </c>
      <c r="AQ701" s="22" t="s">
        <v>197</v>
      </c>
    </row>
    <row r="702" customFormat="false" ht="21.75" hidden="false" customHeight="true" outlineLevel="0" collapsed="false">
      <c r="B702" s="15" t="n">
        <v>698</v>
      </c>
      <c r="C702" s="9" t="s">
        <v>92</v>
      </c>
      <c r="D702" s="9" t="s">
        <v>20</v>
      </c>
      <c r="E702" s="9" t="s">
        <v>116</v>
      </c>
      <c r="F702" s="9" t="s">
        <v>98</v>
      </c>
      <c r="G702" s="9" t="s">
        <v>391</v>
      </c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19"/>
      <c r="V702" s="9"/>
      <c r="W702" s="9"/>
      <c r="X702" s="9" t="s">
        <v>3848</v>
      </c>
      <c r="Y702" s="23" t="s">
        <v>197</v>
      </c>
      <c r="Z702" s="23" t="s">
        <v>197</v>
      </c>
      <c r="AA702" s="23" t="s">
        <v>197</v>
      </c>
      <c r="AB702" s="9" t="s">
        <v>197</v>
      </c>
      <c r="AC702" s="9" t="s">
        <v>197</v>
      </c>
      <c r="AD702" s="23" t="s">
        <v>197</v>
      </c>
      <c r="AE702" s="23" t="s">
        <v>197</v>
      </c>
      <c r="AF702" s="23" t="s">
        <v>197</v>
      </c>
      <c r="AG702" s="23" t="s">
        <v>197</v>
      </c>
      <c r="AH702" s="23" t="s">
        <v>197</v>
      </c>
      <c r="AI702" s="23" t="s">
        <v>197</v>
      </c>
      <c r="AJ702" s="23" t="s">
        <v>197</v>
      </c>
      <c r="AK702" s="23" t="s">
        <v>197</v>
      </c>
      <c r="AL702" s="23" t="s">
        <v>197</v>
      </c>
      <c r="AM702" s="23" t="s">
        <v>197</v>
      </c>
      <c r="AN702" s="9" t="s">
        <v>197</v>
      </c>
      <c r="AO702" s="23" t="s">
        <v>197</v>
      </c>
      <c r="AP702" s="23" t="s">
        <v>197</v>
      </c>
      <c r="AQ702" s="23" t="s">
        <v>197</v>
      </c>
    </row>
    <row r="703" customFormat="false" ht="21.75" hidden="false" customHeight="true" outlineLevel="0" collapsed="false">
      <c r="B703" s="14" t="n">
        <v>699</v>
      </c>
      <c r="C703" s="7" t="s">
        <v>92</v>
      </c>
      <c r="D703" s="7" t="s">
        <v>20</v>
      </c>
      <c r="E703" s="7" t="s">
        <v>116</v>
      </c>
      <c r="F703" s="7" t="s">
        <v>99</v>
      </c>
      <c r="G703" s="7" t="s">
        <v>3849</v>
      </c>
      <c r="H703" s="7" t="s">
        <v>2732</v>
      </c>
      <c r="I703" s="7" t="s">
        <v>3850</v>
      </c>
      <c r="J703" s="7" t="s">
        <v>3851</v>
      </c>
      <c r="K703" s="7" t="s">
        <v>3852</v>
      </c>
      <c r="L703" s="7" t="s">
        <v>3853</v>
      </c>
      <c r="M703" s="7" t="s">
        <v>2565</v>
      </c>
      <c r="N703" s="7" t="s">
        <v>3854</v>
      </c>
      <c r="O703" s="7" t="s">
        <v>3825</v>
      </c>
      <c r="P703" s="7" t="s">
        <v>2149</v>
      </c>
      <c r="Q703" s="7" t="s">
        <v>3855</v>
      </c>
      <c r="R703" s="7" t="s">
        <v>224</v>
      </c>
      <c r="S703" s="7" t="s">
        <v>3856</v>
      </c>
      <c r="T703" s="7" t="s">
        <v>3857</v>
      </c>
      <c r="U703" s="18" t="n">
        <v>640</v>
      </c>
      <c r="V703" s="7"/>
      <c r="W703" s="7"/>
      <c r="X703" s="7" t="s">
        <v>195</v>
      </c>
      <c r="Y703" s="22" t="n">
        <v>0.057</v>
      </c>
      <c r="Z703" s="22" t="n">
        <v>0.074</v>
      </c>
      <c r="AA703" s="22" t="n">
        <v>24</v>
      </c>
      <c r="AB703" s="7" t="s">
        <v>3853</v>
      </c>
      <c r="AC703" s="7" t="s">
        <v>3858</v>
      </c>
      <c r="AD703" s="22" t="s">
        <v>197</v>
      </c>
      <c r="AE703" s="22" t="s">
        <v>197</v>
      </c>
      <c r="AF703" s="22" t="s">
        <v>197</v>
      </c>
      <c r="AG703" s="22" t="s">
        <v>197</v>
      </c>
      <c r="AH703" s="22" t="s">
        <v>197</v>
      </c>
      <c r="AI703" s="22" t="s">
        <v>197</v>
      </c>
      <c r="AJ703" s="22" t="s">
        <v>197</v>
      </c>
      <c r="AK703" s="22" t="s">
        <v>197</v>
      </c>
      <c r="AL703" s="22" t="n">
        <v>12</v>
      </c>
      <c r="AM703" s="22" t="n">
        <v>110</v>
      </c>
      <c r="AN703" s="7" t="s">
        <v>2739</v>
      </c>
      <c r="AO703" s="22" t="s">
        <v>197</v>
      </c>
      <c r="AP703" s="22" t="s">
        <v>197</v>
      </c>
      <c r="AQ703" s="22" t="s">
        <v>197</v>
      </c>
    </row>
    <row r="704" customFormat="false" ht="21.75" hidden="false" customHeight="true" outlineLevel="0" collapsed="false">
      <c r="B704" s="15" t="n">
        <v>700</v>
      </c>
      <c r="C704" s="9" t="s">
        <v>92</v>
      </c>
      <c r="D704" s="9" t="s">
        <v>20</v>
      </c>
      <c r="E704" s="9" t="s">
        <v>116</v>
      </c>
      <c r="F704" s="9" t="s">
        <v>99</v>
      </c>
      <c r="G704" s="9" t="s">
        <v>3859</v>
      </c>
      <c r="H704" s="9" t="s">
        <v>2741</v>
      </c>
      <c r="I704" s="9" t="s">
        <v>3850</v>
      </c>
      <c r="J704" s="9" t="s">
        <v>3851</v>
      </c>
      <c r="K704" s="9" t="s">
        <v>3852</v>
      </c>
      <c r="L704" s="9" t="s">
        <v>3853</v>
      </c>
      <c r="M704" s="9" t="s">
        <v>2565</v>
      </c>
      <c r="N704" s="9" t="s">
        <v>3854</v>
      </c>
      <c r="O704" s="9" t="s">
        <v>3825</v>
      </c>
      <c r="P704" s="9" t="s">
        <v>2149</v>
      </c>
      <c r="Q704" s="9" t="s">
        <v>3855</v>
      </c>
      <c r="R704" s="9" t="s">
        <v>224</v>
      </c>
      <c r="S704" s="9" t="s">
        <v>3856</v>
      </c>
      <c r="T704" s="9" t="s">
        <v>3857</v>
      </c>
      <c r="U704" s="19" t="n">
        <v>960</v>
      </c>
      <c r="V704" s="9"/>
      <c r="W704" s="9"/>
      <c r="X704" s="9" t="s">
        <v>199</v>
      </c>
      <c r="Y704" s="23" t="n">
        <v>0.051</v>
      </c>
      <c r="Z704" s="23" t="n">
        <v>0.066</v>
      </c>
      <c r="AA704" s="23" t="n">
        <v>24</v>
      </c>
      <c r="AB704" s="9" t="s">
        <v>3853</v>
      </c>
      <c r="AC704" s="9" t="s">
        <v>3858</v>
      </c>
      <c r="AD704" s="23" t="s">
        <v>197</v>
      </c>
      <c r="AE704" s="23" t="s">
        <v>197</v>
      </c>
      <c r="AF704" s="23" t="s">
        <v>197</v>
      </c>
      <c r="AG704" s="23" t="s">
        <v>197</v>
      </c>
      <c r="AH704" s="23" t="s">
        <v>197</v>
      </c>
      <c r="AI704" s="23" t="s">
        <v>197</v>
      </c>
      <c r="AJ704" s="23" t="s">
        <v>197</v>
      </c>
      <c r="AK704" s="23" t="s">
        <v>197</v>
      </c>
      <c r="AL704" s="23" t="n">
        <v>15</v>
      </c>
      <c r="AM704" s="23" t="n">
        <v>105</v>
      </c>
      <c r="AN704" s="9" t="s">
        <v>2739</v>
      </c>
      <c r="AO704" s="23" t="s">
        <v>197</v>
      </c>
      <c r="AP704" s="23" t="s">
        <v>197</v>
      </c>
      <c r="AQ704" s="23" t="s">
        <v>197</v>
      </c>
    </row>
    <row r="705" customFormat="false" ht="21.75" hidden="false" customHeight="true" outlineLevel="0" collapsed="false">
      <c r="B705" s="14" t="n">
        <v>701</v>
      </c>
      <c r="C705" s="7" t="s">
        <v>92</v>
      </c>
      <c r="D705" s="7" t="s">
        <v>20</v>
      </c>
      <c r="E705" s="7" t="s">
        <v>116</v>
      </c>
      <c r="F705" s="7" t="s">
        <v>99</v>
      </c>
      <c r="G705" s="7" t="s">
        <v>3860</v>
      </c>
      <c r="H705" s="7" t="s">
        <v>2743</v>
      </c>
      <c r="I705" s="7" t="s">
        <v>3850</v>
      </c>
      <c r="J705" s="7" t="s">
        <v>3851</v>
      </c>
      <c r="K705" s="7" t="s">
        <v>3852</v>
      </c>
      <c r="L705" s="7" t="s">
        <v>3853</v>
      </c>
      <c r="M705" s="7" t="s">
        <v>2565</v>
      </c>
      <c r="N705" s="7" t="s">
        <v>3854</v>
      </c>
      <c r="O705" s="7" t="s">
        <v>3825</v>
      </c>
      <c r="P705" s="7" t="s">
        <v>2149</v>
      </c>
      <c r="Q705" s="7" t="s">
        <v>3855</v>
      </c>
      <c r="R705" s="7" t="s">
        <v>224</v>
      </c>
      <c r="S705" s="7" t="s">
        <v>3856</v>
      </c>
      <c r="T705" s="7" t="s">
        <v>3857</v>
      </c>
      <c r="U705" s="18" t="n">
        <v>1280</v>
      </c>
      <c r="V705" s="7"/>
      <c r="W705" s="7"/>
      <c r="X705" s="7" t="s">
        <v>3861</v>
      </c>
      <c r="Y705" s="22" t="n">
        <v>0.04</v>
      </c>
      <c r="Z705" s="22" t="n">
        <v>0.053</v>
      </c>
      <c r="AA705" s="22" t="n">
        <v>24</v>
      </c>
      <c r="AB705" s="7" t="s">
        <v>3853</v>
      </c>
      <c r="AC705" s="7" t="s">
        <v>3858</v>
      </c>
      <c r="AD705" s="22" t="s">
        <v>197</v>
      </c>
      <c r="AE705" s="22" t="s">
        <v>197</v>
      </c>
      <c r="AF705" s="22" t="s">
        <v>197</v>
      </c>
      <c r="AG705" s="22" t="s">
        <v>197</v>
      </c>
      <c r="AH705" s="22" t="s">
        <v>197</v>
      </c>
      <c r="AI705" s="22" t="s">
        <v>197</v>
      </c>
      <c r="AJ705" s="22" t="s">
        <v>197</v>
      </c>
      <c r="AK705" s="22" t="s">
        <v>197</v>
      </c>
      <c r="AL705" s="22" t="n">
        <v>20</v>
      </c>
      <c r="AM705" s="22" t="n">
        <v>98</v>
      </c>
      <c r="AN705" s="7" t="s">
        <v>2739</v>
      </c>
      <c r="AO705" s="22" t="s">
        <v>197</v>
      </c>
      <c r="AP705" s="22" t="s">
        <v>197</v>
      </c>
      <c r="AQ705" s="22" t="s">
        <v>197</v>
      </c>
    </row>
    <row r="706" customFormat="false" ht="21.75" hidden="false" customHeight="true" outlineLevel="0" collapsed="false">
      <c r="B706" s="15" t="n">
        <v>702</v>
      </c>
      <c r="C706" s="9" t="s">
        <v>92</v>
      </c>
      <c r="D706" s="9" t="s">
        <v>20</v>
      </c>
      <c r="E706" s="9" t="s">
        <v>116</v>
      </c>
      <c r="F706" s="9" t="s">
        <v>99</v>
      </c>
      <c r="G706" s="9" t="s">
        <v>3862</v>
      </c>
      <c r="H706" s="9" t="s">
        <v>2746</v>
      </c>
      <c r="I706" s="9" t="s">
        <v>3850</v>
      </c>
      <c r="J706" s="9" t="s">
        <v>3851</v>
      </c>
      <c r="K706" s="9" t="s">
        <v>3852</v>
      </c>
      <c r="L706" s="9" t="s">
        <v>3853</v>
      </c>
      <c r="M706" s="9" t="s">
        <v>2565</v>
      </c>
      <c r="N706" s="9" t="s">
        <v>3854</v>
      </c>
      <c r="O706" s="9" t="s">
        <v>3825</v>
      </c>
      <c r="P706" s="9" t="s">
        <v>2149</v>
      </c>
      <c r="Q706" s="9" t="s">
        <v>3855</v>
      </c>
      <c r="R706" s="9" t="s">
        <v>224</v>
      </c>
      <c r="S706" s="9" t="s">
        <v>3856</v>
      </c>
      <c r="T706" s="9" t="s">
        <v>3857</v>
      </c>
      <c r="U706" s="19" t="n">
        <v>1920</v>
      </c>
      <c r="V706" s="9"/>
      <c r="W706" s="9"/>
      <c r="X706" s="9" t="s">
        <v>203</v>
      </c>
      <c r="Y706" s="23" t="n">
        <v>0.066</v>
      </c>
      <c r="Z706" s="23" t="n">
        <v>0.085</v>
      </c>
      <c r="AA706" s="23" t="n">
        <v>24</v>
      </c>
      <c r="AB706" s="9" t="s">
        <v>3853</v>
      </c>
      <c r="AC706" s="9" t="s">
        <v>3858</v>
      </c>
      <c r="AD706" s="23" t="s">
        <v>197</v>
      </c>
      <c r="AE706" s="23" t="s">
        <v>197</v>
      </c>
      <c r="AF706" s="23" t="s">
        <v>197</v>
      </c>
      <c r="AG706" s="23" t="s">
        <v>197</v>
      </c>
      <c r="AH706" s="23" t="s">
        <v>197</v>
      </c>
      <c r="AI706" s="23" t="s">
        <v>197</v>
      </c>
      <c r="AJ706" s="23" t="s">
        <v>197</v>
      </c>
      <c r="AK706" s="23" t="s">
        <v>197</v>
      </c>
      <c r="AL706" s="23" t="n">
        <v>25</v>
      </c>
      <c r="AM706" s="23" t="n">
        <v>117</v>
      </c>
      <c r="AN706" s="9" t="s">
        <v>2739</v>
      </c>
      <c r="AO706" s="23" t="s">
        <v>197</v>
      </c>
      <c r="AP706" s="23" t="s">
        <v>197</v>
      </c>
      <c r="AQ706" s="23" t="s">
        <v>197</v>
      </c>
    </row>
    <row r="707" customFormat="false" ht="21.75" hidden="false" customHeight="true" outlineLevel="0" collapsed="false">
      <c r="B707" s="14" t="n">
        <v>703</v>
      </c>
      <c r="C707" s="7" t="s">
        <v>92</v>
      </c>
      <c r="D707" s="7" t="s">
        <v>20</v>
      </c>
      <c r="E707" s="7" t="s">
        <v>116</v>
      </c>
      <c r="F707" s="7" t="s">
        <v>99</v>
      </c>
      <c r="G707" s="7" t="s">
        <v>3863</v>
      </c>
      <c r="H707" s="7" t="s">
        <v>2748</v>
      </c>
      <c r="I707" s="7" t="s">
        <v>3850</v>
      </c>
      <c r="J707" s="7" t="s">
        <v>3851</v>
      </c>
      <c r="K707" s="7" t="s">
        <v>3852</v>
      </c>
      <c r="L707" s="7" t="s">
        <v>3853</v>
      </c>
      <c r="M707" s="7" t="s">
        <v>2565</v>
      </c>
      <c r="N707" s="7" t="s">
        <v>3854</v>
      </c>
      <c r="O707" s="7" t="s">
        <v>3825</v>
      </c>
      <c r="P707" s="7" t="s">
        <v>2149</v>
      </c>
      <c r="Q707" s="7" t="s">
        <v>3855</v>
      </c>
      <c r="R707" s="7" t="s">
        <v>224</v>
      </c>
      <c r="S707" s="7" t="s">
        <v>3856</v>
      </c>
      <c r="T707" s="7" t="s">
        <v>3857</v>
      </c>
      <c r="U707" s="18" t="n">
        <v>2815</v>
      </c>
      <c r="V707" s="7"/>
      <c r="W707" s="7"/>
      <c r="X707" s="7" t="s">
        <v>205</v>
      </c>
      <c r="Y707" s="22" t="n">
        <v>0.047</v>
      </c>
      <c r="Z707" s="22" t="n">
        <v>0.062</v>
      </c>
      <c r="AA707" s="22" t="n">
        <v>24</v>
      </c>
      <c r="AB707" s="7" t="s">
        <v>3853</v>
      </c>
      <c r="AC707" s="7" t="s">
        <v>3858</v>
      </c>
      <c r="AD707" s="22" t="s">
        <v>197</v>
      </c>
      <c r="AE707" s="22" t="s">
        <v>197</v>
      </c>
      <c r="AF707" s="22" t="s">
        <v>197</v>
      </c>
      <c r="AG707" s="22" t="s">
        <v>197</v>
      </c>
      <c r="AH707" s="22" t="s">
        <v>197</v>
      </c>
      <c r="AI707" s="22" t="s">
        <v>197</v>
      </c>
      <c r="AJ707" s="22" t="s">
        <v>197</v>
      </c>
      <c r="AK707" s="22" t="s">
        <v>197</v>
      </c>
      <c r="AL707" s="22" t="n">
        <v>30</v>
      </c>
      <c r="AM707" s="22" t="n">
        <v>103</v>
      </c>
      <c r="AN707" s="7" t="s">
        <v>2739</v>
      </c>
      <c r="AO707" s="22" t="s">
        <v>197</v>
      </c>
      <c r="AP707" s="22" t="s">
        <v>197</v>
      </c>
      <c r="AQ707" s="22" t="s">
        <v>197</v>
      </c>
    </row>
    <row r="708" customFormat="false" ht="21.75" hidden="false" customHeight="true" outlineLevel="0" collapsed="false">
      <c r="B708" s="15" t="n">
        <v>704</v>
      </c>
      <c r="C708" s="9" t="s">
        <v>92</v>
      </c>
      <c r="D708" s="9" t="s">
        <v>20</v>
      </c>
      <c r="E708" s="9" t="s">
        <v>116</v>
      </c>
      <c r="F708" s="9" t="s">
        <v>100</v>
      </c>
      <c r="G708" s="9" t="s">
        <v>391</v>
      </c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19"/>
      <c r="V708" s="9"/>
      <c r="W708" s="9"/>
      <c r="X708" s="9" t="s">
        <v>3864</v>
      </c>
      <c r="Y708" s="23" t="s">
        <v>197</v>
      </c>
      <c r="Z708" s="23" t="s">
        <v>197</v>
      </c>
      <c r="AA708" s="23" t="s">
        <v>197</v>
      </c>
      <c r="AB708" s="9" t="s">
        <v>197</v>
      </c>
      <c r="AC708" s="9" t="s">
        <v>197</v>
      </c>
      <c r="AD708" s="23" t="s">
        <v>197</v>
      </c>
      <c r="AE708" s="23" t="s">
        <v>197</v>
      </c>
      <c r="AF708" s="23" t="s">
        <v>197</v>
      </c>
      <c r="AG708" s="23" t="s">
        <v>197</v>
      </c>
      <c r="AH708" s="23" t="s">
        <v>197</v>
      </c>
      <c r="AI708" s="23" t="s">
        <v>197</v>
      </c>
      <c r="AJ708" s="23" t="s">
        <v>197</v>
      </c>
      <c r="AK708" s="23" t="s">
        <v>197</v>
      </c>
      <c r="AL708" s="23" t="s">
        <v>197</v>
      </c>
      <c r="AM708" s="23" t="s">
        <v>197</v>
      </c>
      <c r="AN708" s="9" t="s">
        <v>197</v>
      </c>
      <c r="AO708" s="23" t="s">
        <v>197</v>
      </c>
      <c r="AP708" s="23" t="s">
        <v>197</v>
      </c>
      <c r="AQ708" s="23" t="s">
        <v>197</v>
      </c>
    </row>
    <row r="709" customFormat="false" ht="21.75" hidden="false" customHeight="true" outlineLevel="0" collapsed="false">
      <c r="B709" s="14" t="n">
        <v>705</v>
      </c>
      <c r="C709" s="7" t="s">
        <v>92</v>
      </c>
      <c r="D709" s="7" t="s">
        <v>20</v>
      </c>
      <c r="E709" s="7" t="s">
        <v>116</v>
      </c>
      <c r="F709" s="7" t="s">
        <v>101</v>
      </c>
      <c r="G709" s="7" t="s">
        <v>391</v>
      </c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18"/>
      <c r="V709" s="7"/>
      <c r="W709" s="7"/>
      <c r="X709" s="7" t="s">
        <v>3865</v>
      </c>
      <c r="Y709" s="22" t="s">
        <v>197</v>
      </c>
      <c r="Z709" s="22" t="s">
        <v>197</v>
      </c>
      <c r="AA709" s="22" t="s">
        <v>197</v>
      </c>
      <c r="AB709" s="7" t="s">
        <v>197</v>
      </c>
      <c r="AC709" s="7" t="s">
        <v>197</v>
      </c>
      <c r="AD709" s="22" t="s">
        <v>197</v>
      </c>
      <c r="AE709" s="22" t="s">
        <v>197</v>
      </c>
      <c r="AF709" s="22" t="s">
        <v>197</v>
      </c>
      <c r="AG709" s="22" t="s">
        <v>197</v>
      </c>
      <c r="AH709" s="22" t="s">
        <v>197</v>
      </c>
      <c r="AI709" s="22" t="s">
        <v>197</v>
      </c>
      <c r="AJ709" s="22" t="s">
        <v>197</v>
      </c>
      <c r="AK709" s="22" t="s">
        <v>197</v>
      </c>
      <c r="AL709" s="22" t="s">
        <v>197</v>
      </c>
      <c r="AM709" s="22" t="s">
        <v>197</v>
      </c>
      <c r="AN709" s="7" t="s">
        <v>197</v>
      </c>
      <c r="AO709" s="22" t="s">
        <v>197</v>
      </c>
      <c r="AP709" s="22" t="s">
        <v>197</v>
      </c>
      <c r="AQ709" s="22" t="s">
        <v>197</v>
      </c>
    </row>
    <row r="710" customFormat="false" ht="21.75" hidden="false" customHeight="true" outlineLevel="0" collapsed="false">
      <c r="B710" s="15" t="n">
        <v>706</v>
      </c>
      <c r="C710" s="9" t="s">
        <v>92</v>
      </c>
      <c r="D710" s="9" t="s">
        <v>20</v>
      </c>
      <c r="E710" s="9" t="s">
        <v>116</v>
      </c>
      <c r="F710" s="9" t="s">
        <v>102</v>
      </c>
      <c r="G710" s="9" t="s">
        <v>391</v>
      </c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19"/>
      <c r="V710" s="9"/>
      <c r="W710" s="9"/>
      <c r="X710" s="9" t="s">
        <v>3866</v>
      </c>
      <c r="Y710" s="23" t="s">
        <v>197</v>
      </c>
      <c r="Z710" s="23" t="s">
        <v>197</v>
      </c>
      <c r="AA710" s="23" t="s">
        <v>197</v>
      </c>
      <c r="AB710" s="9" t="s">
        <v>197</v>
      </c>
      <c r="AC710" s="9" t="s">
        <v>197</v>
      </c>
      <c r="AD710" s="23" t="s">
        <v>197</v>
      </c>
      <c r="AE710" s="23" t="s">
        <v>197</v>
      </c>
      <c r="AF710" s="23" t="s">
        <v>197</v>
      </c>
      <c r="AG710" s="23" t="s">
        <v>197</v>
      </c>
      <c r="AH710" s="23" t="s">
        <v>197</v>
      </c>
      <c r="AI710" s="23" t="s">
        <v>197</v>
      </c>
      <c r="AJ710" s="23" t="s">
        <v>197</v>
      </c>
      <c r="AK710" s="23" t="s">
        <v>197</v>
      </c>
      <c r="AL710" s="23" t="s">
        <v>197</v>
      </c>
      <c r="AM710" s="23" t="s">
        <v>197</v>
      </c>
      <c r="AN710" s="9" t="s">
        <v>197</v>
      </c>
      <c r="AO710" s="23" t="s">
        <v>197</v>
      </c>
      <c r="AP710" s="23" t="s">
        <v>197</v>
      </c>
      <c r="AQ710" s="23" t="s">
        <v>197</v>
      </c>
    </row>
    <row r="711" customFormat="false" ht="21.75" hidden="false" customHeight="true" outlineLevel="0" collapsed="false">
      <c r="B711" s="14" t="n">
        <v>707</v>
      </c>
      <c r="C711" s="7" t="s">
        <v>92</v>
      </c>
      <c r="D711" s="7" t="s">
        <v>20</v>
      </c>
      <c r="E711" s="7" t="s">
        <v>116</v>
      </c>
      <c r="F711" s="7" t="s">
        <v>103</v>
      </c>
      <c r="G711" s="7" t="s">
        <v>391</v>
      </c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18"/>
      <c r="V711" s="7"/>
      <c r="W711" s="7"/>
      <c r="X711" s="7" t="s">
        <v>3867</v>
      </c>
      <c r="Y711" s="22" t="s">
        <v>197</v>
      </c>
      <c r="Z711" s="22" t="s">
        <v>197</v>
      </c>
      <c r="AA711" s="22" t="s">
        <v>197</v>
      </c>
      <c r="AB711" s="7" t="s">
        <v>197</v>
      </c>
      <c r="AC711" s="7" t="s">
        <v>197</v>
      </c>
      <c r="AD711" s="22" t="s">
        <v>197</v>
      </c>
      <c r="AE711" s="22" t="s">
        <v>197</v>
      </c>
      <c r="AF711" s="22" t="s">
        <v>197</v>
      </c>
      <c r="AG711" s="22" t="s">
        <v>197</v>
      </c>
      <c r="AH711" s="22" t="s">
        <v>197</v>
      </c>
      <c r="AI711" s="22" t="s">
        <v>197</v>
      </c>
      <c r="AJ711" s="22" t="s">
        <v>197</v>
      </c>
      <c r="AK711" s="22" t="s">
        <v>197</v>
      </c>
      <c r="AL711" s="22" t="s">
        <v>197</v>
      </c>
      <c r="AM711" s="22" t="s">
        <v>197</v>
      </c>
      <c r="AN711" s="7" t="s">
        <v>197</v>
      </c>
      <c r="AO711" s="22" t="s">
        <v>197</v>
      </c>
      <c r="AP711" s="22" t="s">
        <v>197</v>
      </c>
      <c r="AQ711" s="22" t="s">
        <v>197</v>
      </c>
    </row>
    <row r="712" customFormat="false" ht="21.75" hidden="false" customHeight="true" outlineLevel="0" collapsed="false">
      <c r="B712" s="15" t="n">
        <v>708</v>
      </c>
      <c r="C712" s="9" t="s">
        <v>92</v>
      </c>
      <c r="D712" s="9" t="s">
        <v>20</v>
      </c>
      <c r="E712" s="9" t="s">
        <v>116</v>
      </c>
      <c r="F712" s="9" t="s">
        <v>104</v>
      </c>
      <c r="G712" s="9" t="s">
        <v>391</v>
      </c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19"/>
      <c r="V712" s="9"/>
      <c r="W712" s="9"/>
      <c r="X712" s="9" t="s">
        <v>3868</v>
      </c>
      <c r="Y712" s="23" t="s">
        <v>197</v>
      </c>
      <c r="Z712" s="23" t="s">
        <v>197</v>
      </c>
      <c r="AA712" s="23" t="s">
        <v>197</v>
      </c>
      <c r="AB712" s="9" t="s">
        <v>197</v>
      </c>
      <c r="AC712" s="9" t="s">
        <v>197</v>
      </c>
      <c r="AD712" s="23" t="s">
        <v>197</v>
      </c>
      <c r="AE712" s="23" t="s">
        <v>197</v>
      </c>
      <c r="AF712" s="23" t="s">
        <v>197</v>
      </c>
      <c r="AG712" s="23" t="s">
        <v>197</v>
      </c>
      <c r="AH712" s="23" t="s">
        <v>197</v>
      </c>
      <c r="AI712" s="23" t="s">
        <v>197</v>
      </c>
      <c r="AJ712" s="23" t="s">
        <v>197</v>
      </c>
      <c r="AK712" s="23" t="s">
        <v>197</v>
      </c>
      <c r="AL712" s="23" t="s">
        <v>197</v>
      </c>
      <c r="AM712" s="23" t="s">
        <v>197</v>
      </c>
      <c r="AN712" s="9" t="s">
        <v>197</v>
      </c>
      <c r="AO712" s="23" t="s">
        <v>197</v>
      </c>
      <c r="AP712" s="23" t="s">
        <v>197</v>
      </c>
      <c r="AQ712" s="23" t="s">
        <v>197</v>
      </c>
    </row>
    <row r="713" customFormat="false" ht="21.75" hidden="false" customHeight="true" outlineLevel="0" collapsed="false">
      <c r="B713" s="14" t="n">
        <v>709</v>
      </c>
      <c r="C713" s="7" t="s">
        <v>92</v>
      </c>
      <c r="D713" s="7" t="s">
        <v>20</v>
      </c>
      <c r="E713" s="7" t="s">
        <v>116</v>
      </c>
      <c r="F713" s="7" t="s">
        <v>105</v>
      </c>
      <c r="G713" s="7" t="s">
        <v>391</v>
      </c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18"/>
      <c r="V713" s="7"/>
      <c r="W713" s="7"/>
      <c r="X713" s="7" t="s">
        <v>3868</v>
      </c>
      <c r="Y713" s="22" t="s">
        <v>197</v>
      </c>
      <c r="Z713" s="22" t="s">
        <v>197</v>
      </c>
      <c r="AA713" s="22" t="s">
        <v>197</v>
      </c>
      <c r="AB713" s="7" t="s">
        <v>197</v>
      </c>
      <c r="AC713" s="7" t="s">
        <v>197</v>
      </c>
      <c r="AD713" s="22" t="s">
        <v>197</v>
      </c>
      <c r="AE713" s="22" t="s">
        <v>197</v>
      </c>
      <c r="AF713" s="22" t="s">
        <v>197</v>
      </c>
      <c r="AG713" s="22" t="s">
        <v>197</v>
      </c>
      <c r="AH713" s="22" t="s">
        <v>197</v>
      </c>
      <c r="AI713" s="22" t="s">
        <v>197</v>
      </c>
      <c r="AJ713" s="22" t="s">
        <v>197</v>
      </c>
      <c r="AK713" s="22" t="s">
        <v>197</v>
      </c>
      <c r="AL713" s="22" t="s">
        <v>197</v>
      </c>
      <c r="AM713" s="22" t="s">
        <v>197</v>
      </c>
      <c r="AN713" s="7" t="s">
        <v>197</v>
      </c>
      <c r="AO713" s="22" t="s">
        <v>197</v>
      </c>
      <c r="AP713" s="22" t="s">
        <v>197</v>
      </c>
      <c r="AQ713" s="22" t="s">
        <v>197</v>
      </c>
    </row>
    <row r="714" customFormat="false" ht="21.75" hidden="false" customHeight="true" outlineLevel="0" collapsed="false">
      <c r="B714" s="15" t="n">
        <v>710</v>
      </c>
      <c r="C714" s="9" t="s">
        <v>92</v>
      </c>
      <c r="D714" s="9" t="s">
        <v>20</v>
      </c>
      <c r="E714" s="9" t="s">
        <v>116</v>
      </c>
      <c r="F714" s="9" t="s">
        <v>106</v>
      </c>
      <c r="G714" s="9" t="s">
        <v>391</v>
      </c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19"/>
      <c r="V714" s="9"/>
      <c r="W714" s="9"/>
      <c r="X714" s="9" t="s">
        <v>3869</v>
      </c>
      <c r="Y714" s="23" t="s">
        <v>197</v>
      </c>
      <c r="Z714" s="23" t="s">
        <v>197</v>
      </c>
      <c r="AA714" s="23" t="s">
        <v>197</v>
      </c>
      <c r="AB714" s="9" t="s">
        <v>197</v>
      </c>
      <c r="AC714" s="9" t="s">
        <v>197</v>
      </c>
      <c r="AD714" s="23" t="s">
        <v>197</v>
      </c>
      <c r="AE714" s="23" t="s">
        <v>197</v>
      </c>
      <c r="AF714" s="23" t="s">
        <v>197</v>
      </c>
      <c r="AG714" s="23" t="s">
        <v>197</v>
      </c>
      <c r="AH714" s="23" t="s">
        <v>197</v>
      </c>
      <c r="AI714" s="23" t="s">
        <v>197</v>
      </c>
      <c r="AJ714" s="23" t="s">
        <v>197</v>
      </c>
      <c r="AK714" s="23" t="s">
        <v>197</v>
      </c>
      <c r="AL714" s="23" t="s">
        <v>197</v>
      </c>
      <c r="AM714" s="23" t="s">
        <v>197</v>
      </c>
      <c r="AN714" s="9" t="s">
        <v>197</v>
      </c>
      <c r="AO714" s="23" t="s">
        <v>197</v>
      </c>
      <c r="AP714" s="23" t="s">
        <v>197</v>
      </c>
      <c r="AQ714" s="23" t="s">
        <v>197</v>
      </c>
    </row>
    <row r="715" customFormat="false" ht="21.75" hidden="false" customHeight="true" outlineLevel="0" collapsed="false">
      <c r="B715" s="14" t="n">
        <v>711</v>
      </c>
      <c r="C715" s="7" t="s">
        <v>92</v>
      </c>
      <c r="D715" s="7" t="s">
        <v>20</v>
      </c>
      <c r="E715" s="7" t="s">
        <v>116</v>
      </c>
      <c r="F715" s="7" t="s">
        <v>107</v>
      </c>
      <c r="G715" s="7" t="s">
        <v>391</v>
      </c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18"/>
      <c r="V715" s="7"/>
      <c r="W715" s="7"/>
      <c r="X715" s="7" t="s">
        <v>3870</v>
      </c>
      <c r="Y715" s="22" t="s">
        <v>197</v>
      </c>
      <c r="Z715" s="22" t="s">
        <v>197</v>
      </c>
      <c r="AA715" s="22" t="s">
        <v>197</v>
      </c>
      <c r="AB715" s="7" t="s">
        <v>197</v>
      </c>
      <c r="AC715" s="7" t="s">
        <v>197</v>
      </c>
      <c r="AD715" s="22" t="s">
        <v>197</v>
      </c>
      <c r="AE715" s="22" t="s">
        <v>197</v>
      </c>
      <c r="AF715" s="22" t="s">
        <v>197</v>
      </c>
      <c r="AG715" s="22" t="s">
        <v>197</v>
      </c>
      <c r="AH715" s="22" t="s">
        <v>197</v>
      </c>
      <c r="AI715" s="22" t="s">
        <v>197</v>
      </c>
      <c r="AJ715" s="22" t="s">
        <v>197</v>
      </c>
      <c r="AK715" s="22" t="s">
        <v>197</v>
      </c>
      <c r="AL715" s="22" t="s">
        <v>197</v>
      </c>
      <c r="AM715" s="22" t="s">
        <v>197</v>
      </c>
      <c r="AN715" s="7" t="s">
        <v>197</v>
      </c>
      <c r="AO715" s="22" t="s">
        <v>197</v>
      </c>
      <c r="AP715" s="22" t="s">
        <v>197</v>
      </c>
      <c r="AQ715" s="22" t="s">
        <v>197</v>
      </c>
    </row>
    <row r="716" customFormat="false" ht="21.75" hidden="false" customHeight="true" outlineLevel="0" collapsed="false">
      <c r="B716" s="15" t="n">
        <v>712</v>
      </c>
      <c r="C716" s="9" t="s">
        <v>92</v>
      </c>
      <c r="D716" s="9" t="s">
        <v>20</v>
      </c>
      <c r="E716" s="9" t="s">
        <v>116</v>
      </c>
      <c r="F716" s="9" t="s">
        <v>108</v>
      </c>
      <c r="G716" s="9" t="s">
        <v>391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19"/>
      <c r="V716" s="9"/>
      <c r="W716" s="9"/>
      <c r="X716" s="9" t="s">
        <v>3871</v>
      </c>
      <c r="Y716" s="23" t="s">
        <v>197</v>
      </c>
      <c r="Z716" s="23" t="s">
        <v>197</v>
      </c>
      <c r="AA716" s="23" t="s">
        <v>197</v>
      </c>
      <c r="AB716" s="9" t="s">
        <v>197</v>
      </c>
      <c r="AC716" s="9" t="s">
        <v>197</v>
      </c>
      <c r="AD716" s="23" t="s">
        <v>197</v>
      </c>
      <c r="AE716" s="23" t="s">
        <v>197</v>
      </c>
      <c r="AF716" s="23" t="s">
        <v>197</v>
      </c>
      <c r="AG716" s="23" t="s">
        <v>197</v>
      </c>
      <c r="AH716" s="23" t="s">
        <v>197</v>
      </c>
      <c r="AI716" s="23" t="s">
        <v>197</v>
      </c>
      <c r="AJ716" s="23" t="s">
        <v>197</v>
      </c>
      <c r="AK716" s="23" t="s">
        <v>197</v>
      </c>
      <c r="AL716" s="23" t="s">
        <v>197</v>
      </c>
      <c r="AM716" s="23" t="s">
        <v>197</v>
      </c>
      <c r="AN716" s="9" t="s">
        <v>197</v>
      </c>
      <c r="AO716" s="23" t="s">
        <v>197</v>
      </c>
      <c r="AP716" s="23" t="s">
        <v>197</v>
      </c>
      <c r="AQ716" s="23" t="s">
        <v>197</v>
      </c>
    </row>
  </sheetData>
  <autoFilter ref="B4:AQ716"/>
  <mergeCells count="1">
    <mergeCell ref="B2:AQ2"/>
  </mergeCells>
  <conditionalFormatting sqref="G5:G716">
    <cfRule type="expression" priority="2" aboveAverage="0" equalAverage="0" bottom="0" percent="0" rank="0" text="" dxfId="7">
      <formula>ISNUMBER(SEARCH("No disponible",$G5))</formula>
    </cfRule>
  </conditionalFormatting>
  <dataValidations count="2">
    <dataValidation allowBlank="true" errorStyle="stop" operator="between" showDropDown="false" showErrorMessage="false" showInputMessage="false" sqref="D5:D716" type="list">
      <formula1>"Alta,Media,Entrada"</formula1>
      <formula2>0</formula2>
    </dataValidation>
    <dataValidation allowBlank="true" errorStyle="stop" operator="between" showDropDown="false" showErrorMessage="false" showInputMessage="false" sqref="W5:W716" type="list">
      <formula1>"En stock,Bajo pedido,Agotado,Consultar"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6B"/>
    <pageSetUpPr fitToPage="false"/>
  </sheetPr>
  <dimension ref="B2:Z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26"/>
    <col collapsed="false" customWidth="true" hidden="false" outlineLevel="0" max="4" min="4" style="1" width="18"/>
    <col collapsed="false" customWidth="true" hidden="false" outlineLevel="0" max="5" min="5" style="1" width="11"/>
    <col collapsed="false" customWidth="true" hidden="false" outlineLevel="0" max="6" min="6" style="1" width="30"/>
    <col collapsed="false" customWidth="true" hidden="false" outlineLevel="0" max="7" min="7" style="1" width="34"/>
    <col collapsed="false" customWidth="true" hidden="false" outlineLevel="0" max="8" min="8" style="1" width="30"/>
    <col collapsed="false" customWidth="true" hidden="false" outlineLevel="0" max="9" min="9" style="1" width="44"/>
    <col collapsed="false" customWidth="true" hidden="false" outlineLevel="0" max="10" min="10" style="1" width="30"/>
    <col collapsed="false" customWidth="true" hidden="false" outlineLevel="0" max="11" min="11" style="1" width="16"/>
    <col collapsed="false" customWidth="true" hidden="false" outlineLevel="0" max="12" min="12" style="1" width="18"/>
    <col collapsed="false" customWidth="true" hidden="false" outlineLevel="0" max="13" min="13" style="1" width="20"/>
    <col collapsed="false" customWidth="true" hidden="false" outlineLevel="0" max="14" min="14" style="1" width="10"/>
    <col collapsed="false" customWidth="true" hidden="false" outlineLevel="0" max="15" min="15" style="1" width="14"/>
    <col collapsed="false" customWidth="true" hidden="false" outlineLevel="0" max="16" min="16" style="1" width="16"/>
    <col collapsed="false" customWidth="true" hidden="false" outlineLevel="0" max="17" min="17" style="1" width="12"/>
    <col collapsed="false" customWidth="true" hidden="false" outlineLevel="0" max="18" min="18" style="1" width="42"/>
    <col collapsed="false" customWidth="true" hidden="false" outlineLevel="0" max="26" min="19" style="1" width="13"/>
  </cols>
  <sheetData>
    <row r="2" customFormat="false" ht="31.5" hidden="false" customHeight="true" outlineLevel="0" collapsed="false">
      <c r="B2" s="2" t="s">
        <v>3872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7.5" hidden="false" customHeight="true" outlineLevel="0" collapsed="false"/>
    <row r="4" customFormat="false" ht="27.75" hidden="false" customHeight="true" outlineLevel="0" collapsed="false">
      <c r="B4" s="5" t="s">
        <v>143</v>
      </c>
      <c r="C4" s="5" t="s">
        <v>3873</v>
      </c>
      <c r="D4" s="5" t="s">
        <v>110</v>
      </c>
      <c r="E4" s="5" t="s">
        <v>17</v>
      </c>
      <c r="F4" s="5" t="s">
        <v>145</v>
      </c>
      <c r="G4" s="5" t="s">
        <v>3874</v>
      </c>
      <c r="H4" s="5" t="s">
        <v>3875</v>
      </c>
      <c r="I4" s="5" t="s">
        <v>3876</v>
      </c>
      <c r="J4" s="5" t="s">
        <v>3877</v>
      </c>
      <c r="K4" s="5" t="s">
        <v>151</v>
      </c>
      <c r="L4" s="5" t="s">
        <v>3878</v>
      </c>
      <c r="M4" s="5" t="s">
        <v>155</v>
      </c>
      <c r="N4" s="5" t="s">
        <v>156</v>
      </c>
      <c r="O4" s="5" t="s">
        <v>159</v>
      </c>
      <c r="P4" s="5" t="s">
        <v>160</v>
      </c>
      <c r="Q4" s="5" t="s">
        <v>161</v>
      </c>
      <c r="R4" s="5" t="s">
        <v>162</v>
      </c>
      <c r="S4" s="5" t="s">
        <v>163</v>
      </c>
      <c r="T4" s="5" t="s">
        <v>164</v>
      </c>
      <c r="U4" s="5" t="s">
        <v>3879</v>
      </c>
      <c r="V4" s="5" t="s">
        <v>3880</v>
      </c>
      <c r="W4" s="5" t="s">
        <v>3881</v>
      </c>
      <c r="X4" s="5" t="s">
        <v>3882</v>
      </c>
      <c r="Y4" s="5" t="s">
        <v>3883</v>
      </c>
      <c r="Z4" s="5" t="s">
        <v>3884</v>
      </c>
    </row>
    <row r="5" customFormat="false" ht="21.75" hidden="false" customHeight="true" outlineLevel="0" collapsed="false">
      <c r="B5" s="14" t="n">
        <v>1</v>
      </c>
      <c r="C5" s="7" t="s">
        <v>133</v>
      </c>
      <c r="D5" s="7" t="s">
        <v>3885</v>
      </c>
      <c r="E5" s="14" t="s">
        <v>20</v>
      </c>
      <c r="F5" s="7" t="s">
        <v>3886</v>
      </c>
      <c r="G5" s="7" t="s">
        <v>3887</v>
      </c>
      <c r="H5" s="7" t="s">
        <v>3888</v>
      </c>
      <c r="I5" s="7" t="s">
        <v>3889</v>
      </c>
      <c r="J5" s="7" t="s">
        <v>3890</v>
      </c>
      <c r="K5" s="7" t="s">
        <v>3891</v>
      </c>
      <c r="L5" s="7" t="s">
        <v>3892</v>
      </c>
      <c r="M5" s="7" t="s">
        <v>3893</v>
      </c>
      <c r="N5" s="7" t="s">
        <v>3894</v>
      </c>
      <c r="O5" s="18" t="n">
        <v>24</v>
      </c>
      <c r="P5" s="7"/>
      <c r="Q5" s="7"/>
      <c r="R5" s="7" t="s">
        <v>3895</v>
      </c>
      <c r="S5" s="22" t="n">
        <v>0</v>
      </c>
      <c r="T5" s="22" t="n">
        <v>0</v>
      </c>
      <c r="U5" s="22" t="n">
        <v>12</v>
      </c>
      <c r="V5" s="22" t="n">
        <v>21</v>
      </c>
      <c r="W5" s="22" t="n">
        <v>7</v>
      </c>
      <c r="X5" s="22" t="s">
        <v>197</v>
      </c>
      <c r="Y5" s="22" t="s">
        <v>197</v>
      </c>
      <c r="Z5" s="22" t="s">
        <v>197</v>
      </c>
    </row>
    <row r="6" customFormat="false" ht="21.75" hidden="false" customHeight="true" outlineLevel="0" collapsed="false">
      <c r="B6" s="15" t="n">
        <v>2</v>
      </c>
      <c r="C6" s="9" t="s">
        <v>133</v>
      </c>
      <c r="D6" s="9" t="s">
        <v>3896</v>
      </c>
      <c r="E6" s="15" t="s">
        <v>26</v>
      </c>
      <c r="F6" s="9" t="s">
        <v>3897</v>
      </c>
      <c r="G6" s="9" t="s">
        <v>3898</v>
      </c>
      <c r="H6" s="9" t="s">
        <v>3899</v>
      </c>
      <c r="I6" s="9" t="s">
        <v>3900</v>
      </c>
      <c r="J6" s="9" t="s">
        <v>3901</v>
      </c>
      <c r="K6" s="9" t="s">
        <v>3891</v>
      </c>
      <c r="L6" s="9" t="s">
        <v>3892</v>
      </c>
      <c r="M6" s="9" t="s">
        <v>3893</v>
      </c>
      <c r="N6" s="9" t="s">
        <v>3902</v>
      </c>
      <c r="O6" s="19" t="n">
        <v>19</v>
      </c>
      <c r="P6" s="9"/>
      <c r="Q6" s="9"/>
      <c r="R6" s="9" t="s">
        <v>3903</v>
      </c>
      <c r="S6" s="23" t="n">
        <v>0</v>
      </c>
      <c r="T6" s="23" t="n">
        <v>0</v>
      </c>
      <c r="U6" s="23" t="n">
        <v>12</v>
      </c>
      <c r="V6" s="23" t="n">
        <v>21</v>
      </c>
      <c r="W6" s="23" t="n">
        <v>7</v>
      </c>
      <c r="X6" s="23" t="s">
        <v>197</v>
      </c>
      <c r="Y6" s="23" t="s">
        <v>197</v>
      </c>
      <c r="Z6" s="23" t="s">
        <v>197</v>
      </c>
    </row>
    <row r="7" customFormat="false" ht="21.75" hidden="false" customHeight="true" outlineLevel="0" collapsed="false">
      <c r="B7" s="14" t="n">
        <v>3</v>
      </c>
      <c r="C7" s="7" t="s">
        <v>133</v>
      </c>
      <c r="D7" s="7" t="s">
        <v>3904</v>
      </c>
      <c r="E7" s="14" t="s">
        <v>20</v>
      </c>
      <c r="F7" s="7" t="s">
        <v>3905</v>
      </c>
      <c r="G7" s="7" t="s">
        <v>3906</v>
      </c>
      <c r="H7" s="7" t="s">
        <v>3907</v>
      </c>
      <c r="I7" s="7" t="s">
        <v>3908</v>
      </c>
      <c r="J7" s="7" t="s">
        <v>3909</v>
      </c>
      <c r="K7" s="7" t="s">
        <v>3891</v>
      </c>
      <c r="L7" s="7" t="s">
        <v>3892</v>
      </c>
      <c r="M7" s="7" t="s">
        <v>3910</v>
      </c>
      <c r="N7" s="7" t="s">
        <v>3911</v>
      </c>
      <c r="O7" s="18" t="n">
        <v>38</v>
      </c>
      <c r="P7" s="7"/>
      <c r="Q7" s="7"/>
      <c r="R7" s="7" t="s">
        <v>3912</v>
      </c>
      <c r="S7" s="22" t="n">
        <v>0</v>
      </c>
      <c r="T7" s="22" t="n">
        <v>0</v>
      </c>
      <c r="U7" s="22" t="n">
        <v>12</v>
      </c>
      <c r="V7" s="22" t="n">
        <v>54</v>
      </c>
      <c r="W7" s="22" t="n">
        <v>18</v>
      </c>
      <c r="X7" s="22" t="s">
        <v>197</v>
      </c>
      <c r="Y7" s="22" t="s">
        <v>197</v>
      </c>
      <c r="Z7" s="22" t="s">
        <v>197</v>
      </c>
    </row>
    <row r="8" customFormat="false" ht="21.75" hidden="false" customHeight="true" outlineLevel="0" collapsed="false">
      <c r="B8" s="15" t="n">
        <v>4</v>
      </c>
      <c r="C8" s="9" t="s">
        <v>133</v>
      </c>
      <c r="D8" s="9" t="s">
        <v>3913</v>
      </c>
      <c r="E8" s="15" t="s">
        <v>23</v>
      </c>
      <c r="F8" s="9" t="s">
        <v>3914</v>
      </c>
      <c r="G8" s="9" t="s">
        <v>3915</v>
      </c>
      <c r="H8" s="9" t="s">
        <v>3916</v>
      </c>
      <c r="I8" s="9" t="s">
        <v>3917</v>
      </c>
      <c r="J8" s="9" t="s">
        <v>3918</v>
      </c>
      <c r="K8" s="9" t="s">
        <v>3919</v>
      </c>
      <c r="L8" s="9" t="s">
        <v>3892</v>
      </c>
      <c r="M8" s="9" t="s">
        <v>3920</v>
      </c>
      <c r="N8" s="9" t="s">
        <v>3921</v>
      </c>
      <c r="O8" s="19" t="n">
        <v>52</v>
      </c>
      <c r="P8" s="9"/>
      <c r="Q8" s="9"/>
      <c r="R8" s="9" t="s">
        <v>3922</v>
      </c>
      <c r="S8" s="23" t="n">
        <v>0</v>
      </c>
      <c r="T8" s="23" t="n">
        <v>0</v>
      </c>
      <c r="U8" s="23" t="n">
        <v>12</v>
      </c>
      <c r="V8" s="23" t="n">
        <v>78</v>
      </c>
      <c r="W8" s="23" t="n">
        <v>26</v>
      </c>
      <c r="X8" s="23" t="s">
        <v>197</v>
      </c>
      <c r="Y8" s="23" t="s">
        <v>197</v>
      </c>
      <c r="Z8" s="23" t="s">
        <v>197</v>
      </c>
    </row>
    <row r="9" customFormat="false" ht="21.75" hidden="false" customHeight="true" outlineLevel="0" collapsed="false">
      <c r="B9" s="14" t="n">
        <v>5</v>
      </c>
      <c r="C9" s="7" t="s">
        <v>133</v>
      </c>
      <c r="D9" s="7" t="s">
        <v>3923</v>
      </c>
      <c r="E9" s="14" t="s">
        <v>23</v>
      </c>
      <c r="F9" s="7" t="s">
        <v>3924</v>
      </c>
      <c r="G9" s="7" t="s">
        <v>3925</v>
      </c>
      <c r="H9" s="7" t="s">
        <v>3926</v>
      </c>
      <c r="I9" s="7" t="s">
        <v>3927</v>
      </c>
      <c r="J9" s="7" t="s">
        <v>3928</v>
      </c>
      <c r="K9" s="7" t="s">
        <v>3919</v>
      </c>
      <c r="L9" s="7" t="s">
        <v>3929</v>
      </c>
      <c r="M9" s="7" t="s">
        <v>3930</v>
      </c>
      <c r="N9" s="7" t="s">
        <v>3931</v>
      </c>
      <c r="O9" s="18" t="n">
        <v>95</v>
      </c>
      <c r="P9" s="7"/>
      <c r="Q9" s="7"/>
      <c r="R9" s="7" t="s">
        <v>3932</v>
      </c>
      <c r="S9" s="22" t="n">
        <v>0</v>
      </c>
      <c r="T9" s="22" t="n">
        <v>0</v>
      </c>
      <c r="U9" s="22" t="n">
        <v>12</v>
      </c>
      <c r="V9" s="22" t="n">
        <v>165</v>
      </c>
      <c r="W9" s="22" t="n">
        <v>55</v>
      </c>
      <c r="X9" s="22" t="s">
        <v>197</v>
      </c>
      <c r="Y9" s="22" t="s">
        <v>197</v>
      </c>
      <c r="Z9" s="22" t="s">
        <v>197</v>
      </c>
    </row>
    <row r="10" customFormat="false" ht="21.75" hidden="false" customHeight="true" outlineLevel="0" collapsed="false">
      <c r="B10" s="15" t="n">
        <v>6</v>
      </c>
      <c r="C10" s="9" t="s">
        <v>133</v>
      </c>
      <c r="D10" s="9" t="s">
        <v>3933</v>
      </c>
      <c r="E10" s="15" t="s">
        <v>23</v>
      </c>
      <c r="F10" s="9" t="s">
        <v>3934</v>
      </c>
      <c r="G10" s="9" t="s">
        <v>3935</v>
      </c>
      <c r="H10" s="9" t="s">
        <v>3936</v>
      </c>
      <c r="I10" s="9" t="s">
        <v>3937</v>
      </c>
      <c r="J10" s="9" t="s">
        <v>3938</v>
      </c>
      <c r="K10" s="9" t="s">
        <v>3939</v>
      </c>
      <c r="L10" s="9" t="s">
        <v>3892</v>
      </c>
      <c r="M10" s="9" t="s">
        <v>3940</v>
      </c>
      <c r="N10" s="9" t="s">
        <v>3941</v>
      </c>
      <c r="O10" s="19" t="n">
        <v>28</v>
      </c>
      <c r="P10" s="9"/>
      <c r="Q10" s="9"/>
      <c r="R10" s="9" t="s">
        <v>3942</v>
      </c>
      <c r="S10" s="23" t="n">
        <v>0</v>
      </c>
      <c r="T10" s="23" t="n">
        <v>0</v>
      </c>
      <c r="U10" s="23" t="n">
        <v>6</v>
      </c>
      <c r="V10" s="23" t="n">
        <v>36</v>
      </c>
      <c r="W10" s="23" t="n">
        <v>12</v>
      </c>
      <c r="X10" s="23" t="s">
        <v>197</v>
      </c>
      <c r="Y10" s="23" t="s">
        <v>197</v>
      </c>
      <c r="Z10" s="23" t="s">
        <v>197</v>
      </c>
    </row>
    <row r="11" customFormat="false" ht="21.75" hidden="false" customHeight="true" outlineLevel="0" collapsed="false">
      <c r="B11" s="14" t="n">
        <v>7</v>
      </c>
      <c r="C11" s="7" t="s">
        <v>133</v>
      </c>
      <c r="D11" s="7" t="s">
        <v>3885</v>
      </c>
      <c r="E11" s="14" t="s">
        <v>23</v>
      </c>
      <c r="F11" s="7" t="s">
        <v>3943</v>
      </c>
      <c r="G11" s="7" t="s">
        <v>3944</v>
      </c>
      <c r="H11" s="7" t="s">
        <v>3945</v>
      </c>
      <c r="I11" s="7" t="s">
        <v>3946</v>
      </c>
      <c r="J11" s="7" t="s">
        <v>3947</v>
      </c>
      <c r="K11" s="7" t="s">
        <v>3891</v>
      </c>
      <c r="L11" s="7" t="s">
        <v>3948</v>
      </c>
      <c r="M11" s="7" t="s">
        <v>3949</v>
      </c>
      <c r="N11" s="7" t="s">
        <v>3950</v>
      </c>
      <c r="O11" s="18" t="n">
        <v>14</v>
      </c>
      <c r="P11" s="7"/>
      <c r="Q11" s="7"/>
      <c r="R11" s="7" t="s">
        <v>3951</v>
      </c>
      <c r="S11" s="22" t="n">
        <v>0</v>
      </c>
      <c r="T11" s="22" t="n">
        <v>0</v>
      </c>
      <c r="U11" s="22" t="n">
        <v>12</v>
      </c>
      <c r="V11" s="22" t="n">
        <v>6.3</v>
      </c>
      <c r="W11" s="22" t="n">
        <v>2.1</v>
      </c>
      <c r="X11" s="22" t="s">
        <v>197</v>
      </c>
      <c r="Y11" s="22" t="s">
        <v>197</v>
      </c>
      <c r="Z11" s="22" t="s">
        <v>197</v>
      </c>
    </row>
    <row r="12" customFormat="false" ht="21.75" hidden="false" customHeight="true" outlineLevel="0" collapsed="false">
      <c r="B12" s="15" t="n">
        <v>8</v>
      </c>
      <c r="C12" s="9" t="s">
        <v>133</v>
      </c>
      <c r="D12" s="9" t="s">
        <v>3904</v>
      </c>
      <c r="E12" s="15" t="s">
        <v>20</v>
      </c>
      <c r="F12" s="9" t="s">
        <v>3952</v>
      </c>
      <c r="G12" s="9" t="s">
        <v>3953</v>
      </c>
      <c r="H12" s="9" t="s">
        <v>3954</v>
      </c>
      <c r="I12" s="9" t="s">
        <v>3955</v>
      </c>
      <c r="J12" s="9" t="s">
        <v>3956</v>
      </c>
      <c r="K12" s="9" t="s">
        <v>3919</v>
      </c>
      <c r="L12" s="9" t="s">
        <v>3957</v>
      </c>
      <c r="M12" s="9" t="s">
        <v>3958</v>
      </c>
      <c r="N12" s="9" t="s">
        <v>3959</v>
      </c>
      <c r="O12" s="19" t="n">
        <v>118</v>
      </c>
      <c r="P12" s="9"/>
      <c r="Q12" s="9"/>
      <c r="R12" s="9" t="s">
        <v>3960</v>
      </c>
      <c r="S12" s="23" t="n">
        <v>0</v>
      </c>
      <c r="T12" s="23" t="n">
        <v>0</v>
      </c>
      <c r="U12" s="23" t="n">
        <v>12</v>
      </c>
      <c r="V12" s="23" t="n">
        <v>275</v>
      </c>
      <c r="W12" s="23" t="n">
        <v>55</v>
      </c>
      <c r="X12" s="23" t="s">
        <v>197</v>
      </c>
      <c r="Y12" s="23" t="s">
        <v>197</v>
      </c>
      <c r="Z12" s="23" t="s">
        <v>197</v>
      </c>
    </row>
    <row r="13" customFormat="false" ht="21.75" hidden="false" customHeight="true" outlineLevel="0" collapsed="false">
      <c r="B13" s="14" t="n">
        <v>9</v>
      </c>
      <c r="C13" s="7" t="s">
        <v>133</v>
      </c>
      <c r="D13" s="7" t="s">
        <v>3933</v>
      </c>
      <c r="E13" s="14" t="s">
        <v>23</v>
      </c>
      <c r="F13" s="7" t="s">
        <v>3961</v>
      </c>
      <c r="G13" s="7" t="s">
        <v>3962</v>
      </c>
      <c r="H13" s="7" t="s">
        <v>3963</v>
      </c>
      <c r="I13" s="7" t="s">
        <v>3964</v>
      </c>
      <c r="J13" s="7" t="s">
        <v>3965</v>
      </c>
      <c r="K13" s="7" t="s">
        <v>3891</v>
      </c>
      <c r="L13" s="7" t="s">
        <v>3892</v>
      </c>
      <c r="M13" s="7" t="s">
        <v>3966</v>
      </c>
      <c r="N13" s="7" t="s">
        <v>3967</v>
      </c>
      <c r="O13" s="18" t="n">
        <v>32</v>
      </c>
      <c r="P13" s="7"/>
      <c r="Q13" s="7"/>
      <c r="R13" s="7" t="s">
        <v>3968</v>
      </c>
      <c r="S13" s="22" t="n">
        <v>0</v>
      </c>
      <c r="T13" s="22" t="n">
        <v>0</v>
      </c>
      <c r="U13" s="22" t="n">
        <v>12</v>
      </c>
      <c r="V13" s="22" t="n">
        <v>36</v>
      </c>
      <c r="W13" s="22" t="n">
        <v>12</v>
      </c>
      <c r="X13" s="22" t="s">
        <v>197</v>
      </c>
      <c r="Y13" s="22" t="s">
        <v>197</v>
      </c>
      <c r="Z13" s="22" t="s">
        <v>197</v>
      </c>
    </row>
    <row r="14" customFormat="false" ht="21.75" hidden="false" customHeight="true" outlineLevel="0" collapsed="false">
      <c r="B14" s="15" t="n">
        <v>10</v>
      </c>
      <c r="C14" s="9" t="s">
        <v>133</v>
      </c>
      <c r="D14" s="9" t="s">
        <v>3904</v>
      </c>
      <c r="E14" s="15" t="s">
        <v>23</v>
      </c>
      <c r="F14" s="9" t="s">
        <v>3969</v>
      </c>
      <c r="G14" s="9" t="s">
        <v>3970</v>
      </c>
      <c r="H14" s="9" t="s">
        <v>3926</v>
      </c>
      <c r="I14" s="9" t="s">
        <v>3971</v>
      </c>
      <c r="J14" s="9" t="s">
        <v>3972</v>
      </c>
      <c r="K14" s="9" t="s">
        <v>3919</v>
      </c>
      <c r="L14" s="9" t="s">
        <v>3929</v>
      </c>
      <c r="M14" s="9" t="s">
        <v>3973</v>
      </c>
      <c r="N14" s="9" t="s">
        <v>3974</v>
      </c>
      <c r="O14" s="19" t="n">
        <v>98</v>
      </c>
      <c r="P14" s="9"/>
      <c r="Q14" s="9"/>
      <c r="R14" s="9" t="s">
        <v>3975</v>
      </c>
      <c r="S14" s="23" t="n">
        <v>0</v>
      </c>
      <c r="T14" s="23" t="n">
        <v>0</v>
      </c>
      <c r="U14" s="23" t="n">
        <v>12</v>
      </c>
      <c r="V14" s="23" t="n">
        <v>165</v>
      </c>
      <c r="W14" s="23" t="n">
        <v>55</v>
      </c>
      <c r="X14" s="23" t="s">
        <v>197</v>
      </c>
      <c r="Y14" s="23" t="s">
        <v>197</v>
      </c>
      <c r="Z14" s="23" t="s">
        <v>197</v>
      </c>
    </row>
    <row r="15" customFormat="false" ht="21.75" hidden="false" customHeight="true" outlineLevel="0" collapsed="false">
      <c r="B15" s="14" t="n">
        <v>11</v>
      </c>
      <c r="C15" s="7" t="s">
        <v>134</v>
      </c>
      <c r="D15" s="7" t="s">
        <v>3976</v>
      </c>
      <c r="E15" s="14" t="s">
        <v>20</v>
      </c>
      <c r="F15" s="7" t="s">
        <v>3977</v>
      </c>
      <c r="G15" s="7" t="s">
        <v>3978</v>
      </c>
      <c r="H15" s="7" t="s">
        <v>3979</v>
      </c>
      <c r="I15" s="7" t="s">
        <v>3980</v>
      </c>
      <c r="J15" s="7" t="s">
        <v>3981</v>
      </c>
      <c r="K15" s="7" t="s">
        <v>3982</v>
      </c>
      <c r="L15" s="7" t="s">
        <v>3983</v>
      </c>
      <c r="M15" s="7" t="s">
        <v>3984</v>
      </c>
      <c r="N15" s="7" t="s">
        <v>816</v>
      </c>
      <c r="O15" s="18" t="n">
        <v>148</v>
      </c>
      <c r="P15" s="7"/>
      <c r="Q15" s="7"/>
      <c r="R15" s="7" t="s">
        <v>3985</v>
      </c>
      <c r="S15" s="22" t="n">
        <v>0.12</v>
      </c>
      <c r="T15" s="22" t="n">
        <v>0.18</v>
      </c>
      <c r="U15" s="22" t="s">
        <v>3986</v>
      </c>
      <c r="V15" s="22" t="n">
        <v>6</v>
      </c>
      <c r="W15" s="22" t="s">
        <v>197</v>
      </c>
      <c r="X15" s="22" t="s">
        <v>197</v>
      </c>
      <c r="Y15" s="22" t="s">
        <v>197</v>
      </c>
      <c r="Z15" s="22" t="s">
        <v>197</v>
      </c>
    </row>
    <row r="16" customFormat="false" ht="21.75" hidden="false" customHeight="true" outlineLevel="0" collapsed="false">
      <c r="B16" s="15" t="n">
        <v>12</v>
      </c>
      <c r="C16" s="9" t="s">
        <v>134</v>
      </c>
      <c r="D16" s="9" t="s">
        <v>3976</v>
      </c>
      <c r="E16" s="15" t="s">
        <v>20</v>
      </c>
      <c r="F16" s="9" t="s">
        <v>3987</v>
      </c>
      <c r="G16" s="9" t="s">
        <v>3988</v>
      </c>
      <c r="H16" s="9" t="s">
        <v>3989</v>
      </c>
      <c r="I16" s="9" t="s">
        <v>3990</v>
      </c>
      <c r="J16" s="9" t="s">
        <v>3991</v>
      </c>
      <c r="K16" s="9" t="s">
        <v>3992</v>
      </c>
      <c r="L16" s="9" t="s">
        <v>3993</v>
      </c>
      <c r="M16" s="9" t="s">
        <v>3994</v>
      </c>
      <c r="N16" s="9" t="s">
        <v>664</v>
      </c>
      <c r="O16" s="19" t="n">
        <v>62</v>
      </c>
      <c r="P16" s="9"/>
      <c r="Q16" s="9"/>
      <c r="R16" s="9" t="s">
        <v>3995</v>
      </c>
      <c r="S16" s="23" t="n">
        <v>0.08</v>
      </c>
      <c r="T16" s="23" t="n">
        <v>0.12</v>
      </c>
      <c r="U16" s="23" t="n">
        <v>12</v>
      </c>
      <c r="V16" s="23" t="n">
        <v>1.75</v>
      </c>
      <c r="W16" s="23" t="s">
        <v>197</v>
      </c>
      <c r="X16" s="23" t="s">
        <v>197</v>
      </c>
      <c r="Y16" s="23" t="s">
        <v>197</v>
      </c>
      <c r="Z16" s="23" t="s">
        <v>197</v>
      </c>
    </row>
    <row r="17" customFormat="false" ht="21.75" hidden="false" customHeight="true" outlineLevel="0" collapsed="false">
      <c r="B17" s="14" t="n">
        <v>13</v>
      </c>
      <c r="C17" s="7" t="s">
        <v>134</v>
      </c>
      <c r="D17" s="7" t="s">
        <v>3996</v>
      </c>
      <c r="E17" s="14" t="s">
        <v>26</v>
      </c>
      <c r="F17" s="7" t="s">
        <v>3997</v>
      </c>
      <c r="G17" s="7" t="s">
        <v>3998</v>
      </c>
      <c r="H17" s="7" t="s">
        <v>3999</v>
      </c>
      <c r="I17" s="7" t="s">
        <v>4000</v>
      </c>
      <c r="J17" s="7" t="s">
        <v>4001</v>
      </c>
      <c r="K17" s="7" t="s">
        <v>4002</v>
      </c>
      <c r="L17" s="7" t="s">
        <v>4003</v>
      </c>
      <c r="M17" s="7" t="s">
        <v>4004</v>
      </c>
      <c r="N17" s="7" t="s">
        <v>4005</v>
      </c>
      <c r="O17" s="18" t="n">
        <v>18</v>
      </c>
      <c r="P17" s="7"/>
      <c r="Q17" s="7"/>
      <c r="R17" s="7" t="s">
        <v>4006</v>
      </c>
      <c r="S17" s="22" t="n">
        <v>0.02</v>
      </c>
      <c r="T17" s="22" t="n">
        <v>0.03</v>
      </c>
      <c r="U17" s="22" t="n">
        <v>12</v>
      </c>
      <c r="V17" s="22" t="n">
        <v>4.2</v>
      </c>
      <c r="W17" s="22" t="s">
        <v>197</v>
      </c>
      <c r="X17" s="22" t="s">
        <v>197</v>
      </c>
      <c r="Y17" s="22" t="s">
        <v>197</v>
      </c>
      <c r="Z17" s="22" t="s">
        <v>197</v>
      </c>
    </row>
    <row r="18" customFormat="false" ht="21.75" hidden="false" customHeight="true" outlineLevel="0" collapsed="false">
      <c r="B18" s="15" t="n">
        <v>14</v>
      </c>
      <c r="C18" s="9" t="s">
        <v>134</v>
      </c>
      <c r="D18" s="9" t="s">
        <v>3996</v>
      </c>
      <c r="E18" s="15" t="s">
        <v>26</v>
      </c>
      <c r="F18" s="9" t="s">
        <v>4007</v>
      </c>
      <c r="G18" s="9" t="s">
        <v>4008</v>
      </c>
      <c r="H18" s="9" t="s">
        <v>4009</v>
      </c>
      <c r="I18" s="9" t="s">
        <v>4010</v>
      </c>
      <c r="J18" s="9" t="s">
        <v>4011</v>
      </c>
      <c r="K18" s="9" t="s">
        <v>4002</v>
      </c>
      <c r="L18" s="9" t="s">
        <v>4003</v>
      </c>
      <c r="M18" s="9" t="s">
        <v>4012</v>
      </c>
      <c r="N18" s="9" t="s">
        <v>4013</v>
      </c>
      <c r="O18" s="19" t="n">
        <v>24</v>
      </c>
      <c r="P18" s="9"/>
      <c r="Q18" s="9"/>
      <c r="R18" s="9" t="s">
        <v>4014</v>
      </c>
      <c r="S18" s="23" t="n">
        <v>0.03</v>
      </c>
      <c r="T18" s="23" t="n">
        <v>0.04</v>
      </c>
      <c r="U18" s="23" t="n">
        <v>12</v>
      </c>
      <c r="V18" s="23" t="n">
        <v>8.5</v>
      </c>
      <c r="W18" s="23" t="s">
        <v>197</v>
      </c>
      <c r="X18" s="23" t="s">
        <v>197</v>
      </c>
      <c r="Y18" s="23" t="s">
        <v>197</v>
      </c>
      <c r="Z18" s="23" t="s">
        <v>197</v>
      </c>
    </row>
    <row r="19" customFormat="false" ht="21.75" hidden="false" customHeight="true" outlineLevel="0" collapsed="false">
      <c r="B19" s="14" t="n">
        <v>15</v>
      </c>
      <c r="C19" s="7" t="s">
        <v>134</v>
      </c>
      <c r="D19" s="7" t="s">
        <v>3996</v>
      </c>
      <c r="E19" s="14" t="s">
        <v>23</v>
      </c>
      <c r="F19" s="7" t="s">
        <v>4015</v>
      </c>
      <c r="G19" s="7" t="s">
        <v>4016</v>
      </c>
      <c r="H19" s="7" t="s">
        <v>4017</v>
      </c>
      <c r="I19" s="7" t="s">
        <v>4018</v>
      </c>
      <c r="J19" s="7" t="s">
        <v>4019</v>
      </c>
      <c r="K19" s="7" t="s">
        <v>4002</v>
      </c>
      <c r="L19" s="7" t="s">
        <v>4003</v>
      </c>
      <c r="M19" s="7" t="s">
        <v>4020</v>
      </c>
      <c r="N19" s="7" t="s">
        <v>4021</v>
      </c>
      <c r="O19" s="18" t="n">
        <v>32</v>
      </c>
      <c r="P19" s="7"/>
      <c r="Q19" s="7"/>
      <c r="R19" s="7" t="s">
        <v>4022</v>
      </c>
      <c r="S19" s="22" t="n">
        <v>0.03</v>
      </c>
      <c r="T19" s="22" t="n">
        <v>0.05</v>
      </c>
      <c r="U19" s="22" t="n">
        <v>24</v>
      </c>
      <c r="V19" s="22" t="n">
        <v>6.5</v>
      </c>
      <c r="W19" s="22" t="s">
        <v>197</v>
      </c>
      <c r="X19" s="22" t="s">
        <v>197</v>
      </c>
      <c r="Y19" s="22" t="s">
        <v>197</v>
      </c>
      <c r="Z19" s="22" t="s">
        <v>197</v>
      </c>
    </row>
    <row r="20" customFormat="false" ht="21.75" hidden="false" customHeight="true" outlineLevel="0" collapsed="false">
      <c r="B20" s="15" t="n">
        <v>16</v>
      </c>
      <c r="C20" s="9" t="s">
        <v>134</v>
      </c>
      <c r="D20" s="9" t="s">
        <v>4023</v>
      </c>
      <c r="E20" s="15" t="s">
        <v>23</v>
      </c>
      <c r="F20" s="9" t="s">
        <v>4024</v>
      </c>
      <c r="G20" s="9" t="s">
        <v>4025</v>
      </c>
      <c r="H20" s="9" t="s">
        <v>4026</v>
      </c>
      <c r="I20" s="9" t="s">
        <v>4027</v>
      </c>
      <c r="J20" s="9" t="s">
        <v>4028</v>
      </c>
      <c r="K20" s="9" t="s">
        <v>4029</v>
      </c>
      <c r="L20" s="9" t="s">
        <v>4030</v>
      </c>
      <c r="M20" s="9" t="s">
        <v>4031</v>
      </c>
      <c r="N20" s="9" t="s">
        <v>2363</v>
      </c>
      <c r="O20" s="19" t="n">
        <v>265</v>
      </c>
      <c r="P20" s="9"/>
      <c r="Q20" s="9"/>
      <c r="R20" s="9" t="s">
        <v>4032</v>
      </c>
      <c r="S20" s="23" t="n">
        <v>0.15</v>
      </c>
      <c r="T20" s="23" t="n">
        <v>0.2</v>
      </c>
      <c r="U20" s="23" t="n">
        <v>24</v>
      </c>
      <c r="V20" s="23" t="n">
        <v>5</v>
      </c>
      <c r="W20" s="23" t="s">
        <v>197</v>
      </c>
      <c r="X20" s="23" t="s">
        <v>197</v>
      </c>
      <c r="Y20" s="23" t="s">
        <v>197</v>
      </c>
      <c r="Z20" s="23" t="s">
        <v>197</v>
      </c>
    </row>
    <row r="21" customFormat="false" ht="21.75" hidden="false" customHeight="true" outlineLevel="0" collapsed="false">
      <c r="B21" s="14" t="n">
        <v>17</v>
      </c>
      <c r="C21" s="7" t="s">
        <v>134</v>
      </c>
      <c r="D21" s="7" t="s">
        <v>3976</v>
      </c>
      <c r="E21" s="14" t="s">
        <v>20</v>
      </c>
      <c r="F21" s="7" t="s">
        <v>4033</v>
      </c>
      <c r="G21" s="7" t="s">
        <v>4034</v>
      </c>
      <c r="H21" s="7" t="s">
        <v>4035</v>
      </c>
      <c r="I21" s="7" t="s">
        <v>4036</v>
      </c>
      <c r="J21" s="7" t="s">
        <v>4037</v>
      </c>
      <c r="K21" s="7" t="s">
        <v>3992</v>
      </c>
      <c r="L21" s="7" t="s">
        <v>4038</v>
      </c>
      <c r="M21" s="7" t="s">
        <v>3984</v>
      </c>
      <c r="N21" s="7" t="s">
        <v>4039</v>
      </c>
      <c r="O21" s="18" t="n">
        <v>155</v>
      </c>
      <c r="P21" s="7"/>
      <c r="Q21" s="7"/>
      <c r="R21" s="7" t="s">
        <v>4040</v>
      </c>
      <c r="S21" s="22" t="n">
        <v>0.1</v>
      </c>
      <c r="T21" s="22" t="n">
        <v>0.15</v>
      </c>
      <c r="U21" s="22" t="n">
        <v>24</v>
      </c>
      <c r="V21" s="22" t="n">
        <v>2.5</v>
      </c>
      <c r="W21" s="22" t="s">
        <v>197</v>
      </c>
      <c r="X21" s="22" t="s">
        <v>197</v>
      </c>
      <c r="Y21" s="22" t="s">
        <v>197</v>
      </c>
      <c r="Z21" s="22" t="s">
        <v>197</v>
      </c>
    </row>
    <row r="22" customFormat="false" ht="21.75" hidden="false" customHeight="true" outlineLevel="0" collapsed="false">
      <c r="B22" s="15" t="n">
        <v>18</v>
      </c>
      <c r="C22" s="9" t="s">
        <v>134</v>
      </c>
      <c r="D22" s="9" t="s">
        <v>3976</v>
      </c>
      <c r="E22" s="15" t="s">
        <v>20</v>
      </c>
      <c r="F22" s="9" t="s">
        <v>3987</v>
      </c>
      <c r="G22" s="9" t="s">
        <v>4041</v>
      </c>
      <c r="H22" s="9" t="s">
        <v>4042</v>
      </c>
      <c r="I22" s="9" t="s">
        <v>4043</v>
      </c>
      <c r="J22" s="9" t="s">
        <v>4044</v>
      </c>
      <c r="K22" s="9" t="s">
        <v>4045</v>
      </c>
      <c r="L22" s="9" t="s">
        <v>4046</v>
      </c>
      <c r="M22" s="9" t="s">
        <v>4047</v>
      </c>
      <c r="N22" s="9" t="s">
        <v>4039</v>
      </c>
      <c r="O22" s="19" t="n">
        <v>128</v>
      </c>
      <c r="P22" s="9"/>
      <c r="Q22" s="9"/>
      <c r="R22" s="9" t="s">
        <v>4048</v>
      </c>
      <c r="S22" s="23" t="n">
        <v>0.12</v>
      </c>
      <c r="T22" s="23" t="n">
        <v>0.18</v>
      </c>
      <c r="U22" s="23" t="s">
        <v>3986</v>
      </c>
      <c r="V22" s="23" t="n">
        <v>6.5</v>
      </c>
      <c r="W22" s="23" t="s">
        <v>197</v>
      </c>
      <c r="X22" s="23" t="s">
        <v>197</v>
      </c>
      <c r="Y22" s="23" t="s">
        <v>197</v>
      </c>
      <c r="Z22" s="23" t="s">
        <v>197</v>
      </c>
    </row>
    <row r="23" customFormat="false" ht="21.75" hidden="false" customHeight="true" outlineLevel="0" collapsed="false">
      <c r="B23" s="14" t="n">
        <v>19</v>
      </c>
      <c r="C23" s="7" t="s">
        <v>134</v>
      </c>
      <c r="D23" s="7" t="s">
        <v>3976</v>
      </c>
      <c r="E23" s="14" t="s">
        <v>23</v>
      </c>
      <c r="F23" s="7" t="s">
        <v>4049</v>
      </c>
      <c r="G23" s="7" t="s">
        <v>4050</v>
      </c>
      <c r="H23" s="7" t="s">
        <v>4051</v>
      </c>
      <c r="I23" s="7" t="s">
        <v>4052</v>
      </c>
      <c r="J23" s="7" t="s">
        <v>4053</v>
      </c>
      <c r="K23" s="7" t="s">
        <v>4054</v>
      </c>
      <c r="L23" s="7" t="s">
        <v>4046</v>
      </c>
      <c r="M23" s="7" t="s">
        <v>4055</v>
      </c>
      <c r="N23" s="7" t="s">
        <v>1746</v>
      </c>
      <c r="O23" s="18" t="n">
        <v>156</v>
      </c>
      <c r="P23" s="7"/>
      <c r="Q23" s="7"/>
      <c r="R23" s="7" t="s">
        <v>4056</v>
      </c>
      <c r="S23" s="22" t="n">
        <v>0.15</v>
      </c>
      <c r="T23" s="22" t="n">
        <v>0.2</v>
      </c>
      <c r="U23" s="22" t="s">
        <v>3986</v>
      </c>
      <c r="V23" s="22" t="n">
        <v>6</v>
      </c>
      <c r="W23" s="22" t="s">
        <v>197</v>
      </c>
      <c r="X23" s="22" t="s">
        <v>197</v>
      </c>
      <c r="Y23" s="22" t="s">
        <v>197</v>
      </c>
      <c r="Z23" s="22" t="s">
        <v>197</v>
      </c>
    </row>
    <row r="24" customFormat="false" ht="21.75" hidden="false" customHeight="true" outlineLevel="0" collapsed="false">
      <c r="B24" s="15" t="n">
        <v>20</v>
      </c>
      <c r="C24" s="9" t="s">
        <v>135</v>
      </c>
      <c r="D24" s="9" t="s">
        <v>4023</v>
      </c>
      <c r="E24" s="15" t="s">
        <v>23</v>
      </c>
      <c r="F24" s="9" t="s">
        <v>4057</v>
      </c>
      <c r="G24" s="9" t="s">
        <v>4058</v>
      </c>
      <c r="H24" s="9" t="s">
        <v>4059</v>
      </c>
      <c r="I24" s="9" t="s">
        <v>4060</v>
      </c>
      <c r="J24" s="9" t="s">
        <v>4061</v>
      </c>
      <c r="K24" s="9" t="s">
        <v>189</v>
      </c>
      <c r="L24" s="9" t="s">
        <v>4062</v>
      </c>
      <c r="M24" s="9" t="s">
        <v>4063</v>
      </c>
      <c r="N24" s="9" t="s">
        <v>4064</v>
      </c>
      <c r="O24" s="19" t="n">
        <v>65</v>
      </c>
      <c r="P24" s="9"/>
      <c r="Q24" s="9"/>
      <c r="R24" s="9" t="s">
        <v>4065</v>
      </c>
      <c r="S24" s="23" t="s">
        <v>197</v>
      </c>
      <c r="T24" s="23" t="s">
        <v>197</v>
      </c>
      <c r="U24" s="23" t="s">
        <v>197</v>
      </c>
      <c r="V24" s="23" t="s">
        <v>197</v>
      </c>
      <c r="W24" s="23" t="s">
        <v>197</v>
      </c>
      <c r="X24" s="23" t="s">
        <v>197</v>
      </c>
      <c r="Y24" s="23" t="s">
        <v>197</v>
      </c>
      <c r="Z24" s="23" t="s">
        <v>197</v>
      </c>
    </row>
    <row r="25" customFormat="false" ht="21.75" hidden="false" customHeight="true" outlineLevel="0" collapsed="false">
      <c r="B25" s="14" t="n">
        <v>21</v>
      </c>
      <c r="C25" s="7" t="s">
        <v>135</v>
      </c>
      <c r="D25" s="7" t="s">
        <v>4023</v>
      </c>
      <c r="E25" s="14" t="s">
        <v>23</v>
      </c>
      <c r="F25" s="7" t="s">
        <v>4066</v>
      </c>
      <c r="G25" s="7" t="s">
        <v>4067</v>
      </c>
      <c r="H25" s="7" t="s">
        <v>4068</v>
      </c>
      <c r="I25" s="7" t="s">
        <v>4069</v>
      </c>
      <c r="J25" s="7" t="s">
        <v>4070</v>
      </c>
      <c r="K25" s="7" t="s">
        <v>189</v>
      </c>
      <c r="L25" s="7" t="s">
        <v>4071</v>
      </c>
      <c r="M25" s="7" t="s">
        <v>4072</v>
      </c>
      <c r="N25" s="7" t="s">
        <v>4073</v>
      </c>
      <c r="O25" s="18" t="n">
        <v>95</v>
      </c>
      <c r="P25" s="7"/>
      <c r="Q25" s="7"/>
      <c r="R25" s="7" t="s">
        <v>4074</v>
      </c>
      <c r="S25" s="22" t="s">
        <v>197</v>
      </c>
      <c r="T25" s="22" t="s">
        <v>197</v>
      </c>
      <c r="U25" s="22" t="s">
        <v>197</v>
      </c>
      <c r="V25" s="22" t="s">
        <v>197</v>
      </c>
      <c r="W25" s="22" t="s">
        <v>197</v>
      </c>
      <c r="X25" s="22" t="s">
        <v>197</v>
      </c>
      <c r="Y25" s="22" t="s">
        <v>197</v>
      </c>
      <c r="Z25" s="22" t="s">
        <v>197</v>
      </c>
    </row>
    <row r="26" customFormat="false" ht="21.75" hidden="false" customHeight="true" outlineLevel="0" collapsed="false">
      <c r="B26" s="15" t="n">
        <v>22</v>
      </c>
      <c r="C26" s="9" t="s">
        <v>135</v>
      </c>
      <c r="D26" s="9" t="s">
        <v>41</v>
      </c>
      <c r="E26" s="15" t="s">
        <v>23</v>
      </c>
      <c r="F26" s="9" t="s">
        <v>4075</v>
      </c>
      <c r="G26" s="9" t="s">
        <v>4076</v>
      </c>
      <c r="H26" s="9" t="s">
        <v>4077</v>
      </c>
      <c r="I26" s="9" t="s">
        <v>4078</v>
      </c>
      <c r="J26" s="9" t="s">
        <v>4079</v>
      </c>
      <c r="K26" s="9" t="s">
        <v>189</v>
      </c>
      <c r="L26" s="9" t="s">
        <v>4038</v>
      </c>
      <c r="M26" s="9" t="s">
        <v>4080</v>
      </c>
      <c r="N26" s="9" t="s">
        <v>664</v>
      </c>
      <c r="O26" s="19" t="n">
        <v>22</v>
      </c>
      <c r="P26" s="9"/>
      <c r="Q26" s="9"/>
      <c r="R26" s="9" t="s">
        <v>4081</v>
      </c>
      <c r="S26" s="23" t="s">
        <v>197</v>
      </c>
      <c r="T26" s="23" t="s">
        <v>197</v>
      </c>
      <c r="U26" s="23" t="s">
        <v>197</v>
      </c>
      <c r="V26" s="23" t="s">
        <v>197</v>
      </c>
      <c r="W26" s="23" t="s">
        <v>197</v>
      </c>
      <c r="X26" s="23" t="s">
        <v>197</v>
      </c>
      <c r="Y26" s="23" t="s">
        <v>197</v>
      </c>
      <c r="Z26" s="23" t="s">
        <v>197</v>
      </c>
    </row>
    <row r="27" customFormat="false" ht="21.75" hidden="false" customHeight="true" outlineLevel="0" collapsed="false">
      <c r="B27" s="14" t="n">
        <v>23</v>
      </c>
      <c r="C27" s="7" t="s">
        <v>135</v>
      </c>
      <c r="D27" s="7" t="s">
        <v>4082</v>
      </c>
      <c r="E27" s="14" t="s">
        <v>20</v>
      </c>
      <c r="F27" s="7" t="s">
        <v>4083</v>
      </c>
      <c r="G27" s="7" t="s">
        <v>4084</v>
      </c>
      <c r="H27" s="7" t="s">
        <v>4085</v>
      </c>
      <c r="I27" s="7" t="s">
        <v>4086</v>
      </c>
      <c r="J27" s="7" t="s">
        <v>4087</v>
      </c>
      <c r="K27" s="7" t="s">
        <v>189</v>
      </c>
      <c r="L27" s="7" t="s">
        <v>4088</v>
      </c>
      <c r="M27" s="7" t="s">
        <v>4089</v>
      </c>
      <c r="N27" s="7" t="s">
        <v>2684</v>
      </c>
      <c r="O27" s="18" t="n">
        <v>120</v>
      </c>
      <c r="P27" s="7"/>
      <c r="Q27" s="7"/>
      <c r="R27" s="7" t="s">
        <v>4090</v>
      </c>
      <c r="S27" s="22" t="s">
        <v>197</v>
      </c>
      <c r="T27" s="22" t="s">
        <v>197</v>
      </c>
      <c r="U27" s="22" t="s">
        <v>197</v>
      </c>
      <c r="V27" s="22" t="s">
        <v>197</v>
      </c>
      <c r="W27" s="22" t="s">
        <v>197</v>
      </c>
      <c r="X27" s="22" t="s">
        <v>197</v>
      </c>
      <c r="Y27" s="22" t="s">
        <v>197</v>
      </c>
      <c r="Z27" s="22" t="s">
        <v>197</v>
      </c>
    </row>
    <row r="28" customFormat="false" ht="21.75" hidden="false" customHeight="true" outlineLevel="0" collapsed="false">
      <c r="B28" s="15" t="n">
        <v>24</v>
      </c>
      <c r="C28" s="9" t="s">
        <v>135</v>
      </c>
      <c r="D28" s="9" t="s">
        <v>4082</v>
      </c>
      <c r="E28" s="15" t="s">
        <v>20</v>
      </c>
      <c r="F28" s="9" t="s">
        <v>4091</v>
      </c>
      <c r="G28" s="9" t="s">
        <v>4092</v>
      </c>
      <c r="H28" s="9" t="s">
        <v>4093</v>
      </c>
      <c r="I28" s="9" t="s">
        <v>4094</v>
      </c>
      <c r="J28" s="9" t="s">
        <v>4095</v>
      </c>
      <c r="K28" s="9" t="s">
        <v>189</v>
      </c>
      <c r="L28" s="9" t="s">
        <v>4096</v>
      </c>
      <c r="M28" s="9" t="s">
        <v>4097</v>
      </c>
      <c r="N28" s="9" t="s">
        <v>4098</v>
      </c>
      <c r="O28" s="19" t="n">
        <v>130</v>
      </c>
      <c r="P28" s="9"/>
      <c r="Q28" s="9"/>
      <c r="R28" s="9" t="s">
        <v>4099</v>
      </c>
      <c r="S28" s="23" t="s">
        <v>197</v>
      </c>
      <c r="T28" s="23" t="s">
        <v>197</v>
      </c>
      <c r="U28" s="23" t="s">
        <v>197</v>
      </c>
      <c r="V28" s="23" t="s">
        <v>197</v>
      </c>
      <c r="W28" s="23" t="s">
        <v>197</v>
      </c>
      <c r="X28" s="23" t="s">
        <v>197</v>
      </c>
      <c r="Y28" s="23" t="s">
        <v>197</v>
      </c>
      <c r="Z28" s="23" t="s">
        <v>197</v>
      </c>
    </row>
    <row r="29" customFormat="false" ht="21.75" hidden="false" customHeight="true" outlineLevel="0" collapsed="false">
      <c r="B29" s="14" t="n">
        <v>25</v>
      </c>
      <c r="C29" s="7" t="s">
        <v>135</v>
      </c>
      <c r="D29" s="7" t="s">
        <v>4023</v>
      </c>
      <c r="E29" s="14" t="s">
        <v>26</v>
      </c>
      <c r="F29" s="7" t="s">
        <v>4100</v>
      </c>
      <c r="G29" s="7" t="s">
        <v>4101</v>
      </c>
      <c r="H29" s="7" t="s">
        <v>4102</v>
      </c>
      <c r="I29" s="7" t="s">
        <v>4103</v>
      </c>
      <c r="J29" s="7" t="s">
        <v>4104</v>
      </c>
      <c r="K29" s="7" t="s">
        <v>189</v>
      </c>
      <c r="L29" s="7" t="s">
        <v>4105</v>
      </c>
      <c r="M29" s="7" t="s">
        <v>4106</v>
      </c>
      <c r="N29" s="7" t="s">
        <v>4107</v>
      </c>
      <c r="O29" s="18" t="n">
        <v>18</v>
      </c>
      <c r="P29" s="7"/>
      <c r="Q29" s="7"/>
      <c r="R29" s="7" t="s">
        <v>4108</v>
      </c>
      <c r="S29" s="22" t="s">
        <v>197</v>
      </c>
      <c r="T29" s="22" t="s">
        <v>197</v>
      </c>
      <c r="U29" s="22" t="s">
        <v>197</v>
      </c>
      <c r="V29" s="22" t="s">
        <v>197</v>
      </c>
      <c r="W29" s="22" t="s">
        <v>197</v>
      </c>
      <c r="X29" s="22" t="s">
        <v>197</v>
      </c>
      <c r="Y29" s="22" t="s">
        <v>197</v>
      </c>
      <c r="Z29" s="22" t="s">
        <v>197</v>
      </c>
    </row>
    <row r="30" customFormat="false" ht="21.75" hidden="false" customHeight="true" outlineLevel="0" collapsed="false">
      <c r="B30" s="15" t="n">
        <v>26</v>
      </c>
      <c r="C30" s="9" t="s">
        <v>135</v>
      </c>
      <c r="D30" s="9" t="s">
        <v>4109</v>
      </c>
      <c r="E30" s="15" t="s">
        <v>26</v>
      </c>
      <c r="F30" s="9" t="s">
        <v>4110</v>
      </c>
      <c r="G30" s="9" t="s">
        <v>4111</v>
      </c>
      <c r="H30" s="9" t="s">
        <v>4112</v>
      </c>
      <c r="I30" s="9" t="s">
        <v>4113</v>
      </c>
      <c r="J30" s="9" t="s">
        <v>4114</v>
      </c>
      <c r="K30" s="9" t="s">
        <v>189</v>
      </c>
      <c r="L30" s="9" t="s">
        <v>4115</v>
      </c>
      <c r="M30" s="9" t="s">
        <v>4116</v>
      </c>
      <c r="N30" s="9" t="s">
        <v>3950</v>
      </c>
      <c r="O30" s="19" t="n">
        <v>15</v>
      </c>
      <c r="P30" s="9"/>
      <c r="Q30" s="9"/>
      <c r="R30" s="9" t="s">
        <v>4117</v>
      </c>
      <c r="S30" s="23" t="s">
        <v>197</v>
      </c>
      <c r="T30" s="23" t="s">
        <v>197</v>
      </c>
      <c r="U30" s="23" t="s">
        <v>197</v>
      </c>
      <c r="V30" s="23" t="s">
        <v>197</v>
      </c>
      <c r="W30" s="23" t="s">
        <v>197</v>
      </c>
      <c r="X30" s="23" t="s">
        <v>197</v>
      </c>
      <c r="Y30" s="23" t="s">
        <v>197</v>
      </c>
      <c r="Z30" s="23" t="s">
        <v>197</v>
      </c>
    </row>
    <row r="31" customFormat="false" ht="21.75" hidden="false" customHeight="true" outlineLevel="0" collapsed="false">
      <c r="B31" s="14" t="n">
        <v>27</v>
      </c>
      <c r="C31" s="7" t="s">
        <v>136</v>
      </c>
      <c r="D31" s="7" t="s">
        <v>4118</v>
      </c>
      <c r="E31" s="14" t="s">
        <v>23</v>
      </c>
      <c r="F31" s="7" t="s">
        <v>4119</v>
      </c>
      <c r="G31" s="7" t="s">
        <v>4120</v>
      </c>
      <c r="H31" s="7" t="s">
        <v>4121</v>
      </c>
      <c r="I31" s="7" t="s">
        <v>4122</v>
      </c>
      <c r="J31" s="7" t="s">
        <v>4123</v>
      </c>
      <c r="K31" s="7" t="s">
        <v>189</v>
      </c>
      <c r="L31" s="7" t="s">
        <v>4124</v>
      </c>
      <c r="M31" s="7" t="s">
        <v>4125</v>
      </c>
      <c r="N31" s="7" t="s">
        <v>4126</v>
      </c>
      <c r="O31" s="18" t="n">
        <v>42</v>
      </c>
      <c r="P31" s="7"/>
      <c r="Q31" s="7"/>
      <c r="R31" s="7" t="s">
        <v>4127</v>
      </c>
      <c r="S31" s="22" t="s">
        <v>197</v>
      </c>
      <c r="T31" s="22" t="s">
        <v>197</v>
      </c>
      <c r="U31" s="22" t="n">
        <v>300</v>
      </c>
      <c r="V31" s="22" t="n">
        <v>7</v>
      </c>
      <c r="W31" s="22" t="s">
        <v>197</v>
      </c>
      <c r="X31" s="22" t="n">
        <v>0.82</v>
      </c>
      <c r="Y31" s="22" t="n">
        <v>2</v>
      </c>
      <c r="Z31" s="22" t="n">
        <v>7</v>
      </c>
    </row>
    <row r="32" customFormat="false" ht="21.75" hidden="false" customHeight="true" outlineLevel="0" collapsed="false">
      <c r="B32" s="15" t="n">
        <v>28</v>
      </c>
      <c r="C32" s="9" t="s">
        <v>136</v>
      </c>
      <c r="D32" s="9" t="s">
        <v>4118</v>
      </c>
      <c r="E32" s="15" t="s">
        <v>23</v>
      </c>
      <c r="F32" s="9" t="s">
        <v>4128</v>
      </c>
      <c r="G32" s="9" t="s">
        <v>4129</v>
      </c>
      <c r="H32" s="9" t="s">
        <v>4130</v>
      </c>
      <c r="I32" s="9" t="s">
        <v>4131</v>
      </c>
      <c r="J32" s="9" t="s">
        <v>4132</v>
      </c>
      <c r="K32" s="9" t="s">
        <v>189</v>
      </c>
      <c r="L32" s="9" t="s">
        <v>4133</v>
      </c>
      <c r="M32" s="9" t="s">
        <v>4125</v>
      </c>
      <c r="N32" s="9" t="s">
        <v>4134</v>
      </c>
      <c r="O32" s="19" t="n">
        <v>48</v>
      </c>
      <c r="P32" s="9"/>
      <c r="Q32" s="9"/>
      <c r="R32" s="9" t="s">
        <v>4135</v>
      </c>
      <c r="S32" s="23" t="s">
        <v>197</v>
      </c>
      <c r="T32" s="23" t="s">
        <v>197</v>
      </c>
      <c r="U32" s="23" t="n">
        <v>300</v>
      </c>
      <c r="V32" s="23" t="n">
        <v>7</v>
      </c>
      <c r="W32" s="23" t="s">
        <v>197</v>
      </c>
      <c r="X32" s="23" t="n">
        <v>0.82</v>
      </c>
      <c r="Y32" s="23" t="n">
        <v>2</v>
      </c>
      <c r="Z32" s="23" t="n">
        <v>7</v>
      </c>
    </row>
    <row r="33" customFormat="false" ht="21.75" hidden="false" customHeight="true" outlineLevel="0" collapsed="false">
      <c r="B33" s="14" t="n">
        <v>29</v>
      </c>
      <c r="C33" s="7" t="s">
        <v>136</v>
      </c>
      <c r="D33" s="7" t="s">
        <v>4118</v>
      </c>
      <c r="E33" s="14" t="s">
        <v>23</v>
      </c>
      <c r="F33" s="7" t="s">
        <v>4136</v>
      </c>
      <c r="G33" s="7" t="s">
        <v>4137</v>
      </c>
      <c r="H33" s="7" t="s">
        <v>4138</v>
      </c>
      <c r="I33" s="7" t="s">
        <v>4139</v>
      </c>
      <c r="J33" s="7" t="s">
        <v>4140</v>
      </c>
      <c r="K33" s="7" t="s">
        <v>189</v>
      </c>
      <c r="L33" s="7" t="s">
        <v>4124</v>
      </c>
      <c r="M33" s="7" t="s">
        <v>4125</v>
      </c>
      <c r="N33" s="7" t="s">
        <v>4141</v>
      </c>
      <c r="O33" s="18" t="n">
        <v>58</v>
      </c>
      <c r="P33" s="7"/>
      <c r="Q33" s="7"/>
      <c r="R33" s="7" t="s">
        <v>4142</v>
      </c>
      <c r="S33" s="22" t="s">
        <v>197</v>
      </c>
      <c r="T33" s="22" t="s">
        <v>197</v>
      </c>
      <c r="U33" s="22" t="n">
        <v>300</v>
      </c>
      <c r="V33" s="22" t="n">
        <v>7</v>
      </c>
      <c r="W33" s="22" t="s">
        <v>197</v>
      </c>
      <c r="X33" s="22" t="n">
        <v>0.82</v>
      </c>
      <c r="Y33" s="22" t="n">
        <v>6</v>
      </c>
      <c r="Z33" s="22" t="n">
        <v>7</v>
      </c>
    </row>
    <row r="34" customFormat="false" ht="21.75" hidden="false" customHeight="true" outlineLevel="0" collapsed="false">
      <c r="B34" s="15" t="n">
        <v>30</v>
      </c>
      <c r="C34" s="9" t="s">
        <v>136</v>
      </c>
      <c r="D34" s="9" t="s">
        <v>4118</v>
      </c>
      <c r="E34" s="15" t="s">
        <v>23</v>
      </c>
      <c r="F34" s="9" t="s">
        <v>4143</v>
      </c>
      <c r="G34" s="9" t="s">
        <v>4144</v>
      </c>
      <c r="H34" s="9" t="s">
        <v>4145</v>
      </c>
      <c r="I34" s="9" t="s">
        <v>4146</v>
      </c>
      <c r="J34" s="9" t="s">
        <v>4147</v>
      </c>
      <c r="K34" s="9" t="s">
        <v>189</v>
      </c>
      <c r="L34" s="9" t="s">
        <v>4124</v>
      </c>
      <c r="M34" s="9" t="s">
        <v>4125</v>
      </c>
      <c r="N34" s="9" t="s">
        <v>4148</v>
      </c>
      <c r="O34" s="19" t="n">
        <v>52</v>
      </c>
      <c r="P34" s="9"/>
      <c r="Q34" s="9"/>
      <c r="R34" s="9" t="s">
        <v>4149</v>
      </c>
      <c r="S34" s="23" t="s">
        <v>197</v>
      </c>
      <c r="T34" s="23" t="s">
        <v>197</v>
      </c>
      <c r="U34" s="23" t="n">
        <v>300</v>
      </c>
      <c r="V34" s="23" t="n">
        <v>3</v>
      </c>
      <c r="W34" s="23" t="s">
        <v>197</v>
      </c>
      <c r="X34" s="23" t="n">
        <v>0.33</v>
      </c>
      <c r="Y34" s="23" t="n">
        <v>4</v>
      </c>
      <c r="Z34" s="23" t="n">
        <v>3</v>
      </c>
    </row>
    <row r="35" customFormat="false" ht="21.75" hidden="false" customHeight="true" outlineLevel="0" collapsed="false">
      <c r="B35" s="14" t="n">
        <v>31</v>
      </c>
      <c r="C35" s="7" t="s">
        <v>136</v>
      </c>
      <c r="D35" s="7" t="s">
        <v>4150</v>
      </c>
      <c r="E35" s="14" t="s">
        <v>23</v>
      </c>
      <c r="F35" s="7" t="s">
        <v>4151</v>
      </c>
      <c r="G35" s="7" t="s">
        <v>4152</v>
      </c>
      <c r="H35" s="7" t="s">
        <v>4153</v>
      </c>
      <c r="I35" s="7" t="s">
        <v>4154</v>
      </c>
      <c r="J35" s="7" t="s">
        <v>4155</v>
      </c>
      <c r="K35" s="7" t="s">
        <v>189</v>
      </c>
      <c r="L35" s="7" t="s">
        <v>4156</v>
      </c>
      <c r="M35" s="7" t="s">
        <v>4125</v>
      </c>
      <c r="N35" s="7" t="s">
        <v>4073</v>
      </c>
      <c r="O35" s="18" t="n">
        <v>65</v>
      </c>
      <c r="P35" s="7"/>
      <c r="Q35" s="7"/>
      <c r="R35" s="7" t="s">
        <v>4157</v>
      </c>
      <c r="S35" s="22" t="s">
        <v>197</v>
      </c>
      <c r="T35" s="22" t="s">
        <v>197</v>
      </c>
      <c r="U35" s="22" t="n">
        <v>300</v>
      </c>
      <c r="V35" s="22" t="n">
        <v>3</v>
      </c>
      <c r="W35" s="22" t="s">
        <v>197</v>
      </c>
      <c r="X35" s="22" t="n">
        <v>0.26</v>
      </c>
      <c r="Y35" s="22" t="n">
        <v>8</v>
      </c>
      <c r="Z35" s="22" t="n">
        <v>3</v>
      </c>
    </row>
    <row r="36" customFormat="false" ht="21.75" hidden="false" customHeight="true" outlineLevel="0" collapsed="false">
      <c r="B36" s="15" t="n">
        <v>32</v>
      </c>
      <c r="C36" s="9" t="s">
        <v>136</v>
      </c>
      <c r="D36" s="9" t="s">
        <v>4158</v>
      </c>
      <c r="E36" s="15" t="s">
        <v>26</v>
      </c>
      <c r="F36" s="9" t="s">
        <v>4159</v>
      </c>
      <c r="G36" s="9" t="s">
        <v>4160</v>
      </c>
      <c r="H36" s="9" t="s">
        <v>4161</v>
      </c>
      <c r="I36" s="9" t="s">
        <v>4162</v>
      </c>
      <c r="J36" s="9" t="s">
        <v>4163</v>
      </c>
      <c r="K36" s="9" t="s">
        <v>189</v>
      </c>
      <c r="L36" s="9" t="s">
        <v>189</v>
      </c>
      <c r="M36" s="9" t="s">
        <v>4164</v>
      </c>
      <c r="N36" s="9" t="s">
        <v>4165</v>
      </c>
      <c r="O36" s="19" t="n">
        <v>12</v>
      </c>
      <c r="P36" s="9"/>
      <c r="Q36" s="9"/>
      <c r="R36" s="9" t="s">
        <v>4166</v>
      </c>
      <c r="S36" s="23" t="s">
        <v>197</v>
      </c>
      <c r="T36" s="23" t="s">
        <v>197</v>
      </c>
      <c r="U36" s="23" t="n">
        <v>600</v>
      </c>
      <c r="V36" s="23" t="s">
        <v>197</v>
      </c>
      <c r="W36" s="23" t="s">
        <v>197</v>
      </c>
      <c r="X36" s="23" t="s">
        <v>197</v>
      </c>
      <c r="Y36" s="23" t="s">
        <v>197</v>
      </c>
      <c r="Z36" s="23" t="s">
        <v>197</v>
      </c>
    </row>
    <row r="37" customFormat="false" ht="21.75" hidden="false" customHeight="true" outlineLevel="0" collapsed="false">
      <c r="B37" s="14" t="n">
        <v>33</v>
      </c>
      <c r="C37" s="7" t="s">
        <v>136</v>
      </c>
      <c r="D37" s="7" t="s">
        <v>4167</v>
      </c>
      <c r="E37" s="14" t="s">
        <v>20</v>
      </c>
      <c r="F37" s="7" t="s">
        <v>4168</v>
      </c>
      <c r="G37" s="7" t="s">
        <v>4169</v>
      </c>
      <c r="H37" s="7" t="s">
        <v>4170</v>
      </c>
      <c r="I37" s="7" t="s">
        <v>4171</v>
      </c>
      <c r="J37" s="7" t="s">
        <v>4172</v>
      </c>
      <c r="K37" s="7" t="s">
        <v>189</v>
      </c>
      <c r="L37" s="7" t="s">
        <v>189</v>
      </c>
      <c r="M37" s="7" t="s">
        <v>4173</v>
      </c>
      <c r="N37" s="7" t="s">
        <v>4005</v>
      </c>
      <c r="O37" s="18" t="n">
        <v>28</v>
      </c>
      <c r="P37" s="7"/>
      <c r="Q37" s="7"/>
      <c r="R37" s="7" t="s">
        <v>4174</v>
      </c>
      <c r="S37" s="22" t="s">
        <v>197</v>
      </c>
      <c r="T37" s="22" t="s">
        <v>197</v>
      </c>
      <c r="U37" s="22" t="n">
        <v>450</v>
      </c>
      <c r="V37" s="22" t="s">
        <v>197</v>
      </c>
      <c r="W37" s="22" t="s">
        <v>197</v>
      </c>
      <c r="X37" s="22" t="s">
        <v>197</v>
      </c>
      <c r="Y37" s="22" t="s">
        <v>197</v>
      </c>
      <c r="Z37" s="22" t="s">
        <v>197</v>
      </c>
    </row>
    <row r="38" customFormat="false" ht="21.75" hidden="false" customHeight="true" outlineLevel="0" collapsed="false">
      <c r="B38" s="15" t="n">
        <v>34</v>
      </c>
      <c r="C38" s="9" t="s">
        <v>136</v>
      </c>
      <c r="D38" s="9" t="s">
        <v>4175</v>
      </c>
      <c r="E38" s="15" t="s">
        <v>20</v>
      </c>
      <c r="F38" s="9" t="s">
        <v>4176</v>
      </c>
      <c r="G38" s="9" t="s">
        <v>4177</v>
      </c>
      <c r="H38" s="9" t="s">
        <v>4178</v>
      </c>
      <c r="I38" s="9" t="s">
        <v>4179</v>
      </c>
      <c r="J38" s="9" t="s">
        <v>4180</v>
      </c>
      <c r="K38" s="9" t="s">
        <v>189</v>
      </c>
      <c r="L38" s="9" t="s">
        <v>4181</v>
      </c>
      <c r="M38" s="9" t="s">
        <v>4182</v>
      </c>
      <c r="N38" s="9" t="s">
        <v>4183</v>
      </c>
      <c r="O38" s="19" t="n">
        <v>8</v>
      </c>
      <c r="P38" s="9"/>
      <c r="Q38" s="9"/>
      <c r="R38" s="9" t="s">
        <v>4184</v>
      </c>
      <c r="S38" s="23" t="s">
        <v>197</v>
      </c>
      <c r="T38" s="23" t="s">
        <v>197</v>
      </c>
      <c r="U38" s="23" t="s">
        <v>197</v>
      </c>
      <c r="V38" s="23" t="s">
        <v>197</v>
      </c>
      <c r="W38" s="23" t="s">
        <v>197</v>
      </c>
      <c r="X38" s="23" t="s">
        <v>197</v>
      </c>
      <c r="Y38" s="23" t="s">
        <v>197</v>
      </c>
      <c r="Z38" s="23" t="s">
        <v>197</v>
      </c>
    </row>
    <row r="39" customFormat="false" ht="21.75" hidden="false" customHeight="true" outlineLevel="0" collapsed="false">
      <c r="B39" s="14" t="n">
        <v>35</v>
      </c>
      <c r="C39" s="7" t="s">
        <v>136</v>
      </c>
      <c r="D39" s="7" t="s">
        <v>4185</v>
      </c>
      <c r="E39" s="14" t="s">
        <v>26</v>
      </c>
      <c r="F39" s="7" t="s">
        <v>4128</v>
      </c>
      <c r="G39" s="7" t="s">
        <v>4186</v>
      </c>
      <c r="H39" s="7" t="s">
        <v>4187</v>
      </c>
      <c r="I39" s="7" t="s">
        <v>4188</v>
      </c>
      <c r="J39" s="7" t="s">
        <v>4189</v>
      </c>
      <c r="K39" s="7" t="s">
        <v>189</v>
      </c>
      <c r="L39" s="7" t="s">
        <v>4190</v>
      </c>
      <c r="M39" s="7" t="s">
        <v>4191</v>
      </c>
      <c r="N39" s="7" t="s">
        <v>4126</v>
      </c>
      <c r="O39" s="18" t="n">
        <v>58</v>
      </c>
      <c r="P39" s="7"/>
      <c r="Q39" s="7"/>
      <c r="R39" s="7" t="s">
        <v>4192</v>
      </c>
      <c r="S39" s="22" t="s">
        <v>197</v>
      </c>
      <c r="T39" s="22" t="s">
        <v>197</v>
      </c>
      <c r="U39" s="22" t="n">
        <v>300</v>
      </c>
      <c r="V39" s="22" t="n">
        <v>7</v>
      </c>
      <c r="W39" s="22" t="s">
        <v>197</v>
      </c>
      <c r="X39" s="22" t="n">
        <v>0.82</v>
      </c>
      <c r="Y39" s="22" t="n">
        <v>2</v>
      </c>
      <c r="Z39" s="22" t="n">
        <v>7</v>
      </c>
    </row>
    <row r="40" customFormat="false" ht="21.75" hidden="false" customHeight="true" outlineLevel="0" collapsed="false">
      <c r="B40" s="15" t="n">
        <v>36</v>
      </c>
      <c r="C40" s="9" t="s">
        <v>136</v>
      </c>
      <c r="D40" s="9" t="s">
        <v>4185</v>
      </c>
      <c r="E40" s="15" t="s">
        <v>26</v>
      </c>
      <c r="F40" s="9" t="s">
        <v>4193</v>
      </c>
      <c r="G40" s="9" t="s">
        <v>4194</v>
      </c>
      <c r="H40" s="9" t="s">
        <v>4195</v>
      </c>
      <c r="I40" s="9" t="s">
        <v>4196</v>
      </c>
      <c r="J40" s="9" t="s">
        <v>4197</v>
      </c>
      <c r="K40" s="9" t="s">
        <v>189</v>
      </c>
      <c r="L40" s="9" t="s">
        <v>4190</v>
      </c>
      <c r="M40" s="9" t="s">
        <v>4198</v>
      </c>
      <c r="N40" s="9" t="s">
        <v>4199</v>
      </c>
      <c r="O40" s="19" t="n">
        <v>82</v>
      </c>
      <c r="P40" s="9"/>
      <c r="Q40" s="9"/>
      <c r="R40" s="9" t="s">
        <v>4200</v>
      </c>
      <c r="S40" s="23" t="s">
        <v>197</v>
      </c>
      <c r="T40" s="23" t="s">
        <v>197</v>
      </c>
      <c r="U40" s="23" t="n">
        <v>300</v>
      </c>
      <c r="V40" s="23" t="n">
        <v>7</v>
      </c>
      <c r="W40" s="23" t="s">
        <v>197</v>
      </c>
      <c r="X40" s="23" t="n">
        <v>0.82</v>
      </c>
      <c r="Y40" s="23" t="n">
        <v>4</v>
      </c>
      <c r="Z40" s="23" t="n">
        <v>7</v>
      </c>
    </row>
    <row r="41" customFormat="false" ht="21.75" hidden="false" customHeight="true" outlineLevel="0" collapsed="false">
      <c r="B41" s="14" t="n">
        <v>37</v>
      </c>
      <c r="C41" s="7" t="s">
        <v>137</v>
      </c>
      <c r="D41" s="7" t="s">
        <v>4201</v>
      </c>
      <c r="E41" s="14" t="s">
        <v>20</v>
      </c>
      <c r="F41" s="7" t="s">
        <v>4202</v>
      </c>
      <c r="G41" s="7" t="s">
        <v>4203</v>
      </c>
      <c r="H41" s="7" t="s">
        <v>4204</v>
      </c>
      <c r="I41" s="7" t="s">
        <v>4205</v>
      </c>
      <c r="J41" s="7" t="s">
        <v>4206</v>
      </c>
      <c r="K41" s="7" t="s">
        <v>189</v>
      </c>
      <c r="L41" s="7" t="s">
        <v>4207</v>
      </c>
      <c r="M41" s="7" t="s">
        <v>4208</v>
      </c>
      <c r="N41" s="7" t="s">
        <v>4209</v>
      </c>
      <c r="O41" s="18" t="n">
        <v>148</v>
      </c>
      <c r="P41" s="7"/>
      <c r="Q41" s="7"/>
      <c r="R41" s="7" t="s">
        <v>4210</v>
      </c>
      <c r="S41" s="22" t="s">
        <v>197</v>
      </c>
      <c r="T41" s="22" t="s">
        <v>197</v>
      </c>
      <c r="U41" s="22" t="s">
        <v>197</v>
      </c>
      <c r="V41" s="22" t="s">
        <v>197</v>
      </c>
      <c r="W41" s="22" t="s">
        <v>197</v>
      </c>
      <c r="X41" s="22" t="s">
        <v>197</v>
      </c>
      <c r="Y41" s="22" t="s">
        <v>197</v>
      </c>
      <c r="Z41" s="22" t="s">
        <v>197</v>
      </c>
    </row>
    <row r="42" customFormat="false" ht="21.75" hidden="false" customHeight="true" outlineLevel="0" collapsed="false">
      <c r="B42" s="15" t="n">
        <v>38</v>
      </c>
      <c r="C42" s="9" t="s">
        <v>137</v>
      </c>
      <c r="D42" s="9" t="s">
        <v>4201</v>
      </c>
      <c r="E42" s="15" t="s">
        <v>20</v>
      </c>
      <c r="F42" s="9" t="s">
        <v>4211</v>
      </c>
      <c r="G42" s="9" t="s">
        <v>4212</v>
      </c>
      <c r="H42" s="9" t="s">
        <v>4213</v>
      </c>
      <c r="I42" s="9" t="s">
        <v>4214</v>
      </c>
      <c r="J42" s="9" t="s">
        <v>4215</v>
      </c>
      <c r="K42" s="9" t="s">
        <v>189</v>
      </c>
      <c r="L42" s="9" t="s">
        <v>4216</v>
      </c>
      <c r="M42" s="9" t="s">
        <v>4217</v>
      </c>
      <c r="N42" s="9" t="s">
        <v>4218</v>
      </c>
      <c r="O42" s="19" t="n">
        <v>78</v>
      </c>
      <c r="P42" s="9"/>
      <c r="Q42" s="9"/>
      <c r="R42" s="9" t="s">
        <v>4219</v>
      </c>
      <c r="S42" s="23" t="s">
        <v>197</v>
      </c>
      <c r="T42" s="23" t="s">
        <v>197</v>
      </c>
      <c r="U42" s="23" t="s">
        <v>197</v>
      </c>
      <c r="V42" s="23" t="s">
        <v>197</v>
      </c>
      <c r="W42" s="23" t="s">
        <v>197</v>
      </c>
      <c r="X42" s="23" t="s">
        <v>197</v>
      </c>
      <c r="Y42" s="23" t="s">
        <v>197</v>
      </c>
      <c r="Z42" s="23" t="s">
        <v>197</v>
      </c>
    </row>
    <row r="43" customFormat="false" ht="21.75" hidden="false" customHeight="true" outlineLevel="0" collapsed="false">
      <c r="B43" s="14" t="n">
        <v>39</v>
      </c>
      <c r="C43" s="7" t="s">
        <v>137</v>
      </c>
      <c r="D43" s="7" t="s">
        <v>4201</v>
      </c>
      <c r="E43" s="14" t="s">
        <v>23</v>
      </c>
      <c r="F43" s="7" t="s">
        <v>4220</v>
      </c>
      <c r="G43" s="7" t="s">
        <v>4221</v>
      </c>
      <c r="H43" s="7" t="s">
        <v>4222</v>
      </c>
      <c r="I43" s="7" t="s">
        <v>4223</v>
      </c>
      <c r="J43" s="7" t="s">
        <v>4224</v>
      </c>
      <c r="K43" s="7" t="s">
        <v>189</v>
      </c>
      <c r="L43" s="7" t="s">
        <v>4225</v>
      </c>
      <c r="M43" s="7" t="s">
        <v>4226</v>
      </c>
      <c r="N43" s="7" t="s">
        <v>4227</v>
      </c>
      <c r="O43" s="18" t="n">
        <v>14</v>
      </c>
      <c r="P43" s="7"/>
      <c r="Q43" s="7"/>
      <c r="R43" s="7" t="s">
        <v>4228</v>
      </c>
      <c r="S43" s="22" t="s">
        <v>197</v>
      </c>
      <c r="T43" s="22" t="s">
        <v>197</v>
      </c>
      <c r="U43" s="22" t="s">
        <v>197</v>
      </c>
      <c r="V43" s="22" t="s">
        <v>197</v>
      </c>
      <c r="W43" s="22" t="s">
        <v>197</v>
      </c>
      <c r="X43" s="22" t="s">
        <v>197</v>
      </c>
      <c r="Y43" s="22" t="s">
        <v>197</v>
      </c>
      <c r="Z43" s="22" t="s">
        <v>197</v>
      </c>
    </row>
    <row r="44" customFormat="false" ht="21.75" hidden="false" customHeight="true" outlineLevel="0" collapsed="false">
      <c r="B44" s="15" t="n">
        <v>40</v>
      </c>
      <c r="C44" s="9" t="s">
        <v>137</v>
      </c>
      <c r="D44" s="9" t="s">
        <v>4229</v>
      </c>
      <c r="E44" s="15" t="s">
        <v>20</v>
      </c>
      <c r="F44" s="9" t="s">
        <v>4230</v>
      </c>
      <c r="G44" s="9" t="s">
        <v>4231</v>
      </c>
      <c r="H44" s="9" t="s">
        <v>4232</v>
      </c>
      <c r="I44" s="9" t="s">
        <v>4233</v>
      </c>
      <c r="J44" s="9" t="s">
        <v>4234</v>
      </c>
      <c r="K44" s="9" t="s">
        <v>189</v>
      </c>
      <c r="L44" s="9" t="s">
        <v>4207</v>
      </c>
      <c r="M44" s="9" t="s">
        <v>4235</v>
      </c>
      <c r="N44" s="9" t="s">
        <v>4236</v>
      </c>
      <c r="O44" s="19" t="n">
        <v>320</v>
      </c>
      <c r="P44" s="9"/>
      <c r="Q44" s="9"/>
      <c r="R44" s="9" t="s">
        <v>4237</v>
      </c>
      <c r="S44" s="23" t="s">
        <v>197</v>
      </c>
      <c r="T44" s="23" t="s">
        <v>197</v>
      </c>
      <c r="U44" s="23" t="s">
        <v>197</v>
      </c>
      <c r="V44" s="23" t="s">
        <v>197</v>
      </c>
      <c r="W44" s="23" t="s">
        <v>197</v>
      </c>
      <c r="X44" s="23" t="s">
        <v>197</v>
      </c>
      <c r="Y44" s="23" t="s">
        <v>197</v>
      </c>
      <c r="Z44" s="23" t="s">
        <v>197</v>
      </c>
    </row>
    <row r="45" customFormat="false" ht="21.75" hidden="false" customHeight="true" outlineLevel="0" collapsed="false">
      <c r="B45" s="14" t="n">
        <v>41</v>
      </c>
      <c r="C45" s="7" t="s">
        <v>137</v>
      </c>
      <c r="D45" s="7" t="s">
        <v>4238</v>
      </c>
      <c r="E45" s="14" t="s">
        <v>20</v>
      </c>
      <c r="F45" s="7" t="s">
        <v>4239</v>
      </c>
      <c r="G45" s="7" t="s">
        <v>4240</v>
      </c>
      <c r="H45" s="7" t="s">
        <v>4241</v>
      </c>
      <c r="I45" s="7" t="s">
        <v>4242</v>
      </c>
      <c r="J45" s="7" t="s">
        <v>4243</v>
      </c>
      <c r="K45" s="7" t="s">
        <v>189</v>
      </c>
      <c r="L45" s="7" t="s">
        <v>4244</v>
      </c>
      <c r="M45" s="7" t="s">
        <v>4245</v>
      </c>
      <c r="N45" s="7" t="s">
        <v>4246</v>
      </c>
      <c r="O45" s="18" t="n">
        <v>219</v>
      </c>
      <c r="P45" s="7"/>
      <c r="Q45" s="7"/>
      <c r="R45" s="7" t="s">
        <v>4247</v>
      </c>
      <c r="S45" s="22" t="s">
        <v>197</v>
      </c>
      <c r="T45" s="22" t="s">
        <v>197</v>
      </c>
      <c r="U45" s="22" t="s">
        <v>197</v>
      </c>
      <c r="V45" s="22" t="s">
        <v>197</v>
      </c>
      <c r="W45" s="22" t="s">
        <v>197</v>
      </c>
      <c r="X45" s="22" t="s">
        <v>197</v>
      </c>
      <c r="Y45" s="22" t="s">
        <v>197</v>
      </c>
      <c r="Z45" s="22" t="s">
        <v>197</v>
      </c>
    </row>
    <row r="46" customFormat="false" ht="21.75" hidden="false" customHeight="true" outlineLevel="0" collapsed="false">
      <c r="B46" s="15" t="n">
        <v>42</v>
      </c>
      <c r="C46" s="9" t="s">
        <v>137</v>
      </c>
      <c r="D46" s="9" t="s">
        <v>4248</v>
      </c>
      <c r="E46" s="15" t="s">
        <v>23</v>
      </c>
      <c r="F46" s="9" t="s">
        <v>4249</v>
      </c>
      <c r="G46" s="9" t="s">
        <v>4250</v>
      </c>
      <c r="H46" s="9" t="s">
        <v>4251</v>
      </c>
      <c r="I46" s="9" t="s">
        <v>4252</v>
      </c>
      <c r="J46" s="9" t="s">
        <v>4253</v>
      </c>
      <c r="K46" s="9" t="s">
        <v>4254</v>
      </c>
      <c r="L46" s="9" t="s">
        <v>4244</v>
      </c>
      <c r="M46" s="9" t="s">
        <v>4255</v>
      </c>
      <c r="N46" s="9" t="s">
        <v>4256</v>
      </c>
      <c r="O46" s="19" t="n">
        <v>32</v>
      </c>
      <c r="P46" s="9"/>
      <c r="Q46" s="9"/>
      <c r="R46" s="9" t="s">
        <v>4257</v>
      </c>
      <c r="S46" s="23" t="s">
        <v>197</v>
      </c>
      <c r="T46" s="23" t="s">
        <v>197</v>
      </c>
      <c r="U46" s="23" t="s">
        <v>197</v>
      </c>
      <c r="V46" s="23" t="s">
        <v>197</v>
      </c>
      <c r="W46" s="23" t="s">
        <v>197</v>
      </c>
      <c r="X46" s="23" t="s">
        <v>197</v>
      </c>
      <c r="Y46" s="23" t="s">
        <v>197</v>
      </c>
      <c r="Z46" s="23" t="s">
        <v>197</v>
      </c>
    </row>
    <row r="47" customFormat="false" ht="21.75" hidden="false" customHeight="true" outlineLevel="0" collapsed="false">
      <c r="B47" s="14" t="n">
        <v>43</v>
      </c>
      <c r="C47" s="7" t="s">
        <v>137</v>
      </c>
      <c r="D47" s="7" t="s">
        <v>4258</v>
      </c>
      <c r="E47" s="14" t="s">
        <v>23</v>
      </c>
      <c r="F47" s="7" t="s">
        <v>4259</v>
      </c>
      <c r="G47" s="7" t="s">
        <v>4260</v>
      </c>
      <c r="H47" s="7" t="s">
        <v>4261</v>
      </c>
      <c r="I47" s="7" t="s">
        <v>4262</v>
      </c>
      <c r="J47" s="7" t="s">
        <v>4263</v>
      </c>
      <c r="K47" s="7" t="s">
        <v>4264</v>
      </c>
      <c r="L47" s="7" t="s">
        <v>4244</v>
      </c>
      <c r="M47" s="7" t="s">
        <v>4265</v>
      </c>
      <c r="N47" s="7" t="s">
        <v>4227</v>
      </c>
      <c r="O47" s="18" t="n">
        <v>95</v>
      </c>
      <c r="P47" s="7"/>
      <c r="Q47" s="7"/>
      <c r="R47" s="7" t="s">
        <v>4266</v>
      </c>
      <c r="S47" s="22" t="s">
        <v>197</v>
      </c>
      <c r="T47" s="22" t="s">
        <v>197</v>
      </c>
      <c r="U47" s="22" t="s">
        <v>197</v>
      </c>
      <c r="V47" s="22" t="s">
        <v>197</v>
      </c>
      <c r="W47" s="22" t="s">
        <v>197</v>
      </c>
      <c r="X47" s="22" t="s">
        <v>197</v>
      </c>
      <c r="Y47" s="22" t="s">
        <v>197</v>
      </c>
      <c r="Z47" s="22" t="s">
        <v>197</v>
      </c>
    </row>
    <row r="48" customFormat="false" ht="21.75" hidden="false" customHeight="true" outlineLevel="0" collapsed="false">
      <c r="B48" s="15" t="n">
        <v>44</v>
      </c>
      <c r="C48" s="9" t="s">
        <v>137</v>
      </c>
      <c r="D48" s="9" t="s">
        <v>4267</v>
      </c>
      <c r="E48" s="15" t="s">
        <v>23</v>
      </c>
      <c r="F48" s="9" t="s">
        <v>4268</v>
      </c>
      <c r="G48" s="9" t="s">
        <v>4269</v>
      </c>
      <c r="H48" s="9" t="s">
        <v>4270</v>
      </c>
      <c r="I48" s="9" t="s">
        <v>4271</v>
      </c>
      <c r="J48" s="9" t="s">
        <v>4272</v>
      </c>
      <c r="K48" s="9" t="s">
        <v>189</v>
      </c>
      <c r="L48" s="9" t="s">
        <v>4244</v>
      </c>
      <c r="M48" s="9" t="s">
        <v>4273</v>
      </c>
      <c r="N48" s="9" t="s">
        <v>4107</v>
      </c>
      <c r="O48" s="19" t="n">
        <v>28</v>
      </c>
      <c r="P48" s="9"/>
      <c r="Q48" s="9"/>
      <c r="R48" s="9" t="s">
        <v>4274</v>
      </c>
      <c r="S48" s="23" t="s">
        <v>197</v>
      </c>
      <c r="T48" s="23" t="s">
        <v>197</v>
      </c>
      <c r="U48" s="23" t="s">
        <v>197</v>
      </c>
      <c r="V48" s="23" t="s">
        <v>197</v>
      </c>
      <c r="W48" s="23" t="s">
        <v>197</v>
      </c>
      <c r="X48" s="23" t="s">
        <v>197</v>
      </c>
      <c r="Y48" s="23" t="s">
        <v>197</v>
      </c>
      <c r="Z48" s="23" t="s">
        <v>197</v>
      </c>
    </row>
    <row r="49" customFormat="false" ht="21.75" hidden="false" customHeight="true" outlineLevel="0" collapsed="false">
      <c r="B49" s="14" t="n">
        <v>45</v>
      </c>
      <c r="C49" s="7" t="s">
        <v>138</v>
      </c>
      <c r="D49" s="7" t="s">
        <v>4275</v>
      </c>
      <c r="E49" s="14" t="s">
        <v>20</v>
      </c>
      <c r="F49" s="7" t="s">
        <v>4276</v>
      </c>
      <c r="G49" s="7" t="s">
        <v>4277</v>
      </c>
      <c r="H49" s="7" t="s">
        <v>4278</v>
      </c>
      <c r="I49" s="7" t="s">
        <v>4279</v>
      </c>
      <c r="J49" s="7" t="s">
        <v>4280</v>
      </c>
      <c r="K49" s="7" t="s">
        <v>4281</v>
      </c>
      <c r="L49" s="7" t="s">
        <v>4282</v>
      </c>
      <c r="M49" s="7" t="s">
        <v>4283</v>
      </c>
      <c r="N49" s="7" t="s">
        <v>3489</v>
      </c>
      <c r="O49" s="18" t="n">
        <v>1895</v>
      </c>
      <c r="P49" s="7"/>
      <c r="Q49" s="7"/>
      <c r="R49" s="7" t="s">
        <v>4284</v>
      </c>
      <c r="S49" s="22" t="s">
        <v>197</v>
      </c>
      <c r="T49" s="22" t="s">
        <v>197</v>
      </c>
      <c r="U49" s="22" t="s">
        <v>197</v>
      </c>
      <c r="V49" s="22" t="s">
        <v>197</v>
      </c>
      <c r="W49" s="22" t="s">
        <v>197</v>
      </c>
      <c r="X49" s="22" t="s">
        <v>197</v>
      </c>
      <c r="Y49" s="22" t="s">
        <v>197</v>
      </c>
      <c r="Z49" s="22" t="s">
        <v>197</v>
      </c>
    </row>
    <row r="50" customFormat="false" ht="21.75" hidden="false" customHeight="true" outlineLevel="0" collapsed="false">
      <c r="B50" s="15" t="n">
        <v>46</v>
      </c>
      <c r="C50" s="9" t="s">
        <v>138</v>
      </c>
      <c r="D50" s="9" t="s">
        <v>4275</v>
      </c>
      <c r="E50" s="15" t="s">
        <v>20</v>
      </c>
      <c r="F50" s="9" t="s">
        <v>4285</v>
      </c>
      <c r="G50" s="9" t="s">
        <v>4286</v>
      </c>
      <c r="H50" s="9" t="s">
        <v>4287</v>
      </c>
      <c r="I50" s="9" t="s">
        <v>4288</v>
      </c>
      <c r="J50" s="9" t="s">
        <v>4289</v>
      </c>
      <c r="K50" s="9" t="s">
        <v>4281</v>
      </c>
      <c r="L50" s="9" t="s">
        <v>4290</v>
      </c>
      <c r="M50" s="9" t="s">
        <v>4291</v>
      </c>
      <c r="N50" s="9" t="s">
        <v>4292</v>
      </c>
      <c r="O50" s="19" t="n">
        <v>2400</v>
      </c>
      <c r="P50" s="9"/>
      <c r="Q50" s="9"/>
      <c r="R50" s="9" t="s">
        <v>4293</v>
      </c>
      <c r="S50" s="23" t="s">
        <v>197</v>
      </c>
      <c r="T50" s="23" t="s">
        <v>197</v>
      </c>
      <c r="U50" s="23" t="s">
        <v>197</v>
      </c>
      <c r="V50" s="23" t="s">
        <v>197</v>
      </c>
      <c r="W50" s="23" t="s">
        <v>197</v>
      </c>
      <c r="X50" s="23" t="s">
        <v>197</v>
      </c>
      <c r="Y50" s="23" t="s">
        <v>197</v>
      </c>
      <c r="Z50" s="23" t="s">
        <v>197</v>
      </c>
    </row>
    <row r="51" customFormat="false" ht="21.75" hidden="false" customHeight="true" outlineLevel="0" collapsed="false">
      <c r="B51" s="14" t="n">
        <v>47</v>
      </c>
      <c r="C51" s="7" t="s">
        <v>138</v>
      </c>
      <c r="D51" s="7" t="s">
        <v>51</v>
      </c>
      <c r="E51" s="14" t="s">
        <v>23</v>
      </c>
      <c r="F51" s="7" t="s">
        <v>1845</v>
      </c>
      <c r="G51" s="7" t="s">
        <v>4294</v>
      </c>
      <c r="H51" s="7" t="s">
        <v>4295</v>
      </c>
      <c r="I51" s="7" t="s">
        <v>4296</v>
      </c>
      <c r="J51" s="7" t="s">
        <v>4297</v>
      </c>
      <c r="K51" s="7" t="s">
        <v>251</v>
      </c>
      <c r="L51" s="7" t="s">
        <v>4298</v>
      </c>
      <c r="M51" s="7" t="s">
        <v>4299</v>
      </c>
      <c r="N51" s="7" t="s">
        <v>4183</v>
      </c>
      <c r="O51" s="18" t="n">
        <v>135</v>
      </c>
      <c r="P51" s="7"/>
      <c r="Q51" s="7"/>
      <c r="R51" s="7" t="s">
        <v>4300</v>
      </c>
      <c r="S51" s="22" t="n">
        <v>0.035</v>
      </c>
      <c r="T51" s="22" t="n">
        <v>0.25</v>
      </c>
      <c r="U51" s="22" t="n">
        <v>12</v>
      </c>
      <c r="V51" s="22" t="s">
        <v>197</v>
      </c>
      <c r="W51" s="22" t="s">
        <v>197</v>
      </c>
      <c r="X51" s="22" t="s">
        <v>197</v>
      </c>
      <c r="Y51" s="22" t="s">
        <v>197</v>
      </c>
      <c r="Z51" s="22" t="s">
        <v>197</v>
      </c>
    </row>
    <row r="52" customFormat="false" ht="21.75" hidden="false" customHeight="true" outlineLevel="0" collapsed="false">
      <c r="B52" s="15" t="n">
        <v>48</v>
      </c>
      <c r="C52" s="9" t="s">
        <v>138</v>
      </c>
      <c r="D52" s="9" t="s">
        <v>43</v>
      </c>
      <c r="E52" s="15" t="s">
        <v>23</v>
      </c>
      <c r="F52" s="9" t="s">
        <v>771</v>
      </c>
      <c r="G52" s="9" t="s">
        <v>4301</v>
      </c>
      <c r="H52" s="9" t="s">
        <v>4302</v>
      </c>
      <c r="I52" s="9" t="s">
        <v>4303</v>
      </c>
      <c r="J52" s="9" t="s">
        <v>4304</v>
      </c>
      <c r="K52" s="9" t="s">
        <v>235</v>
      </c>
      <c r="L52" s="9" t="s">
        <v>4305</v>
      </c>
      <c r="M52" s="9" t="s">
        <v>2446</v>
      </c>
      <c r="N52" s="9" t="s">
        <v>4306</v>
      </c>
      <c r="O52" s="19" t="n">
        <v>88</v>
      </c>
      <c r="P52" s="9"/>
      <c r="Q52" s="9"/>
      <c r="R52" s="9" t="s">
        <v>4307</v>
      </c>
      <c r="S52" s="23" t="n">
        <v>0.03</v>
      </c>
      <c r="T52" s="23" t="n">
        <v>0.2</v>
      </c>
      <c r="U52" s="23" t="n">
        <v>12</v>
      </c>
      <c r="V52" s="23" t="s">
        <v>197</v>
      </c>
      <c r="W52" s="23" t="s">
        <v>197</v>
      </c>
      <c r="X52" s="23" t="s">
        <v>197</v>
      </c>
      <c r="Y52" s="23" t="s">
        <v>197</v>
      </c>
      <c r="Z52" s="23" t="s">
        <v>197</v>
      </c>
    </row>
    <row r="53" customFormat="false" ht="21.75" hidden="false" customHeight="true" outlineLevel="0" collapsed="false">
      <c r="B53" s="14" t="n">
        <v>49</v>
      </c>
      <c r="C53" s="7" t="s">
        <v>138</v>
      </c>
      <c r="D53" s="7" t="s">
        <v>4308</v>
      </c>
      <c r="E53" s="14" t="s">
        <v>20</v>
      </c>
      <c r="F53" s="7" t="s">
        <v>4309</v>
      </c>
      <c r="G53" s="7" t="s">
        <v>4310</v>
      </c>
      <c r="H53" s="7" t="s">
        <v>4311</v>
      </c>
      <c r="I53" s="7" t="s">
        <v>4312</v>
      </c>
      <c r="J53" s="7" t="s">
        <v>4313</v>
      </c>
      <c r="K53" s="7" t="s">
        <v>4314</v>
      </c>
      <c r="L53" s="7" t="s">
        <v>4315</v>
      </c>
      <c r="M53" s="7" t="s">
        <v>189</v>
      </c>
      <c r="N53" s="7" t="s">
        <v>189</v>
      </c>
      <c r="O53" s="18" t="n">
        <v>1500</v>
      </c>
      <c r="P53" s="7"/>
      <c r="Q53" s="7"/>
      <c r="R53" s="7" t="s">
        <v>4316</v>
      </c>
      <c r="S53" s="22" t="s">
        <v>197</v>
      </c>
      <c r="T53" s="22" t="s">
        <v>197</v>
      </c>
      <c r="U53" s="22" t="s">
        <v>197</v>
      </c>
      <c r="V53" s="22" t="s">
        <v>197</v>
      </c>
      <c r="W53" s="22" t="s">
        <v>197</v>
      </c>
      <c r="X53" s="22" t="s">
        <v>197</v>
      </c>
      <c r="Y53" s="22" t="s">
        <v>197</v>
      </c>
      <c r="Z53" s="22" t="s">
        <v>197</v>
      </c>
    </row>
    <row r="54" customFormat="false" ht="21.75" hidden="false" customHeight="true" outlineLevel="0" collapsed="false">
      <c r="B54" s="15" t="n">
        <v>50</v>
      </c>
      <c r="C54" s="9" t="s">
        <v>138</v>
      </c>
      <c r="D54" s="9" t="s">
        <v>4317</v>
      </c>
      <c r="E54" s="15" t="s">
        <v>23</v>
      </c>
      <c r="F54" s="9" t="s">
        <v>4318</v>
      </c>
      <c r="G54" s="9" t="s">
        <v>4319</v>
      </c>
      <c r="H54" s="9" t="s">
        <v>4320</v>
      </c>
      <c r="I54" s="9" t="s">
        <v>4321</v>
      </c>
      <c r="J54" s="9" t="s">
        <v>4322</v>
      </c>
      <c r="K54" s="9" t="s">
        <v>4002</v>
      </c>
      <c r="L54" s="9" t="s">
        <v>4323</v>
      </c>
      <c r="M54" s="9" t="s">
        <v>4324</v>
      </c>
      <c r="N54" s="9" t="s">
        <v>1519</v>
      </c>
      <c r="O54" s="19" t="n">
        <v>185</v>
      </c>
      <c r="P54" s="9"/>
      <c r="Q54" s="9"/>
      <c r="R54" s="9" t="s">
        <v>4325</v>
      </c>
      <c r="S54" s="23" t="s">
        <v>197</v>
      </c>
      <c r="T54" s="23" t="s">
        <v>197</v>
      </c>
      <c r="U54" s="23" t="s">
        <v>197</v>
      </c>
      <c r="V54" s="23" t="s">
        <v>197</v>
      </c>
      <c r="W54" s="23" t="s">
        <v>197</v>
      </c>
      <c r="X54" s="23" t="s">
        <v>197</v>
      </c>
      <c r="Y54" s="23" t="s">
        <v>197</v>
      </c>
      <c r="Z54" s="23" t="s">
        <v>197</v>
      </c>
    </row>
    <row r="55" customFormat="false" ht="21.75" hidden="false" customHeight="true" outlineLevel="0" collapsed="false">
      <c r="B55" s="14" t="n">
        <v>51</v>
      </c>
      <c r="C55" s="7" t="s">
        <v>138</v>
      </c>
      <c r="D55" s="7" t="s">
        <v>4326</v>
      </c>
      <c r="E55" s="14" t="s">
        <v>20</v>
      </c>
      <c r="F55" s="7" t="s">
        <v>4327</v>
      </c>
      <c r="G55" s="7" t="s">
        <v>4328</v>
      </c>
      <c r="H55" s="7" t="s">
        <v>4329</v>
      </c>
      <c r="I55" s="7" t="s">
        <v>4330</v>
      </c>
      <c r="J55" s="7" t="s">
        <v>4331</v>
      </c>
      <c r="K55" s="7" t="s">
        <v>4332</v>
      </c>
      <c r="L55" s="7" t="s">
        <v>4333</v>
      </c>
      <c r="M55" s="7" t="s">
        <v>4334</v>
      </c>
      <c r="N55" s="7" t="s">
        <v>2944</v>
      </c>
      <c r="O55" s="18" t="n">
        <v>720</v>
      </c>
      <c r="P55" s="7"/>
      <c r="Q55" s="7"/>
      <c r="R55" s="7" t="s">
        <v>4335</v>
      </c>
      <c r="S55" s="22" t="s">
        <v>197</v>
      </c>
      <c r="T55" s="22" t="s">
        <v>197</v>
      </c>
      <c r="U55" s="22" t="s">
        <v>197</v>
      </c>
      <c r="V55" s="22" t="s">
        <v>197</v>
      </c>
      <c r="W55" s="22" t="s">
        <v>197</v>
      </c>
      <c r="X55" s="22" t="s">
        <v>197</v>
      </c>
      <c r="Y55" s="22" t="s">
        <v>197</v>
      </c>
      <c r="Z55" s="22" t="s">
        <v>197</v>
      </c>
    </row>
    <row r="56" customFormat="false" ht="21.75" hidden="false" customHeight="true" outlineLevel="0" collapsed="false">
      <c r="B56" s="15" t="n">
        <v>52</v>
      </c>
      <c r="C56" s="9" t="s">
        <v>139</v>
      </c>
      <c r="D56" s="9" t="s">
        <v>4336</v>
      </c>
      <c r="E56" s="15" t="s">
        <v>23</v>
      </c>
      <c r="F56" s="9" t="s">
        <v>4337</v>
      </c>
      <c r="G56" s="9" t="s">
        <v>4338</v>
      </c>
      <c r="H56" s="9" t="s">
        <v>4339</v>
      </c>
      <c r="I56" s="9" t="s">
        <v>4340</v>
      </c>
      <c r="J56" s="9" t="s">
        <v>4341</v>
      </c>
      <c r="K56" s="9" t="s">
        <v>189</v>
      </c>
      <c r="L56" s="9" t="s">
        <v>4342</v>
      </c>
      <c r="M56" s="9" t="s">
        <v>4343</v>
      </c>
      <c r="N56" s="9" t="s">
        <v>4256</v>
      </c>
      <c r="O56" s="19" t="n">
        <v>28</v>
      </c>
      <c r="P56" s="9"/>
      <c r="Q56" s="9"/>
      <c r="R56" s="9" t="s">
        <v>4344</v>
      </c>
      <c r="S56" s="23" t="s">
        <v>197</v>
      </c>
      <c r="T56" s="23" t="s">
        <v>197</v>
      </c>
      <c r="U56" s="23" t="s">
        <v>197</v>
      </c>
      <c r="V56" s="23" t="s">
        <v>197</v>
      </c>
      <c r="W56" s="23" t="s">
        <v>197</v>
      </c>
      <c r="X56" s="23" t="s">
        <v>197</v>
      </c>
      <c r="Y56" s="23" t="s">
        <v>197</v>
      </c>
      <c r="Z56" s="23" t="s">
        <v>197</v>
      </c>
    </row>
    <row r="57" customFormat="false" ht="21.75" hidden="false" customHeight="true" outlineLevel="0" collapsed="false">
      <c r="B57" s="14" t="n">
        <v>53</v>
      </c>
      <c r="C57" s="7" t="s">
        <v>139</v>
      </c>
      <c r="D57" s="7" t="s">
        <v>4345</v>
      </c>
      <c r="E57" s="14" t="s">
        <v>20</v>
      </c>
      <c r="F57" s="7" t="s">
        <v>4346</v>
      </c>
      <c r="G57" s="7" t="s">
        <v>4347</v>
      </c>
      <c r="H57" s="7" t="s">
        <v>4348</v>
      </c>
      <c r="I57" s="7" t="s">
        <v>4349</v>
      </c>
      <c r="J57" s="7" t="s">
        <v>4350</v>
      </c>
      <c r="K57" s="7" t="s">
        <v>189</v>
      </c>
      <c r="L57" s="7" t="s">
        <v>4351</v>
      </c>
      <c r="M57" s="7" t="s">
        <v>2815</v>
      </c>
      <c r="N57" s="7" t="s">
        <v>4352</v>
      </c>
      <c r="O57" s="18" t="n">
        <v>6</v>
      </c>
      <c r="P57" s="7"/>
      <c r="Q57" s="7"/>
      <c r="R57" s="7" t="s">
        <v>4353</v>
      </c>
      <c r="S57" s="22" t="s">
        <v>197</v>
      </c>
      <c r="T57" s="22" t="s">
        <v>197</v>
      </c>
      <c r="U57" s="22" t="s">
        <v>197</v>
      </c>
      <c r="V57" s="22" t="s">
        <v>197</v>
      </c>
      <c r="W57" s="22" t="s">
        <v>197</v>
      </c>
      <c r="X57" s="22" t="s">
        <v>197</v>
      </c>
      <c r="Y57" s="22" t="s">
        <v>197</v>
      </c>
      <c r="Z57" s="22" t="s">
        <v>197</v>
      </c>
    </row>
    <row r="58" customFormat="false" ht="21.75" hidden="false" customHeight="true" outlineLevel="0" collapsed="false">
      <c r="B58" s="15" t="n">
        <v>54</v>
      </c>
      <c r="C58" s="9" t="s">
        <v>139</v>
      </c>
      <c r="D58" s="9" t="s">
        <v>85</v>
      </c>
      <c r="E58" s="15" t="s">
        <v>23</v>
      </c>
      <c r="F58" s="9" t="s">
        <v>4354</v>
      </c>
      <c r="G58" s="9" t="s">
        <v>4355</v>
      </c>
      <c r="H58" s="9" t="s">
        <v>4356</v>
      </c>
      <c r="I58" s="9" t="s">
        <v>4357</v>
      </c>
      <c r="J58" s="9" t="s">
        <v>4358</v>
      </c>
      <c r="K58" s="9" t="s">
        <v>189</v>
      </c>
      <c r="L58" s="9" t="s">
        <v>4351</v>
      </c>
      <c r="M58" s="9" t="s">
        <v>4359</v>
      </c>
      <c r="N58" s="9" t="s">
        <v>4352</v>
      </c>
      <c r="O58" s="19" t="n">
        <v>6</v>
      </c>
      <c r="P58" s="9"/>
      <c r="Q58" s="9"/>
      <c r="R58" s="9" t="s">
        <v>4360</v>
      </c>
      <c r="S58" s="23" t="s">
        <v>197</v>
      </c>
      <c r="T58" s="23" t="s">
        <v>197</v>
      </c>
      <c r="U58" s="23" t="s">
        <v>197</v>
      </c>
      <c r="V58" s="23" t="s">
        <v>197</v>
      </c>
      <c r="W58" s="23" t="s">
        <v>197</v>
      </c>
      <c r="X58" s="23" t="s">
        <v>197</v>
      </c>
      <c r="Y58" s="23" t="s">
        <v>197</v>
      </c>
      <c r="Z58" s="23" t="s">
        <v>197</v>
      </c>
    </row>
    <row r="59" customFormat="false" ht="21.75" hidden="false" customHeight="true" outlineLevel="0" collapsed="false">
      <c r="B59" s="14" t="n">
        <v>55</v>
      </c>
      <c r="C59" s="7" t="s">
        <v>139</v>
      </c>
      <c r="D59" s="7" t="s">
        <v>4336</v>
      </c>
      <c r="E59" s="14" t="s">
        <v>23</v>
      </c>
      <c r="F59" s="7" t="s">
        <v>4361</v>
      </c>
      <c r="G59" s="7" t="s">
        <v>4362</v>
      </c>
      <c r="H59" s="7" t="s">
        <v>4363</v>
      </c>
      <c r="I59" s="7" t="s">
        <v>4364</v>
      </c>
      <c r="J59" s="7" t="s">
        <v>4365</v>
      </c>
      <c r="K59" s="7" t="s">
        <v>189</v>
      </c>
      <c r="L59" s="7" t="s">
        <v>4366</v>
      </c>
      <c r="M59" s="7" t="s">
        <v>4367</v>
      </c>
      <c r="N59" s="7" t="s">
        <v>4183</v>
      </c>
      <c r="O59" s="18" t="n">
        <v>22</v>
      </c>
      <c r="P59" s="7"/>
      <c r="Q59" s="7"/>
      <c r="R59" s="7" t="s">
        <v>4368</v>
      </c>
      <c r="S59" s="22" t="s">
        <v>197</v>
      </c>
      <c r="T59" s="22" t="s">
        <v>197</v>
      </c>
      <c r="U59" s="22" t="s">
        <v>197</v>
      </c>
      <c r="V59" s="22" t="s">
        <v>197</v>
      </c>
      <c r="W59" s="22" t="s">
        <v>197</v>
      </c>
      <c r="X59" s="22" t="s">
        <v>197</v>
      </c>
      <c r="Y59" s="22" t="s">
        <v>197</v>
      </c>
      <c r="Z59" s="22" t="s">
        <v>197</v>
      </c>
    </row>
    <row r="60" customFormat="false" ht="21.75" hidden="false" customHeight="true" outlineLevel="0" collapsed="false">
      <c r="B60" s="15" t="n">
        <v>56</v>
      </c>
      <c r="C60" s="9" t="s">
        <v>139</v>
      </c>
      <c r="D60" s="9" t="s">
        <v>4158</v>
      </c>
      <c r="E60" s="15" t="s">
        <v>26</v>
      </c>
      <c r="F60" s="9" t="s">
        <v>4369</v>
      </c>
      <c r="G60" s="9" t="s">
        <v>4370</v>
      </c>
      <c r="H60" s="9" t="s">
        <v>4371</v>
      </c>
      <c r="I60" s="9" t="s">
        <v>4372</v>
      </c>
      <c r="J60" s="9" t="s">
        <v>4373</v>
      </c>
      <c r="K60" s="9" t="s">
        <v>189</v>
      </c>
      <c r="L60" s="9" t="s">
        <v>4374</v>
      </c>
      <c r="M60" s="9" t="s">
        <v>4375</v>
      </c>
      <c r="N60" s="9" t="s">
        <v>4376</v>
      </c>
      <c r="O60" s="19" t="n">
        <v>9</v>
      </c>
      <c r="P60" s="9"/>
      <c r="Q60" s="9"/>
      <c r="R60" s="9" t="s">
        <v>4377</v>
      </c>
      <c r="S60" s="23" t="s">
        <v>197</v>
      </c>
      <c r="T60" s="23" t="s">
        <v>197</v>
      </c>
      <c r="U60" s="23" t="s">
        <v>197</v>
      </c>
      <c r="V60" s="23" t="s">
        <v>197</v>
      </c>
      <c r="W60" s="23" t="s">
        <v>197</v>
      </c>
      <c r="X60" s="23" t="s">
        <v>197</v>
      </c>
      <c r="Y60" s="23" t="s">
        <v>197</v>
      </c>
      <c r="Z60" s="23" t="s">
        <v>197</v>
      </c>
    </row>
    <row r="61" customFormat="false" ht="21.75" hidden="false" customHeight="true" outlineLevel="0" collapsed="false">
      <c r="B61" s="14" t="n">
        <v>57</v>
      </c>
      <c r="C61" s="7" t="s">
        <v>139</v>
      </c>
      <c r="D61" s="7" t="s">
        <v>4158</v>
      </c>
      <c r="E61" s="14" t="s">
        <v>26</v>
      </c>
      <c r="F61" s="7" t="s">
        <v>4378</v>
      </c>
      <c r="G61" s="7" t="s">
        <v>4379</v>
      </c>
      <c r="H61" s="7" t="s">
        <v>4380</v>
      </c>
      <c r="I61" s="7" t="s">
        <v>4381</v>
      </c>
      <c r="J61" s="7" t="s">
        <v>4382</v>
      </c>
      <c r="K61" s="7" t="s">
        <v>189</v>
      </c>
      <c r="L61" s="7" t="s">
        <v>4383</v>
      </c>
      <c r="M61" s="7" t="s">
        <v>4384</v>
      </c>
      <c r="N61" s="7" t="s">
        <v>4385</v>
      </c>
      <c r="O61" s="18" t="n">
        <v>6</v>
      </c>
      <c r="P61" s="7"/>
      <c r="Q61" s="7"/>
      <c r="R61" s="7" t="s">
        <v>4386</v>
      </c>
      <c r="S61" s="22" t="s">
        <v>197</v>
      </c>
      <c r="T61" s="22" t="s">
        <v>197</v>
      </c>
      <c r="U61" s="22" t="s">
        <v>197</v>
      </c>
      <c r="V61" s="22" t="s">
        <v>197</v>
      </c>
      <c r="W61" s="22" t="s">
        <v>197</v>
      </c>
      <c r="X61" s="22" t="s">
        <v>197</v>
      </c>
      <c r="Y61" s="22" t="s">
        <v>197</v>
      </c>
      <c r="Z61" s="22" t="s">
        <v>197</v>
      </c>
    </row>
    <row r="62" customFormat="false" ht="21.75" hidden="false" customHeight="true" outlineLevel="0" collapsed="false">
      <c r="B62" s="15" t="n">
        <v>58</v>
      </c>
      <c r="C62" s="9" t="s">
        <v>139</v>
      </c>
      <c r="D62" s="9" t="s">
        <v>4158</v>
      </c>
      <c r="E62" s="15" t="s">
        <v>26</v>
      </c>
      <c r="F62" s="9" t="s">
        <v>4387</v>
      </c>
      <c r="G62" s="9" t="s">
        <v>4388</v>
      </c>
      <c r="H62" s="9" t="s">
        <v>4389</v>
      </c>
      <c r="I62" s="9" t="s">
        <v>4390</v>
      </c>
      <c r="J62" s="9" t="s">
        <v>4391</v>
      </c>
      <c r="K62" s="9" t="s">
        <v>189</v>
      </c>
      <c r="L62" s="9" t="s">
        <v>4392</v>
      </c>
      <c r="M62" s="9" t="s">
        <v>4393</v>
      </c>
      <c r="N62" s="9" t="s">
        <v>4107</v>
      </c>
      <c r="O62" s="19" t="n">
        <v>12</v>
      </c>
      <c r="P62" s="9"/>
      <c r="Q62" s="9"/>
      <c r="R62" s="9" t="s">
        <v>4394</v>
      </c>
      <c r="S62" s="23" t="s">
        <v>197</v>
      </c>
      <c r="T62" s="23" t="s">
        <v>197</v>
      </c>
      <c r="U62" s="23" t="s">
        <v>197</v>
      </c>
      <c r="V62" s="23" t="s">
        <v>197</v>
      </c>
      <c r="W62" s="23" t="s">
        <v>197</v>
      </c>
      <c r="X62" s="23" t="s">
        <v>197</v>
      </c>
      <c r="Y62" s="23" t="s">
        <v>197</v>
      </c>
      <c r="Z62" s="23" t="s">
        <v>197</v>
      </c>
    </row>
    <row r="63" customFormat="false" ht="21.75" hidden="false" customHeight="true" outlineLevel="0" collapsed="false">
      <c r="B63" s="14" t="n">
        <v>59</v>
      </c>
      <c r="C63" s="7" t="s">
        <v>139</v>
      </c>
      <c r="D63" s="7" t="s">
        <v>4395</v>
      </c>
      <c r="E63" s="14" t="s">
        <v>23</v>
      </c>
      <c r="F63" s="7" t="s">
        <v>4396</v>
      </c>
      <c r="G63" s="7" t="s">
        <v>4397</v>
      </c>
      <c r="H63" s="7" t="s">
        <v>4398</v>
      </c>
      <c r="I63" s="7" t="s">
        <v>4399</v>
      </c>
      <c r="J63" s="7" t="s">
        <v>4400</v>
      </c>
      <c r="K63" s="7" t="s">
        <v>189</v>
      </c>
      <c r="L63" s="7" t="s">
        <v>4401</v>
      </c>
      <c r="M63" s="7" t="s">
        <v>4402</v>
      </c>
      <c r="N63" s="7" t="s">
        <v>4256</v>
      </c>
      <c r="O63" s="18" t="n">
        <v>15</v>
      </c>
      <c r="P63" s="7"/>
      <c r="Q63" s="7"/>
      <c r="R63" s="7" t="s">
        <v>4403</v>
      </c>
      <c r="S63" s="22" t="s">
        <v>197</v>
      </c>
      <c r="T63" s="22" t="s">
        <v>197</v>
      </c>
      <c r="U63" s="22" t="s">
        <v>197</v>
      </c>
      <c r="V63" s="22" t="s">
        <v>197</v>
      </c>
      <c r="W63" s="22" t="s">
        <v>197</v>
      </c>
      <c r="X63" s="22" t="s">
        <v>197</v>
      </c>
      <c r="Y63" s="22" t="s">
        <v>197</v>
      </c>
      <c r="Z63" s="22" t="s">
        <v>197</v>
      </c>
    </row>
    <row r="64" customFormat="false" ht="21.75" hidden="false" customHeight="true" outlineLevel="0" collapsed="false">
      <c r="B64" s="15" t="n">
        <v>60</v>
      </c>
      <c r="C64" s="9" t="s">
        <v>139</v>
      </c>
      <c r="D64" s="9" t="s">
        <v>4158</v>
      </c>
      <c r="E64" s="15" t="s">
        <v>26</v>
      </c>
      <c r="F64" s="9" t="s">
        <v>4404</v>
      </c>
      <c r="G64" s="9" t="s">
        <v>4405</v>
      </c>
      <c r="H64" s="9" t="s">
        <v>4406</v>
      </c>
      <c r="I64" s="9" t="s">
        <v>4407</v>
      </c>
      <c r="J64" s="9" t="s">
        <v>4408</v>
      </c>
      <c r="K64" s="9" t="s">
        <v>189</v>
      </c>
      <c r="L64" s="9" t="s">
        <v>189</v>
      </c>
      <c r="M64" s="9" t="s">
        <v>4409</v>
      </c>
      <c r="N64" s="9" t="s">
        <v>4165</v>
      </c>
      <c r="O64" s="19" t="n">
        <v>8</v>
      </c>
      <c r="P64" s="9"/>
      <c r="Q64" s="9"/>
      <c r="R64" s="9" t="s">
        <v>4410</v>
      </c>
      <c r="S64" s="23" t="s">
        <v>197</v>
      </c>
      <c r="T64" s="23" t="s">
        <v>197</v>
      </c>
      <c r="U64" s="23" t="s">
        <v>197</v>
      </c>
      <c r="V64" s="23" t="s">
        <v>197</v>
      </c>
      <c r="W64" s="23" t="s">
        <v>197</v>
      </c>
      <c r="X64" s="23" t="s">
        <v>197</v>
      </c>
      <c r="Y64" s="23" t="s">
        <v>197</v>
      </c>
      <c r="Z64" s="23" t="s">
        <v>197</v>
      </c>
    </row>
    <row r="65" customFormat="false" ht="21.75" hidden="false" customHeight="true" outlineLevel="0" collapsed="false">
      <c r="B65" s="14" t="n">
        <v>61</v>
      </c>
      <c r="C65" s="7" t="s">
        <v>139</v>
      </c>
      <c r="D65" s="7" t="s">
        <v>4336</v>
      </c>
      <c r="E65" s="14" t="s">
        <v>23</v>
      </c>
      <c r="F65" s="7" t="s">
        <v>4411</v>
      </c>
      <c r="G65" s="7" t="s">
        <v>4412</v>
      </c>
      <c r="H65" s="7" t="s">
        <v>4413</v>
      </c>
      <c r="I65" s="7" t="s">
        <v>4414</v>
      </c>
      <c r="J65" s="7" t="s">
        <v>4415</v>
      </c>
      <c r="K65" s="7" t="s">
        <v>4416</v>
      </c>
      <c r="L65" s="7" t="s">
        <v>4417</v>
      </c>
      <c r="M65" s="7" t="s">
        <v>4418</v>
      </c>
      <c r="N65" s="7" t="s">
        <v>590</v>
      </c>
      <c r="O65" s="18" t="n">
        <v>38</v>
      </c>
      <c r="P65" s="7"/>
      <c r="Q65" s="7"/>
      <c r="R65" s="7" t="s">
        <v>4419</v>
      </c>
      <c r="S65" s="22" t="s">
        <v>197</v>
      </c>
      <c r="T65" s="22" t="s">
        <v>197</v>
      </c>
      <c r="U65" s="22" t="s">
        <v>197</v>
      </c>
      <c r="V65" s="22" t="s">
        <v>197</v>
      </c>
      <c r="W65" s="22" t="s">
        <v>197</v>
      </c>
      <c r="X65" s="22" t="s">
        <v>197</v>
      </c>
      <c r="Y65" s="22" t="s">
        <v>197</v>
      </c>
      <c r="Z65" s="22" t="s">
        <v>197</v>
      </c>
    </row>
    <row r="66" customFormat="false" ht="21.75" hidden="false" customHeight="true" outlineLevel="0" collapsed="false">
      <c r="B66" s="15" t="n">
        <v>62</v>
      </c>
      <c r="C66" s="9" t="s">
        <v>139</v>
      </c>
      <c r="D66" s="9" t="s">
        <v>4420</v>
      </c>
      <c r="E66" s="15" t="s">
        <v>26</v>
      </c>
      <c r="F66" s="9" t="s">
        <v>4421</v>
      </c>
      <c r="G66" s="9" t="s">
        <v>4422</v>
      </c>
      <c r="H66" s="9" t="s">
        <v>4423</v>
      </c>
      <c r="I66" s="9" t="s">
        <v>4424</v>
      </c>
      <c r="J66" s="9" t="s">
        <v>4425</v>
      </c>
      <c r="K66" s="9" t="s">
        <v>189</v>
      </c>
      <c r="L66" s="9" t="s">
        <v>4426</v>
      </c>
      <c r="M66" s="9" t="s">
        <v>4427</v>
      </c>
      <c r="N66" s="9" t="s">
        <v>604</v>
      </c>
      <c r="O66" s="19" t="n">
        <v>12</v>
      </c>
      <c r="P66" s="9"/>
      <c r="Q66" s="9"/>
      <c r="R66" s="9" t="s">
        <v>4428</v>
      </c>
      <c r="S66" s="23" t="s">
        <v>197</v>
      </c>
      <c r="T66" s="23" t="s">
        <v>197</v>
      </c>
      <c r="U66" s="23" t="s">
        <v>197</v>
      </c>
      <c r="V66" s="23" t="s">
        <v>197</v>
      </c>
      <c r="W66" s="23" t="s">
        <v>197</v>
      </c>
      <c r="X66" s="23" t="s">
        <v>197</v>
      </c>
      <c r="Y66" s="23" t="s">
        <v>197</v>
      </c>
      <c r="Z66" s="23" t="s">
        <v>197</v>
      </c>
    </row>
    <row r="67" customFormat="false" ht="21.75" hidden="false" customHeight="true" outlineLevel="0" collapsed="false">
      <c r="B67" s="14" t="n">
        <v>63</v>
      </c>
      <c r="C67" s="7" t="s">
        <v>140</v>
      </c>
      <c r="D67" s="7" t="s">
        <v>4429</v>
      </c>
      <c r="E67" s="14" t="s">
        <v>20</v>
      </c>
      <c r="F67" s="7" t="s">
        <v>4430</v>
      </c>
      <c r="G67" s="7" t="s">
        <v>4431</v>
      </c>
      <c r="H67" s="7" t="s">
        <v>4432</v>
      </c>
      <c r="I67" s="7" t="s">
        <v>4433</v>
      </c>
      <c r="J67" s="7" t="s">
        <v>4434</v>
      </c>
      <c r="K67" s="7" t="s">
        <v>4435</v>
      </c>
      <c r="L67" s="7" t="s">
        <v>4436</v>
      </c>
      <c r="M67" s="7" t="s">
        <v>4437</v>
      </c>
      <c r="N67" s="7" t="s">
        <v>4352</v>
      </c>
      <c r="O67" s="18" t="n">
        <v>22</v>
      </c>
      <c r="P67" s="7"/>
      <c r="Q67" s="7"/>
      <c r="R67" s="7" t="s">
        <v>4438</v>
      </c>
      <c r="S67" s="22" t="n">
        <v>0</v>
      </c>
      <c r="T67" s="22" t="n">
        <v>0</v>
      </c>
      <c r="U67" s="22" t="n">
        <v>12</v>
      </c>
      <c r="V67" s="22" t="s">
        <v>197</v>
      </c>
      <c r="W67" s="22" t="s">
        <v>197</v>
      </c>
      <c r="X67" s="22" t="s">
        <v>197</v>
      </c>
      <c r="Y67" s="22" t="s">
        <v>197</v>
      </c>
      <c r="Z67" s="22" t="s">
        <v>197</v>
      </c>
    </row>
    <row r="68" customFormat="false" ht="21.75" hidden="false" customHeight="true" outlineLevel="0" collapsed="false">
      <c r="B68" s="15" t="n">
        <v>64</v>
      </c>
      <c r="C68" s="9" t="s">
        <v>140</v>
      </c>
      <c r="D68" s="9" t="s">
        <v>4429</v>
      </c>
      <c r="E68" s="15" t="s">
        <v>20</v>
      </c>
      <c r="F68" s="9" t="s">
        <v>4439</v>
      </c>
      <c r="G68" s="9" t="s">
        <v>4440</v>
      </c>
      <c r="H68" s="9" t="s">
        <v>4441</v>
      </c>
      <c r="I68" s="9" t="s">
        <v>4442</v>
      </c>
      <c r="J68" s="9" t="s">
        <v>4443</v>
      </c>
      <c r="K68" s="9" t="s">
        <v>4435</v>
      </c>
      <c r="L68" s="9" t="s">
        <v>4444</v>
      </c>
      <c r="M68" s="9" t="s">
        <v>4445</v>
      </c>
      <c r="N68" s="9" t="s">
        <v>4306</v>
      </c>
      <c r="O68" s="19" t="n">
        <v>35</v>
      </c>
      <c r="P68" s="9"/>
      <c r="Q68" s="9"/>
      <c r="R68" s="9" t="s">
        <v>4446</v>
      </c>
      <c r="S68" s="23" t="n">
        <v>0</v>
      </c>
      <c r="T68" s="23" t="n">
        <v>0</v>
      </c>
      <c r="U68" s="23" t="s">
        <v>197</v>
      </c>
      <c r="V68" s="23" t="s">
        <v>197</v>
      </c>
      <c r="W68" s="23" t="s">
        <v>197</v>
      </c>
      <c r="X68" s="23" t="s">
        <v>197</v>
      </c>
      <c r="Y68" s="23" t="s">
        <v>197</v>
      </c>
      <c r="Z68" s="23" t="s">
        <v>197</v>
      </c>
    </row>
    <row r="69" customFormat="false" ht="21.75" hidden="false" customHeight="true" outlineLevel="0" collapsed="false">
      <c r="B69" s="14" t="n">
        <v>65</v>
      </c>
      <c r="C69" s="7" t="s">
        <v>140</v>
      </c>
      <c r="D69" s="7" t="s">
        <v>4447</v>
      </c>
      <c r="E69" s="14" t="s">
        <v>23</v>
      </c>
      <c r="F69" s="7" t="s">
        <v>4448</v>
      </c>
      <c r="G69" s="7" t="s">
        <v>4449</v>
      </c>
      <c r="H69" s="7" t="s">
        <v>4450</v>
      </c>
      <c r="I69" s="7" t="s">
        <v>4451</v>
      </c>
      <c r="J69" s="7" t="s">
        <v>4452</v>
      </c>
      <c r="K69" s="7" t="s">
        <v>189</v>
      </c>
      <c r="L69" s="7" t="s">
        <v>4453</v>
      </c>
      <c r="M69" s="7" t="s">
        <v>4454</v>
      </c>
      <c r="N69" s="7" t="s">
        <v>4376</v>
      </c>
      <c r="O69" s="18" t="n">
        <v>9</v>
      </c>
      <c r="P69" s="7"/>
      <c r="Q69" s="7"/>
      <c r="R69" s="7" t="s">
        <v>4455</v>
      </c>
      <c r="S69" s="22" t="n">
        <v>0</v>
      </c>
      <c r="T69" s="22" t="n">
        <v>0</v>
      </c>
      <c r="U69" s="22" t="s">
        <v>197</v>
      </c>
      <c r="V69" s="22" t="s">
        <v>197</v>
      </c>
      <c r="W69" s="22" t="s">
        <v>197</v>
      </c>
      <c r="X69" s="22" t="s">
        <v>197</v>
      </c>
      <c r="Y69" s="22" t="s">
        <v>197</v>
      </c>
      <c r="Z69" s="22" t="s">
        <v>197</v>
      </c>
    </row>
    <row r="70" customFormat="false" ht="21.75" hidden="false" customHeight="true" outlineLevel="0" collapsed="false">
      <c r="B70" s="15" t="n">
        <v>66</v>
      </c>
      <c r="C70" s="9" t="s">
        <v>140</v>
      </c>
      <c r="D70" s="9" t="s">
        <v>4429</v>
      </c>
      <c r="E70" s="15" t="s">
        <v>23</v>
      </c>
      <c r="F70" s="9" t="s">
        <v>4456</v>
      </c>
      <c r="G70" s="9" t="s">
        <v>4457</v>
      </c>
      <c r="H70" s="9" t="s">
        <v>4458</v>
      </c>
      <c r="I70" s="9" t="s">
        <v>4459</v>
      </c>
      <c r="J70" s="9" t="s">
        <v>4460</v>
      </c>
      <c r="K70" s="9" t="s">
        <v>4435</v>
      </c>
      <c r="L70" s="9" t="s">
        <v>4436</v>
      </c>
      <c r="M70" s="9" t="s">
        <v>4437</v>
      </c>
      <c r="N70" s="9" t="s">
        <v>4352</v>
      </c>
      <c r="O70" s="19" t="n">
        <v>24</v>
      </c>
      <c r="P70" s="9"/>
      <c r="Q70" s="9"/>
      <c r="R70" s="9" t="s">
        <v>4461</v>
      </c>
      <c r="S70" s="23" t="n">
        <v>0</v>
      </c>
      <c r="T70" s="23" t="n">
        <v>0</v>
      </c>
      <c r="U70" s="23" t="n">
        <v>24</v>
      </c>
      <c r="V70" s="23" t="s">
        <v>197</v>
      </c>
      <c r="W70" s="23" t="s">
        <v>197</v>
      </c>
      <c r="X70" s="23" t="s">
        <v>197</v>
      </c>
      <c r="Y70" s="23" t="s">
        <v>197</v>
      </c>
      <c r="Z70" s="23" t="s">
        <v>197</v>
      </c>
    </row>
    <row r="71" customFormat="false" ht="21.75" hidden="false" customHeight="true" outlineLevel="0" collapsed="false">
      <c r="B71" s="14" t="n">
        <v>67</v>
      </c>
      <c r="C71" s="7" t="s">
        <v>140</v>
      </c>
      <c r="D71" s="7" t="s">
        <v>4158</v>
      </c>
      <c r="E71" s="14" t="s">
        <v>26</v>
      </c>
      <c r="F71" s="7" t="s">
        <v>4462</v>
      </c>
      <c r="G71" s="7" t="s">
        <v>4463</v>
      </c>
      <c r="H71" s="7" t="s">
        <v>4464</v>
      </c>
      <c r="I71" s="7" t="s">
        <v>4465</v>
      </c>
      <c r="J71" s="7" t="s">
        <v>4466</v>
      </c>
      <c r="K71" s="7" t="s">
        <v>4435</v>
      </c>
      <c r="L71" s="7" t="s">
        <v>4467</v>
      </c>
      <c r="M71" s="7" t="s">
        <v>4468</v>
      </c>
      <c r="N71" s="7" t="s">
        <v>4469</v>
      </c>
      <c r="O71" s="18" t="n">
        <v>6</v>
      </c>
      <c r="P71" s="7"/>
      <c r="Q71" s="7"/>
      <c r="R71" s="7" t="s">
        <v>4470</v>
      </c>
      <c r="S71" s="22" t="n">
        <v>0</v>
      </c>
      <c r="T71" s="22" t="n">
        <v>0</v>
      </c>
      <c r="U71" s="22" t="n">
        <v>12</v>
      </c>
      <c r="V71" s="22" t="s">
        <v>197</v>
      </c>
      <c r="W71" s="22" t="s">
        <v>197</v>
      </c>
      <c r="X71" s="22" t="s">
        <v>197</v>
      </c>
      <c r="Y71" s="22" t="s">
        <v>197</v>
      </c>
      <c r="Z71" s="22" t="s">
        <v>197</v>
      </c>
    </row>
    <row r="72" customFormat="false" ht="21.75" hidden="false" customHeight="true" outlineLevel="0" collapsed="false">
      <c r="B72" s="15" t="n">
        <v>68</v>
      </c>
      <c r="C72" s="9" t="s">
        <v>140</v>
      </c>
      <c r="D72" s="9" t="s">
        <v>4326</v>
      </c>
      <c r="E72" s="15" t="s">
        <v>20</v>
      </c>
      <c r="F72" s="9" t="s">
        <v>4471</v>
      </c>
      <c r="G72" s="9" t="s">
        <v>4472</v>
      </c>
      <c r="H72" s="9" t="s">
        <v>4473</v>
      </c>
      <c r="I72" s="9" t="s">
        <v>4474</v>
      </c>
      <c r="J72" s="9" t="s">
        <v>4475</v>
      </c>
      <c r="K72" s="9" t="s">
        <v>4476</v>
      </c>
      <c r="L72" s="9" t="s">
        <v>4477</v>
      </c>
      <c r="M72" s="9" t="s">
        <v>4478</v>
      </c>
      <c r="N72" s="9" t="s">
        <v>4479</v>
      </c>
      <c r="O72" s="19" t="n">
        <v>385</v>
      </c>
      <c r="P72" s="9"/>
      <c r="Q72" s="9"/>
      <c r="R72" s="9" t="s">
        <v>4480</v>
      </c>
      <c r="S72" s="23" t="n">
        <v>0</v>
      </c>
      <c r="T72" s="23" t="n">
        <v>0</v>
      </c>
      <c r="U72" s="23" t="s">
        <v>197</v>
      </c>
      <c r="V72" s="23" t="s">
        <v>197</v>
      </c>
      <c r="W72" s="23" t="s">
        <v>197</v>
      </c>
      <c r="X72" s="23" t="s">
        <v>197</v>
      </c>
      <c r="Y72" s="23" t="s">
        <v>197</v>
      </c>
      <c r="Z72" s="23" t="s">
        <v>197</v>
      </c>
    </row>
  </sheetData>
  <autoFilter ref="B4:Z72"/>
  <mergeCells count="1">
    <mergeCell ref="B2:Z2"/>
  </mergeCells>
  <dataValidations count="3">
    <dataValidation allowBlank="true" errorStyle="stop" operator="between" showDropDown="false" showErrorMessage="false" showInputMessage="false" sqref="C5:C72" type="list">
      <formula1>"Baterías de respaldo,Fuentes de poder,Gabinetes y canastillas,Cableado y conductores,Herramientas y pruebas,Comunicación y monitoreo,Accesorios de instalación,Protección eléctrica"</formula1>
      <formula2>0</formula2>
    </dataValidation>
    <dataValidation allowBlank="true" errorStyle="stop" operator="between" showDropDown="false" showErrorMessage="false" showInputMessage="false" sqref="E5:E72" type="list">
      <formula1>"Alta,Media,Entrada"</formula1>
      <formula2>0</formula2>
    </dataValidation>
    <dataValidation allowBlank="true" errorStyle="stop" operator="between" showDropDown="false" showErrorMessage="false" showInputMessage="false" sqref="Q5:Q72" type="list">
      <formula1>"En stock,Bajo pedido,Agotado,Consultar"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F0EB"/>
    <pageSetUpPr fitToPage="false"/>
  </sheetPr>
  <dimension ref="B2:E4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5" min="3" style="1" width="38"/>
  </cols>
  <sheetData>
    <row r="2" customFormat="false" ht="31.5" hidden="false" customHeight="true" outlineLevel="0" collapsed="false">
      <c r="B2" s="2" t="s">
        <v>4481</v>
      </c>
      <c r="C2" s="2"/>
      <c r="D2" s="2"/>
      <c r="E2" s="2"/>
    </row>
    <row r="3" customFormat="false" ht="7.5" hidden="false" customHeight="true" outlineLevel="0" collapsed="false"/>
    <row r="5" customFormat="false" ht="21.75" hidden="false" customHeight="true" outlineLevel="0" collapsed="false">
      <c r="B5" s="24" t="s">
        <v>4482</v>
      </c>
      <c r="C5" s="24"/>
      <c r="D5" s="24"/>
      <c r="E5" s="24"/>
    </row>
    <row r="6" customFormat="false" ht="13.5" hidden="false" customHeight="true" outlineLevel="0" collapsed="false">
      <c r="B6" s="25" t="s">
        <v>4483</v>
      </c>
      <c r="C6" s="25"/>
      <c r="D6" s="25"/>
      <c r="E6" s="25"/>
    </row>
    <row r="7" customFormat="false" ht="31.5" hidden="false" customHeight="true" outlineLevel="0" collapsed="false">
      <c r="B7" s="5" t="s">
        <v>4484</v>
      </c>
      <c r="C7" s="5" t="s">
        <v>4485</v>
      </c>
      <c r="D7" s="5" t="s">
        <v>4486</v>
      </c>
      <c r="E7" s="5" t="s">
        <v>4487</v>
      </c>
    </row>
    <row r="8" customFormat="false" ht="25.5" hidden="false" customHeight="true" outlineLevel="0" collapsed="false">
      <c r="B8" s="7" t="s">
        <v>17</v>
      </c>
      <c r="C8" s="11" t="s">
        <v>20</v>
      </c>
      <c r="D8" s="11" t="s">
        <v>20</v>
      </c>
      <c r="E8" s="11" t="s">
        <v>20</v>
      </c>
    </row>
    <row r="9" customFormat="false" ht="25.5" hidden="false" customHeight="true" outlineLevel="0" collapsed="false">
      <c r="B9" s="9" t="s">
        <v>146</v>
      </c>
      <c r="C9" s="12" t="s">
        <v>182</v>
      </c>
      <c r="D9" s="12" t="s">
        <v>446</v>
      </c>
      <c r="E9" s="12" t="s">
        <v>635</v>
      </c>
    </row>
    <row r="10" customFormat="false" ht="25.5" hidden="false" customHeight="true" outlineLevel="0" collapsed="false">
      <c r="B10" s="7" t="s">
        <v>4488</v>
      </c>
      <c r="C10" s="11" t="s">
        <v>183</v>
      </c>
      <c r="D10" s="11" t="s">
        <v>447</v>
      </c>
      <c r="E10" s="11" t="s">
        <v>636</v>
      </c>
    </row>
    <row r="11" customFormat="false" ht="25.5" hidden="false" customHeight="true" outlineLevel="0" collapsed="false">
      <c r="B11" s="9" t="s">
        <v>4489</v>
      </c>
      <c r="C11" s="12" t="s">
        <v>184</v>
      </c>
      <c r="D11" s="12" t="s">
        <v>448</v>
      </c>
      <c r="E11" s="12" t="s">
        <v>637</v>
      </c>
    </row>
    <row r="12" customFormat="false" ht="25.5" hidden="false" customHeight="true" outlineLevel="0" collapsed="false">
      <c r="B12" s="7" t="s">
        <v>4490</v>
      </c>
      <c r="C12" s="11" t="s">
        <v>185</v>
      </c>
      <c r="D12" s="11" t="s">
        <v>449</v>
      </c>
      <c r="E12" s="11" t="s">
        <v>638</v>
      </c>
    </row>
    <row r="13" customFormat="false" ht="25.5" hidden="false" customHeight="true" outlineLevel="0" collapsed="false">
      <c r="B13" s="9" t="s">
        <v>150</v>
      </c>
      <c r="C13" s="12" t="s">
        <v>186</v>
      </c>
      <c r="D13" s="12" t="s">
        <v>450</v>
      </c>
      <c r="E13" s="12" t="s">
        <v>639</v>
      </c>
    </row>
    <row r="14" customFormat="false" ht="25.5" hidden="false" customHeight="true" outlineLevel="0" collapsed="false">
      <c r="B14" s="7" t="s">
        <v>151</v>
      </c>
      <c r="C14" s="11" t="s">
        <v>187</v>
      </c>
      <c r="D14" s="11" t="s">
        <v>187</v>
      </c>
      <c r="E14" s="11" t="s">
        <v>187</v>
      </c>
    </row>
    <row r="15" customFormat="false" ht="25.5" hidden="false" customHeight="true" outlineLevel="0" collapsed="false">
      <c r="B15" s="9" t="s">
        <v>152</v>
      </c>
      <c r="C15" s="12" t="s">
        <v>188</v>
      </c>
      <c r="D15" s="12" t="s">
        <v>451</v>
      </c>
      <c r="E15" s="12" t="s">
        <v>210</v>
      </c>
    </row>
    <row r="16" customFormat="false" ht="25.5" hidden="false" customHeight="true" outlineLevel="0" collapsed="false">
      <c r="B16" s="7" t="s">
        <v>153</v>
      </c>
      <c r="C16" s="11" t="s">
        <v>189</v>
      </c>
      <c r="D16" s="11" t="s">
        <v>189</v>
      </c>
      <c r="E16" s="11" t="s">
        <v>189</v>
      </c>
    </row>
    <row r="17" customFormat="false" ht="25.5" hidden="false" customHeight="true" outlineLevel="0" collapsed="false">
      <c r="B17" s="9" t="s">
        <v>154</v>
      </c>
      <c r="C17" s="12" t="s">
        <v>190</v>
      </c>
      <c r="D17" s="12" t="s">
        <v>190</v>
      </c>
      <c r="E17" s="12" t="s">
        <v>640</v>
      </c>
    </row>
    <row r="18" customFormat="false" ht="25.5" hidden="false" customHeight="true" outlineLevel="0" collapsed="false">
      <c r="B18" s="16" t="s">
        <v>159</v>
      </c>
      <c r="C18" s="20" t="n">
        <v>295</v>
      </c>
      <c r="D18" s="20" t="n">
        <v>310</v>
      </c>
      <c r="E18" s="20" t="n">
        <v>285</v>
      </c>
    </row>
    <row r="20" customFormat="false" ht="21.75" hidden="false" customHeight="true" outlineLevel="0" collapsed="false">
      <c r="B20" s="24" t="s">
        <v>4491</v>
      </c>
      <c r="C20" s="24"/>
      <c r="D20" s="24"/>
      <c r="E20" s="24"/>
    </row>
    <row r="21" customFormat="false" ht="13.5" hidden="false" customHeight="true" outlineLevel="0" collapsed="false">
      <c r="B21" s="25" t="s">
        <v>4492</v>
      </c>
      <c r="C21" s="25"/>
      <c r="D21" s="25"/>
      <c r="E21" s="25"/>
    </row>
    <row r="22" customFormat="false" ht="31.5" hidden="false" customHeight="true" outlineLevel="0" collapsed="false">
      <c r="B22" s="5" t="s">
        <v>4484</v>
      </c>
      <c r="C22" s="5" t="s">
        <v>4493</v>
      </c>
      <c r="D22" s="5" t="s">
        <v>4487</v>
      </c>
      <c r="E22" s="5" t="s">
        <v>4494</v>
      </c>
    </row>
    <row r="23" customFormat="false" ht="25.5" hidden="false" customHeight="true" outlineLevel="0" collapsed="false">
      <c r="B23" s="7" t="s">
        <v>17</v>
      </c>
      <c r="C23" s="11" t="s">
        <v>20</v>
      </c>
      <c r="D23" s="11" t="s">
        <v>20</v>
      </c>
      <c r="E23" s="11" t="s">
        <v>20</v>
      </c>
    </row>
    <row r="24" customFormat="false" ht="25.5" hidden="false" customHeight="true" outlineLevel="0" collapsed="false">
      <c r="B24" s="9" t="s">
        <v>146</v>
      </c>
      <c r="C24" s="12" t="s">
        <v>446</v>
      </c>
      <c r="D24" s="12" t="s">
        <v>651</v>
      </c>
      <c r="E24" s="12" t="s">
        <v>811</v>
      </c>
    </row>
    <row r="25" customFormat="false" ht="25.5" hidden="false" customHeight="true" outlineLevel="0" collapsed="false">
      <c r="B25" s="7" t="s">
        <v>4488</v>
      </c>
      <c r="C25" s="11" t="s">
        <v>463</v>
      </c>
      <c r="D25" s="11" t="s">
        <v>652</v>
      </c>
      <c r="E25" s="11" t="s">
        <v>812</v>
      </c>
    </row>
    <row r="26" customFormat="false" ht="25.5" hidden="false" customHeight="true" outlineLevel="0" collapsed="false">
      <c r="B26" s="9" t="s">
        <v>4489</v>
      </c>
      <c r="C26" s="12" t="s">
        <v>464</v>
      </c>
      <c r="D26" s="12" t="s">
        <v>653</v>
      </c>
      <c r="E26" s="12" t="s">
        <v>813</v>
      </c>
    </row>
    <row r="27" customFormat="false" ht="25.5" hidden="false" customHeight="true" outlineLevel="0" collapsed="false">
      <c r="B27" s="7" t="s">
        <v>4490</v>
      </c>
      <c r="C27" s="11" t="s">
        <v>465</v>
      </c>
      <c r="D27" s="11" t="s">
        <v>465</v>
      </c>
      <c r="E27" s="11" t="s">
        <v>465</v>
      </c>
    </row>
    <row r="28" customFormat="false" ht="25.5" hidden="false" customHeight="true" outlineLevel="0" collapsed="false">
      <c r="B28" s="9" t="s">
        <v>150</v>
      </c>
      <c r="C28" s="12" t="s">
        <v>450</v>
      </c>
      <c r="D28" s="12" t="s">
        <v>639</v>
      </c>
      <c r="E28" s="12" t="s">
        <v>802</v>
      </c>
    </row>
    <row r="29" customFormat="false" ht="25.5" hidden="false" customHeight="true" outlineLevel="0" collapsed="false">
      <c r="B29" s="7" t="s">
        <v>151</v>
      </c>
      <c r="C29" s="11" t="s">
        <v>187</v>
      </c>
      <c r="D29" s="11" t="s">
        <v>654</v>
      </c>
      <c r="E29" s="11" t="s">
        <v>814</v>
      </c>
    </row>
    <row r="30" customFormat="false" ht="25.5" hidden="false" customHeight="true" outlineLevel="0" collapsed="false">
      <c r="B30" s="9" t="s">
        <v>152</v>
      </c>
      <c r="C30" s="12" t="s">
        <v>466</v>
      </c>
      <c r="D30" s="12" t="s">
        <v>479</v>
      </c>
      <c r="E30" s="12" t="s">
        <v>222</v>
      </c>
    </row>
    <row r="31" customFormat="false" ht="25.5" hidden="false" customHeight="true" outlineLevel="0" collapsed="false">
      <c r="B31" s="7" t="s">
        <v>153</v>
      </c>
      <c r="C31" s="11" t="s">
        <v>189</v>
      </c>
      <c r="D31" s="11" t="s">
        <v>189</v>
      </c>
      <c r="E31" s="11" t="s">
        <v>189</v>
      </c>
    </row>
    <row r="32" customFormat="false" ht="25.5" hidden="false" customHeight="true" outlineLevel="0" collapsed="false">
      <c r="B32" s="9" t="s">
        <v>154</v>
      </c>
      <c r="C32" s="12" t="s">
        <v>190</v>
      </c>
      <c r="D32" s="12" t="s">
        <v>640</v>
      </c>
      <c r="E32" s="12" t="s">
        <v>190</v>
      </c>
    </row>
    <row r="33" customFormat="false" ht="25.5" hidden="false" customHeight="true" outlineLevel="0" collapsed="false">
      <c r="B33" s="16" t="s">
        <v>159</v>
      </c>
      <c r="C33" s="20" t="n">
        <v>185</v>
      </c>
      <c r="D33" s="20" t="n">
        <v>135</v>
      </c>
      <c r="E33" s="20" t="n">
        <v>185</v>
      </c>
    </row>
    <row r="35" customFormat="false" ht="21.75" hidden="false" customHeight="true" outlineLevel="0" collapsed="false">
      <c r="B35" s="24" t="s">
        <v>4495</v>
      </c>
      <c r="C35" s="24"/>
      <c r="D35" s="24"/>
      <c r="E35" s="24"/>
    </row>
    <row r="36" customFormat="false" ht="13.5" hidden="false" customHeight="true" outlineLevel="0" collapsed="false">
      <c r="B36" s="25" t="s">
        <v>4496</v>
      </c>
      <c r="C36" s="25"/>
      <c r="D36" s="25"/>
      <c r="E36" s="25"/>
    </row>
    <row r="37" customFormat="false" ht="31.5" hidden="false" customHeight="true" outlineLevel="0" collapsed="false">
      <c r="B37" s="5" t="s">
        <v>4484</v>
      </c>
      <c r="C37" s="5" t="s">
        <v>4497</v>
      </c>
      <c r="D37" s="5" t="s">
        <v>4498</v>
      </c>
      <c r="E37" s="5" t="s">
        <v>4499</v>
      </c>
    </row>
    <row r="38" customFormat="false" ht="25.5" hidden="false" customHeight="true" outlineLevel="0" collapsed="false">
      <c r="B38" s="7" t="s">
        <v>17</v>
      </c>
      <c r="C38" s="11" t="s">
        <v>20</v>
      </c>
      <c r="D38" s="11" t="s">
        <v>20</v>
      </c>
      <c r="E38" s="11" t="s">
        <v>26</v>
      </c>
    </row>
    <row r="39" customFormat="false" ht="25.5" hidden="false" customHeight="true" outlineLevel="0" collapsed="false">
      <c r="B39" s="9" t="s">
        <v>146</v>
      </c>
      <c r="C39" s="12" t="s">
        <v>945</v>
      </c>
      <c r="D39" s="12" t="s">
        <v>1091</v>
      </c>
      <c r="E39" s="12" t="s">
        <v>2225</v>
      </c>
    </row>
    <row r="40" customFormat="false" ht="25.5" hidden="false" customHeight="true" outlineLevel="0" collapsed="false">
      <c r="B40" s="7" t="s">
        <v>4488</v>
      </c>
      <c r="C40" s="11" t="s">
        <v>946</v>
      </c>
      <c r="D40" s="11" t="s">
        <v>1092</v>
      </c>
      <c r="E40" s="11" t="s">
        <v>2226</v>
      </c>
    </row>
    <row r="41" customFormat="false" ht="25.5" hidden="false" customHeight="true" outlineLevel="0" collapsed="false">
      <c r="B41" s="9" t="s">
        <v>4489</v>
      </c>
      <c r="C41" s="12" t="s">
        <v>947</v>
      </c>
      <c r="D41" s="12" t="s">
        <v>1093</v>
      </c>
      <c r="E41" s="12" t="s">
        <v>2227</v>
      </c>
    </row>
    <row r="42" customFormat="false" ht="25.5" hidden="false" customHeight="true" outlineLevel="0" collapsed="false">
      <c r="B42" s="7" t="s">
        <v>4490</v>
      </c>
      <c r="C42" s="11" t="s">
        <v>948</v>
      </c>
      <c r="D42" s="11" t="s">
        <v>1094</v>
      </c>
      <c r="E42" s="11" t="s">
        <v>2228</v>
      </c>
    </row>
    <row r="43" customFormat="false" ht="25.5" hidden="false" customHeight="true" outlineLevel="0" collapsed="false">
      <c r="B43" s="9" t="s">
        <v>150</v>
      </c>
      <c r="C43" s="12" t="s">
        <v>949</v>
      </c>
      <c r="D43" s="12" t="s">
        <v>1095</v>
      </c>
      <c r="E43" s="12" t="s">
        <v>2229</v>
      </c>
    </row>
    <row r="44" customFormat="false" ht="25.5" hidden="false" customHeight="true" outlineLevel="0" collapsed="false">
      <c r="B44" s="7" t="s">
        <v>151</v>
      </c>
      <c r="C44" s="11" t="s">
        <v>950</v>
      </c>
      <c r="D44" s="11" t="s">
        <v>478</v>
      </c>
      <c r="E44" s="11" t="s">
        <v>2230</v>
      </c>
    </row>
    <row r="45" customFormat="false" ht="25.5" hidden="false" customHeight="true" outlineLevel="0" collapsed="false">
      <c r="B45" s="9" t="s">
        <v>152</v>
      </c>
      <c r="C45" s="12" t="s">
        <v>951</v>
      </c>
      <c r="D45" s="12" t="s">
        <v>662</v>
      </c>
      <c r="E45" s="12" t="s">
        <v>2231</v>
      </c>
    </row>
    <row r="46" customFormat="false" ht="25.5" hidden="false" customHeight="true" outlineLevel="0" collapsed="false">
      <c r="B46" s="7" t="s">
        <v>153</v>
      </c>
      <c r="C46" s="11" t="s">
        <v>189</v>
      </c>
      <c r="D46" s="11" t="s">
        <v>189</v>
      </c>
      <c r="E46" s="11" t="s">
        <v>189</v>
      </c>
    </row>
    <row r="47" customFormat="false" ht="25.5" hidden="false" customHeight="true" outlineLevel="0" collapsed="false">
      <c r="B47" s="9" t="s">
        <v>154</v>
      </c>
      <c r="C47" s="12" t="s">
        <v>952</v>
      </c>
      <c r="D47" s="12" t="s">
        <v>190</v>
      </c>
      <c r="E47" s="12" t="s">
        <v>2232</v>
      </c>
    </row>
    <row r="48" customFormat="false" ht="25.5" hidden="false" customHeight="true" outlineLevel="0" collapsed="false">
      <c r="B48" s="16" t="s">
        <v>159</v>
      </c>
      <c r="C48" s="20" t="n">
        <v>310</v>
      </c>
      <c r="D48" s="20" t="n">
        <v>295</v>
      </c>
      <c r="E48" s="20" t="n">
        <v>110</v>
      </c>
    </row>
    <row r="50" customFormat="false" ht="21.75" hidden="false" customHeight="true" outlineLevel="0" collapsed="false">
      <c r="B50" s="24" t="s">
        <v>4500</v>
      </c>
      <c r="C50" s="24"/>
      <c r="D50" s="24"/>
      <c r="E50" s="24"/>
    </row>
    <row r="51" customFormat="false" ht="13.5" hidden="false" customHeight="true" outlineLevel="0" collapsed="false">
      <c r="B51" s="25" t="s">
        <v>4501</v>
      </c>
      <c r="C51" s="25"/>
      <c r="D51" s="25"/>
      <c r="E51" s="25"/>
    </row>
    <row r="52" customFormat="false" ht="31.5" hidden="false" customHeight="true" outlineLevel="0" collapsed="false">
      <c r="B52" s="5" t="s">
        <v>4484</v>
      </c>
      <c r="C52" s="5" t="s">
        <v>4502</v>
      </c>
      <c r="D52" s="5" t="s">
        <v>4503</v>
      </c>
      <c r="E52" s="5" t="s">
        <v>4504</v>
      </c>
    </row>
    <row r="53" customFormat="false" ht="25.5" hidden="false" customHeight="true" outlineLevel="0" collapsed="false">
      <c r="B53" s="7" t="s">
        <v>17</v>
      </c>
      <c r="C53" s="11" t="s">
        <v>20</v>
      </c>
      <c r="D53" s="11" t="s">
        <v>20</v>
      </c>
      <c r="E53" s="11" t="s">
        <v>20</v>
      </c>
    </row>
    <row r="54" customFormat="false" ht="25.5" hidden="false" customHeight="true" outlineLevel="0" collapsed="false">
      <c r="B54" s="9" t="s">
        <v>146</v>
      </c>
      <c r="C54" s="12" t="s">
        <v>231</v>
      </c>
      <c r="D54" s="12" t="s">
        <v>489</v>
      </c>
      <c r="E54" s="12" t="s">
        <v>964</v>
      </c>
    </row>
    <row r="55" customFormat="false" ht="25.5" hidden="false" customHeight="true" outlineLevel="0" collapsed="false">
      <c r="B55" s="7" t="s">
        <v>4488</v>
      </c>
      <c r="C55" s="11" t="s">
        <v>232</v>
      </c>
      <c r="D55" s="11" t="s">
        <v>490</v>
      </c>
      <c r="E55" s="11" t="s">
        <v>965</v>
      </c>
    </row>
    <row r="56" customFormat="false" ht="25.5" hidden="false" customHeight="true" outlineLevel="0" collapsed="false">
      <c r="B56" s="9" t="s">
        <v>4489</v>
      </c>
      <c r="C56" s="12" t="s">
        <v>233</v>
      </c>
      <c r="D56" s="12" t="s">
        <v>491</v>
      </c>
      <c r="E56" s="12" t="s">
        <v>966</v>
      </c>
    </row>
    <row r="57" customFormat="false" ht="25.5" hidden="false" customHeight="true" outlineLevel="0" collapsed="false">
      <c r="B57" s="7" t="s">
        <v>4490</v>
      </c>
      <c r="C57" s="11" t="s">
        <v>234</v>
      </c>
      <c r="D57" s="11" t="s">
        <v>492</v>
      </c>
      <c r="E57" s="11" t="s">
        <v>967</v>
      </c>
    </row>
    <row r="58" customFormat="false" ht="25.5" hidden="false" customHeight="true" outlineLevel="0" collapsed="false">
      <c r="B58" s="9" t="s">
        <v>150</v>
      </c>
      <c r="C58" s="12" t="s">
        <v>186</v>
      </c>
      <c r="D58" s="12" t="s">
        <v>450</v>
      </c>
      <c r="E58" s="12" t="s">
        <v>949</v>
      </c>
    </row>
    <row r="59" customFormat="false" ht="25.5" hidden="false" customHeight="true" outlineLevel="0" collapsed="false">
      <c r="B59" s="7" t="s">
        <v>151</v>
      </c>
      <c r="C59" s="11" t="s">
        <v>235</v>
      </c>
      <c r="D59" s="11" t="s">
        <v>235</v>
      </c>
      <c r="E59" s="11" t="s">
        <v>968</v>
      </c>
    </row>
    <row r="60" customFormat="false" ht="25.5" hidden="false" customHeight="true" outlineLevel="0" collapsed="false">
      <c r="B60" s="9" t="s">
        <v>152</v>
      </c>
      <c r="C60" s="12" t="s">
        <v>236</v>
      </c>
      <c r="D60" s="12" t="s">
        <v>493</v>
      </c>
      <c r="E60" s="12" t="s">
        <v>189</v>
      </c>
    </row>
    <row r="61" customFormat="false" ht="25.5" hidden="false" customHeight="true" outlineLevel="0" collapsed="false">
      <c r="B61" s="7" t="s">
        <v>153</v>
      </c>
      <c r="C61" s="11" t="s">
        <v>189</v>
      </c>
      <c r="D61" s="11" t="s">
        <v>189</v>
      </c>
      <c r="E61" s="11" t="s">
        <v>189</v>
      </c>
    </row>
    <row r="62" customFormat="false" ht="25.5" hidden="false" customHeight="true" outlineLevel="0" collapsed="false">
      <c r="B62" s="9" t="s">
        <v>154</v>
      </c>
      <c r="C62" s="12" t="s">
        <v>190</v>
      </c>
      <c r="D62" s="12" t="s">
        <v>190</v>
      </c>
      <c r="E62" s="12" t="s">
        <v>952</v>
      </c>
    </row>
    <row r="63" customFormat="false" ht="25.5" hidden="false" customHeight="true" outlineLevel="0" collapsed="false">
      <c r="B63" s="16" t="s">
        <v>159</v>
      </c>
      <c r="C63" s="20" t="n">
        <v>95</v>
      </c>
      <c r="D63" s="20" t="n">
        <v>85</v>
      </c>
      <c r="E63" s="20" t="n">
        <v>85</v>
      </c>
    </row>
    <row r="65" customFormat="false" ht="21.75" hidden="false" customHeight="true" outlineLevel="0" collapsed="false">
      <c r="B65" s="24" t="s">
        <v>4505</v>
      </c>
      <c r="C65" s="24"/>
      <c r="D65" s="24"/>
      <c r="E65" s="24"/>
    </row>
    <row r="66" customFormat="false" ht="13.5" hidden="false" customHeight="true" outlineLevel="0" collapsed="false">
      <c r="B66" s="25" t="s">
        <v>4506</v>
      </c>
      <c r="C66" s="25"/>
      <c r="D66" s="25"/>
      <c r="E66" s="25"/>
    </row>
    <row r="67" customFormat="false" ht="31.5" hidden="false" customHeight="true" outlineLevel="0" collapsed="false">
      <c r="B67" s="5" t="s">
        <v>4484</v>
      </c>
      <c r="C67" s="5" t="s">
        <v>4507</v>
      </c>
      <c r="D67" s="5" t="s">
        <v>4508</v>
      </c>
      <c r="E67" s="5" t="s">
        <v>4509</v>
      </c>
    </row>
    <row r="68" customFormat="false" ht="25.5" hidden="false" customHeight="true" outlineLevel="0" collapsed="false">
      <c r="B68" s="7" t="s">
        <v>17</v>
      </c>
      <c r="C68" s="11" t="s">
        <v>20</v>
      </c>
      <c r="D68" s="11" t="s">
        <v>23</v>
      </c>
      <c r="E68" s="11" t="s">
        <v>26</v>
      </c>
    </row>
    <row r="69" customFormat="false" ht="25.5" hidden="false" customHeight="true" outlineLevel="0" collapsed="false">
      <c r="B69" s="9" t="s">
        <v>146</v>
      </c>
      <c r="C69" s="12" t="s">
        <v>261</v>
      </c>
      <c r="D69" s="12" t="s">
        <v>261</v>
      </c>
      <c r="E69" s="12" t="s">
        <v>261</v>
      </c>
    </row>
    <row r="70" customFormat="false" ht="25.5" hidden="false" customHeight="true" outlineLevel="0" collapsed="false">
      <c r="B70" s="7" t="s">
        <v>4488</v>
      </c>
      <c r="C70" s="11" t="s">
        <v>846</v>
      </c>
      <c r="D70" s="11" t="s">
        <v>1535</v>
      </c>
      <c r="E70" s="11" t="s">
        <v>515</v>
      </c>
    </row>
    <row r="71" customFormat="false" ht="25.5" hidden="false" customHeight="true" outlineLevel="0" collapsed="false">
      <c r="B71" s="9" t="s">
        <v>4489</v>
      </c>
      <c r="C71" s="12" t="s">
        <v>847</v>
      </c>
      <c r="D71" s="12" t="s">
        <v>1787</v>
      </c>
      <c r="E71" s="12" t="s">
        <v>2257</v>
      </c>
    </row>
    <row r="72" customFormat="false" ht="25.5" hidden="false" customHeight="true" outlineLevel="0" collapsed="false">
      <c r="B72" s="7" t="s">
        <v>4490</v>
      </c>
      <c r="C72" s="11" t="s">
        <v>250</v>
      </c>
      <c r="D72" s="11" t="s">
        <v>250</v>
      </c>
      <c r="E72" s="11" t="s">
        <v>517</v>
      </c>
    </row>
    <row r="73" customFormat="false" ht="25.5" hidden="false" customHeight="true" outlineLevel="0" collapsed="false">
      <c r="B73" s="9" t="s">
        <v>150</v>
      </c>
      <c r="C73" s="12" t="s">
        <v>802</v>
      </c>
      <c r="D73" s="12" t="s">
        <v>1741</v>
      </c>
      <c r="E73" s="12" t="s">
        <v>2229</v>
      </c>
    </row>
    <row r="74" customFormat="false" ht="25.5" hidden="false" customHeight="true" outlineLevel="0" collapsed="false">
      <c r="B74" s="7" t="s">
        <v>151</v>
      </c>
      <c r="C74" s="11" t="s">
        <v>251</v>
      </c>
      <c r="D74" s="11" t="s">
        <v>251</v>
      </c>
      <c r="E74" s="11" t="s">
        <v>2258</v>
      </c>
    </row>
    <row r="75" customFormat="false" ht="25.5" hidden="false" customHeight="true" outlineLevel="0" collapsed="false">
      <c r="B75" s="9" t="s">
        <v>152</v>
      </c>
      <c r="C75" s="12" t="s">
        <v>504</v>
      </c>
      <c r="D75" s="12" t="s">
        <v>1788</v>
      </c>
      <c r="E75" s="12" t="s">
        <v>1682</v>
      </c>
    </row>
    <row r="76" customFormat="false" ht="25.5" hidden="false" customHeight="true" outlineLevel="0" collapsed="false">
      <c r="B76" s="7" t="s">
        <v>153</v>
      </c>
      <c r="C76" s="11" t="s">
        <v>189</v>
      </c>
      <c r="D76" s="11" t="s">
        <v>189</v>
      </c>
      <c r="E76" s="11" t="s">
        <v>189</v>
      </c>
    </row>
    <row r="77" customFormat="false" ht="25.5" hidden="false" customHeight="true" outlineLevel="0" collapsed="false">
      <c r="B77" s="9" t="s">
        <v>154</v>
      </c>
      <c r="C77" s="12" t="s">
        <v>190</v>
      </c>
      <c r="D77" s="12" t="s">
        <v>1744</v>
      </c>
      <c r="E77" s="12" t="s">
        <v>2232</v>
      </c>
    </row>
    <row r="78" customFormat="false" ht="25.5" hidden="false" customHeight="true" outlineLevel="0" collapsed="false">
      <c r="B78" s="16" t="s">
        <v>159</v>
      </c>
      <c r="C78" s="20" t="n">
        <v>35</v>
      </c>
      <c r="D78" s="20" t="n">
        <v>20</v>
      </c>
      <c r="E78" s="20" t="n">
        <v>14</v>
      </c>
    </row>
    <row r="80" customFormat="false" ht="21.75" hidden="false" customHeight="true" outlineLevel="0" collapsed="false">
      <c r="B80" s="24" t="s">
        <v>4510</v>
      </c>
      <c r="C80" s="24"/>
      <c r="D80" s="24"/>
      <c r="E80" s="24"/>
    </row>
    <row r="81" customFormat="false" ht="13.5" hidden="false" customHeight="true" outlineLevel="0" collapsed="false">
      <c r="B81" s="25" t="s">
        <v>4511</v>
      </c>
      <c r="C81" s="25"/>
      <c r="D81" s="25"/>
      <c r="E81" s="25"/>
    </row>
    <row r="82" customFormat="false" ht="31.5" hidden="false" customHeight="true" outlineLevel="0" collapsed="false">
      <c r="B82" s="5" t="s">
        <v>4484</v>
      </c>
      <c r="C82" s="5" t="s">
        <v>4512</v>
      </c>
      <c r="D82" s="5" t="s">
        <v>4513</v>
      </c>
      <c r="E82" s="5" t="s">
        <v>4514</v>
      </c>
    </row>
    <row r="83" customFormat="false" ht="25.5" hidden="false" customHeight="true" outlineLevel="0" collapsed="false">
      <c r="B83" s="7" t="s">
        <v>17</v>
      </c>
      <c r="C83" s="11" t="s">
        <v>20</v>
      </c>
      <c r="D83" s="11" t="s">
        <v>20</v>
      </c>
      <c r="E83" s="11" t="s">
        <v>23</v>
      </c>
    </row>
    <row r="84" customFormat="false" ht="25.5" hidden="false" customHeight="true" outlineLevel="0" collapsed="false">
      <c r="B84" s="9" t="s">
        <v>146</v>
      </c>
      <c r="C84" s="12" t="s">
        <v>261</v>
      </c>
      <c r="D84" s="12" t="s">
        <v>261</v>
      </c>
      <c r="E84" s="12" t="s">
        <v>261</v>
      </c>
    </row>
    <row r="85" customFormat="false" ht="25.5" hidden="false" customHeight="true" outlineLevel="0" collapsed="false">
      <c r="B85" s="7" t="s">
        <v>4488</v>
      </c>
      <c r="C85" s="11" t="s">
        <v>989</v>
      </c>
      <c r="D85" s="11" t="s">
        <v>1128</v>
      </c>
      <c r="E85" s="11" t="s">
        <v>2019</v>
      </c>
    </row>
    <row r="86" customFormat="false" ht="25.5" hidden="false" customHeight="true" outlineLevel="0" collapsed="false">
      <c r="B86" s="9" t="s">
        <v>4489</v>
      </c>
      <c r="C86" s="12" t="s">
        <v>990</v>
      </c>
      <c r="D86" s="12" t="s">
        <v>1129</v>
      </c>
      <c r="E86" s="12" t="s">
        <v>2020</v>
      </c>
    </row>
    <row r="87" customFormat="false" ht="25.5" hidden="false" customHeight="true" outlineLevel="0" collapsed="false">
      <c r="B87" s="7" t="s">
        <v>4490</v>
      </c>
      <c r="C87" s="11" t="s">
        <v>967</v>
      </c>
      <c r="D87" s="11" t="s">
        <v>1107</v>
      </c>
      <c r="E87" s="11" t="s">
        <v>1999</v>
      </c>
    </row>
    <row r="88" customFormat="false" ht="25.5" hidden="false" customHeight="true" outlineLevel="0" collapsed="false">
      <c r="B88" s="9" t="s">
        <v>150</v>
      </c>
      <c r="C88" s="12" t="s">
        <v>949</v>
      </c>
      <c r="D88" s="12" t="s">
        <v>1095</v>
      </c>
      <c r="E88" s="12" t="s">
        <v>1983</v>
      </c>
    </row>
    <row r="89" customFormat="false" ht="25.5" hidden="false" customHeight="true" outlineLevel="0" collapsed="false">
      <c r="B89" s="7" t="s">
        <v>151</v>
      </c>
      <c r="C89" s="11" t="s">
        <v>980</v>
      </c>
      <c r="D89" s="11" t="s">
        <v>518</v>
      </c>
      <c r="E89" s="11" t="s">
        <v>518</v>
      </c>
    </row>
    <row r="90" customFormat="false" ht="25.5" hidden="false" customHeight="true" outlineLevel="0" collapsed="false">
      <c r="B90" s="9" t="s">
        <v>152</v>
      </c>
      <c r="C90" s="12" t="s">
        <v>189</v>
      </c>
      <c r="D90" s="12" t="s">
        <v>1130</v>
      </c>
      <c r="E90" s="12" t="s">
        <v>1130</v>
      </c>
    </row>
    <row r="91" customFormat="false" ht="25.5" hidden="false" customHeight="true" outlineLevel="0" collapsed="false">
      <c r="B91" s="7" t="s">
        <v>153</v>
      </c>
      <c r="C91" s="11" t="s">
        <v>189</v>
      </c>
      <c r="D91" s="11" t="s">
        <v>189</v>
      </c>
      <c r="E91" s="11" t="s">
        <v>189</v>
      </c>
    </row>
    <row r="92" customFormat="false" ht="25.5" hidden="false" customHeight="true" outlineLevel="0" collapsed="false">
      <c r="B92" s="9" t="s">
        <v>154</v>
      </c>
      <c r="C92" s="12" t="s">
        <v>952</v>
      </c>
      <c r="D92" s="12" t="s">
        <v>190</v>
      </c>
      <c r="E92" s="12" t="s">
        <v>1744</v>
      </c>
    </row>
    <row r="93" customFormat="false" ht="25.5" hidden="false" customHeight="true" outlineLevel="0" collapsed="false">
      <c r="B93" s="16" t="s">
        <v>159</v>
      </c>
      <c r="C93" s="20" t="n">
        <v>25</v>
      </c>
      <c r="D93" s="20" t="n">
        <v>50</v>
      </c>
      <c r="E93" s="20" t="n">
        <v>35</v>
      </c>
    </row>
    <row r="95" customFormat="false" ht="21.75" hidden="false" customHeight="true" outlineLevel="0" collapsed="false">
      <c r="B95" s="24" t="s">
        <v>4515</v>
      </c>
      <c r="C95" s="24"/>
      <c r="D95" s="24"/>
      <c r="E95" s="24"/>
    </row>
    <row r="96" customFormat="false" ht="13.5" hidden="false" customHeight="true" outlineLevel="0" collapsed="false">
      <c r="B96" s="25" t="s">
        <v>4516</v>
      </c>
      <c r="C96" s="25"/>
      <c r="D96" s="25"/>
      <c r="E96" s="25"/>
    </row>
    <row r="97" customFormat="false" ht="31.5" hidden="false" customHeight="true" outlineLevel="0" collapsed="false">
      <c r="B97" s="5" t="s">
        <v>4484</v>
      </c>
      <c r="C97" s="5" t="s">
        <v>4517</v>
      </c>
      <c r="D97" s="5" t="s">
        <v>4518</v>
      </c>
      <c r="E97" s="5" t="s">
        <v>4519</v>
      </c>
    </row>
    <row r="98" customFormat="false" ht="25.5" hidden="false" customHeight="true" outlineLevel="0" collapsed="false">
      <c r="B98" s="7" t="s">
        <v>17</v>
      </c>
      <c r="C98" s="11" t="s">
        <v>20</v>
      </c>
      <c r="D98" s="11" t="s">
        <v>20</v>
      </c>
      <c r="E98" s="11" t="s">
        <v>20</v>
      </c>
    </row>
    <row r="99" customFormat="false" ht="25.5" hidden="false" customHeight="true" outlineLevel="0" collapsed="false">
      <c r="B99" s="9" t="s">
        <v>146</v>
      </c>
      <c r="C99" s="12" t="s">
        <v>296</v>
      </c>
      <c r="D99" s="12" t="s">
        <v>296</v>
      </c>
      <c r="E99" s="12" t="s">
        <v>296</v>
      </c>
    </row>
    <row r="100" customFormat="false" ht="25.5" hidden="false" customHeight="true" outlineLevel="0" collapsed="false">
      <c r="B100" s="7" t="s">
        <v>4488</v>
      </c>
      <c r="C100" s="11" t="s">
        <v>869</v>
      </c>
      <c r="D100" s="11" t="s">
        <v>708</v>
      </c>
      <c r="E100" s="11" t="s">
        <v>994</v>
      </c>
    </row>
    <row r="101" customFormat="false" ht="25.5" hidden="false" customHeight="true" outlineLevel="0" collapsed="false">
      <c r="B101" s="9" t="s">
        <v>4489</v>
      </c>
      <c r="C101" s="12" t="s">
        <v>870</v>
      </c>
      <c r="D101" s="12" t="s">
        <v>709</v>
      </c>
      <c r="E101" s="12" t="s">
        <v>995</v>
      </c>
    </row>
    <row r="102" customFormat="false" ht="25.5" hidden="false" customHeight="true" outlineLevel="0" collapsed="false">
      <c r="B102" s="7" t="s">
        <v>4490</v>
      </c>
      <c r="C102" s="11" t="s">
        <v>250</v>
      </c>
      <c r="D102" s="11" t="s">
        <v>250</v>
      </c>
      <c r="E102" s="11" t="s">
        <v>996</v>
      </c>
    </row>
    <row r="103" customFormat="false" ht="25.5" hidden="false" customHeight="true" outlineLevel="0" collapsed="false">
      <c r="B103" s="9" t="s">
        <v>150</v>
      </c>
      <c r="C103" s="12" t="s">
        <v>802</v>
      </c>
      <c r="D103" s="12" t="s">
        <v>639</v>
      </c>
      <c r="E103" s="12" t="s">
        <v>949</v>
      </c>
    </row>
    <row r="104" customFormat="false" ht="25.5" hidden="false" customHeight="true" outlineLevel="0" collapsed="false">
      <c r="B104" s="7" t="s">
        <v>151</v>
      </c>
      <c r="C104" s="11" t="s">
        <v>251</v>
      </c>
      <c r="D104" s="11" t="s">
        <v>251</v>
      </c>
      <c r="E104" s="11" t="s">
        <v>997</v>
      </c>
    </row>
    <row r="105" customFormat="false" ht="25.5" hidden="false" customHeight="true" outlineLevel="0" collapsed="false">
      <c r="B105" s="9" t="s">
        <v>152</v>
      </c>
      <c r="C105" s="12" t="s">
        <v>710</v>
      </c>
      <c r="D105" s="12" t="s">
        <v>710</v>
      </c>
      <c r="E105" s="12" t="s">
        <v>189</v>
      </c>
    </row>
    <row r="106" customFormat="false" ht="25.5" hidden="false" customHeight="true" outlineLevel="0" collapsed="false">
      <c r="B106" s="7" t="s">
        <v>153</v>
      </c>
      <c r="C106" s="11" t="s">
        <v>189</v>
      </c>
      <c r="D106" s="11" t="s">
        <v>711</v>
      </c>
      <c r="E106" s="11" t="s">
        <v>998</v>
      </c>
    </row>
    <row r="107" customFormat="false" ht="25.5" hidden="false" customHeight="true" outlineLevel="0" collapsed="false">
      <c r="B107" s="9" t="s">
        <v>154</v>
      </c>
      <c r="C107" s="12" t="s">
        <v>190</v>
      </c>
      <c r="D107" s="12" t="s">
        <v>640</v>
      </c>
      <c r="E107" s="12" t="s">
        <v>952</v>
      </c>
    </row>
    <row r="108" customFormat="false" ht="25.5" hidden="false" customHeight="true" outlineLevel="0" collapsed="false">
      <c r="B108" s="16" t="s">
        <v>159</v>
      </c>
      <c r="C108" s="20" t="n">
        <v>65</v>
      </c>
      <c r="D108" s="20" t="n">
        <v>65</v>
      </c>
      <c r="E108" s="20" t="n">
        <v>95</v>
      </c>
    </row>
    <row r="110" customFormat="false" ht="21.75" hidden="false" customHeight="true" outlineLevel="0" collapsed="false">
      <c r="B110" s="24" t="s">
        <v>4520</v>
      </c>
      <c r="C110" s="24"/>
      <c r="D110" s="24"/>
      <c r="E110" s="24"/>
    </row>
    <row r="111" customFormat="false" ht="13.5" hidden="false" customHeight="true" outlineLevel="0" collapsed="false">
      <c r="B111" s="25" t="s">
        <v>4521</v>
      </c>
      <c r="C111" s="25"/>
      <c r="D111" s="25"/>
      <c r="E111" s="25"/>
    </row>
    <row r="112" customFormat="false" ht="31.5" hidden="false" customHeight="true" outlineLevel="0" collapsed="false">
      <c r="B112" s="5" t="s">
        <v>4484</v>
      </c>
      <c r="C112" s="5" t="s">
        <v>4522</v>
      </c>
      <c r="D112" s="5" t="s">
        <v>4523</v>
      </c>
      <c r="E112" s="5" t="s">
        <v>4524</v>
      </c>
    </row>
    <row r="113" customFormat="false" ht="25.5" hidden="false" customHeight="true" outlineLevel="0" collapsed="false">
      <c r="B113" s="7" t="s">
        <v>17</v>
      </c>
      <c r="C113" s="11" t="s">
        <v>20</v>
      </c>
      <c r="D113" s="11" t="s">
        <v>20</v>
      </c>
      <c r="E113" s="11" t="s">
        <v>23</v>
      </c>
    </row>
    <row r="114" customFormat="false" ht="25.5" hidden="false" customHeight="true" outlineLevel="0" collapsed="false">
      <c r="B114" s="9" t="s">
        <v>146</v>
      </c>
      <c r="C114" s="12" t="s">
        <v>314</v>
      </c>
      <c r="D114" s="12" t="s">
        <v>314</v>
      </c>
      <c r="E114" s="12" t="s">
        <v>314</v>
      </c>
    </row>
    <row r="115" customFormat="false" ht="25.5" hidden="false" customHeight="true" outlineLevel="0" collapsed="false">
      <c r="B115" s="7" t="s">
        <v>4488</v>
      </c>
      <c r="C115" s="11" t="s">
        <v>540</v>
      </c>
      <c r="D115" s="11" t="s">
        <v>1007</v>
      </c>
      <c r="E115" s="11" t="s">
        <v>2040</v>
      </c>
    </row>
    <row r="116" customFormat="false" ht="25.5" hidden="false" customHeight="true" outlineLevel="0" collapsed="false">
      <c r="B116" s="9" t="s">
        <v>4489</v>
      </c>
      <c r="C116" s="12" t="s">
        <v>541</v>
      </c>
      <c r="D116" s="12" t="s">
        <v>1008</v>
      </c>
      <c r="E116" s="12" t="s">
        <v>2041</v>
      </c>
    </row>
    <row r="117" customFormat="false" ht="25.5" hidden="false" customHeight="true" outlineLevel="0" collapsed="false">
      <c r="B117" s="7" t="s">
        <v>4490</v>
      </c>
      <c r="C117" s="11" t="s">
        <v>517</v>
      </c>
      <c r="D117" s="11" t="s">
        <v>967</v>
      </c>
      <c r="E117" s="11" t="s">
        <v>1999</v>
      </c>
    </row>
    <row r="118" customFormat="false" ht="25.5" hidden="false" customHeight="true" outlineLevel="0" collapsed="false">
      <c r="B118" s="9" t="s">
        <v>150</v>
      </c>
      <c r="C118" s="12" t="s">
        <v>450</v>
      </c>
      <c r="D118" s="12" t="s">
        <v>949</v>
      </c>
      <c r="E118" s="12" t="s">
        <v>1983</v>
      </c>
    </row>
    <row r="119" customFormat="false" ht="25.5" hidden="false" customHeight="true" outlineLevel="0" collapsed="false">
      <c r="B119" s="7" t="s">
        <v>151</v>
      </c>
      <c r="C119" s="11" t="s">
        <v>542</v>
      </c>
      <c r="D119" s="11" t="s">
        <v>980</v>
      </c>
      <c r="E119" s="11" t="s">
        <v>542</v>
      </c>
    </row>
    <row r="120" customFormat="false" ht="25.5" hidden="false" customHeight="true" outlineLevel="0" collapsed="false">
      <c r="B120" s="9" t="s">
        <v>152</v>
      </c>
      <c r="C120" s="12" t="s">
        <v>543</v>
      </c>
      <c r="D120" s="12" t="s">
        <v>189</v>
      </c>
      <c r="E120" s="12" t="s">
        <v>543</v>
      </c>
    </row>
    <row r="121" customFormat="false" ht="25.5" hidden="false" customHeight="true" outlineLevel="0" collapsed="false">
      <c r="B121" s="7" t="s">
        <v>153</v>
      </c>
      <c r="C121" s="11" t="s">
        <v>189</v>
      </c>
      <c r="D121" s="11" t="s">
        <v>189</v>
      </c>
      <c r="E121" s="11" t="s">
        <v>189</v>
      </c>
    </row>
    <row r="122" customFormat="false" ht="25.5" hidden="false" customHeight="true" outlineLevel="0" collapsed="false">
      <c r="B122" s="9" t="s">
        <v>154</v>
      </c>
      <c r="C122" s="12" t="s">
        <v>190</v>
      </c>
      <c r="D122" s="12" t="s">
        <v>952</v>
      </c>
      <c r="E122" s="12" t="s">
        <v>1744</v>
      </c>
    </row>
    <row r="123" customFormat="false" ht="25.5" hidden="false" customHeight="true" outlineLevel="0" collapsed="false">
      <c r="B123" s="16" t="s">
        <v>159</v>
      </c>
      <c r="C123" s="20" t="n">
        <v>30</v>
      </c>
      <c r="D123" s="20" t="n">
        <v>25</v>
      </c>
      <c r="E123" s="20" t="n">
        <v>20</v>
      </c>
    </row>
    <row r="125" customFormat="false" ht="21.75" hidden="false" customHeight="true" outlineLevel="0" collapsed="false">
      <c r="B125" s="24" t="s">
        <v>4525</v>
      </c>
      <c r="C125" s="24"/>
      <c r="D125" s="24"/>
      <c r="E125" s="24"/>
    </row>
    <row r="126" customFormat="false" ht="13.5" hidden="false" customHeight="true" outlineLevel="0" collapsed="false">
      <c r="B126" s="25" t="s">
        <v>4526</v>
      </c>
      <c r="C126" s="25"/>
      <c r="D126" s="25"/>
      <c r="E126" s="25"/>
    </row>
    <row r="127" customFormat="false" ht="31.5" hidden="false" customHeight="true" outlineLevel="0" collapsed="false">
      <c r="B127" s="5" t="s">
        <v>4484</v>
      </c>
      <c r="C127" s="5" t="s">
        <v>4527</v>
      </c>
      <c r="D127" s="5" t="s">
        <v>4528</v>
      </c>
      <c r="E127" s="5" t="s">
        <v>4529</v>
      </c>
    </row>
    <row r="128" customFormat="false" ht="25.5" hidden="false" customHeight="true" outlineLevel="0" collapsed="false">
      <c r="B128" s="7" t="s">
        <v>17</v>
      </c>
      <c r="C128" s="11" t="s">
        <v>20</v>
      </c>
      <c r="D128" s="11" t="s">
        <v>20</v>
      </c>
      <c r="E128" s="11" t="s">
        <v>20</v>
      </c>
    </row>
    <row r="129" customFormat="false" ht="25.5" hidden="false" customHeight="true" outlineLevel="0" collapsed="false">
      <c r="B129" s="9" t="s">
        <v>146</v>
      </c>
      <c r="C129" s="12" t="s">
        <v>332</v>
      </c>
      <c r="D129" s="12" t="s">
        <v>332</v>
      </c>
      <c r="E129" s="12" t="s">
        <v>332</v>
      </c>
    </row>
    <row r="130" customFormat="false" ht="25.5" hidden="false" customHeight="true" outlineLevel="0" collapsed="false">
      <c r="B130" s="7" t="s">
        <v>4488</v>
      </c>
      <c r="C130" s="11" t="s">
        <v>322</v>
      </c>
      <c r="D130" s="11" t="s">
        <v>889</v>
      </c>
      <c r="E130" s="11" t="s">
        <v>1159</v>
      </c>
    </row>
    <row r="131" customFormat="false" ht="25.5" hidden="false" customHeight="true" outlineLevel="0" collapsed="false">
      <c r="B131" s="9" t="s">
        <v>4489</v>
      </c>
      <c r="C131" s="12" t="s">
        <v>323</v>
      </c>
      <c r="D131" s="12" t="s">
        <v>890</v>
      </c>
      <c r="E131" s="12" t="s">
        <v>1160</v>
      </c>
    </row>
    <row r="132" customFormat="false" ht="25.5" hidden="false" customHeight="true" outlineLevel="0" collapsed="false">
      <c r="B132" s="7" t="s">
        <v>4490</v>
      </c>
      <c r="C132" s="11" t="s">
        <v>250</v>
      </c>
      <c r="D132" s="11" t="s">
        <v>250</v>
      </c>
      <c r="E132" s="11" t="s">
        <v>250</v>
      </c>
    </row>
    <row r="133" customFormat="false" ht="25.5" hidden="false" customHeight="true" outlineLevel="0" collapsed="false">
      <c r="B133" s="9" t="s">
        <v>150</v>
      </c>
      <c r="C133" s="12" t="s">
        <v>186</v>
      </c>
      <c r="D133" s="12" t="s">
        <v>802</v>
      </c>
      <c r="E133" s="12" t="s">
        <v>1095</v>
      </c>
    </row>
    <row r="134" customFormat="false" ht="25.5" hidden="false" customHeight="true" outlineLevel="0" collapsed="false">
      <c r="B134" s="7" t="s">
        <v>151</v>
      </c>
      <c r="C134" s="11" t="s">
        <v>251</v>
      </c>
      <c r="D134" s="11" t="s">
        <v>251</v>
      </c>
      <c r="E134" s="11" t="s">
        <v>251</v>
      </c>
    </row>
    <row r="135" customFormat="false" ht="25.5" hidden="false" customHeight="true" outlineLevel="0" collapsed="false">
      <c r="B135" s="9" t="s">
        <v>152</v>
      </c>
      <c r="C135" s="12" t="s">
        <v>324</v>
      </c>
      <c r="D135" s="12" t="s">
        <v>687</v>
      </c>
      <c r="E135" s="12" t="s">
        <v>504</v>
      </c>
    </row>
    <row r="136" customFormat="false" ht="25.5" hidden="false" customHeight="true" outlineLevel="0" collapsed="false">
      <c r="B136" s="7" t="s">
        <v>153</v>
      </c>
      <c r="C136" s="11" t="s">
        <v>189</v>
      </c>
      <c r="D136" s="11" t="s">
        <v>189</v>
      </c>
      <c r="E136" s="11" t="s">
        <v>189</v>
      </c>
    </row>
    <row r="137" customFormat="false" ht="25.5" hidden="false" customHeight="true" outlineLevel="0" collapsed="false">
      <c r="B137" s="9" t="s">
        <v>154</v>
      </c>
      <c r="C137" s="12" t="s">
        <v>190</v>
      </c>
      <c r="D137" s="12" t="s">
        <v>190</v>
      </c>
      <c r="E137" s="12" t="s">
        <v>190</v>
      </c>
    </row>
    <row r="138" customFormat="false" ht="25.5" hidden="false" customHeight="true" outlineLevel="0" collapsed="false">
      <c r="B138" s="16" t="s">
        <v>159</v>
      </c>
      <c r="C138" s="20" t="n">
        <v>35</v>
      </c>
      <c r="D138" s="20" t="n">
        <v>40</v>
      </c>
      <c r="E138" s="20" t="n">
        <v>35</v>
      </c>
    </row>
    <row r="140" customFormat="false" ht="21.75" hidden="false" customHeight="true" outlineLevel="0" collapsed="false">
      <c r="B140" s="24" t="s">
        <v>4530</v>
      </c>
      <c r="C140" s="24"/>
      <c r="D140" s="24"/>
      <c r="E140" s="24"/>
    </row>
    <row r="141" customFormat="false" ht="13.5" hidden="false" customHeight="true" outlineLevel="0" collapsed="false">
      <c r="B141" s="25" t="s">
        <v>4531</v>
      </c>
      <c r="C141" s="25"/>
      <c r="D141" s="25"/>
      <c r="E141" s="25"/>
    </row>
    <row r="142" customFormat="false" ht="31.5" hidden="false" customHeight="true" outlineLevel="0" collapsed="false">
      <c r="B142" s="5" t="s">
        <v>4484</v>
      </c>
      <c r="C142" s="5" t="s">
        <v>4532</v>
      </c>
      <c r="D142" s="5" t="s">
        <v>4533</v>
      </c>
      <c r="E142" s="5" t="s">
        <v>4534</v>
      </c>
    </row>
    <row r="143" customFormat="false" ht="25.5" hidden="false" customHeight="true" outlineLevel="0" collapsed="false">
      <c r="B143" s="7" t="s">
        <v>17</v>
      </c>
      <c r="C143" s="11" t="s">
        <v>20</v>
      </c>
      <c r="D143" s="11" t="s">
        <v>20</v>
      </c>
      <c r="E143" s="11" t="s">
        <v>20</v>
      </c>
    </row>
    <row r="144" customFormat="false" ht="25.5" hidden="false" customHeight="true" outlineLevel="0" collapsed="false">
      <c r="B144" s="9" t="s">
        <v>146</v>
      </c>
      <c r="C144" s="12" t="s">
        <v>352</v>
      </c>
      <c r="D144" s="12" t="s">
        <v>352</v>
      </c>
      <c r="E144" s="12" t="s">
        <v>352</v>
      </c>
    </row>
    <row r="145" customFormat="false" ht="25.5" hidden="false" customHeight="true" outlineLevel="0" collapsed="false">
      <c r="B145" s="7" t="s">
        <v>4488</v>
      </c>
      <c r="C145" s="11" t="s">
        <v>1308</v>
      </c>
      <c r="D145" s="11" t="s">
        <v>1025</v>
      </c>
      <c r="E145" s="11" t="s">
        <v>564</v>
      </c>
    </row>
    <row r="146" customFormat="false" ht="25.5" hidden="false" customHeight="true" outlineLevel="0" collapsed="false">
      <c r="B146" s="9" t="s">
        <v>4489</v>
      </c>
      <c r="C146" s="12" t="s">
        <v>1309</v>
      </c>
      <c r="D146" s="12" t="s">
        <v>1026</v>
      </c>
      <c r="E146" s="12" t="s">
        <v>565</v>
      </c>
    </row>
    <row r="147" customFormat="false" ht="25.5" hidden="false" customHeight="true" outlineLevel="0" collapsed="false">
      <c r="B147" s="7" t="s">
        <v>4490</v>
      </c>
      <c r="C147" s="11" t="s">
        <v>342</v>
      </c>
      <c r="D147" s="11" t="s">
        <v>967</v>
      </c>
      <c r="E147" s="11" t="s">
        <v>342</v>
      </c>
    </row>
    <row r="148" customFormat="false" ht="25.5" hidden="false" customHeight="true" outlineLevel="0" collapsed="false">
      <c r="B148" s="9" t="s">
        <v>150</v>
      </c>
      <c r="C148" s="12" t="s">
        <v>1237</v>
      </c>
      <c r="D148" s="12" t="s">
        <v>949</v>
      </c>
      <c r="E148" s="12" t="s">
        <v>450</v>
      </c>
    </row>
    <row r="149" customFormat="false" ht="25.5" hidden="false" customHeight="true" outlineLevel="0" collapsed="false">
      <c r="B149" s="7" t="s">
        <v>151</v>
      </c>
      <c r="C149" s="11" t="s">
        <v>1310</v>
      </c>
      <c r="D149" s="11" t="s">
        <v>997</v>
      </c>
      <c r="E149" s="11" t="s">
        <v>251</v>
      </c>
    </row>
    <row r="150" customFormat="false" ht="25.5" hidden="false" customHeight="true" outlineLevel="0" collapsed="false">
      <c r="B150" s="9" t="s">
        <v>152</v>
      </c>
      <c r="C150" s="12" t="s">
        <v>1311</v>
      </c>
      <c r="D150" s="12" t="s">
        <v>189</v>
      </c>
      <c r="E150" s="12" t="s">
        <v>566</v>
      </c>
    </row>
    <row r="151" customFormat="false" ht="25.5" hidden="false" customHeight="true" outlineLevel="0" collapsed="false">
      <c r="B151" s="7" t="s">
        <v>153</v>
      </c>
      <c r="C151" s="11" t="s">
        <v>345</v>
      </c>
      <c r="D151" s="11" t="s">
        <v>531</v>
      </c>
      <c r="E151" s="11" t="s">
        <v>345</v>
      </c>
    </row>
    <row r="152" customFormat="false" ht="25.5" hidden="false" customHeight="true" outlineLevel="0" collapsed="false">
      <c r="B152" s="9" t="s">
        <v>154</v>
      </c>
      <c r="C152" s="12" t="s">
        <v>190</v>
      </c>
      <c r="D152" s="12" t="s">
        <v>952</v>
      </c>
      <c r="E152" s="12" t="s">
        <v>190</v>
      </c>
    </row>
    <row r="153" customFormat="false" ht="25.5" hidden="false" customHeight="true" outlineLevel="0" collapsed="false">
      <c r="B153" s="16" t="s">
        <v>159</v>
      </c>
      <c r="C153" s="20" t="n">
        <v>60</v>
      </c>
      <c r="D153" s="20" t="n">
        <v>115</v>
      </c>
      <c r="E153" s="20" t="n">
        <v>45</v>
      </c>
    </row>
    <row r="155" customFormat="false" ht="21.75" hidden="false" customHeight="true" outlineLevel="0" collapsed="false">
      <c r="B155" s="24" t="s">
        <v>4535</v>
      </c>
      <c r="C155" s="24"/>
      <c r="D155" s="24"/>
      <c r="E155" s="24"/>
    </row>
    <row r="156" customFormat="false" ht="13.5" hidden="false" customHeight="true" outlineLevel="0" collapsed="false">
      <c r="B156" s="25" t="s">
        <v>4536</v>
      </c>
      <c r="C156" s="25"/>
      <c r="D156" s="25"/>
      <c r="E156" s="25"/>
    </row>
    <row r="157" customFormat="false" ht="31.5" hidden="false" customHeight="true" outlineLevel="0" collapsed="false">
      <c r="B157" s="5" t="s">
        <v>4484</v>
      </c>
      <c r="C157" s="5" t="s">
        <v>4537</v>
      </c>
      <c r="D157" s="5" t="s">
        <v>4538</v>
      </c>
      <c r="E157" s="5" t="s">
        <v>4539</v>
      </c>
    </row>
    <row r="158" customFormat="false" ht="25.5" hidden="false" customHeight="true" outlineLevel="0" collapsed="false">
      <c r="B158" s="7" t="s">
        <v>17</v>
      </c>
      <c r="C158" s="11" t="s">
        <v>20</v>
      </c>
      <c r="D158" s="11" t="s">
        <v>23</v>
      </c>
      <c r="E158" s="11" t="s">
        <v>23</v>
      </c>
    </row>
    <row r="159" customFormat="false" ht="25.5" hidden="false" customHeight="true" outlineLevel="0" collapsed="false">
      <c r="B159" s="9" t="s">
        <v>146</v>
      </c>
      <c r="C159" s="12" t="s">
        <v>369</v>
      </c>
      <c r="D159" s="12" t="s">
        <v>369</v>
      </c>
      <c r="E159" s="12" t="s">
        <v>369</v>
      </c>
    </row>
    <row r="160" customFormat="false" ht="25.5" hidden="false" customHeight="true" outlineLevel="0" collapsed="false">
      <c r="B160" s="7" t="s">
        <v>4488</v>
      </c>
      <c r="C160" s="11" t="s">
        <v>1036</v>
      </c>
      <c r="D160" s="11" t="s">
        <v>752</v>
      </c>
      <c r="E160" s="11" t="s">
        <v>1036</v>
      </c>
    </row>
    <row r="161" customFormat="false" ht="25.5" hidden="false" customHeight="true" outlineLevel="0" collapsed="false">
      <c r="B161" s="9" t="s">
        <v>4489</v>
      </c>
      <c r="C161" s="12" t="s">
        <v>1037</v>
      </c>
      <c r="D161" s="12" t="s">
        <v>753</v>
      </c>
      <c r="E161" s="12" t="s">
        <v>753</v>
      </c>
    </row>
    <row r="162" customFormat="false" ht="25.5" hidden="false" customHeight="true" outlineLevel="0" collapsed="false">
      <c r="B162" s="7" t="s">
        <v>4490</v>
      </c>
      <c r="C162" s="11" t="s">
        <v>967</v>
      </c>
      <c r="D162" s="11" t="s">
        <v>342</v>
      </c>
      <c r="E162" s="11" t="s">
        <v>1653</v>
      </c>
    </row>
    <row r="163" customFormat="false" ht="25.5" hidden="false" customHeight="true" outlineLevel="0" collapsed="false">
      <c r="B163" s="9" t="s">
        <v>150</v>
      </c>
      <c r="C163" s="12" t="s">
        <v>949</v>
      </c>
      <c r="D163" s="12" t="s">
        <v>1741</v>
      </c>
      <c r="E163" s="12" t="s">
        <v>1618</v>
      </c>
    </row>
    <row r="164" customFormat="false" ht="25.5" hidden="false" customHeight="true" outlineLevel="0" collapsed="false">
      <c r="B164" s="7" t="s">
        <v>151</v>
      </c>
      <c r="C164" s="11" t="s">
        <v>980</v>
      </c>
      <c r="D164" s="11" t="s">
        <v>251</v>
      </c>
      <c r="E164" s="11" t="s">
        <v>1692</v>
      </c>
    </row>
    <row r="165" customFormat="false" ht="25.5" hidden="false" customHeight="true" outlineLevel="0" collapsed="false">
      <c r="B165" s="9" t="s">
        <v>152</v>
      </c>
      <c r="C165" s="12" t="s">
        <v>189</v>
      </c>
      <c r="D165" s="12" t="s">
        <v>1833</v>
      </c>
      <c r="E165" s="12" t="s">
        <v>189</v>
      </c>
    </row>
    <row r="166" customFormat="false" ht="25.5" hidden="false" customHeight="true" outlineLevel="0" collapsed="false">
      <c r="B166" s="7" t="s">
        <v>153</v>
      </c>
      <c r="C166" s="11" t="s">
        <v>189</v>
      </c>
      <c r="D166" s="11" t="s">
        <v>189</v>
      </c>
      <c r="E166" s="11" t="s">
        <v>189</v>
      </c>
    </row>
    <row r="167" customFormat="false" ht="25.5" hidden="false" customHeight="true" outlineLevel="0" collapsed="false">
      <c r="B167" s="9" t="s">
        <v>154</v>
      </c>
      <c r="C167" s="12" t="s">
        <v>952</v>
      </c>
      <c r="D167" s="12" t="s">
        <v>1744</v>
      </c>
      <c r="E167" s="12" t="s">
        <v>952</v>
      </c>
    </row>
    <row r="168" customFormat="false" ht="25.5" hidden="false" customHeight="true" outlineLevel="0" collapsed="false">
      <c r="B168" s="16" t="s">
        <v>159</v>
      </c>
      <c r="C168" s="20" t="n">
        <v>35</v>
      </c>
      <c r="D168" s="20" t="n">
        <v>25</v>
      </c>
      <c r="E168" s="20" t="n">
        <v>35</v>
      </c>
    </row>
    <row r="170" customFormat="false" ht="21.75" hidden="false" customHeight="true" outlineLevel="0" collapsed="false">
      <c r="B170" s="24" t="s">
        <v>4540</v>
      </c>
      <c r="C170" s="24"/>
      <c r="D170" s="24"/>
      <c r="E170" s="24"/>
    </row>
    <row r="171" customFormat="false" ht="13.5" hidden="false" customHeight="true" outlineLevel="0" collapsed="false">
      <c r="B171" s="25" t="s">
        <v>4541</v>
      </c>
      <c r="C171" s="25"/>
      <c r="D171" s="25"/>
      <c r="E171" s="25"/>
    </row>
    <row r="172" customFormat="false" ht="31.5" hidden="false" customHeight="true" outlineLevel="0" collapsed="false">
      <c r="B172" s="5" t="s">
        <v>4484</v>
      </c>
      <c r="C172" s="5" t="s">
        <v>4542</v>
      </c>
      <c r="D172" s="5" t="s">
        <v>4543</v>
      </c>
      <c r="E172" s="5" t="s">
        <v>4544</v>
      </c>
    </row>
    <row r="173" customFormat="false" ht="25.5" hidden="false" customHeight="true" outlineLevel="0" collapsed="false">
      <c r="B173" s="7" t="s">
        <v>17</v>
      </c>
      <c r="C173" s="11" t="s">
        <v>20</v>
      </c>
      <c r="D173" s="11" t="s">
        <v>20</v>
      </c>
      <c r="E173" s="11" t="s">
        <v>20</v>
      </c>
    </row>
    <row r="174" customFormat="false" ht="25.5" hidden="false" customHeight="true" outlineLevel="0" collapsed="false">
      <c r="B174" s="9" t="s">
        <v>146</v>
      </c>
      <c r="C174" s="12" t="s">
        <v>385</v>
      </c>
      <c r="D174" s="12" t="s">
        <v>385</v>
      </c>
      <c r="E174" s="12" t="s">
        <v>385</v>
      </c>
    </row>
    <row r="175" customFormat="false" ht="25.5" hidden="false" customHeight="true" outlineLevel="0" collapsed="false">
      <c r="B175" s="7" t="s">
        <v>4488</v>
      </c>
      <c r="C175" s="11" t="s">
        <v>918</v>
      </c>
      <c r="D175" s="11" t="s">
        <v>762</v>
      </c>
      <c r="E175" s="11" t="s">
        <v>375</v>
      </c>
    </row>
    <row r="176" customFormat="false" ht="25.5" hidden="false" customHeight="true" outlineLevel="0" collapsed="false">
      <c r="B176" s="9" t="s">
        <v>4489</v>
      </c>
      <c r="C176" s="12" t="s">
        <v>919</v>
      </c>
      <c r="D176" s="12" t="s">
        <v>763</v>
      </c>
      <c r="E176" s="12" t="s">
        <v>376</v>
      </c>
    </row>
    <row r="177" customFormat="false" ht="25.5" hidden="false" customHeight="true" outlineLevel="0" collapsed="false">
      <c r="B177" s="7" t="s">
        <v>4490</v>
      </c>
      <c r="C177" s="11" t="s">
        <v>920</v>
      </c>
      <c r="D177" s="11" t="s">
        <v>764</v>
      </c>
      <c r="E177" s="11" t="s">
        <v>377</v>
      </c>
    </row>
    <row r="178" customFormat="false" ht="25.5" hidden="false" customHeight="true" outlineLevel="0" collapsed="false">
      <c r="B178" s="9" t="s">
        <v>150</v>
      </c>
      <c r="C178" s="12" t="s">
        <v>802</v>
      </c>
      <c r="D178" s="12" t="s">
        <v>639</v>
      </c>
      <c r="E178" s="12" t="s">
        <v>186</v>
      </c>
    </row>
    <row r="179" customFormat="false" ht="25.5" hidden="false" customHeight="true" outlineLevel="0" collapsed="false">
      <c r="B179" s="7" t="s">
        <v>151</v>
      </c>
      <c r="C179" s="11" t="s">
        <v>251</v>
      </c>
      <c r="D179" s="11" t="s">
        <v>235</v>
      </c>
      <c r="E179" s="11" t="s">
        <v>235</v>
      </c>
    </row>
    <row r="180" customFormat="false" ht="25.5" hidden="false" customHeight="true" outlineLevel="0" collapsed="false">
      <c r="B180" s="9" t="s">
        <v>152</v>
      </c>
      <c r="C180" s="12" t="s">
        <v>921</v>
      </c>
      <c r="D180" s="12" t="s">
        <v>765</v>
      </c>
      <c r="E180" s="12" t="s">
        <v>378</v>
      </c>
    </row>
    <row r="181" customFormat="false" ht="25.5" hidden="false" customHeight="true" outlineLevel="0" collapsed="false">
      <c r="B181" s="7" t="s">
        <v>153</v>
      </c>
      <c r="C181" s="11" t="s">
        <v>189</v>
      </c>
      <c r="D181" s="11" t="s">
        <v>189</v>
      </c>
      <c r="E181" s="11" t="s">
        <v>189</v>
      </c>
    </row>
    <row r="182" customFormat="false" ht="25.5" hidden="false" customHeight="true" outlineLevel="0" collapsed="false">
      <c r="B182" s="9" t="s">
        <v>154</v>
      </c>
      <c r="C182" s="12" t="s">
        <v>190</v>
      </c>
      <c r="D182" s="12" t="s">
        <v>640</v>
      </c>
      <c r="E182" s="12" t="s">
        <v>190</v>
      </c>
    </row>
    <row r="183" customFormat="false" ht="25.5" hidden="false" customHeight="true" outlineLevel="0" collapsed="false">
      <c r="B183" s="16" t="s">
        <v>159</v>
      </c>
      <c r="C183" s="20" t="n">
        <v>195</v>
      </c>
      <c r="D183" s="20" t="n">
        <v>95</v>
      </c>
      <c r="E183" s="20" t="n">
        <v>185</v>
      </c>
    </row>
    <row r="185" customFormat="false" ht="21.75" hidden="false" customHeight="true" outlineLevel="0" collapsed="false">
      <c r="B185" s="24" t="s">
        <v>4545</v>
      </c>
      <c r="C185" s="24"/>
      <c r="D185" s="24"/>
      <c r="E185" s="24"/>
    </row>
    <row r="186" customFormat="false" ht="13.5" hidden="false" customHeight="true" outlineLevel="0" collapsed="false">
      <c r="B186" s="25" t="s">
        <v>4546</v>
      </c>
      <c r="C186" s="25"/>
      <c r="D186" s="25"/>
      <c r="E186" s="25"/>
    </row>
    <row r="187" customFormat="false" ht="31.5" hidden="false" customHeight="true" outlineLevel="0" collapsed="false">
      <c r="B187" s="5" t="s">
        <v>4484</v>
      </c>
      <c r="C187" s="5" t="s">
        <v>4547</v>
      </c>
      <c r="D187" s="5" t="s">
        <v>4548</v>
      </c>
      <c r="E187" s="5" t="s">
        <v>4549</v>
      </c>
    </row>
    <row r="188" customFormat="false" ht="25.5" hidden="false" customHeight="true" outlineLevel="0" collapsed="false">
      <c r="B188" s="7" t="s">
        <v>17</v>
      </c>
      <c r="C188" s="11" t="s">
        <v>20</v>
      </c>
      <c r="D188" s="11" t="s">
        <v>20</v>
      </c>
      <c r="E188" s="11" t="s">
        <v>20</v>
      </c>
    </row>
    <row r="189" customFormat="false" ht="25.5" hidden="false" customHeight="true" outlineLevel="0" collapsed="false">
      <c r="B189" s="9" t="s">
        <v>146</v>
      </c>
      <c r="C189" s="12" t="s">
        <v>1207</v>
      </c>
      <c r="D189" s="12" t="s">
        <v>1207</v>
      </c>
      <c r="E189" s="12" t="s">
        <v>1207</v>
      </c>
    </row>
    <row r="190" customFormat="false" ht="25.5" hidden="false" customHeight="true" outlineLevel="0" collapsed="false">
      <c r="B190" s="7" t="s">
        <v>4488</v>
      </c>
      <c r="C190" s="11" t="s">
        <v>2341</v>
      </c>
      <c r="D190" s="11" t="s">
        <v>1472</v>
      </c>
      <c r="E190" s="11" t="s">
        <v>1199</v>
      </c>
    </row>
    <row r="191" customFormat="false" ht="25.5" hidden="false" customHeight="true" outlineLevel="0" collapsed="false">
      <c r="B191" s="9" t="s">
        <v>4489</v>
      </c>
      <c r="C191" s="12" t="s">
        <v>2342</v>
      </c>
      <c r="D191" s="12" t="s">
        <v>1473</v>
      </c>
      <c r="E191" s="12" t="s">
        <v>1200</v>
      </c>
    </row>
    <row r="192" customFormat="false" ht="25.5" hidden="false" customHeight="true" outlineLevel="0" collapsed="false">
      <c r="B192" s="7" t="s">
        <v>4490</v>
      </c>
      <c r="C192" s="11" t="s">
        <v>250</v>
      </c>
      <c r="D192" s="11" t="s">
        <v>1414</v>
      </c>
      <c r="E192" s="11" t="s">
        <v>250</v>
      </c>
    </row>
    <row r="193" customFormat="false" ht="25.5" hidden="false" customHeight="true" outlineLevel="0" collapsed="false">
      <c r="B193" s="9" t="s">
        <v>150</v>
      </c>
      <c r="C193" s="12" t="s">
        <v>2314</v>
      </c>
      <c r="D193" s="12" t="s">
        <v>1365</v>
      </c>
      <c r="E193" s="12" t="s">
        <v>1095</v>
      </c>
    </row>
    <row r="194" customFormat="false" ht="25.5" hidden="false" customHeight="true" outlineLevel="0" collapsed="false">
      <c r="B194" s="7" t="s">
        <v>151</v>
      </c>
      <c r="C194" s="11" t="s">
        <v>2315</v>
      </c>
      <c r="D194" s="11" t="s">
        <v>1474</v>
      </c>
      <c r="E194" s="11" t="s">
        <v>251</v>
      </c>
    </row>
    <row r="195" customFormat="false" ht="25.5" hidden="false" customHeight="true" outlineLevel="0" collapsed="false">
      <c r="B195" s="9" t="s">
        <v>152</v>
      </c>
      <c r="C195" s="12" t="s">
        <v>2343</v>
      </c>
      <c r="D195" s="12" t="s">
        <v>1475</v>
      </c>
      <c r="E195" s="12" t="s">
        <v>710</v>
      </c>
    </row>
    <row r="196" customFormat="false" ht="25.5" hidden="false" customHeight="true" outlineLevel="0" collapsed="false">
      <c r="B196" s="7" t="s">
        <v>153</v>
      </c>
      <c r="C196" s="11" t="s">
        <v>2344</v>
      </c>
      <c r="D196" s="11" t="s">
        <v>998</v>
      </c>
      <c r="E196" s="11" t="s">
        <v>998</v>
      </c>
    </row>
    <row r="197" customFormat="false" ht="25.5" hidden="false" customHeight="true" outlineLevel="0" collapsed="false">
      <c r="B197" s="9" t="s">
        <v>154</v>
      </c>
      <c r="C197" s="12" t="s">
        <v>2316</v>
      </c>
      <c r="D197" s="12" t="s">
        <v>190</v>
      </c>
      <c r="E197" s="12" t="s">
        <v>190</v>
      </c>
    </row>
    <row r="198" customFormat="false" ht="25.5" hidden="false" customHeight="true" outlineLevel="0" collapsed="false">
      <c r="B198" s="16" t="s">
        <v>159</v>
      </c>
      <c r="C198" s="20" t="n">
        <v>310</v>
      </c>
      <c r="D198" s="20" t="n">
        <v>125</v>
      </c>
      <c r="E198" s="20" t="n">
        <v>85</v>
      </c>
    </row>
    <row r="200" customFormat="false" ht="21.75" hidden="false" customHeight="true" outlineLevel="0" collapsed="false">
      <c r="B200" s="24" t="s">
        <v>4550</v>
      </c>
      <c r="C200" s="24"/>
      <c r="D200" s="24"/>
      <c r="E200" s="24"/>
    </row>
    <row r="201" customFormat="false" ht="13.5" hidden="false" customHeight="true" outlineLevel="0" collapsed="false">
      <c r="B201" s="25" t="s">
        <v>4551</v>
      </c>
      <c r="C201" s="25"/>
      <c r="D201" s="25"/>
      <c r="E201" s="25"/>
    </row>
    <row r="202" customFormat="false" ht="31.5" hidden="false" customHeight="true" outlineLevel="0" collapsed="false">
      <c r="B202" s="5" t="s">
        <v>4484</v>
      </c>
      <c r="C202" s="5" t="s">
        <v>4552</v>
      </c>
      <c r="D202" s="5" t="s">
        <v>4553</v>
      </c>
      <c r="E202" s="5" t="s">
        <v>4554</v>
      </c>
    </row>
    <row r="203" customFormat="false" ht="25.5" hidden="false" customHeight="true" outlineLevel="0" collapsed="false">
      <c r="B203" s="7" t="s">
        <v>17</v>
      </c>
      <c r="C203" s="11" t="s">
        <v>20</v>
      </c>
      <c r="D203" s="11" t="s">
        <v>23</v>
      </c>
      <c r="E203" s="11" t="s">
        <v>20</v>
      </c>
    </row>
    <row r="204" customFormat="false" ht="25.5" hidden="false" customHeight="true" outlineLevel="0" collapsed="false">
      <c r="B204" s="9" t="s">
        <v>146</v>
      </c>
      <c r="C204" s="12" t="s">
        <v>404</v>
      </c>
      <c r="D204" s="12" t="s">
        <v>404</v>
      </c>
      <c r="E204" s="12" t="s">
        <v>404</v>
      </c>
    </row>
    <row r="205" customFormat="false" ht="25.5" hidden="false" customHeight="true" outlineLevel="0" collapsed="false">
      <c r="B205" s="7" t="s">
        <v>4488</v>
      </c>
      <c r="C205" s="11" t="s">
        <v>395</v>
      </c>
      <c r="D205" s="11" t="s">
        <v>1849</v>
      </c>
      <c r="E205" s="11" t="s">
        <v>1057</v>
      </c>
    </row>
    <row r="206" customFormat="false" ht="25.5" hidden="false" customHeight="true" outlineLevel="0" collapsed="false">
      <c r="B206" s="9" t="s">
        <v>4489</v>
      </c>
      <c r="C206" s="12" t="s">
        <v>396</v>
      </c>
      <c r="D206" s="12" t="s">
        <v>1850</v>
      </c>
      <c r="E206" s="12" t="s">
        <v>1058</v>
      </c>
    </row>
    <row r="207" customFormat="false" ht="25.5" hidden="false" customHeight="true" outlineLevel="0" collapsed="false">
      <c r="B207" s="7" t="s">
        <v>4490</v>
      </c>
      <c r="C207" s="11" t="s">
        <v>234</v>
      </c>
      <c r="D207" s="11" t="s">
        <v>1851</v>
      </c>
      <c r="E207" s="11" t="s">
        <v>996</v>
      </c>
    </row>
    <row r="208" customFormat="false" ht="25.5" hidden="false" customHeight="true" outlineLevel="0" collapsed="false">
      <c r="B208" s="9" t="s">
        <v>150</v>
      </c>
      <c r="C208" s="12" t="s">
        <v>186</v>
      </c>
      <c r="D208" s="12" t="s">
        <v>1741</v>
      </c>
      <c r="E208" s="12" t="s">
        <v>949</v>
      </c>
    </row>
    <row r="209" customFormat="false" ht="25.5" hidden="false" customHeight="true" outlineLevel="0" collapsed="false">
      <c r="B209" s="7" t="s">
        <v>151</v>
      </c>
      <c r="C209" s="11" t="s">
        <v>235</v>
      </c>
      <c r="D209" s="11" t="s">
        <v>235</v>
      </c>
      <c r="E209" s="11" t="s">
        <v>1059</v>
      </c>
    </row>
    <row r="210" customFormat="false" ht="25.5" hidden="false" customHeight="true" outlineLevel="0" collapsed="false">
      <c r="B210" s="9" t="s">
        <v>152</v>
      </c>
      <c r="C210" s="12" t="s">
        <v>397</v>
      </c>
      <c r="D210" s="12" t="s">
        <v>1852</v>
      </c>
      <c r="E210" s="12" t="s">
        <v>189</v>
      </c>
    </row>
    <row r="211" customFormat="false" ht="25.5" hidden="false" customHeight="true" outlineLevel="0" collapsed="false">
      <c r="B211" s="7" t="s">
        <v>153</v>
      </c>
      <c r="C211" s="11" t="s">
        <v>189</v>
      </c>
      <c r="D211" s="11" t="s">
        <v>189</v>
      </c>
      <c r="E211" s="11" t="s">
        <v>189</v>
      </c>
    </row>
    <row r="212" customFormat="false" ht="25.5" hidden="false" customHeight="true" outlineLevel="0" collapsed="false">
      <c r="B212" s="9" t="s">
        <v>154</v>
      </c>
      <c r="C212" s="12" t="s">
        <v>190</v>
      </c>
      <c r="D212" s="12" t="s">
        <v>1744</v>
      </c>
      <c r="E212" s="12" t="s">
        <v>952</v>
      </c>
    </row>
    <row r="213" customFormat="false" ht="25.5" hidden="false" customHeight="true" outlineLevel="0" collapsed="false">
      <c r="B213" s="16" t="s">
        <v>159</v>
      </c>
      <c r="C213" s="20" t="n">
        <v>75</v>
      </c>
      <c r="D213" s="20" t="n">
        <v>70</v>
      </c>
      <c r="E213" s="20" t="n">
        <v>105</v>
      </c>
    </row>
    <row r="215" customFormat="false" ht="21.75" hidden="false" customHeight="true" outlineLevel="0" collapsed="false">
      <c r="B215" s="24" t="s">
        <v>4555</v>
      </c>
      <c r="C215" s="24"/>
      <c r="D215" s="24"/>
      <c r="E215" s="24"/>
    </row>
    <row r="216" customFormat="false" ht="13.5" hidden="false" customHeight="true" outlineLevel="0" collapsed="false">
      <c r="B216" s="25" t="s">
        <v>4556</v>
      </c>
      <c r="C216" s="25"/>
      <c r="D216" s="25"/>
      <c r="E216" s="25"/>
    </row>
    <row r="217" customFormat="false" ht="31.5" hidden="false" customHeight="true" outlineLevel="0" collapsed="false">
      <c r="B217" s="5" t="s">
        <v>4484</v>
      </c>
      <c r="C217" s="5" t="s">
        <v>4557</v>
      </c>
      <c r="D217" s="5" t="s">
        <v>4558</v>
      </c>
      <c r="E217" s="5" t="s">
        <v>4559</v>
      </c>
    </row>
    <row r="218" customFormat="false" ht="25.5" hidden="false" customHeight="true" outlineLevel="0" collapsed="false">
      <c r="B218" s="7" t="s">
        <v>17</v>
      </c>
      <c r="C218" s="11" t="s">
        <v>20</v>
      </c>
      <c r="D218" s="11" t="s">
        <v>20</v>
      </c>
      <c r="E218" s="11" t="s">
        <v>20</v>
      </c>
    </row>
    <row r="219" customFormat="false" ht="25.5" hidden="false" customHeight="true" outlineLevel="0" collapsed="false">
      <c r="B219" s="9" t="s">
        <v>146</v>
      </c>
      <c r="C219" s="12" t="s">
        <v>423</v>
      </c>
      <c r="D219" s="12" t="s">
        <v>423</v>
      </c>
      <c r="E219" s="12" t="s">
        <v>423</v>
      </c>
    </row>
    <row r="220" customFormat="false" ht="25.5" hidden="false" customHeight="true" outlineLevel="0" collapsed="false">
      <c r="B220" s="7" t="s">
        <v>4488</v>
      </c>
      <c r="C220" s="11" t="s">
        <v>412</v>
      </c>
      <c r="D220" s="11" t="s">
        <v>1069</v>
      </c>
      <c r="E220" s="11" t="s">
        <v>612</v>
      </c>
    </row>
    <row r="221" customFormat="false" ht="25.5" hidden="false" customHeight="true" outlineLevel="0" collapsed="false">
      <c r="B221" s="9" t="s">
        <v>4489</v>
      </c>
      <c r="C221" s="12" t="s">
        <v>413</v>
      </c>
      <c r="D221" s="12" t="s">
        <v>1070</v>
      </c>
      <c r="E221" s="12" t="s">
        <v>613</v>
      </c>
    </row>
    <row r="222" customFormat="false" ht="25.5" hidden="false" customHeight="true" outlineLevel="0" collapsed="false">
      <c r="B222" s="7" t="s">
        <v>4490</v>
      </c>
      <c r="C222" s="11" t="s">
        <v>414</v>
      </c>
      <c r="D222" s="11" t="s">
        <v>1071</v>
      </c>
      <c r="E222" s="11" t="s">
        <v>614</v>
      </c>
    </row>
    <row r="223" customFormat="false" ht="25.5" hidden="false" customHeight="true" outlineLevel="0" collapsed="false">
      <c r="B223" s="9" t="s">
        <v>150</v>
      </c>
      <c r="C223" s="12" t="s">
        <v>186</v>
      </c>
      <c r="D223" s="12" t="s">
        <v>949</v>
      </c>
      <c r="E223" s="12" t="s">
        <v>450</v>
      </c>
    </row>
    <row r="224" customFormat="false" ht="25.5" hidden="false" customHeight="true" outlineLevel="0" collapsed="false">
      <c r="B224" s="7" t="s">
        <v>151</v>
      </c>
      <c r="C224" s="11" t="s">
        <v>415</v>
      </c>
      <c r="D224" s="11" t="s">
        <v>1072</v>
      </c>
      <c r="E224" s="11" t="s">
        <v>415</v>
      </c>
    </row>
    <row r="225" customFormat="false" ht="25.5" hidden="false" customHeight="true" outlineLevel="0" collapsed="false">
      <c r="B225" s="9" t="s">
        <v>152</v>
      </c>
      <c r="C225" s="12" t="s">
        <v>416</v>
      </c>
      <c r="D225" s="12" t="s">
        <v>189</v>
      </c>
      <c r="E225" s="12" t="s">
        <v>615</v>
      </c>
    </row>
    <row r="226" customFormat="false" ht="25.5" hidden="false" customHeight="true" outlineLevel="0" collapsed="false">
      <c r="B226" s="7" t="s">
        <v>153</v>
      </c>
      <c r="C226" s="11" t="s">
        <v>189</v>
      </c>
      <c r="D226" s="11" t="s">
        <v>189</v>
      </c>
      <c r="E226" s="11" t="s">
        <v>189</v>
      </c>
    </row>
    <row r="227" customFormat="false" ht="25.5" hidden="false" customHeight="true" outlineLevel="0" collapsed="false">
      <c r="B227" s="9" t="s">
        <v>154</v>
      </c>
      <c r="C227" s="12" t="s">
        <v>190</v>
      </c>
      <c r="D227" s="12" t="s">
        <v>952</v>
      </c>
      <c r="E227" s="12" t="s">
        <v>190</v>
      </c>
    </row>
    <row r="228" customFormat="false" ht="25.5" hidden="false" customHeight="true" outlineLevel="0" collapsed="false">
      <c r="B228" s="16" t="s">
        <v>159</v>
      </c>
      <c r="C228" s="20" t="n">
        <v>65</v>
      </c>
      <c r="D228" s="20" t="n">
        <v>25</v>
      </c>
      <c r="E228" s="20" t="n">
        <v>35</v>
      </c>
    </row>
    <row r="230" customFormat="false" ht="21.75" hidden="false" customHeight="true" outlineLevel="0" collapsed="false">
      <c r="B230" s="24" t="s">
        <v>4560</v>
      </c>
      <c r="C230" s="24"/>
      <c r="D230" s="24"/>
      <c r="E230" s="24"/>
    </row>
    <row r="231" customFormat="false" ht="13.5" hidden="false" customHeight="true" outlineLevel="0" collapsed="false">
      <c r="B231" s="25" t="s">
        <v>4561</v>
      </c>
      <c r="C231" s="25"/>
      <c r="D231" s="25"/>
      <c r="E231" s="25"/>
    </row>
    <row r="232" customFormat="false" ht="31.5" hidden="false" customHeight="true" outlineLevel="0" collapsed="false">
      <c r="B232" s="5" t="s">
        <v>4484</v>
      </c>
      <c r="C232" s="5" t="s">
        <v>4562</v>
      </c>
      <c r="D232" s="5" t="s">
        <v>4563</v>
      </c>
      <c r="E232" s="5" t="s">
        <v>4564</v>
      </c>
    </row>
    <row r="233" customFormat="false" ht="25.5" hidden="false" customHeight="true" outlineLevel="0" collapsed="false">
      <c r="B233" s="7" t="s">
        <v>17</v>
      </c>
      <c r="C233" s="11" t="s">
        <v>20</v>
      </c>
      <c r="D233" s="11" t="s">
        <v>20</v>
      </c>
      <c r="E233" s="11" t="s">
        <v>20</v>
      </c>
    </row>
    <row r="234" customFormat="false" ht="25.5" hidden="false" customHeight="true" outlineLevel="0" collapsed="false">
      <c r="B234" s="9" t="s">
        <v>146</v>
      </c>
      <c r="C234" s="12" t="s">
        <v>440</v>
      </c>
      <c r="D234" s="12" t="s">
        <v>440</v>
      </c>
      <c r="E234" s="12" t="s">
        <v>440</v>
      </c>
    </row>
    <row r="235" customFormat="false" ht="25.5" hidden="false" customHeight="true" outlineLevel="0" collapsed="false">
      <c r="B235" s="7" t="s">
        <v>4488</v>
      </c>
      <c r="C235" s="11" t="s">
        <v>1224</v>
      </c>
      <c r="D235" s="11" t="s">
        <v>789</v>
      </c>
      <c r="E235" s="11" t="s">
        <v>1080</v>
      </c>
    </row>
    <row r="236" customFormat="false" ht="25.5" hidden="false" customHeight="true" outlineLevel="0" collapsed="false">
      <c r="B236" s="9" t="s">
        <v>4489</v>
      </c>
      <c r="C236" s="12" t="s">
        <v>1225</v>
      </c>
      <c r="D236" s="12" t="s">
        <v>626</v>
      </c>
      <c r="E236" s="12" t="s">
        <v>1081</v>
      </c>
    </row>
    <row r="237" customFormat="false" ht="25.5" hidden="false" customHeight="true" outlineLevel="0" collapsed="false">
      <c r="B237" s="7" t="s">
        <v>4490</v>
      </c>
      <c r="C237" s="11" t="s">
        <v>1217</v>
      </c>
      <c r="D237" s="11" t="s">
        <v>790</v>
      </c>
      <c r="E237" s="11" t="s">
        <v>1071</v>
      </c>
    </row>
    <row r="238" customFormat="false" ht="25.5" hidden="false" customHeight="true" outlineLevel="0" collapsed="false">
      <c r="B238" s="9" t="s">
        <v>150</v>
      </c>
      <c r="C238" s="12" t="s">
        <v>1095</v>
      </c>
      <c r="D238" s="12" t="s">
        <v>639</v>
      </c>
      <c r="E238" s="12" t="s">
        <v>949</v>
      </c>
    </row>
    <row r="239" customFormat="false" ht="25.5" hidden="false" customHeight="true" outlineLevel="0" collapsed="false">
      <c r="B239" s="7" t="s">
        <v>151</v>
      </c>
      <c r="C239" s="11" t="s">
        <v>1226</v>
      </c>
      <c r="D239" s="11" t="s">
        <v>791</v>
      </c>
      <c r="E239" s="11" t="s">
        <v>1072</v>
      </c>
    </row>
    <row r="240" customFormat="false" ht="25.5" hidden="false" customHeight="true" outlineLevel="0" collapsed="false">
      <c r="B240" s="9" t="s">
        <v>152</v>
      </c>
      <c r="C240" s="12" t="s">
        <v>189</v>
      </c>
      <c r="D240" s="12" t="s">
        <v>189</v>
      </c>
      <c r="E240" s="12" t="s">
        <v>189</v>
      </c>
    </row>
    <row r="241" customFormat="false" ht="25.5" hidden="false" customHeight="true" outlineLevel="0" collapsed="false">
      <c r="B241" s="7" t="s">
        <v>153</v>
      </c>
      <c r="C241" s="11" t="s">
        <v>189</v>
      </c>
      <c r="D241" s="11" t="s">
        <v>189</v>
      </c>
      <c r="E241" s="11" t="s">
        <v>189</v>
      </c>
    </row>
    <row r="242" customFormat="false" ht="25.5" hidden="false" customHeight="true" outlineLevel="0" collapsed="false">
      <c r="B242" s="9" t="s">
        <v>154</v>
      </c>
      <c r="C242" s="12" t="s">
        <v>190</v>
      </c>
      <c r="D242" s="12" t="s">
        <v>640</v>
      </c>
      <c r="E242" s="12" t="s">
        <v>952</v>
      </c>
    </row>
    <row r="243" customFormat="false" ht="25.5" hidden="false" customHeight="true" outlineLevel="0" collapsed="false">
      <c r="B243" s="16" t="s">
        <v>159</v>
      </c>
      <c r="C243" s="20" t="n">
        <v>40</v>
      </c>
      <c r="D243" s="20" t="n">
        <v>25</v>
      </c>
      <c r="E243" s="20" t="n">
        <v>30</v>
      </c>
    </row>
    <row r="245" customFormat="false" ht="21.75" hidden="false" customHeight="true" outlineLevel="0" collapsed="false">
      <c r="B245" s="24" t="s">
        <v>4565</v>
      </c>
      <c r="C245" s="24"/>
      <c r="D245" s="24"/>
      <c r="E245" s="24"/>
    </row>
    <row r="246" customFormat="false" ht="13.5" hidden="false" customHeight="true" outlineLevel="0" collapsed="false">
      <c r="B246" s="25" t="s">
        <v>4566</v>
      </c>
      <c r="C246" s="25"/>
      <c r="D246" s="25"/>
      <c r="E246" s="25"/>
    </row>
    <row r="247" customFormat="false" ht="31.5" hidden="false" customHeight="true" outlineLevel="0" collapsed="false">
      <c r="B247" s="5" t="s">
        <v>4484</v>
      </c>
      <c r="C247" s="5" t="s">
        <v>4567</v>
      </c>
      <c r="D247" s="5" t="s">
        <v>4568</v>
      </c>
      <c r="E247" s="5" t="s">
        <v>4569</v>
      </c>
    </row>
    <row r="248" customFormat="false" ht="25.5" hidden="false" customHeight="true" outlineLevel="0" collapsed="false">
      <c r="B248" s="7" t="s">
        <v>17</v>
      </c>
      <c r="C248" s="11" t="s">
        <v>20</v>
      </c>
      <c r="D248" s="11" t="s">
        <v>20</v>
      </c>
      <c r="E248" s="11" t="s">
        <v>23</v>
      </c>
    </row>
    <row r="249" customFormat="false" ht="25.5" hidden="false" customHeight="true" outlineLevel="0" collapsed="false">
      <c r="B249" s="9" t="s">
        <v>2482</v>
      </c>
      <c r="C249" s="12" t="s">
        <v>2490</v>
      </c>
      <c r="D249" s="12" t="s">
        <v>3050</v>
      </c>
      <c r="E249" s="12" t="s">
        <v>3559</v>
      </c>
    </row>
    <row r="250" customFormat="false" ht="25.5" hidden="false" customHeight="true" outlineLevel="0" collapsed="false">
      <c r="B250" s="7" t="s">
        <v>2483</v>
      </c>
      <c r="C250" s="11" t="s">
        <v>2491</v>
      </c>
      <c r="D250" s="11" t="s">
        <v>3051</v>
      </c>
      <c r="E250" s="11" t="s">
        <v>3560</v>
      </c>
    </row>
    <row r="251" customFormat="false" ht="25.5" hidden="false" customHeight="true" outlineLevel="0" collapsed="false">
      <c r="B251" s="9" t="s">
        <v>4570</v>
      </c>
      <c r="C251" s="12" t="s">
        <v>2492</v>
      </c>
      <c r="D251" s="12" t="s">
        <v>3052</v>
      </c>
      <c r="E251" s="12" t="s">
        <v>3561</v>
      </c>
    </row>
    <row r="252" customFormat="false" ht="25.5" hidden="false" customHeight="true" outlineLevel="0" collapsed="false">
      <c r="B252" s="7" t="s">
        <v>4571</v>
      </c>
      <c r="C252" s="11" t="s">
        <v>2494</v>
      </c>
      <c r="D252" s="11" t="s">
        <v>3054</v>
      </c>
      <c r="E252" s="11" t="s">
        <v>3563</v>
      </c>
    </row>
    <row r="253" customFormat="false" ht="25.5" hidden="false" customHeight="true" outlineLevel="0" collapsed="false">
      <c r="B253" s="9" t="s">
        <v>2485</v>
      </c>
      <c r="C253" s="12" t="s">
        <v>2493</v>
      </c>
      <c r="D253" s="12" t="s">
        <v>3053</v>
      </c>
      <c r="E253" s="12" t="s">
        <v>3562</v>
      </c>
    </row>
    <row r="254" customFormat="false" ht="25.5" hidden="false" customHeight="true" outlineLevel="0" collapsed="false">
      <c r="B254" s="7" t="s">
        <v>151</v>
      </c>
      <c r="C254" s="11" t="s">
        <v>2495</v>
      </c>
      <c r="D254" s="11" t="s">
        <v>2941</v>
      </c>
      <c r="E254" s="11" t="s">
        <v>2495</v>
      </c>
    </row>
    <row r="255" customFormat="false" ht="25.5" hidden="false" customHeight="true" outlineLevel="0" collapsed="false">
      <c r="B255" s="9" t="s">
        <v>153</v>
      </c>
      <c r="C255" s="12" t="s">
        <v>189</v>
      </c>
      <c r="D255" s="12" t="s">
        <v>189</v>
      </c>
      <c r="E255" s="12" t="s">
        <v>189</v>
      </c>
    </row>
    <row r="256" customFormat="false" ht="25.5" hidden="false" customHeight="true" outlineLevel="0" collapsed="false">
      <c r="B256" s="7" t="s">
        <v>154</v>
      </c>
      <c r="C256" s="11" t="s">
        <v>190</v>
      </c>
      <c r="D256" s="11" t="s">
        <v>190</v>
      </c>
      <c r="E256" s="11" t="s">
        <v>190</v>
      </c>
    </row>
    <row r="257" customFormat="false" ht="25.5" hidden="false" customHeight="true" outlineLevel="0" collapsed="false">
      <c r="B257" s="16" t="s">
        <v>159</v>
      </c>
      <c r="C257" s="20" t="n">
        <v>1280</v>
      </c>
      <c r="D257" s="20" t="n">
        <v>3200</v>
      </c>
      <c r="E257" s="20" t="n">
        <v>1150</v>
      </c>
    </row>
    <row r="259" customFormat="false" ht="21.75" hidden="false" customHeight="true" outlineLevel="0" collapsed="false">
      <c r="B259" s="24" t="s">
        <v>4572</v>
      </c>
      <c r="C259" s="24"/>
      <c r="D259" s="24"/>
      <c r="E259" s="24"/>
    </row>
    <row r="260" customFormat="false" ht="13.5" hidden="false" customHeight="true" outlineLevel="0" collapsed="false">
      <c r="B260" s="25" t="s">
        <v>4573</v>
      </c>
      <c r="C260" s="25"/>
      <c r="D260" s="25"/>
      <c r="E260" s="25"/>
    </row>
    <row r="261" customFormat="false" ht="31.5" hidden="false" customHeight="true" outlineLevel="0" collapsed="false">
      <c r="B261" s="5" t="s">
        <v>4484</v>
      </c>
      <c r="C261" s="5" t="s">
        <v>4574</v>
      </c>
      <c r="D261" s="5" t="s">
        <v>4575</v>
      </c>
      <c r="E261" s="5" t="s">
        <v>4576</v>
      </c>
    </row>
    <row r="262" customFormat="false" ht="25.5" hidden="false" customHeight="true" outlineLevel="0" collapsed="false">
      <c r="B262" s="7" t="s">
        <v>17</v>
      </c>
      <c r="C262" s="11" t="s">
        <v>20</v>
      </c>
      <c r="D262" s="11" t="s">
        <v>20</v>
      </c>
      <c r="E262" s="11" t="s">
        <v>23</v>
      </c>
    </row>
    <row r="263" customFormat="false" ht="25.5" hidden="false" customHeight="true" outlineLevel="0" collapsed="false">
      <c r="B263" s="9" t="s">
        <v>2482</v>
      </c>
      <c r="C263" s="12" t="s">
        <v>2839</v>
      </c>
      <c r="D263" s="12" t="s">
        <v>2954</v>
      </c>
      <c r="E263" s="12" t="s">
        <v>3575</v>
      </c>
    </row>
    <row r="264" customFormat="false" ht="25.5" hidden="false" customHeight="true" outlineLevel="0" collapsed="false">
      <c r="B264" s="7" t="s">
        <v>2483</v>
      </c>
      <c r="C264" s="11" t="s">
        <v>2840</v>
      </c>
      <c r="D264" s="11" t="s">
        <v>2955</v>
      </c>
      <c r="E264" s="11" t="s">
        <v>3576</v>
      </c>
    </row>
    <row r="265" customFormat="false" ht="25.5" hidden="false" customHeight="true" outlineLevel="0" collapsed="false">
      <c r="B265" s="9" t="s">
        <v>4570</v>
      </c>
      <c r="C265" s="12" t="s">
        <v>2841</v>
      </c>
      <c r="D265" s="12" t="s">
        <v>2956</v>
      </c>
      <c r="E265" s="12" t="s">
        <v>3577</v>
      </c>
    </row>
    <row r="266" customFormat="false" ht="25.5" hidden="false" customHeight="true" outlineLevel="0" collapsed="false">
      <c r="B266" s="7" t="s">
        <v>4571</v>
      </c>
      <c r="C266" s="11" t="s">
        <v>2828</v>
      </c>
      <c r="D266" s="11" t="s">
        <v>2940</v>
      </c>
      <c r="E266" s="11" t="s">
        <v>3563</v>
      </c>
    </row>
    <row r="267" customFormat="false" ht="25.5" hidden="false" customHeight="true" outlineLevel="0" collapsed="false">
      <c r="B267" s="9" t="s">
        <v>2485</v>
      </c>
      <c r="C267" s="12" t="s">
        <v>189</v>
      </c>
      <c r="D267" s="12" t="s">
        <v>189</v>
      </c>
      <c r="E267" s="12" t="s">
        <v>3578</v>
      </c>
    </row>
    <row r="268" customFormat="false" ht="25.5" hidden="false" customHeight="true" outlineLevel="0" collapsed="false">
      <c r="B268" s="7" t="s">
        <v>151</v>
      </c>
      <c r="C268" s="11" t="s">
        <v>2842</v>
      </c>
      <c r="D268" s="11" t="s">
        <v>2842</v>
      </c>
      <c r="E268" s="11" t="s">
        <v>3069</v>
      </c>
    </row>
    <row r="269" customFormat="false" ht="25.5" hidden="false" customHeight="true" outlineLevel="0" collapsed="false">
      <c r="B269" s="9" t="s">
        <v>153</v>
      </c>
      <c r="C269" s="12" t="s">
        <v>189</v>
      </c>
      <c r="D269" s="12" t="s">
        <v>189</v>
      </c>
      <c r="E269" s="12" t="s">
        <v>189</v>
      </c>
    </row>
    <row r="270" customFormat="false" ht="25.5" hidden="false" customHeight="true" outlineLevel="0" collapsed="false">
      <c r="B270" s="7" t="s">
        <v>154</v>
      </c>
      <c r="C270" s="11" t="s">
        <v>190</v>
      </c>
      <c r="D270" s="11" t="s">
        <v>190</v>
      </c>
      <c r="E270" s="11" t="s">
        <v>190</v>
      </c>
    </row>
    <row r="271" customFormat="false" ht="25.5" hidden="false" customHeight="true" outlineLevel="0" collapsed="false">
      <c r="B271" s="16" t="s">
        <v>159</v>
      </c>
      <c r="C271" s="20" t="n">
        <v>585</v>
      </c>
      <c r="D271" s="20" t="n">
        <v>640</v>
      </c>
      <c r="E271" s="20" t="n">
        <v>520</v>
      </c>
    </row>
    <row r="273" customFormat="false" ht="21.75" hidden="false" customHeight="true" outlineLevel="0" collapsed="false">
      <c r="B273" s="24" t="s">
        <v>4577</v>
      </c>
      <c r="C273" s="24"/>
      <c r="D273" s="24"/>
      <c r="E273" s="24"/>
    </row>
    <row r="274" customFormat="false" ht="13.5" hidden="false" customHeight="true" outlineLevel="0" collapsed="false">
      <c r="B274" s="25" t="s">
        <v>4578</v>
      </c>
      <c r="C274" s="25"/>
      <c r="D274" s="25"/>
      <c r="E274" s="25"/>
    </row>
    <row r="275" customFormat="false" ht="31.5" hidden="false" customHeight="true" outlineLevel="0" collapsed="false">
      <c r="B275" s="5" t="s">
        <v>4484</v>
      </c>
      <c r="C275" s="5" t="s">
        <v>4579</v>
      </c>
      <c r="D275" s="5" t="s">
        <v>4580</v>
      </c>
      <c r="E275" s="5" t="s">
        <v>4581</v>
      </c>
    </row>
    <row r="276" customFormat="false" ht="25.5" hidden="false" customHeight="true" outlineLevel="0" collapsed="false">
      <c r="B276" s="7" t="s">
        <v>17</v>
      </c>
      <c r="C276" s="11" t="s">
        <v>20</v>
      </c>
      <c r="D276" s="11" t="s">
        <v>23</v>
      </c>
      <c r="E276" s="11" t="s">
        <v>20</v>
      </c>
    </row>
    <row r="277" customFormat="false" ht="25.5" hidden="false" customHeight="true" outlineLevel="0" collapsed="false">
      <c r="B277" s="9" t="s">
        <v>2482</v>
      </c>
      <c r="C277" s="12" t="s">
        <v>2522</v>
      </c>
      <c r="D277" s="12" t="s">
        <v>2522</v>
      </c>
      <c r="E277" s="12" t="s">
        <v>2522</v>
      </c>
    </row>
    <row r="278" customFormat="false" ht="25.5" hidden="false" customHeight="true" outlineLevel="0" collapsed="false">
      <c r="B278" s="7" t="s">
        <v>2483</v>
      </c>
      <c r="C278" s="11" t="s">
        <v>2695</v>
      </c>
      <c r="D278" s="11" t="s">
        <v>3408</v>
      </c>
      <c r="E278" s="11" t="s">
        <v>2695</v>
      </c>
    </row>
    <row r="279" customFormat="false" ht="25.5" hidden="false" customHeight="true" outlineLevel="0" collapsed="false">
      <c r="B279" s="9" t="s">
        <v>4570</v>
      </c>
      <c r="C279" s="12" t="s">
        <v>3234</v>
      </c>
      <c r="D279" s="12" t="s">
        <v>3409</v>
      </c>
      <c r="E279" s="12" t="s">
        <v>3317</v>
      </c>
    </row>
    <row r="280" customFormat="false" ht="25.5" hidden="false" customHeight="true" outlineLevel="0" collapsed="false">
      <c r="B280" s="7" t="s">
        <v>4571</v>
      </c>
      <c r="C280" s="11" t="s">
        <v>3235</v>
      </c>
      <c r="D280" s="11" t="s">
        <v>3411</v>
      </c>
      <c r="E280" s="11" t="s">
        <v>3318</v>
      </c>
    </row>
    <row r="281" customFormat="false" ht="25.5" hidden="false" customHeight="true" outlineLevel="0" collapsed="false">
      <c r="B281" s="9" t="s">
        <v>2485</v>
      </c>
      <c r="C281" s="12" t="s">
        <v>2697</v>
      </c>
      <c r="D281" s="12" t="s">
        <v>3410</v>
      </c>
      <c r="E281" s="12" t="s">
        <v>2697</v>
      </c>
    </row>
    <row r="282" customFormat="false" ht="25.5" hidden="false" customHeight="true" outlineLevel="0" collapsed="false">
      <c r="B282" s="7" t="s">
        <v>151</v>
      </c>
      <c r="C282" s="11" t="s">
        <v>2698</v>
      </c>
      <c r="D282" s="11" t="s">
        <v>3412</v>
      </c>
      <c r="E282" s="11" t="s">
        <v>2698</v>
      </c>
    </row>
    <row r="283" customFormat="false" ht="25.5" hidden="false" customHeight="true" outlineLevel="0" collapsed="false">
      <c r="B283" s="9" t="s">
        <v>153</v>
      </c>
      <c r="C283" s="12" t="s">
        <v>189</v>
      </c>
      <c r="D283" s="12" t="s">
        <v>189</v>
      </c>
      <c r="E283" s="12" t="s">
        <v>189</v>
      </c>
    </row>
    <row r="284" customFormat="false" ht="25.5" hidden="false" customHeight="true" outlineLevel="0" collapsed="false">
      <c r="B284" s="7" t="s">
        <v>154</v>
      </c>
      <c r="C284" s="11" t="s">
        <v>3236</v>
      </c>
      <c r="D284" s="11" t="s">
        <v>190</v>
      </c>
      <c r="E284" s="11" t="s">
        <v>3319</v>
      </c>
    </row>
    <row r="285" customFormat="false" ht="25.5" hidden="false" customHeight="true" outlineLevel="0" collapsed="false">
      <c r="B285" s="16" t="s">
        <v>159</v>
      </c>
      <c r="C285" s="20" t="n">
        <v>18</v>
      </c>
      <c r="D285" s="20" t="n">
        <v>25</v>
      </c>
      <c r="E285" s="20" t="n">
        <v>20</v>
      </c>
    </row>
    <row r="287" customFormat="false" ht="21.75" hidden="false" customHeight="true" outlineLevel="0" collapsed="false">
      <c r="B287" s="24" t="s">
        <v>4582</v>
      </c>
      <c r="C287" s="24"/>
      <c r="D287" s="24"/>
      <c r="E287" s="24"/>
    </row>
    <row r="288" customFormat="false" ht="13.5" hidden="false" customHeight="true" outlineLevel="0" collapsed="false">
      <c r="B288" s="25" t="s">
        <v>4583</v>
      </c>
      <c r="C288" s="25"/>
      <c r="D288" s="25"/>
      <c r="E288" s="25"/>
    </row>
    <row r="289" customFormat="false" ht="31.5" hidden="false" customHeight="true" outlineLevel="0" collapsed="false">
      <c r="B289" s="5" t="s">
        <v>4484</v>
      </c>
      <c r="C289" s="5" t="s">
        <v>4584</v>
      </c>
      <c r="D289" s="5" t="s">
        <v>4585</v>
      </c>
      <c r="E289" s="5" t="s">
        <v>4586</v>
      </c>
    </row>
    <row r="290" customFormat="false" ht="25.5" hidden="false" customHeight="true" outlineLevel="0" collapsed="false">
      <c r="B290" s="7" t="s">
        <v>17</v>
      </c>
      <c r="C290" s="11" t="s">
        <v>20</v>
      </c>
      <c r="D290" s="11" t="s">
        <v>20</v>
      </c>
      <c r="E290" s="11" t="s">
        <v>20</v>
      </c>
    </row>
    <row r="291" customFormat="false" ht="25.5" hidden="false" customHeight="true" outlineLevel="0" collapsed="false">
      <c r="B291" s="9" t="s">
        <v>2482</v>
      </c>
      <c r="C291" s="12" t="s">
        <v>2522</v>
      </c>
      <c r="D291" s="12" t="s">
        <v>2522</v>
      </c>
      <c r="E291" s="12" t="s">
        <v>2522</v>
      </c>
    </row>
    <row r="292" customFormat="false" ht="25.5" hidden="false" customHeight="true" outlineLevel="0" collapsed="false">
      <c r="B292" s="7" t="s">
        <v>2483</v>
      </c>
      <c r="C292" s="11" t="s">
        <v>3244</v>
      </c>
      <c r="D292" s="11" t="s">
        <v>2862</v>
      </c>
      <c r="E292" s="11" t="s">
        <v>2511</v>
      </c>
    </row>
    <row r="293" customFormat="false" ht="25.5" hidden="false" customHeight="true" outlineLevel="0" collapsed="false">
      <c r="B293" s="9" t="s">
        <v>4570</v>
      </c>
      <c r="C293" s="12" t="s">
        <v>3245</v>
      </c>
      <c r="D293" s="12" t="s">
        <v>3182</v>
      </c>
      <c r="E293" s="12" t="s">
        <v>2512</v>
      </c>
    </row>
    <row r="294" customFormat="false" ht="25.5" hidden="false" customHeight="true" outlineLevel="0" collapsed="false">
      <c r="B294" s="7" t="s">
        <v>4571</v>
      </c>
      <c r="C294" s="11" t="s">
        <v>3235</v>
      </c>
      <c r="D294" s="11" t="s">
        <v>3318</v>
      </c>
      <c r="E294" s="11" t="s">
        <v>2494</v>
      </c>
    </row>
    <row r="295" customFormat="false" ht="25.5" hidden="false" customHeight="true" outlineLevel="0" collapsed="false">
      <c r="B295" s="9" t="s">
        <v>2485</v>
      </c>
      <c r="C295" s="12" t="s">
        <v>3246</v>
      </c>
      <c r="D295" s="12" t="s">
        <v>3328</v>
      </c>
      <c r="E295" s="12" t="s">
        <v>2513</v>
      </c>
    </row>
    <row r="296" customFormat="false" ht="25.5" hidden="false" customHeight="true" outlineLevel="0" collapsed="false">
      <c r="B296" s="7" t="s">
        <v>151</v>
      </c>
      <c r="C296" s="11" t="s">
        <v>2514</v>
      </c>
      <c r="D296" s="11" t="s">
        <v>2514</v>
      </c>
      <c r="E296" s="11" t="s">
        <v>2514</v>
      </c>
    </row>
    <row r="297" customFormat="false" ht="25.5" hidden="false" customHeight="true" outlineLevel="0" collapsed="false">
      <c r="B297" s="9" t="s">
        <v>153</v>
      </c>
      <c r="C297" s="12" t="s">
        <v>189</v>
      </c>
      <c r="D297" s="12" t="s">
        <v>189</v>
      </c>
      <c r="E297" s="12" t="s">
        <v>189</v>
      </c>
    </row>
    <row r="298" customFormat="false" ht="25.5" hidden="false" customHeight="true" outlineLevel="0" collapsed="false">
      <c r="B298" s="7" t="s">
        <v>154</v>
      </c>
      <c r="C298" s="11" t="s">
        <v>3236</v>
      </c>
      <c r="D298" s="11" t="s">
        <v>3319</v>
      </c>
      <c r="E298" s="11" t="s">
        <v>190</v>
      </c>
    </row>
    <row r="299" customFormat="false" ht="25.5" hidden="false" customHeight="true" outlineLevel="0" collapsed="false">
      <c r="B299" s="16" t="s">
        <v>159</v>
      </c>
      <c r="C299" s="20" t="n">
        <v>40</v>
      </c>
      <c r="D299" s="20" t="n">
        <v>45</v>
      </c>
      <c r="E299" s="20" t="n">
        <v>85</v>
      </c>
    </row>
    <row r="301" customFormat="false" ht="21.75" hidden="false" customHeight="true" outlineLevel="0" collapsed="false">
      <c r="B301" s="24" t="s">
        <v>4587</v>
      </c>
      <c r="C301" s="24"/>
      <c r="D301" s="24"/>
      <c r="E301" s="24"/>
    </row>
    <row r="302" customFormat="false" ht="13.5" hidden="false" customHeight="true" outlineLevel="0" collapsed="false">
      <c r="B302" s="25" t="s">
        <v>4588</v>
      </c>
      <c r="C302" s="25"/>
      <c r="D302" s="25"/>
      <c r="E302" s="25"/>
    </row>
    <row r="303" customFormat="false" ht="31.5" hidden="false" customHeight="true" outlineLevel="0" collapsed="false">
      <c r="B303" s="5" t="s">
        <v>4484</v>
      </c>
      <c r="C303" s="5" t="s">
        <v>4589</v>
      </c>
      <c r="D303" s="5" t="s">
        <v>4590</v>
      </c>
      <c r="E303" s="5" t="s">
        <v>4591</v>
      </c>
    </row>
    <row r="304" customFormat="false" ht="25.5" hidden="false" customHeight="true" outlineLevel="0" collapsed="false">
      <c r="B304" s="7" t="s">
        <v>17</v>
      </c>
      <c r="C304" s="11" t="s">
        <v>20</v>
      </c>
      <c r="D304" s="11" t="s">
        <v>20</v>
      </c>
      <c r="E304" s="11" t="s">
        <v>20</v>
      </c>
    </row>
    <row r="305" customFormat="false" ht="25.5" hidden="false" customHeight="true" outlineLevel="0" collapsed="false">
      <c r="B305" s="9" t="s">
        <v>2482</v>
      </c>
      <c r="C305" s="12" t="s">
        <v>2537</v>
      </c>
      <c r="D305" s="12" t="s">
        <v>2537</v>
      </c>
      <c r="E305" s="12" t="s">
        <v>2537</v>
      </c>
    </row>
    <row r="306" customFormat="false" ht="25.5" hidden="false" customHeight="true" outlineLevel="0" collapsed="false">
      <c r="B306" s="7" t="s">
        <v>2483</v>
      </c>
      <c r="C306" s="11" t="s">
        <v>2530</v>
      </c>
      <c r="D306" s="11" t="s">
        <v>2977</v>
      </c>
      <c r="E306" s="11" t="s">
        <v>3255</v>
      </c>
    </row>
    <row r="307" customFormat="false" ht="25.5" hidden="false" customHeight="true" outlineLevel="0" collapsed="false">
      <c r="B307" s="9" t="s">
        <v>4570</v>
      </c>
      <c r="C307" s="12" t="s">
        <v>2531</v>
      </c>
      <c r="D307" s="12" t="s">
        <v>2978</v>
      </c>
      <c r="E307" s="12" t="s">
        <v>3256</v>
      </c>
    </row>
    <row r="308" customFormat="false" ht="25.5" hidden="false" customHeight="true" outlineLevel="0" collapsed="false">
      <c r="B308" s="7" t="s">
        <v>4571</v>
      </c>
      <c r="C308" s="11" t="s">
        <v>2494</v>
      </c>
      <c r="D308" s="11" t="s">
        <v>2940</v>
      </c>
      <c r="E308" s="11" t="s">
        <v>3235</v>
      </c>
    </row>
    <row r="309" customFormat="false" ht="25.5" hidden="false" customHeight="true" outlineLevel="0" collapsed="false">
      <c r="B309" s="9" t="s">
        <v>2485</v>
      </c>
      <c r="C309" s="12" t="s">
        <v>2513</v>
      </c>
      <c r="D309" s="12" t="s">
        <v>2969</v>
      </c>
      <c r="E309" s="12" t="s">
        <v>3246</v>
      </c>
    </row>
    <row r="310" customFormat="false" ht="25.5" hidden="false" customHeight="true" outlineLevel="0" collapsed="false">
      <c r="B310" s="7" t="s">
        <v>151</v>
      </c>
      <c r="C310" s="11" t="s">
        <v>2514</v>
      </c>
      <c r="D310" s="11" t="s">
        <v>2514</v>
      </c>
      <c r="E310" s="11" t="s">
        <v>2514</v>
      </c>
    </row>
    <row r="311" customFormat="false" ht="25.5" hidden="false" customHeight="true" outlineLevel="0" collapsed="false">
      <c r="B311" s="9" t="s">
        <v>153</v>
      </c>
      <c r="C311" s="12" t="s">
        <v>189</v>
      </c>
      <c r="D311" s="12" t="s">
        <v>189</v>
      </c>
      <c r="E311" s="12" t="s">
        <v>189</v>
      </c>
    </row>
    <row r="312" customFormat="false" ht="25.5" hidden="false" customHeight="true" outlineLevel="0" collapsed="false">
      <c r="B312" s="7" t="s">
        <v>154</v>
      </c>
      <c r="C312" s="11" t="s">
        <v>190</v>
      </c>
      <c r="D312" s="11" t="s">
        <v>190</v>
      </c>
      <c r="E312" s="11" t="s">
        <v>3236</v>
      </c>
    </row>
    <row r="313" customFormat="false" ht="25.5" hidden="false" customHeight="true" outlineLevel="0" collapsed="false">
      <c r="B313" s="16" t="s">
        <v>159</v>
      </c>
      <c r="C313" s="20" t="n">
        <v>80</v>
      </c>
      <c r="D313" s="20" t="n">
        <v>75</v>
      </c>
      <c r="E313" s="20" t="n">
        <v>35</v>
      </c>
    </row>
    <row r="315" customFormat="false" ht="21.75" hidden="false" customHeight="true" outlineLevel="0" collapsed="false">
      <c r="B315" s="24" t="s">
        <v>4592</v>
      </c>
      <c r="C315" s="24"/>
      <c r="D315" s="24"/>
      <c r="E315" s="24"/>
    </row>
    <row r="316" customFormat="false" ht="13.5" hidden="false" customHeight="true" outlineLevel="0" collapsed="false">
      <c r="B316" s="25" t="s">
        <v>4593</v>
      </c>
      <c r="C316" s="25"/>
      <c r="D316" s="25"/>
      <c r="E316" s="25"/>
    </row>
    <row r="317" customFormat="false" ht="31.5" hidden="false" customHeight="true" outlineLevel="0" collapsed="false">
      <c r="B317" s="5" t="s">
        <v>4484</v>
      </c>
      <c r="C317" s="5" t="s">
        <v>4594</v>
      </c>
      <c r="D317" s="5" t="s">
        <v>4595</v>
      </c>
      <c r="E317" s="5" t="s">
        <v>4596</v>
      </c>
    </row>
    <row r="318" customFormat="false" ht="25.5" hidden="false" customHeight="true" outlineLevel="0" collapsed="false">
      <c r="B318" s="7" t="s">
        <v>17</v>
      </c>
      <c r="C318" s="11" t="s">
        <v>20</v>
      </c>
      <c r="D318" s="11" t="s">
        <v>20</v>
      </c>
      <c r="E318" s="11" t="s">
        <v>20</v>
      </c>
    </row>
    <row r="319" customFormat="false" ht="25.5" hidden="false" customHeight="true" outlineLevel="0" collapsed="false">
      <c r="B319" s="9" t="s">
        <v>2482</v>
      </c>
      <c r="C319" s="12" t="s">
        <v>2553</v>
      </c>
      <c r="D319" s="12" t="s">
        <v>2553</v>
      </c>
      <c r="E319" s="12" t="s">
        <v>2553</v>
      </c>
    </row>
    <row r="320" customFormat="false" ht="25.5" hidden="false" customHeight="true" outlineLevel="0" collapsed="false">
      <c r="B320" s="7" t="s">
        <v>2483</v>
      </c>
      <c r="C320" s="11" t="s">
        <v>3263</v>
      </c>
      <c r="D320" s="11" t="s">
        <v>3739</v>
      </c>
      <c r="E320" s="11" t="s">
        <v>3096</v>
      </c>
    </row>
    <row r="321" customFormat="false" ht="25.5" hidden="false" customHeight="true" outlineLevel="0" collapsed="false">
      <c r="B321" s="9" t="s">
        <v>4570</v>
      </c>
      <c r="C321" s="12" t="s">
        <v>3264</v>
      </c>
      <c r="D321" s="12" t="s">
        <v>3740</v>
      </c>
      <c r="E321" s="12" t="s">
        <v>3097</v>
      </c>
    </row>
    <row r="322" customFormat="false" ht="25.5" hidden="false" customHeight="true" outlineLevel="0" collapsed="false">
      <c r="B322" s="7" t="s">
        <v>4571</v>
      </c>
      <c r="C322" s="11" t="s">
        <v>3235</v>
      </c>
      <c r="D322" s="11" t="s">
        <v>3704</v>
      </c>
      <c r="E322" s="11" t="s">
        <v>3054</v>
      </c>
    </row>
    <row r="323" customFormat="false" ht="25.5" hidden="false" customHeight="true" outlineLevel="0" collapsed="false">
      <c r="B323" s="9" t="s">
        <v>2485</v>
      </c>
      <c r="C323" s="12" t="s">
        <v>3246</v>
      </c>
      <c r="D323" s="12" t="s">
        <v>3729</v>
      </c>
      <c r="E323" s="12" t="s">
        <v>3081</v>
      </c>
    </row>
    <row r="324" customFormat="false" ht="25.5" hidden="false" customHeight="true" outlineLevel="0" collapsed="false">
      <c r="B324" s="7" t="s">
        <v>151</v>
      </c>
      <c r="C324" s="11" t="s">
        <v>2514</v>
      </c>
      <c r="D324" s="11" t="s">
        <v>2514</v>
      </c>
      <c r="E324" s="11" t="s">
        <v>2514</v>
      </c>
    </row>
    <row r="325" customFormat="false" ht="25.5" hidden="false" customHeight="true" outlineLevel="0" collapsed="false">
      <c r="B325" s="9" t="s">
        <v>153</v>
      </c>
      <c r="C325" s="12" t="s">
        <v>189</v>
      </c>
      <c r="D325" s="12" t="s">
        <v>189</v>
      </c>
      <c r="E325" s="12" t="s">
        <v>189</v>
      </c>
    </row>
    <row r="326" customFormat="false" ht="25.5" hidden="false" customHeight="true" outlineLevel="0" collapsed="false">
      <c r="B326" s="7" t="s">
        <v>154</v>
      </c>
      <c r="C326" s="11" t="s">
        <v>3236</v>
      </c>
      <c r="D326" s="11" t="s">
        <v>640</v>
      </c>
      <c r="E326" s="11" t="s">
        <v>190</v>
      </c>
    </row>
    <row r="327" customFormat="false" ht="25.5" hidden="false" customHeight="true" outlineLevel="0" collapsed="false">
      <c r="B327" s="16" t="s">
        <v>159</v>
      </c>
      <c r="C327" s="20" t="n">
        <v>70</v>
      </c>
      <c r="D327" s="20" t="n">
        <v>115</v>
      </c>
      <c r="E327" s="20" t="n">
        <v>95</v>
      </c>
    </row>
    <row r="329" customFormat="false" ht="21.75" hidden="false" customHeight="true" outlineLevel="0" collapsed="false">
      <c r="B329" s="24" t="s">
        <v>4597</v>
      </c>
      <c r="C329" s="24"/>
      <c r="D329" s="24"/>
      <c r="E329" s="24"/>
    </row>
    <row r="330" customFormat="false" ht="13.5" hidden="false" customHeight="true" outlineLevel="0" collapsed="false">
      <c r="B330" s="25" t="s">
        <v>4598</v>
      </c>
      <c r="C330" s="25"/>
      <c r="D330" s="25"/>
      <c r="E330" s="25"/>
    </row>
    <row r="331" customFormat="false" ht="31.5" hidden="false" customHeight="true" outlineLevel="0" collapsed="false">
      <c r="B331" s="5" t="s">
        <v>4484</v>
      </c>
      <c r="C331" s="5" t="s">
        <v>4599</v>
      </c>
      <c r="D331" s="5" t="s">
        <v>4600</v>
      </c>
      <c r="E331" s="5" t="s">
        <v>4601</v>
      </c>
    </row>
    <row r="332" customFormat="false" ht="25.5" hidden="false" customHeight="true" outlineLevel="0" collapsed="false">
      <c r="B332" s="7" t="s">
        <v>17</v>
      </c>
      <c r="C332" s="11" t="s">
        <v>20</v>
      </c>
      <c r="D332" s="11" t="s">
        <v>20</v>
      </c>
      <c r="E332" s="11" t="s">
        <v>20</v>
      </c>
    </row>
    <row r="333" customFormat="false" ht="25.5" hidden="false" customHeight="true" outlineLevel="0" collapsed="false">
      <c r="B333" s="9" t="s">
        <v>2482</v>
      </c>
      <c r="C333" s="12" t="s">
        <v>2743</v>
      </c>
      <c r="D333" s="12" t="s">
        <v>2743</v>
      </c>
      <c r="E333" s="12" t="s">
        <v>2743</v>
      </c>
    </row>
    <row r="334" customFormat="false" ht="25.5" hidden="false" customHeight="true" outlineLevel="0" collapsed="false">
      <c r="B334" s="7" t="s">
        <v>2483</v>
      </c>
      <c r="C334" s="11" t="s">
        <v>3820</v>
      </c>
      <c r="D334" s="11" t="s">
        <v>3850</v>
      </c>
      <c r="E334" s="11" t="s">
        <v>2733</v>
      </c>
    </row>
    <row r="335" customFormat="false" ht="25.5" hidden="false" customHeight="true" outlineLevel="0" collapsed="false">
      <c r="B335" s="9" t="s">
        <v>4570</v>
      </c>
      <c r="C335" s="12" t="s">
        <v>3821</v>
      </c>
      <c r="D335" s="12" t="s">
        <v>3851</v>
      </c>
      <c r="E335" s="12" t="s">
        <v>2734</v>
      </c>
    </row>
    <row r="336" customFormat="false" ht="25.5" hidden="false" customHeight="true" outlineLevel="0" collapsed="false">
      <c r="B336" s="7" t="s">
        <v>4571</v>
      </c>
      <c r="C336" s="11" t="s">
        <v>3823</v>
      </c>
      <c r="D336" s="11" t="s">
        <v>3853</v>
      </c>
      <c r="E336" s="11" t="s">
        <v>2680</v>
      </c>
    </row>
    <row r="337" customFormat="false" ht="25.5" hidden="false" customHeight="true" outlineLevel="0" collapsed="false">
      <c r="B337" s="9" t="s">
        <v>2485</v>
      </c>
      <c r="C337" s="12" t="s">
        <v>3822</v>
      </c>
      <c r="D337" s="12" t="s">
        <v>3852</v>
      </c>
      <c r="E337" s="12" t="s">
        <v>2735</v>
      </c>
    </row>
    <row r="338" customFormat="false" ht="25.5" hidden="false" customHeight="true" outlineLevel="0" collapsed="false">
      <c r="B338" s="7" t="s">
        <v>151</v>
      </c>
      <c r="C338" s="11" t="s">
        <v>2565</v>
      </c>
      <c r="D338" s="11" t="s">
        <v>2565</v>
      </c>
      <c r="E338" s="11" t="s">
        <v>2514</v>
      </c>
    </row>
    <row r="339" customFormat="false" ht="25.5" hidden="false" customHeight="true" outlineLevel="0" collapsed="false">
      <c r="B339" s="9" t="s">
        <v>153</v>
      </c>
      <c r="C339" s="12" t="s">
        <v>3825</v>
      </c>
      <c r="D339" s="12" t="s">
        <v>3825</v>
      </c>
      <c r="E339" s="12" t="s">
        <v>2344</v>
      </c>
    </row>
    <row r="340" customFormat="false" ht="25.5" hidden="false" customHeight="true" outlineLevel="0" collapsed="false">
      <c r="B340" s="7" t="s">
        <v>154</v>
      </c>
      <c r="C340" s="11" t="s">
        <v>3826</v>
      </c>
      <c r="D340" s="11" t="s">
        <v>2149</v>
      </c>
      <c r="E340" s="11" t="s">
        <v>640</v>
      </c>
    </row>
    <row r="341" customFormat="false" ht="25.5" hidden="false" customHeight="true" outlineLevel="0" collapsed="false">
      <c r="B341" s="16" t="s">
        <v>159</v>
      </c>
      <c r="C341" s="20" t="n">
        <v>1450</v>
      </c>
      <c r="D341" s="20" t="n">
        <v>1280</v>
      </c>
      <c r="E341" s="20" t="n">
        <v>620</v>
      </c>
    </row>
    <row r="343" customFormat="false" ht="21.75" hidden="false" customHeight="true" outlineLevel="0" collapsed="false">
      <c r="B343" s="24" t="s">
        <v>4602</v>
      </c>
      <c r="C343" s="24"/>
      <c r="D343" s="24"/>
    </row>
    <row r="344" customFormat="false" ht="13.5" hidden="false" customHeight="true" outlineLevel="0" collapsed="false">
      <c r="B344" s="25" t="s">
        <v>4603</v>
      </c>
      <c r="C344" s="25"/>
      <c r="D344" s="25"/>
    </row>
    <row r="345" customFormat="false" ht="31.5" hidden="false" customHeight="true" outlineLevel="0" collapsed="false">
      <c r="B345" s="5" t="s">
        <v>4484</v>
      </c>
      <c r="C345" s="5" t="s">
        <v>4604</v>
      </c>
      <c r="D345" s="5" t="s">
        <v>4605</v>
      </c>
    </row>
    <row r="346" customFormat="false" ht="25.5" hidden="false" customHeight="true" outlineLevel="0" collapsed="false">
      <c r="B346" s="7" t="s">
        <v>17</v>
      </c>
      <c r="C346" s="11" t="s">
        <v>20</v>
      </c>
      <c r="D346" s="11" t="s">
        <v>20</v>
      </c>
    </row>
    <row r="347" customFormat="false" ht="25.5" hidden="false" customHeight="true" outlineLevel="0" collapsed="false">
      <c r="B347" s="9" t="s">
        <v>2482</v>
      </c>
      <c r="C347" s="12" t="s">
        <v>2576</v>
      </c>
      <c r="D347" s="12" t="s">
        <v>2576</v>
      </c>
    </row>
    <row r="348" customFormat="false" ht="25.5" hidden="false" customHeight="true" outlineLevel="0" collapsed="false">
      <c r="B348" s="7" t="s">
        <v>2483</v>
      </c>
      <c r="C348" s="11" t="s">
        <v>3781</v>
      </c>
      <c r="D348" s="11" t="s">
        <v>2562</v>
      </c>
    </row>
    <row r="349" customFormat="false" ht="25.5" hidden="false" customHeight="true" outlineLevel="0" collapsed="false">
      <c r="B349" s="9" t="s">
        <v>4570</v>
      </c>
      <c r="C349" s="12" t="s">
        <v>3782</v>
      </c>
      <c r="D349" s="12" t="s">
        <v>2563</v>
      </c>
    </row>
    <row r="350" customFormat="false" ht="25.5" hidden="false" customHeight="true" outlineLevel="0" collapsed="false">
      <c r="B350" s="7" t="s">
        <v>4571</v>
      </c>
      <c r="C350" s="11" t="s">
        <v>3784</v>
      </c>
      <c r="D350" s="11" t="s">
        <v>2494</v>
      </c>
    </row>
    <row r="351" customFormat="false" ht="25.5" hidden="false" customHeight="true" outlineLevel="0" collapsed="false">
      <c r="B351" s="9" t="s">
        <v>2485</v>
      </c>
      <c r="C351" s="12" t="s">
        <v>3783</v>
      </c>
      <c r="D351" s="12" t="s">
        <v>2564</v>
      </c>
    </row>
    <row r="352" customFormat="false" ht="25.5" hidden="false" customHeight="true" outlineLevel="0" collapsed="false">
      <c r="B352" s="7" t="s">
        <v>151</v>
      </c>
      <c r="C352" s="11" t="s">
        <v>2565</v>
      </c>
      <c r="D352" s="11" t="s">
        <v>2565</v>
      </c>
    </row>
    <row r="353" customFormat="false" ht="25.5" hidden="false" customHeight="true" outlineLevel="0" collapsed="false">
      <c r="B353" s="9" t="s">
        <v>153</v>
      </c>
      <c r="C353" s="12" t="s">
        <v>2567</v>
      </c>
      <c r="D353" s="12" t="s">
        <v>2567</v>
      </c>
    </row>
    <row r="354" customFormat="false" ht="25.5" hidden="false" customHeight="true" outlineLevel="0" collapsed="false">
      <c r="B354" s="7" t="s">
        <v>154</v>
      </c>
      <c r="C354" s="11" t="s">
        <v>3786</v>
      </c>
      <c r="D354" s="11" t="s">
        <v>190</v>
      </c>
    </row>
    <row r="355" customFormat="false" ht="25.5" hidden="false" customHeight="true" outlineLevel="0" collapsed="false">
      <c r="B355" s="16" t="s">
        <v>159</v>
      </c>
      <c r="C355" s="20" t="n">
        <v>4400</v>
      </c>
      <c r="D355" s="20" t="n">
        <v>3850</v>
      </c>
    </row>
    <row r="357" customFormat="false" ht="21.75" hidden="false" customHeight="true" outlineLevel="0" collapsed="false">
      <c r="B357" s="24" t="s">
        <v>4606</v>
      </c>
      <c r="C357" s="24"/>
      <c r="D357" s="24"/>
      <c r="E357" s="24"/>
    </row>
    <row r="358" customFormat="false" ht="13.5" hidden="false" customHeight="true" outlineLevel="0" collapsed="false">
      <c r="B358" s="25" t="s">
        <v>4607</v>
      </c>
      <c r="C358" s="25"/>
      <c r="D358" s="25"/>
      <c r="E358" s="25"/>
    </row>
    <row r="359" customFormat="false" ht="31.5" hidden="false" customHeight="true" outlineLevel="0" collapsed="false">
      <c r="B359" s="5" t="s">
        <v>4484</v>
      </c>
      <c r="C359" s="5" t="s">
        <v>4608</v>
      </c>
      <c r="D359" s="5" t="s">
        <v>4609</v>
      </c>
      <c r="E359" s="5" t="s">
        <v>4610</v>
      </c>
    </row>
    <row r="360" customFormat="false" ht="25.5" hidden="false" customHeight="true" outlineLevel="0" collapsed="false">
      <c r="B360" s="7" t="s">
        <v>17</v>
      </c>
      <c r="C360" s="11" t="s">
        <v>20</v>
      </c>
      <c r="D360" s="11" t="s">
        <v>23</v>
      </c>
      <c r="E360" s="11" t="s">
        <v>20</v>
      </c>
    </row>
    <row r="361" customFormat="false" ht="25.5" hidden="false" customHeight="true" outlineLevel="0" collapsed="false">
      <c r="B361" s="9" t="s">
        <v>2482</v>
      </c>
      <c r="C361" s="12" t="s">
        <v>2594</v>
      </c>
      <c r="D361" s="12" t="s">
        <v>2594</v>
      </c>
      <c r="E361" s="12" t="s">
        <v>2594</v>
      </c>
    </row>
    <row r="362" customFormat="false" ht="25.5" hidden="false" customHeight="true" outlineLevel="0" collapsed="false">
      <c r="B362" s="7" t="s">
        <v>2483</v>
      </c>
      <c r="C362" s="11" t="s">
        <v>2893</v>
      </c>
      <c r="D362" s="11" t="s">
        <v>3427</v>
      </c>
      <c r="E362" s="11" t="s">
        <v>3274</v>
      </c>
    </row>
    <row r="363" customFormat="false" ht="25.5" hidden="false" customHeight="true" outlineLevel="0" collapsed="false">
      <c r="B363" s="9" t="s">
        <v>4570</v>
      </c>
      <c r="C363" s="12" t="s">
        <v>2894</v>
      </c>
      <c r="D363" s="12" t="s">
        <v>3428</v>
      </c>
      <c r="E363" s="12" t="s">
        <v>3275</v>
      </c>
    </row>
    <row r="364" customFormat="false" ht="25.5" hidden="false" customHeight="true" outlineLevel="0" collapsed="false">
      <c r="B364" s="7" t="s">
        <v>4571</v>
      </c>
      <c r="C364" s="11" t="s">
        <v>2828</v>
      </c>
      <c r="D364" s="11" t="s">
        <v>3411</v>
      </c>
      <c r="E364" s="11" t="s">
        <v>3235</v>
      </c>
    </row>
    <row r="365" customFormat="false" ht="25.5" hidden="false" customHeight="true" outlineLevel="0" collapsed="false">
      <c r="B365" s="9" t="s">
        <v>2485</v>
      </c>
      <c r="C365" s="12" t="s">
        <v>2895</v>
      </c>
      <c r="D365" s="12" t="s">
        <v>2895</v>
      </c>
      <c r="E365" s="12" t="s">
        <v>3246</v>
      </c>
    </row>
    <row r="366" customFormat="false" ht="25.5" hidden="false" customHeight="true" outlineLevel="0" collapsed="false">
      <c r="B366" s="7" t="s">
        <v>151</v>
      </c>
      <c r="C366" s="11" t="s">
        <v>2565</v>
      </c>
      <c r="D366" s="11" t="s">
        <v>2565</v>
      </c>
      <c r="E366" s="11" t="s">
        <v>2514</v>
      </c>
    </row>
    <row r="367" customFormat="false" ht="25.5" hidden="false" customHeight="true" outlineLevel="0" collapsed="false">
      <c r="B367" s="9" t="s">
        <v>153</v>
      </c>
      <c r="C367" s="12" t="s">
        <v>189</v>
      </c>
      <c r="D367" s="12" t="s">
        <v>189</v>
      </c>
      <c r="E367" s="12" t="s">
        <v>189</v>
      </c>
    </row>
    <row r="368" customFormat="false" ht="25.5" hidden="false" customHeight="true" outlineLevel="0" collapsed="false">
      <c r="B368" s="7" t="s">
        <v>154</v>
      </c>
      <c r="C368" s="11" t="s">
        <v>190</v>
      </c>
      <c r="D368" s="11" t="s">
        <v>190</v>
      </c>
      <c r="E368" s="11" t="s">
        <v>3236</v>
      </c>
    </row>
    <row r="369" customFormat="false" ht="25.5" hidden="false" customHeight="true" outlineLevel="0" collapsed="false">
      <c r="B369" s="16" t="s">
        <v>159</v>
      </c>
      <c r="C369" s="20" t="n">
        <v>520</v>
      </c>
      <c r="D369" s="20" t="n">
        <v>620</v>
      </c>
      <c r="E369" s="20" t="n">
        <v>640</v>
      </c>
    </row>
    <row r="371" customFormat="false" ht="21.75" hidden="false" customHeight="true" outlineLevel="0" collapsed="false">
      <c r="B371" s="24" t="s">
        <v>4611</v>
      </c>
      <c r="C371" s="24"/>
      <c r="D371" s="24"/>
      <c r="E371" s="24"/>
    </row>
    <row r="372" customFormat="false" ht="13.5" hidden="false" customHeight="true" outlineLevel="0" collapsed="false">
      <c r="B372" s="25" t="s">
        <v>4612</v>
      </c>
      <c r="C372" s="25"/>
      <c r="D372" s="25"/>
      <c r="E372" s="25"/>
    </row>
    <row r="373" customFormat="false" ht="31.5" hidden="false" customHeight="true" outlineLevel="0" collapsed="false">
      <c r="B373" s="5" t="s">
        <v>4484</v>
      </c>
      <c r="C373" s="5" t="s">
        <v>4613</v>
      </c>
      <c r="D373" s="5" t="s">
        <v>4614</v>
      </c>
      <c r="E373" s="5" t="s">
        <v>4615</v>
      </c>
    </row>
    <row r="374" customFormat="false" ht="25.5" hidden="false" customHeight="true" outlineLevel="0" collapsed="false">
      <c r="B374" s="7" t="s">
        <v>17</v>
      </c>
      <c r="C374" s="11" t="s">
        <v>20</v>
      </c>
      <c r="D374" s="11" t="s">
        <v>23</v>
      </c>
      <c r="E374" s="11" t="s">
        <v>20</v>
      </c>
    </row>
    <row r="375" customFormat="false" ht="25.5" hidden="false" customHeight="true" outlineLevel="0" collapsed="false">
      <c r="B375" s="9" t="s">
        <v>2482</v>
      </c>
      <c r="C375" s="12" t="s">
        <v>2609</v>
      </c>
      <c r="D375" s="12" t="s">
        <v>2609</v>
      </c>
      <c r="E375" s="12" t="s">
        <v>2609</v>
      </c>
    </row>
    <row r="376" customFormat="false" ht="25.5" hidden="false" customHeight="true" outlineLevel="0" collapsed="false">
      <c r="B376" s="7" t="s">
        <v>2483</v>
      </c>
      <c r="C376" s="11" t="s">
        <v>2995</v>
      </c>
      <c r="D376" s="11" t="s">
        <v>2995</v>
      </c>
      <c r="E376" s="11" t="s">
        <v>2995</v>
      </c>
    </row>
    <row r="377" customFormat="false" ht="25.5" hidden="false" customHeight="true" outlineLevel="0" collapsed="false">
      <c r="B377" s="9" t="s">
        <v>4570</v>
      </c>
      <c r="C377" s="12" t="s">
        <v>3107</v>
      </c>
      <c r="D377" s="12" t="s">
        <v>2603</v>
      </c>
      <c r="E377" s="12" t="s">
        <v>2996</v>
      </c>
    </row>
    <row r="378" customFormat="false" ht="25.5" hidden="false" customHeight="true" outlineLevel="0" collapsed="false">
      <c r="B378" s="7" t="s">
        <v>4571</v>
      </c>
      <c r="C378" s="11" t="s">
        <v>3054</v>
      </c>
      <c r="D378" s="11" t="s">
        <v>3563</v>
      </c>
      <c r="E378" s="11" t="s">
        <v>2940</v>
      </c>
    </row>
    <row r="379" customFormat="false" ht="25.5" hidden="false" customHeight="true" outlineLevel="0" collapsed="false">
      <c r="B379" s="9" t="s">
        <v>2485</v>
      </c>
      <c r="C379" s="12" t="s">
        <v>3108</v>
      </c>
      <c r="D379" s="12" t="s">
        <v>3609</v>
      </c>
      <c r="E379" s="12" t="s">
        <v>2969</v>
      </c>
    </row>
    <row r="380" customFormat="false" ht="25.5" hidden="false" customHeight="true" outlineLevel="0" collapsed="false">
      <c r="B380" s="7" t="s">
        <v>151</v>
      </c>
      <c r="C380" s="11" t="s">
        <v>2514</v>
      </c>
      <c r="D380" s="11" t="s">
        <v>2514</v>
      </c>
      <c r="E380" s="11" t="s">
        <v>2514</v>
      </c>
    </row>
    <row r="381" customFormat="false" ht="25.5" hidden="false" customHeight="true" outlineLevel="0" collapsed="false">
      <c r="B381" s="9" t="s">
        <v>153</v>
      </c>
      <c r="C381" s="12" t="s">
        <v>189</v>
      </c>
      <c r="D381" s="12" t="s">
        <v>189</v>
      </c>
      <c r="E381" s="12" t="s">
        <v>189</v>
      </c>
    </row>
    <row r="382" customFormat="false" ht="25.5" hidden="false" customHeight="true" outlineLevel="0" collapsed="false">
      <c r="B382" s="7" t="s">
        <v>154</v>
      </c>
      <c r="C382" s="11" t="s">
        <v>190</v>
      </c>
      <c r="D382" s="11" t="s">
        <v>190</v>
      </c>
      <c r="E382" s="11" t="s">
        <v>190</v>
      </c>
    </row>
    <row r="383" customFormat="false" ht="25.5" hidden="false" customHeight="true" outlineLevel="0" collapsed="false">
      <c r="B383" s="16" t="s">
        <v>159</v>
      </c>
      <c r="C383" s="20" t="n">
        <v>75</v>
      </c>
      <c r="D383" s="20" t="n">
        <v>55</v>
      </c>
      <c r="E383" s="20" t="n">
        <v>70</v>
      </c>
    </row>
    <row r="385" customFormat="false" ht="21.75" hidden="false" customHeight="true" outlineLevel="0" collapsed="false">
      <c r="B385" s="24" t="s">
        <v>4616</v>
      </c>
      <c r="C385" s="24"/>
      <c r="D385" s="24"/>
      <c r="E385" s="24"/>
    </row>
    <row r="386" customFormat="false" ht="13.5" hidden="false" customHeight="true" outlineLevel="0" collapsed="false">
      <c r="B386" s="25" t="s">
        <v>4617</v>
      </c>
      <c r="C386" s="25"/>
      <c r="D386" s="25"/>
      <c r="E386" s="25"/>
    </row>
    <row r="387" customFormat="false" ht="31.5" hidden="false" customHeight="true" outlineLevel="0" collapsed="false">
      <c r="B387" s="5" t="s">
        <v>4484</v>
      </c>
      <c r="C387" s="5" t="s">
        <v>4618</v>
      </c>
      <c r="D387" s="5" t="s">
        <v>4619</v>
      </c>
      <c r="E387" s="5" t="s">
        <v>4620</v>
      </c>
    </row>
    <row r="388" customFormat="false" ht="25.5" hidden="false" customHeight="true" outlineLevel="0" collapsed="false">
      <c r="B388" s="7" t="s">
        <v>17</v>
      </c>
      <c r="C388" s="11" t="s">
        <v>23</v>
      </c>
      <c r="D388" s="11" t="s">
        <v>20</v>
      </c>
      <c r="E388" s="11" t="s">
        <v>20</v>
      </c>
    </row>
    <row r="389" customFormat="false" ht="25.5" hidden="false" customHeight="true" outlineLevel="0" collapsed="false">
      <c r="B389" s="9" t="s">
        <v>2482</v>
      </c>
      <c r="C389" s="12" t="s">
        <v>3015</v>
      </c>
      <c r="D389" s="12" t="s">
        <v>3015</v>
      </c>
      <c r="E389" s="12" t="s">
        <v>3015</v>
      </c>
    </row>
    <row r="390" customFormat="false" ht="25.5" hidden="false" customHeight="true" outlineLevel="0" collapsed="false">
      <c r="B390" s="7" t="s">
        <v>2483</v>
      </c>
      <c r="C390" s="11" t="s">
        <v>3440</v>
      </c>
      <c r="D390" s="11" t="s">
        <v>3116</v>
      </c>
      <c r="E390" s="11" t="s">
        <v>3005</v>
      </c>
    </row>
    <row r="391" customFormat="false" ht="25.5" hidden="false" customHeight="true" outlineLevel="0" collapsed="false">
      <c r="B391" s="9" t="s">
        <v>4570</v>
      </c>
      <c r="C391" s="12" t="s">
        <v>3441</v>
      </c>
      <c r="D391" s="12" t="s">
        <v>3117</v>
      </c>
      <c r="E391" s="12" t="s">
        <v>3006</v>
      </c>
    </row>
    <row r="392" customFormat="false" ht="25.5" hidden="false" customHeight="true" outlineLevel="0" collapsed="false">
      <c r="B392" s="7" t="s">
        <v>4571</v>
      </c>
      <c r="C392" s="11" t="s">
        <v>3411</v>
      </c>
      <c r="D392" s="11" t="s">
        <v>3054</v>
      </c>
      <c r="E392" s="11" t="s">
        <v>2940</v>
      </c>
    </row>
    <row r="393" customFormat="false" ht="25.5" hidden="false" customHeight="true" outlineLevel="0" collapsed="false">
      <c r="B393" s="9" t="s">
        <v>2485</v>
      </c>
      <c r="C393" s="12" t="s">
        <v>3442</v>
      </c>
      <c r="D393" s="12" t="s">
        <v>3007</v>
      </c>
      <c r="E393" s="12" t="s">
        <v>3007</v>
      </c>
    </row>
    <row r="394" customFormat="false" ht="25.5" hidden="false" customHeight="true" outlineLevel="0" collapsed="false">
      <c r="B394" s="7" t="s">
        <v>151</v>
      </c>
      <c r="C394" s="11" t="s">
        <v>3443</v>
      </c>
      <c r="D394" s="11" t="s">
        <v>3008</v>
      </c>
      <c r="E394" s="11" t="s">
        <v>3008</v>
      </c>
    </row>
    <row r="395" customFormat="false" ht="25.5" hidden="false" customHeight="true" outlineLevel="0" collapsed="false">
      <c r="B395" s="9" t="s">
        <v>153</v>
      </c>
      <c r="C395" s="12" t="s">
        <v>189</v>
      </c>
      <c r="D395" s="12" t="s">
        <v>189</v>
      </c>
      <c r="E395" s="12" t="s">
        <v>189</v>
      </c>
    </row>
    <row r="396" customFormat="false" ht="25.5" hidden="false" customHeight="true" outlineLevel="0" collapsed="false">
      <c r="B396" s="7" t="s">
        <v>154</v>
      </c>
      <c r="C396" s="11" t="s">
        <v>190</v>
      </c>
      <c r="D396" s="11" t="s">
        <v>190</v>
      </c>
      <c r="E396" s="11" t="s">
        <v>190</v>
      </c>
    </row>
    <row r="397" customFormat="false" ht="25.5" hidden="false" customHeight="true" outlineLevel="0" collapsed="false">
      <c r="B397" s="16" t="s">
        <v>159</v>
      </c>
      <c r="C397" s="20" t="n">
        <v>50</v>
      </c>
      <c r="D397" s="20" t="n">
        <v>95</v>
      </c>
      <c r="E397" s="20" t="n">
        <v>55</v>
      </c>
    </row>
    <row r="399" customFormat="false" ht="21.75" hidden="false" customHeight="true" outlineLevel="0" collapsed="false">
      <c r="B399" s="24" t="s">
        <v>4621</v>
      </c>
      <c r="C399" s="24"/>
      <c r="D399" s="24"/>
      <c r="E399" s="24"/>
    </row>
    <row r="400" customFormat="false" ht="13.5" hidden="false" customHeight="true" outlineLevel="0" collapsed="false">
      <c r="B400" s="25" t="s">
        <v>4622</v>
      </c>
      <c r="C400" s="25"/>
      <c r="D400" s="25"/>
      <c r="E400" s="25"/>
    </row>
    <row r="401" customFormat="false" ht="31.5" hidden="false" customHeight="true" outlineLevel="0" collapsed="false">
      <c r="B401" s="5" t="s">
        <v>4484</v>
      </c>
      <c r="C401" s="5" t="s">
        <v>4623</v>
      </c>
      <c r="D401" s="5" t="s">
        <v>4624</v>
      </c>
      <c r="E401" s="5" t="s">
        <v>4625</v>
      </c>
    </row>
    <row r="402" customFormat="false" ht="25.5" hidden="false" customHeight="true" outlineLevel="0" collapsed="false">
      <c r="B402" s="7" t="s">
        <v>17</v>
      </c>
      <c r="C402" s="11" t="s">
        <v>20</v>
      </c>
      <c r="D402" s="11" t="s">
        <v>20</v>
      </c>
      <c r="E402" s="11" t="s">
        <v>23</v>
      </c>
    </row>
    <row r="403" customFormat="false" ht="25.5" hidden="false" customHeight="true" outlineLevel="0" collapsed="false">
      <c r="B403" s="9" t="s">
        <v>2482</v>
      </c>
      <c r="C403" s="12" t="s">
        <v>2625</v>
      </c>
      <c r="D403" s="12" t="s">
        <v>2625</v>
      </c>
      <c r="E403" s="12" t="s">
        <v>2625</v>
      </c>
    </row>
    <row r="404" customFormat="false" ht="25.5" hidden="false" customHeight="true" outlineLevel="0" collapsed="false">
      <c r="B404" s="7" t="s">
        <v>2483</v>
      </c>
      <c r="C404" s="11" t="s">
        <v>2618</v>
      </c>
      <c r="D404" s="11" t="s">
        <v>3288</v>
      </c>
      <c r="E404" s="11" t="s">
        <v>3615</v>
      </c>
    </row>
    <row r="405" customFormat="false" ht="25.5" hidden="false" customHeight="true" outlineLevel="0" collapsed="false">
      <c r="B405" s="9" t="s">
        <v>4570</v>
      </c>
      <c r="C405" s="12" t="s">
        <v>2619</v>
      </c>
      <c r="D405" s="12" t="s">
        <v>2918</v>
      </c>
      <c r="E405" s="12" t="s">
        <v>2918</v>
      </c>
    </row>
    <row r="406" customFormat="false" ht="25.5" hidden="false" customHeight="true" outlineLevel="0" collapsed="false">
      <c r="B406" s="7" t="s">
        <v>4571</v>
      </c>
      <c r="C406" s="11" t="s">
        <v>2494</v>
      </c>
      <c r="D406" s="11" t="s">
        <v>3235</v>
      </c>
      <c r="E406" s="11" t="s">
        <v>3563</v>
      </c>
    </row>
    <row r="407" customFormat="false" ht="25.5" hidden="false" customHeight="true" outlineLevel="0" collapsed="false">
      <c r="B407" s="9" t="s">
        <v>2485</v>
      </c>
      <c r="C407" s="12" t="s">
        <v>2513</v>
      </c>
      <c r="D407" s="12" t="s">
        <v>3289</v>
      </c>
      <c r="E407" s="12" t="s">
        <v>3588</v>
      </c>
    </row>
    <row r="408" customFormat="false" ht="25.5" hidden="false" customHeight="true" outlineLevel="0" collapsed="false">
      <c r="B408" s="7" t="s">
        <v>151</v>
      </c>
      <c r="C408" s="11" t="s">
        <v>2514</v>
      </c>
      <c r="D408" s="11" t="s">
        <v>2514</v>
      </c>
      <c r="E408" s="11" t="s">
        <v>2514</v>
      </c>
    </row>
    <row r="409" customFormat="false" ht="25.5" hidden="false" customHeight="true" outlineLevel="0" collapsed="false">
      <c r="B409" s="9" t="s">
        <v>153</v>
      </c>
      <c r="C409" s="12" t="s">
        <v>189</v>
      </c>
      <c r="D409" s="12" t="s">
        <v>189</v>
      </c>
      <c r="E409" s="12" t="s">
        <v>189</v>
      </c>
    </row>
    <row r="410" customFormat="false" ht="25.5" hidden="false" customHeight="true" outlineLevel="0" collapsed="false">
      <c r="B410" s="7" t="s">
        <v>154</v>
      </c>
      <c r="C410" s="11" t="s">
        <v>190</v>
      </c>
      <c r="D410" s="11" t="s">
        <v>3236</v>
      </c>
      <c r="E410" s="11" t="s">
        <v>190</v>
      </c>
    </row>
    <row r="411" customFormat="false" ht="25.5" hidden="false" customHeight="true" outlineLevel="0" collapsed="false">
      <c r="B411" s="16" t="s">
        <v>159</v>
      </c>
      <c r="C411" s="20" t="n">
        <v>60</v>
      </c>
      <c r="D411" s="20" t="n">
        <v>60</v>
      </c>
      <c r="E411" s="20" t="n">
        <v>55</v>
      </c>
    </row>
    <row r="413" customFormat="false" ht="21.75" hidden="false" customHeight="true" outlineLevel="0" collapsed="false">
      <c r="B413" s="24" t="s">
        <v>4626</v>
      </c>
      <c r="C413" s="24"/>
      <c r="D413" s="24"/>
      <c r="E413" s="24"/>
    </row>
    <row r="414" customFormat="false" ht="13.5" hidden="false" customHeight="true" outlineLevel="0" collapsed="false">
      <c r="B414" s="25" t="s">
        <v>4627</v>
      </c>
      <c r="C414" s="25"/>
      <c r="D414" s="25"/>
      <c r="E414" s="25"/>
    </row>
    <row r="415" customFormat="false" ht="31.5" hidden="false" customHeight="true" outlineLevel="0" collapsed="false">
      <c r="B415" s="5" t="s">
        <v>4484</v>
      </c>
      <c r="C415" s="5" t="s">
        <v>4628</v>
      </c>
      <c r="D415" s="5" t="s">
        <v>4629</v>
      </c>
      <c r="E415" s="5" t="s">
        <v>4630</v>
      </c>
    </row>
    <row r="416" customFormat="false" ht="25.5" hidden="false" customHeight="true" outlineLevel="0" collapsed="false">
      <c r="B416" s="7" t="s">
        <v>17</v>
      </c>
      <c r="C416" s="11" t="s">
        <v>20</v>
      </c>
      <c r="D416" s="11" t="s">
        <v>20</v>
      </c>
      <c r="E416" s="11" t="s">
        <v>20</v>
      </c>
    </row>
    <row r="417" customFormat="false" ht="25.5" hidden="false" customHeight="true" outlineLevel="0" collapsed="false">
      <c r="B417" s="9" t="s">
        <v>2482</v>
      </c>
      <c r="C417" s="12" t="s">
        <v>2639</v>
      </c>
      <c r="D417" s="12" t="s">
        <v>2639</v>
      </c>
      <c r="E417" s="12" t="s">
        <v>2639</v>
      </c>
    </row>
    <row r="418" customFormat="false" ht="25.5" hidden="false" customHeight="true" outlineLevel="0" collapsed="false">
      <c r="B418" s="7" t="s">
        <v>2483</v>
      </c>
      <c r="C418" s="11" t="s">
        <v>2633</v>
      </c>
      <c r="D418" s="11" t="s">
        <v>3133</v>
      </c>
      <c r="E418" s="11" t="s">
        <v>3031</v>
      </c>
    </row>
    <row r="419" customFormat="false" ht="25.5" hidden="false" customHeight="true" outlineLevel="0" collapsed="false">
      <c r="B419" s="9" t="s">
        <v>4570</v>
      </c>
      <c r="C419" s="12" t="s">
        <v>2634</v>
      </c>
      <c r="D419" s="12" t="s">
        <v>3032</v>
      </c>
      <c r="E419" s="12" t="s">
        <v>3032</v>
      </c>
    </row>
    <row r="420" customFormat="false" ht="25.5" hidden="false" customHeight="true" outlineLevel="0" collapsed="false">
      <c r="B420" s="7" t="s">
        <v>4571</v>
      </c>
      <c r="C420" s="11" t="s">
        <v>2494</v>
      </c>
      <c r="D420" s="11" t="s">
        <v>3054</v>
      </c>
      <c r="E420" s="11" t="s">
        <v>2940</v>
      </c>
    </row>
    <row r="421" customFormat="false" ht="25.5" hidden="false" customHeight="true" outlineLevel="0" collapsed="false">
      <c r="B421" s="9" t="s">
        <v>2485</v>
      </c>
      <c r="C421" s="12" t="s">
        <v>2513</v>
      </c>
      <c r="D421" s="12" t="s">
        <v>3127</v>
      </c>
      <c r="E421" s="12" t="s">
        <v>2969</v>
      </c>
    </row>
    <row r="422" customFormat="false" ht="25.5" hidden="false" customHeight="true" outlineLevel="0" collapsed="false">
      <c r="B422" s="7" t="s">
        <v>151</v>
      </c>
      <c r="C422" s="11" t="s">
        <v>2514</v>
      </c>
      <c r="D422" s="11" t="s">
        <v>2514</v>
      </c>
      <c r="E422" s="11" t="s">
        <v>2514</v>
      </c>
    </row>
    <row r="423" customFormat="false" ht="25.5" hidden="false" customHeight="true" outlineLevel="0" collapsed="false">
      <c r="B423" s="9" t="s">
        <v>153</v>
      </c>
      <c r="C423" s="12" t="s">
        <v>189</v>
      </c>
      <c r="D423" s="12" t="s">
        <v>189</v>
      </c>
      <c r="E423" s="12" t="s">
        <v>189</v>
      </c>
    </row>
    <row r="424" customFormat="false" ht="25.5" hidden="false" customHeight="true" outlineLevel="0" collapsed="false">
      <c r="B424" s="7" t="s">
        <v>154</v>
      </c>
      <c r="C424" s="11" t="s">
        <v>190</v>
      </c>
      <c r="D424" s="11" t="s">
        <v>190</v>
      </c>
      <c r="E424" s="11" t="s">
        <v>190</v>
      </c>
    </row>
    <row r="425" customFormat="false" ht="25.5" hidden="false" customHeight="true" outlineLevel="0" collapsed="false">
      <c r="B425" s="16" t="s">
        <v>159</v>
      </c>
      <c r="C425" s="20" t="n">
        <v>65</v>
      </c>
      <c r="D425" s="20" t="n">
        <v>90</v>
      </c>
      <c r="E425" s="20" t="n">
        <v>80</v>
      </c>
    </row>
    <row r="427" customFormat="false" ht="21.75" hidden="false" customHeight="true" outlineLevel="0" collapsed="false">
      <c r="B427" s="24" t="s">
        <v>4631</v>
      </c>
      <c r="C427" s="24"/>
      <c r="D427" s="24"/>
      <c r="E427" s="24"/>
    </row>
    <row r="428" customFormat="false" ht="13.5" hidden="false" customHeight="true" outlineLevel="0" collapsed="false">
      <c r="B428" s="25" t="s">
        <v>4632</v>
      </c>
      <c r="C428" s="25"/>
      <c r="D428" s="25"/>
      <c r="E428" s="25"/>
    </row>
    <row r="429" customFormat="false" ht="31.5" hidden="false" customHeight="true" outlineLevel="0" collapsed="false">
      <c r="B429" s="5" t="s">
        <v>4484</v>
      </c>
      <c r="C429" s="5" t="s">
        <v>4633</v>
      </c>
      <c r="D429" s="5" t="s">
        <v>4634</v>
      </c>
      <c r="E429" s="5" t="s">
        <v>4635</v>
      </c>
    </row>
    <row r="430" customFormat="false" ht="25.5" hidden="false" customHeight="true" outlineLevel="0" collapsed="false">
      <c r="B430" s="7" t="s">
        <v>17</v>
      </c>
      <c r="C430" s="11" t="s">
        <v>20</v>
      </c>
      <c r="D430" s="11" t="s">
        <v>20</v>
      </c>
      <c r="E430" s="11" t="s">
        <v>23</v>
      </c>
    </row>
    <row r="431" customFormat="false" ht="25.5" hidden="false" customHeight="true" outlineLevel="0" collapsed="false">
      <c r="B431" s="9" t="s">
        <v>2482</v>
      </c>
      <c r="C431" s="12" t="s">
        <v>2783</v>
      </c>
      <c r="D431" s="12" t="s">
        <v>2646</v>
      </c>
      <c r="E431" s="12" t="s">
        <v>2646</v>
      </c>
    </row>
    <row r="432" customFormat="false" ht="25.5" hidden="false" customHeight="true" outlineLevel="0" collapsed="false">
      <c r="B432" s="7" t="s">
        <v>2483</v>
      </c>
      <c r="C432" s="11" t="s">
        <v>2784</v>
      </c>
      <c r="D432" s="11" t="s">
        <v>2647</v>
      </c>
      <c r="E432" s="11" t="s">
        <v>3625</v>
      </c>
    </row>
    <row r="433" customFormat="false" ht="25.5" hidden="false" customHeight="true" outlineLevel="0" collapsed="false">
      <c r="B433" s="9" t="s">
        <v>4570</v>
      </c>
      <c r="C433" s="12" t="s">
        <v>2785</v>
      </c>
      <c r="D433" s="12" t="s">
        <v>2648</v>
      </c>
      <c r="E433" s="12" t="s">
        <v>2648</v>
      </c>
    </row>
    <row r="434" customFormat="false" ht="25.5" hidden="false" customHeight="true" outlineLevel="0" collapsed="false">
      <c r="B434" s="7" t="s">
        <v>4571</v>
      </c>
      <c r="C434" s="11" t="s">
        <v>2680</v>
      </c>
      <c r="D434" s="11" t="s">
        <v>2494</v>
      </c>
      <c r="E434" s="11" t="s">
        <v>3563</v>
      </c>
    </row>
    <row r="435" customFormat="false" ht="25.5" hidden="false" customHeight="true" outlineLevel="0" collapsed="false">
      <c r="B435" s="9" t="s">
        <v>2485</v>
      </c>
      <c r="C435" s="12" t="s">
        <v>2786</v>
      </c>
      <c r="D435" s="12" t="s">
        <v>2649</v>
      </c>
      <c r="E435" s="12" t="s">
        <v>2649</v>
      </c>
    </row>
    <row r="436" customFormat="false" ht="25.5" hidden="false" customHeight="true" outlineLevel="0" collapsed="false">
      <c r="B436" s="7" t="s">
        <v>151</v>
      </c>
      <c r="C436" s="11" t="s">
        <v>2650</v>
      </c>
      <c r="D436" s="11" t="s">
        <v>2650</v>
      </c>
      <c r="E436" s="11" t="s">
        <v>2650</v>
      </c>
    </row>
    <row r="437" customFormat="false" ht="25.5" hidden="false" customHeight="true" outlineLevel="0" collapsed="false">
      <c r="B437" s="9" t="s">
        <v>153</v>
      </c>
      <c r="C437" s="12" t="s">
        <v>189</v>
      </c>
      <c r="D437" s="12" t="s">
        <v>189</v>
      </c>
      <c r="E437" s="12" t="s">
        <v>189</v>
      </c>
    </row>
    <row r="438" customFormat="false" ht="25.5" hidden="false" customHeight="true" outlineLevel="0" collapsed="false">
      <c r="B438" s="7" t="s">
        <v>154</v>
      </c>
      <c r="C438" s="11" t="s">
        <v>640</v>
      </c>
      <c r="D438" s="11" t="s">
        <v>190</v>
      </c>
      <c r="E438" s="11" t="s">
        <v>190</v>
      </c>
    </row>
    <row r="439" customFormat="false" ht="25.5" hidden="false" customHeight="true" outlineLevel="0" collapsed="false">
      <c r="B439" s="16" t="s">
        <v>159</v>
      </c>
      <c r="C439" s="20" t="n">
        <v>1000</v>
      </c>
      <c r="D439" s="20" t="n">
        <v>320</v>
      </c>
      <c r="E439" s="20" t="n">
        <v>315</v>
      </c>
    </row>
    <row r="441" customFormat="false" ht="21.75" hidden="false" customHeight="true" outlineLevel="0" collapsed="false">
      <c r="B441" s="24" t="s">
        <v>4636</v>
      </c>
      <c r="C441" s="24"/>
      <c r="D441" s="24"/>
      <c r="E441" s="24"/>
    </row>
    <row r="442" customFormat="false" ht="13.5" hidden="false" customHeight="true" outlineLevel="0" collapsed="false">
      <c r="B442" s="25" t="s">
        <v>4637</v>
      </c>
      <c r="C442" s="25"/>
      <c r="D442" s="25"/>
      <c r="E442" s="25"/>
    </row>
    <row r="443" customFormat="false" ht="31.5" hidden="false" customHeight="true" outlineLevel="0" collapsed="false">
      <c r="B443" s="5" t="s">
        <v>4484</v>
      </c>
      <c r="C443" s="5" t="s">
        <v>4638</v>
      </c>
      <c r="D443" s="5" t="s">
        <v>4639</v>
      </c>
      <c r="E443" s="5" t="s">
        <v>4640</v>
      </c>
    </row>
    <row r="444" customFormat="false" ht="25.5" hidden="false" customHeight="true" outlineLevel="0" collapsed="false">
      <c r="B444" s="7" t="s">
        <v>17</v>
      </c>
      <c r="C444" s="11" t="s">
        <v>23</v>
      </c>
      <c r="D444" s="11" t="s">
        <v>20</v>
      </c>
      <c r="E444" s="11" t="s">
        <v>20</v>
      </c>
    </row>
    <row r="445" customFormat="false" ht="25.5" hidden="false" customHeight="true" outlineLevel="0" collapsed="false">
      <c r="B445" s="9" t="s">
        <v>2482</v>
      </c>
      <c r="C445" s="12" t="s">
        <v>2806</v>
      </c>
      <c r="D445" s="12" t="s">
        <v>2806</v>
      </c>
      <c r="E445" s="12" t="s">
        <v>2806</v>
      </c>
    </row>
    <row r="446" customFormat="false" ht="25.5" hidden="false" customHeight="true" outlineLevel="0" collapsed="false">
      <c r="B446" s="7" t="s">
        <v>2483</v>
      </c>
      <c r="C446" s="11" t="s">
        <v>3456</v>
      </c>
      <c r="D446" s="11" t="s">
        <v>3801</v>
      </c>
      <c r="E446" s="11" t="s">
        <v>3388</v>
      </c>
    </row>
    <row r="447" customFormat="false" ht="25.5" hidden="false" customHeight="true" outlineLevel="0" collapsed="false">
      <c r="B447" s="9" t="s">
        <v>4570</v>
      </c>
      <c r="C447" s="12" t="s">
        <v>3457</v>
      </c>
      <c r="D447" s="12" t="s">
        <v>3802</v>
      </c>
      <c r="E447" s="12" t="s">
        <v>3389</v>
      </c>
    </row>
    <row r="448" customFormat="false" ht="25.5" hidden="false" customHeight="true" outlineLevel="0" collapsed="false">
      <c r="B448" s="7" t="s">
        <v>4571</v>
      </c>
      <c r="C448" s="11" t="s">
        <v>3411</v>
      </c>
      <c r="D448" s="11" t="s">
        <v>3784</v>
      </c>
      <c r="E448" s="11" t="s">
        <v>3318</v>
      </c>
    </row>
    <row r="449" customFormat="false" ht="25.5" hidden="false" customHeight="true" outlineLevel="0" collapsed="false">
      <c r="B449" s="9" t="s">
        <v>2485</v>
      </c>
      <c r="C449" s="12" t="s">
        <v>3458</v>
      </c>
      <c r="D449" s="12" t="s">
        <v>3803</v>
      </c>
      <c r="E449" s="12" t="s">
        <v>3390</v>
      </c>
    </row>
    <row r="450" customFormat="false" ht="25.5" hidden="false" customHeight="true" outlineLevel="0" collapsed="false">
      <c r="B450" s="7" t="s">
        <v>151</v>
      </c>
      <c r="C450" s="11" t="s">
        <v>2565</v>
      </c>
      <c r="D450" s="11" t="s">
        <v>2565</v>
      </c>
      <c r="E450" s="11" t="s">
        <v>2565</v>
      </c>
    </row>
    <row r="451" customFormat="false" ht="25.5" hidden="false" customHeight="true" outlineLevel="0" collapsed="false">
      <c r="B451" s="9" t="s">
        <v>153</v>
      </c>
      <c r="C451" s="12" t="s">
        <v>189</v>
      </c>
      <c r="D451" s="12" t="s">
        <v>2567</v>
      </c>
      <c r="E451" s="12" t="s">
        <v>189</v>
      </c>
    </row>
    <row r="452" customFormat="false" ht="25.5" hidden="false" customHeight="true" outlineLevel="0" collapsed="false">
      <c r="B452" s="7" t="s">
        <v>154</v>
      </c>
      <c r="C452" s="11" t="s">
        <v>190</v>
      </c>
      <c r="D452" s="11" t="s">
        <v>3786</v>
      </c>
      <c r="E452" s="11" t="s">
        <v>3319</v>
      </c>
    </row>
    <row r="453" customFormat="false" ht="25.5" hidden="false" customHeight="true" outlineLevel="0" collapsed="false">
      <c r="B453" s="16" t="s">
        <v>159</v>
      </c>
      <c r="C453" s="20" t="n">
        <v>195</v>
      </c>
      <c r="D453" s="20" t="n">
        <v>2400</v>
      </c>
      <c r="E453" s="20" t="n">
        <v>165</v>
      </c>
    </row>
    <row r="455" customFormat="false" ht="21.75" hidden="false" customHeight="true" outlineLevel="0" collapsed="false">
      <c r="B455" s="24" t="s">
        <v>4641</v>
      </c>
      <c r="C455" s="24"/>
      <c r="D455" s="24"/>
      <c r="E455" s="24"/>
    </row>
    <row r="456" customFormat="false" ht="13.5" hidden="false" customHeight="true" outlineLevel="0" collapsed="false">
      <c r="B456" s="25" t="s">
        <v>4642</v>
      </c>
      <c r="C456" s="25"/>
      <c r="D456" s="25"/>
      <c r="E456" s="25"/>
    </row>
    <row r="457" customFormat="false" ht="31.5" hidden="false" customHeight="true" outlineLevel="0" collapsed="false">
      <c r="B457" s="5" t="s">
        <v>4484</v>
      </c>
      <c r="C457" s="5" t="s">
        <v>4643</v>
      </c>
      <c r="D457" s="5" t="s">
        <v>4644</v>
      </c>
      <c r="E457" s="5" t="s">
        <v>4645</v>
      </c>
    </row>
    <row r="458" customFormat="false" ht="25.5" hidden="false" customHeight="true" outlineLevel="0" collapsed="false">
      <c r="B458" s="7" t="s">
        <v>17</v>
      </c>
      <c r="C458" s="11" t="s">
        <v>20</v>
      </c>
      <c r="D458" s="11" t="s">
        <v>20</v>
      </c>
      <c r="E458" s="11" t="s">
        <v>20</v>
      </c>
    </row>
    <row r="459" customFormat="false" ht="25.5" hidden="false" customHeight="true" outlineLevel="0" collapsed="false">
      <c r="B459" s="9" t="s">
        <v>2482</v>
      </c>
      <c r="C459" s="12" t="s">
        <v>2669</v>
      </c>
      <c r="D459" s="12" t="s">
        <v>2669</v>
      </c>
      <c r="E459" s="12" t="s">
        <v>2669</v>
      </c>
    </row>
    <row r="460" customFormat="false" ht="25.5" hidden="false" customHeight="true" outlineLevel="0" collapsed="false">
      <c r="B460" s="7" t="s">
        <v>2483</v>
      </c>
      <c r="C460" s="11" t="s">
        <v>3305</v>
      </c>
      <c r="D460" s="11" t="s">
        <v>2662</v>
      </c>
      <c r="E460" s="11" t="s">
        <v>2662</v>
      </c>
    </row>
    <row r="461" customFormat="false" ht="25.5" hidden="false" customHeight="true" outlineLevel="0" collapsed="false">
      <c r="B461" s="9" t="s">
        <v>4570</v>
      </c>
      <c r="C461" s="12" t="s">
        <v>3041</v>
      </c>
      <c r="D461" s="12" t="s">
        <v>3041</v>
      </c>
      <c r="E461" s="12" t="s">
        <v>2663</v>
      </c>
    </row>
    <row r="462" customFormat="false" ht="25.5" hidden="false" customHeight="true" outlineLevel="0" collapsed="false">
      <c r="B462" s="7" t="s">
        <v>4571</v>
      </c>
      <c r="C462" s="11" t="s">
        <v>3235</v>
      </c>
      <c r="D462" s="11" t="s">
        <v>2940</v>
      </c>
      <c r="E462" s="11" t="s">
        <v>2494</v>
      </c>
    </row>
    <row r="463" customFormat="false" ht="25.5" hidden="false" customHeight="true" outlineLevel="0" collapsed="false">
      <c r="B463" s="9" t="s">
        <v>2485</v>
      </c>
      <c r="C463" s="12" t="s">
        <v>3246</v>
      </c>
      <c r="D463" s="12" t="s">
        <v>2969</v>
      </c>
      <c r="E463" s="12" t="s">
        <v>2513</v>
      </c>
    </row>
    <row r="464" customFormat="false" ht="25.5" hidden="false" customHeight="true" outlineLevel="0" collapsed="false">
      <c r="B464" s="7" t="s">
        <v>151</v>
      </c>
      <c r="C464" s="11" t="s">
        <v>2514</v>
      </c>
      <c r="D464" s="11" t="s">
        <v>2514</v>
      </c>
      <c r="E464" s="11" t="s">
        <v>2514</v>
      </c>
    </row>
    <row r="465" customFormat="false" ht="25.5" hidden="false" customHeight="true" outlineLevel="0" collapsed="false">
      <c r="B465" s="9" t="s">
        <v>153</v>
      </c>
      <c r="C465" s="12" t="s">
        <v>189</v>
      </c>
      <c r="D465" s="12" t="s">
        <v>189</v>
      </c>
      <c r="E465" s="12" t="s">
        <v>189</v>
      </c>
    </row>
    <row r="466" customFormat="false" ht="25.5" hidden="false" customHeight="true" outlineLevel="0" collapsed="false">
      <c r="B466" s="7" t="s">
        <v>154</v>
      </c>
      <c r="C466" s="11" t="s">
        <v>3236</v>
      </c>
      <c r="D466" s="11" t="s">
        <v>190</v>
      </c>
      <c r="E466" s="11" t="s">
        <v>190</v>
      </c>
    </row>
    <row r="467" customFormat="false" ht="25.5" hidden="false" customHeight="true" outlineLevel="0" collapsed="false">
      <c r="B467" s="16" t="s">
        <v>159</v>
      </c>
      <c r="C467" s="20" t="n">
        <v>20</v>
      </c>
      <c r="D467" s="20" t="n">
        <v>40</v>
      </c>
      <c r="E467" s="20" t="n">
        <v>35</v>
      </c>
    </row>
  </sheetData>
  <mergeCells count="65">
    <mergeCell ref="B2:E2"/>
    <mergeCell ref="B5:E5"/>
    <mergeCell ref="B6:E6"/>
    <mergeCell ref="B20:E20"/>
    <mergeCell ref="B21:E21"/>
    <mergeCell ref="B35:E35"/>
    <mergeCell ref="B36:E36"/>
    <mergeCell ref="B50:E50"/>
    <mergeCell ref="B51:E51"/>
    <mergeCell ref="B65:E65"/>
    <mergeCell ref="B66:E66"/>
    <mergeCell ref="B80:E80"/>
    <mergeCell ref="B81:E81"/>
    <mergeCell ref="B95:E95"/>
    <mergeCell ref="B96:E96"/>
    <mergeCell ref="B110:E110"/>
    <mergeCell ref="B111:E111"/>
    <mergeCell ref="B125:E125"/>
    <mergeCell ref="B126:E126"/>
    <mergeCell ref="B140:E140"/>
    <mergeCell ref="B141:E141"/>
    <mergeCell ref="B155:E155"/>
    <mergeCell ref="B156:E156"/>
    <mergeCell ref="B170:E170"/>
    <mergeCell ref="B171:E171"/>
    <mergeCell ref="B185:E185"/>
    <mergeCell ref="B186:E186"/>
    <mergeCell ref="B200:E200"/>
    <mergeCell ref="B201:E201"/>
    <mergeCell ref="B215:E215"/>
    <mergeCell ref="B216:E216"/>
    <mergeCell ref="B230:E230"/>
    <mergeCell ref="B231:E231"/>
    <mergeCell ref="B245:E245"/>
    <mergeCell ref="B246:E246"/>
    <mergeCell ref="B259:E259"/>
    <mergeCell ref="B260:E260"/>
    <mergeCell ref="B273:E273"/>
    <mergeCell ref="B274:E274"/>
    <mergeCell ref="B287:E287"/>
    <mergeCell ref="B288:E288"/>
    <mergeCell ref="B301:E301"/>
    <mergeCell ref="B302:E302"/>
    <mergeCell ref="B315:E315"/>
    <mergeCell ref="B316:E316"/>
    <mergeCell ref="B329:E329"/>
    <mergeCell ref="B330:E330"/>
    <mergeCell ref="B343:D343"/>
    <mergeCell ref="B344:D344"/>
    <mergeCell ref="B357:E357"/>
    <mergeCell ref="B358:E358"/>
    <mergeCell ref="B371:E371"/>
    <mergeCell ref="B372:E372"/>
    <mergeCell ref="B385:E385"/>
    <mergeCell ref="B386:E386"/>
    <mergeCell ref="B399:E399"/>
    <mergeCell ref="B400:E400"/>
    <mergeCell ref="B413:E413"/>
    <mergeCell ref="B414:E414"/>
    <mergeCell ref="B427:E427"/>
    <mergeCell ref="B428:E428"/>
    <mergeCell ref="B441:E441"/>
    <mergeCell ref="B442:E442"/>
    <mergeCell ref="B455:E455"/>
    <mergeCell ref="B456:E4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F0EB"/>
    <pageSetUpPr fitToPage="false"/>
  </sheetPr>
  <dimension ref="B2:J18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22"/>
    <col collapsed="false" customWidth="true" hidden="false" outlineLevel="0" max="4" min="4" style="1" width="26"/>
    <col collapsed="false" customWidth="true" hidden="false" outlineLevel="0" max="5" min="5" style="1" width="40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9" min="9" style="1" width="15"/>
    <col collapsed="false" customWidth="true" hidden="false" outlineLevel="0" max="10" min="10" style="1" width="26"/>
  </cols>
  <sheetData>
    <row r="2" customFormat="false" ht="31.5" hidden="false" customHeight="true" outlineLevel="0" collapsed="false">
      <c r="B2" s="2" t="s">
        <v>4646</v>
      </c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19.5" hidden="false" customHeight="true" outlineLevel="0" collapsed="false">
      <c r="B4" s="26" t="s">
        <v>4647</v>
      </c>
      <c r="C4" s="27"/>
      <c r="D4" s="27"/>
      <c r="E4" s="27"/>
      <c r="F4" s="27"/>
    </row>
    <row r="5" customFormat="false" ht="19.5" hidden="false" customHeight="true" outlineLevel="0" collapsed="false">
      <c r="B5" s="26" t="s">
        <v>4648</v>
      </c>
      <c r="C5" s="27"/>
      <c r="D5" s="27"/>
      <c r="E5" s="27"/>
      <c r="F5" s="27"/>
    </row>
    <row r="6" customFormat="false" ht="19.5" hidden="false" customHeight="true" outlineLevel="0" collapsed="false">
      <c r="B6" s="26" t="s">
        <v>4649</v>
      </c>
      <c r="C6" s="27"/>
      <c r="D6" s="27"/>
      <c r="E6" s="27"/>
      <c r="F6" s="27"/>
    </row>
    <row r="7" customFormat="false" ht="19.5" hidden="false" customHeight="true" outlineLevel="0" collapsed="false">
      <c r="B7" s="26" t="s">
        <v>4650</v>
      </c>
      <c r="C7" s="27"/>
      <c r="D7" s="27"/>
      <c r="E7" s="27"/>
      <c r="F7" s="27"/>
    </row>
    <row r="9" customFormat="false" ht="21.75" hidden="false" customHeight="true" outlineLevel="0" collapsed="false">
      <c r="B9" s="24" t="s">
        <v>4651</v>
      </c>
      <c r="C9" s="24"/>
      <c r="D9" s="24"/>
      <c r="E9" s="24"/>
      <c r="F9" s="24"/>
      <c r="G9" s="24"/>
      <c r="H9" s="24"/>
      <c r="I9" s="24"/>
      <c r="J9" s="24"/>
    </row>
    <row r="10" customFormat="false" ht="27.75" hidden="false" customHeight="true" outlineLevel="0" collapsed="false">
      <c r="B10" s="5" t="s">
        <v>143</v>
      </c>
      <c r="C10" s="5" t="s">
        <v>110</v>
      </c>
      <c r="D10" s="5" t="s">
        <v>144</v>
      </c>
      <c r="E10" s="5" t="s">
        <v>145</v>
      </c>
      <c r="F10" s="5" t="s">
        <v>4652</v>
      </c>
      <c r="G10" s="5" t="s">
        <v>4653</v>
      </c>
      <c r="H10" s="5" t="s">
        <v>4654</v>
      </c>
      <c r="I10" s="5" t="s">
        <v>4655</v>
      </c>
      <c r="J10" s="5" t="s">
        <v>4656</v>
      </c>
    </row>
    <row r="11" customFormat="false" ht="21.75" hidden="false" customHeight="true" outlineLevel="0" collapsed="false">
      <c r="B11" s="14" t="n">
        <v>1</v>
      </c>
      <c r="C11" s="7" t="s">
        <v>41</v>
      </c>
      <c r="D11" s="7" t="s">
        <v>60</v>
      </c>
      <c r="E11" s="7" t="s">
        <v>181</v>
      </c>
      <c r="F11" s="18" t="n">
        <f aca="false">IF('Base de Datos SACI'!U5="","",'Base de Datos SACI'!U5)</f>
        <v>145</v>
      </c>
      <c r="G11" s="14"/>
      <c r="H11" s="28"/>
      <c r="I11" s="29" t="str">
        <f aca="false">IF(OR($G11="",$G11=0),"",IFERROR(ROUND($F11*$G11*(1-IF($H11="",0,$H11)),2),""))</f>
        <v/>
      </c>
      <c r="J11" s="7"/>
    </row>
    <row r="12" customFormat="false" ht="21.75" hidden="false" customHeight="true" outlineLevel="0" collapsed="false">
      <c r="B12" s="15" t="n">
        <v>2</v>
      </c>
      <c r="C12" s="9" t="s">
        <v>41</v>
      </c>
      <c r="D12" s="9" t="s">
        <v>60</v>
      </c>
      <c r="E12" s="9" t="s">
        <v>198</v>
      </c>
      <c r="F12" s="19" t="n">
        <f aca="false">IF('Base de Datos SACI'!U6="","",'Base de Datos SACI'!U6)</f>
        <v>220</v>
      </c>
      <c r="G12" s="15"/>
      <c r="H12" s="30"/>
      <c r="I12" s="31" t="str">
        <f aca="false">IF(OR($G12="",$G12=0),"",IFERROR(ROUND($F12*$G12*(1-IF($H12="",0,$H12)),2),""))</f>
        <v/>
      </c>
      <c r="J12" s="9"/>
    </row>
    <row r="13" customFormat="false" ht="21.75" hidden="false" customHeight="true" outlineLevel="0" collapsed="false">
      <c r="B13" s="14" t="n">
        <v>3</v>
      </c>
      <c r="C13" s="7" t="s">
        <v>41</v>
      </c>
      <c r="D13" s="7" t="s">
        <v>60</v>
      </c>
      <c r="E13" s="7" t="s">
        <v>200</v>
      </c>
      <c r="F13" s="18" t="n">
        <f aca="false">IF('Base de Datos SACI'!U7="","",'Base de Datos SACI'!U7)</f>
        <v>295</v>
      </c>
      <c r="G13" s="14"/>
      <c r="H13" s="28"/>
      <c r="I13" s="29" t="str">
        <f aca="false">IF(OR($G13="",$G13=0),"",IFERROR(ROUND($F13*$G13*(1-IF($H13="",0,$H13)),2),""))</f>
        <v/>
      </c>
      <c r="J13" s="7"/>
    </row>
    <row r="14" customFormat="false" ht="21.75" hidden="false" customHeight="true" outlineLevel="0" collapsed="false">
      <c r="B14" s="15" t="n">
        <v>4</v>
      </c>
      <c r="C14" s="9" t="s">
        <v>41</v>
      </c>
      <c r="D14" s="9" t="s">
        <v>60</v>
      </c>
      <c r="E14" s="9" t="s">
        <v>202</v>
      </c>
      <c r="F14" s="19" t="n">
        <f aca="false">IF('Base de Datos SACI'!U8="","",'Base de Datos SACI'!U8)</f>
        <v>440</v>
      </c>
      <c r="G14" s="15"/>
      <c r="H14" s="30"/>
      <c r="I14" s="31" t="str">
        <f aca="false">IF(OR($G14="",$G14=0),"",IFERROR(ROUND($F14*$G14*(1-IF($H14="",0,$H14)),2),""))</f>
        <v/>
      </c>
      <c r="J14" s="9"/>
    </row>
    <row r="15" customFormat="false" ht="21.75" hidden="false" customHeight="true" outlineLevel="0" collapsed="false">
      <c r="B15" s="14" t="n">
        <v>5</v>
      </c>
      <c r="C15" s="7" t="s">
        <v>41</v>
      </c>
      <c r="D15" s="7" t="s">
        <v>60</v>
      </c>
      <c r="E15" s="7" t="s">
        <v>204</v>
      </c>
      <c r="F15" s="18" t="n">
        <f aca="false">IF('Base de Datos SACI'!U9="","",'Base de Datos SACI'!U9)</f>
        <v>645</v>
      </c>
      <c r="G15" s="14"/>
      <c r="H15" s="28"/>
      <c r="I15" s="29" t="str">
        <f aca="false">IF(OR($G15="",$G15=0),"",IFERROR(ROUND($F15*$G15*(1-IF($H15="",0,$H15)),2),""))</f>
        <v/>
      </c>
      <c r="J15" s="7"/>
    </row>
    <row r="16" customFormat="false" ht="21.75" hidden="false" customHeight="true" outlineLevel="0" collapsed="false">
      <c r="B16" s="15" t="n">
        <v>6</v>
      </c>
      <c r="C16" s="9" t="s">
        <v>41</v>
      </c>
      <c r="D16" s="9" t="s">
        <v>61</v>
      </c>
      <c r="E16" s="9" t="s">
        <v>181</v>
      </c>
      <c r="F16" s="19" t="n">
        <f aca="false">IF('Base de Datos SACI'!U10="","",'Base de Datos SACI'!U10)</f>
        <v>85</v>
      </c>
      <c r="G16" s="15"/>
      <c r="H16" s="30"/>
      <c r="I16" s="31" t="str">
        <f aca="false">IF(OR($G16="",$G16=0),"",IFERROR(ROUND($F16*$G16*(1-IF($H16="",0,$H16)),2),""))</f>
        <v/>
      </c>
      <c r="J16" s="9"/>
    </row>
    <row r="17" customFormat="false" ht="21.75" hidden="false" customHeight="true" outlineLevel="0" collapsed="false">
      <c r="B17" s="14" t="n">
        <v>7</v>
      </c>
      <c r="C17" s="7" t="s">
        <v>41</v>
      </c>
      <c r="D17" s="7" t="s">
        <v>61</v>
      </c>
      <c r="E17" s="7" t="s">
        <v>198</v>
      </c>
      <c r="F17" s="18" t="n">
        <f aca="false">IF('Base de Datos SACI'!U11="","",'Base de Datos SACI'!U11)</f>
        <v>130</v>
      </c>
      <c r="G17" s="14"/>
      <c r="H17" s="28"/>
      <c r="I17" s="29" t="str">
        <f aca="false">IF(OR($G17="",$G17=0),"",IFERROR(ROUND($F17*$G17*(1-IF($H17="",0,$H17)),2),""))</f>
        <v/>
      </c>
      <c r="J17" s="7"/>
    </row>
    <row r="18" customFormat="false" ht="21.75" hidden="false" customHeight="true" outlineLevel="0" collapsed="false">
      <c r="B18" s="15" t="n">
        <v>8</v>
      </c>
      <c r="C18" s="9" t="s">
        <v>41</v>
      </c>
      <c r="D18" s="9" t="s">
        <v>61</v>
      </c>
      <c r="E18" s="9" t="s">
        <v>200</v>
      </c>
      <c r="F18" s="19" t="n">
        <f aca="false">IF('Base de Datos SACI'!U12="","",'Base de Datos SACI'!U12)</f>
        <v>175</v>
      </c>
      <c r="G18" s="15"/>
      <c r="H18" s="30"/>
      <c r="I18" s="31" t="str">
        <f aca="false">IF(OR($G18="",$G18=0),"",IFERROR(ROUND($F18*$G18*(1-IF($H18="",0,$H18)),2),""))</f>
        <v/>
      </c>
      <c r="J18" s="9"/>
    </row>
    <row r="19" customFormat="false" ht="21.75" hidden="false" customHeight="true" outlineLevel="0" collapsed="false">
      <c r="B19" s="14" t="n">
        <v>9</v>
      </c>
      <c r="C19" s="7" t="s">
        <v>41</v>
      </c>
      <c r="D19" s="7" t="s">
        <v>61</v>
      </c>
      <c r="E19" s="7" t="s">
        <v>215</v>
      </c>
      <c r="F19" s="18" t="n">
        <f aca="false">IF('Base de Datos SACI'!U13="","",'Base de Datos SACI'!U13)</f>
        <v>260</v>
      </c>
      <c r="G19" s="14"/>
      <c r="H19" s="28"/>
      <c r="I19" s="29" t="str">
        <f aca="false">IF(OR($G19="",$G19=0),"",IFERROR(ROUND($F19*$G19*(1-IF($H19="",0,$H19)),2),""))</f>
        <v/>
      </c>
      <c r="J19" s="7"/>
    </row>
    <row r="20" customFormat="false" ht="21.75" hidden="false" customHeight="true" outlineLevel="0" collapsed="false">
      <c r="B20" s="15" t="n">
        <v>10</v>
      </c>
      <c r="C20" s="9" t="s">
        <v>41</v>
      </c>
      <c r="D20" s="9" t="s">
        <v>61</v>
      </c>
      <c r="E20" s="9" t="s">
        <v>204</v>
      </c>
      <c r="F20" s="19" t="n">
        <f aca="false">IF('Base de Datos SACI'!U14="","",'Base de Datos SACI'!U14)</f>
        <v>385</v>
      </c>
      <c r="G20" s="15"/>
      <c r="H20" s="30"/>
      <c r="I20" s="31" t="str">
        <f aca="false">IF(OR($G20="",$G20=0),"",IFERROR(ROUND($F20*$G20*(1-IF($H20="",0,$H20)),2),""))</f>
        <v/>
      </c>
      <c r="J20" s="9"/>
    </row>
    <row r="21" customFormat="false" ht="21.75" hidden="false" customHeight="true" outlineLevel="0" collapsed="false">
      <c r="B21" s="14" t="n">
        <v>11</v>
      </c>
      <c r="C21" s="7" t="s">
        <v>41</v>
      </c>
      <c r="D21" s="7" t="s">
        <v>62</v>
      </c>
      <c r="E21" s="7" t="s">
        <v>216</v>
      </c>
      <c r="F21" s="18" t="n">
        <f aca="false">IF('Base de Datos SACI'!U15="","",'Base de Datos SACI'!U15)</f>
        <v>130</v>
      </c>
      <c r="G21" s="14"/>
      <c r="H21" s="28"/>
      <c r="I21" s="29" t="str">
        <f aca="false">IF(OR($G21="",$G21=0),"",IFERROR(ROUND($F21*$G21*(1-IF($H21="",0,$H21)),2),""))</f>
        <v/>
      </c>
      <c r="J21" s="7"/>
    </row>
    <row r="22" customFormat="false" ht="21.75" hidden="false" customHeight="true" outlineLevel="0" collapsed="false">
      <c r="B22" s="15" t="n">
        <v>12</v>
      </c>
      <c r="C22" s="9" t="s">
        <v>41</v>
      </c>
      <c r="D22" s="9" t="s">
        <v>62</v>
      </c>
      <c r="E22" s="9" t="s">
        <v>204</v>
      </c>
      <c r="F22" s="19" t="n">
        <f aca="false">IF('Base de Datos SACI'!U16="","",'Base de Datos SACI'!U16)</f>
        <v>195</v>
      </c>
      <c r="G22" s="15"/>
      <c r="H22" s="30"/>
      <c r="I22" s="31" t="str">
        <f aca="false">IF(OR($G22="",$G22=0),"",IFERROR(ROUND($F22*$G22*(1-IF($H22="",0,$H22)),2),""))</f>
        <v/>
      </c>
      <c r="J22" s="9"/>
    </row>
    <row r="23" customFormat="false" ht="21.75" hidden="false" customHeight="true" outlineLevel="0" collapsed="false">
      <c r="B23" s="14" t="n">
        <v>13</v>
      </c>
      <c r="C23" s="7" t="s">
        <v>41</v>
      </c>
      <c r="D23" s="7" t="s">
        <v>62</v>
      </c>
      <c r="E23" s="7" t="s">
        <v>226</v>
      </c>
      <c r="F23" s="18" t="n">
        <f aca="false">IF('Base de Datos SACI'!U17="","",'Base de Datos SACI'!U17)</f>
        <v>265</v>
      </c>
      <c r="G23" s="14"/>
      <c r="H23" s="28"/>
      <c r="I23" s="29" t="str">
        <f aca="false">IF(OR($G23="",$G23=0),"",IFERROR(ROUND($F23*$G23*(1-IF($H23="",0,$H23)),2),""))</f>
        <v/>
      </c>
      <c r="J23" s="7"/>
    </row>
    <row r="24" customFormat="false" ht="21.75" hidden="false" customHeight="true" outlineLevel="0" collapsed="false">
      <c r="B24" s="15" t="n">
        <v>14</v>
      </c>
      <c r="C24" s="9" t="s">
        <v>41</v>
      </c>
      <c r="D24" s="9" t="s">
        <v>62</v>
      </c>
      <c r="E24" s="9" t="s">
        <v>228</v>
      </c>
      <c r="F24" s="19" t="n">
        <f aca="false">IF('Base de Datos SACI'!U18="","",'Base de Datos SACI'!U18)</f>
        <v>395</v>
      </c>
      <c r="G24" s="15"/>
      <c r="H24" s="30"/>
      <c r="I24" s="31" t="str">
        <f aca="false">IF(OR($G24="",$G24=0),"",IFERROR(ROUND($F24*$G24*(1-IF($H24="",0,$H24)),2),""))</f>
        <v/>
      </c>
      <c r="J24" s="9"/>
    </row>
    <row r="25" customFormat="false" ht="21.75" hidden="false" customHeight="true" outlineLevel="0" collapsed="false">
      <c r="B25" s="14" t="n">
        <v>15</v>
      </c>
      <c r="C25" s="7" t="s">
        <v>41</v>
      </c>
      <c r="D25" s="7" t="s">
        <v>62</v>
      </c>
      <c r="E25" s="7" t="s">
        <v>229</v>
      </c>
      <c r="F25" s="18" t="n">
        <f aca="false">IF('Base de Datos SACI'!U19="","",'Base de Datos SACI'!U19)</f>
        <v>580</v>
      </c>
      <c r="G25" s="14"/>
      <c r="H25" s="28"/>
      <c r="I25" s="29" t="str">
        <f aca="false">IF(OR($G25="",$G25=0),"",IFERROR(ROUND($F25*$G25*(1-IF($H25="",0,$H25)),2),""))</f>
        <v/>
      </c>
      <c r="J25" s="7"/>
    </row>
    <row r="26" customFormat="false" ht="21.75" hidden="false" customHeight="true" outlineLevel="0" collapsed="false">
      <c r="B26" s="15" t="n">
        <v>16</v>
      </c>
      <c r="C26" s="9" t="s">
        <v>41</v>
      </c>
      <c r="D26" s="9" t="s">
        <v>63</v>
      </c>
      <c r="E26" s="9" t="s">
        <v>230</v>
      </c>
      <c r="F26" s="19" t="n">
        <f aca="false">IF('Base de Datos SACI'!U20="","",'Base de Datos SACI'!U20)</f>
        <v>45</v>
      </c>
      <c r="G26" s="15"/>
      <c r="H26" s="30"/>
      <c r="I26" s="31" t="str">
        <f aca="false">IF(OR($G26="",$G26=0),"",IFERROR(ROUND($F26*$G26*(1-IF($H26="",0,$H26)),2),""))</f>
        <v/>
      </c>
      <c r="J26" s="9"/>
    </row>
    <row r="27" customFormat="false" ht="21.75" hidden="false" customHeight="true" outlineLevel="0" collapsed="false">
      <c r="B27" s="14" t="n">
        <v>17</v>
      </c>
      <c r="C27" s="7" t="s">
        <v>41</v>
      </c>
      <c r="D27" s="7" t="s">
        <v>63</v>
      </c>
      <c r="E27" s="7" t="s">
        <v>241</v>
      </c>
      <c r="F27" s="18" t="n">
        <f aca="false">IF('Base de Datos SACI'!U21="","",'Base de Datos SACI'!U21)</f>
        <v>70</v>
      </c>
      <c r="G27" s="14"/>
      <c r="H27" s="28"/>
      <c r="I27" s="29" t="str">
        <f aca="false">IF(OR($G27="",$G27=0),"",IFERROR(ROUND($F27*$G27*(1-IF($H27="",0,$H27)),2),""))</f>
        <v/>
      </c>
      <c r="J27" s="7"/>
    </row>
    <row r="28" customFormat="false" ht="21.75" hidden="false" customHeight="true" outlineLevel="0" collapsed="false">
      <c r="B28" s="15" t="n">
        <v>18</v>
      </c>
      <c r="C28" s="9" t="s">
        <v>41</v>
      </c>
      <c r="D28" s="9" t="s">
        <v>63</v>
      </c>
      <c r="E28" s="9" t="s">
        <v>242</v>
      </c>
      <c r="F28" s="19" t="n">
        <f aca="false">IF('Base de Datos SACI'!U22="","",'Base de Datos SACI'!U22)</f>
        <v>95</v>
      </c>
      <c r="G28" s="15"/>
      <c r="H28" s="30"/>
      <c r="I28" s="31" t="str">
        <f aca="false">IF(OR($G28="",$G28=0),"",IFERROR(ROUND($F28*$G28*(1-IF($H28="",0,$H28)),2),""))</f>
        <v/>
      </c>
      <c r="J28" s="9"/>
    </row>
    <row r="29" customFormat="false" ht="21.75" hidden="false" customHeight="true" outlineLevel="0" collapsed="false">
      <c r="B29" s="14" t="n">
        <v>19</v>
      </c>
      <c r="C29" s="7" t="s">
        <v>41</v>
      </c>
      <c r="D29" s="7" t="s">
        <v>63</v>
      </c>
      <c r="E29" s="7" t="s">
        <v>244</v>
      </c>
      <c r="F29" s="18" t="n">
        <f aca="false">IF('Base de Datos SACI'!U23="","",'Base de Datos SACI'!U23)</f>
        <v>140</v>
      </c>
      <c r="G29" s="14"/>
      <c r="H29" s="28"/>
      <c r="I29" s="29" t="str">
        <f aca="false">IF(OR($G29="",$G29=0),"",IFERROR(ROUND($F29*$G29*(1-IF($H29="",0,$H29)),2),""))</f>
        <v/>
      </c>
      <c r="J29" s="7"/>
    </row>
    <row r="30" customFormat="false" ht="21.75" hidden="false" customHeight="true" outlineLevel="0" collapsed="false">
      <c r="B30" s="15" t="n">
        <v>20</v>
      </c>
      <c r="C30" s="9" t="s">
        <v>41</v>
      </c>
      <c r="D30" s="9" t="s">
        <v>63</v>
      </c>
      <c r="E30" s="9" t="s">
        <v>245</v>
      </c>
      <c r="F30" s="19" t="n">
        <f aca="false">IF('Base de Datos SACI'!U24="","",'Base de Datos SACI'!U24)</f>
        <v>205</v>
      </c>
      <c r="G30" s="15"/>
      <c r="H30" s="30"/>
      <c r="I30" s="31" t="str">
        <f aca="false">IF(OR($G30="",$G30=0),"",IFERROR(ROUND($F30*$G30*(1-IF($H30="",0,$H30)),2),""))</f>
        <v/>
      </c>
      <c r="J30" s="9"/>
    </row>
    <row r="31" customFormat="false" ht="21.75" hidden="false" customHeight="true" outlineLevel="0" collapsed="false">
      <c r="B31" s="14" t="n">
        <v>21</v>
      </c>
      <c r="C31" s="7" t="s">
        <v>41</v>
      </c>
      <c r="D31" s="7" t="s">
        <v>64</v>
      </c>
      <c r="E31" s="7" t="s">
        <v>246</v>
      </c>
      <c r="F31" s="18" t="n">
        <f aca="false">IF('Base de Datos SACI'!U25="","",'Base de Datos SACI'!U25)</f>
        <v>14</v>
      </c>
      <c r="G31" s="14"/>
      <c r="H31" s="28"/>
      <c r="I31" s="29" t="str">
        <f aca="false">IF(OR($G31="",$G31=0),"",IFERROR(ROUND($F31*$G31*(1-IF($H31="",0,$H31)),2),""))</f>
        <v/>
      </c>
      <c r="J31" s="7"/>
    </row>
    <row r="32" customFormat="false" ht="21.75" hidden="false" customHeight="true" outlineLevel="0" collapsed="false">
      <c r="B32" s="15" t="n">
        <v>22</v>
      </c>
      <c r="C32" s="9" t="s">
        <v>41</v>
      </c>
      <c r="D32" s="9" t="s">
        <v>64</v>
      </c>
      <c r="E32" s="9" t="s">
        <v>258</v>
      </c>
      <c r="F32" s="19" t="n">
        <f aca="false">IF('Base de Datos SACI'!U26="","",'Base de Datos SACI'!U26)</f>
        <v>20</v>
      </c>
      <c r="G32" s="15"/>
      <c r="H32" s="30"/>
      <c r="I32" s="31" t="str">
        <f aca="false">IF(OR($G32="",$G32=0),"",IFERROR(ROUND($F32*$G32*(1-IF($H32="",0,$H32)),2),""))</f>
        <v/>
      </c>
      <c r="J32" s="9"/>
    </row>
    <row r="33" customFormat="false" ht="21.75" hidden="false" customHeight="true" outlineLevel="0" collapsed="false">
      <c r="B33" s="14" t="n">
        <v>23</v>
      </c>
      <c r="C33" s="7" t="s">
        <v>41</v>
      </c>
      <c r="D33" s="7" t="s">
        <v>64</v>
      </c>
      <c r="E33" s="7" t="s">
        <v>260</v>
      </c>
      <c r="F33" s="18" t="n">
        <f aca="false">IF('Base de Datos SACI'!U27="","",'Base de Datos SACI'!U27)</f>
        <v>25</v>
      </c>
      <c r="G33" s="14"/>
      <c r="H33" s="28"/>
      <c r="I33" s="29" t="str">
        <f aca="false">IF(OR($G33="",$G33=0),"",IFERROR(ROUND($F33*$G33*(1-IF($H33="",0,$H33)),2),""))</f>
        <v/>
      </c>
      <c r="J33" s="7"/>
    </row>
    <row r="34" customFormat="false" ht="21.75" hidden="false" customHeight="true" outlineLevel="0" collapsed="false">
      <c r="B34" s="15" t="n">
        <v>24</v>
      </c>
      <c r="C34" s="9" t="s">
        <v>41</v>
      </c>
      <c r="D34" s="9" t="s">
        <v>64</v>
      </c>
      <c r="E34" s="9" t="s">
        <v>263</v>
      </c>
      <c r="F34" s="19" t="n">
        <f aca="false">IF('Base de Datos SACI'!U28="","",'Base de Datos SACI'!U28)</f>
        <v>40</v>
      </c>
      <c r="G34" s="15"/>
      <c r="H34" s="30"/>
      <c r="I34" s="31" t="str">
        <f aca="false">IF(OR($G34="",$G34=0),"",IFERROR(ROUND($F34*$G34*(1-IF($H34="",0,$H34)),2),""))</f>
        <v/>
      </c>
      <c r="J34" s="9"/>
    </row>
    <row r="35" customFormat="false" ht="21.75" hidden="false" customHeight="true" outlineLevel="0" collapsed="false">
      <c r="B35" s="14" t="n">
        <v>25</v>
      </c>
      <c r="C35" s="7" t="s">
        <v>41</v>
      </c>
      <c r="D35" s="7" t="s">
        <v>64</v>
      </c>
      <c r="E35" s="7" t="s">
        <v>265</v>
      </c>
      <c r="F35" s="18" t="n">
        <f aca="false">IF('Base de Datos SACI'!U29="","",'Base de Datos SACI'!U29)</f>
        <v>60</v>
      </c>
      <c r="G35" s="14"/>
      <c r="H35" s="28"/>
      <c r="I35" s="29" t="str">
        <f aca="false">IF(OR($G35="",$G35=0),"",IFERROR(ROUND($F35*$G35*(1-IF($H35="",0,$H35)),2),""))</f>
        <v/>
      </c>
      <c r="J35" s="7"/>
    </row>
    <row r="36" customFormat="false" ht="21.75" hidden="false" customHeight="true" outlineLevel="0" collapsed="false">
      <c r="B36" s="15" t="n">
        <v>26</v>
      </c>
      <c r="C36" s="9" t="s">
        <v>41</v>
      </c>
      <c r="D36" s="9" t="s">
        <v>65</v>
      </c>
      <c r="E36" s="9" t="s">
        <v>267</v>
      </c>
      <c r="F36" s="19" t="n">
        <f aca="false">IF('Base de Datos SACI'!U30="","",'Base de Datos SACI'!U30)</f>
        <v>20</v>
      </c>
      <c r="G36" s="15"/>
      <c r="H36" s="30"/>
      <c r="I36" s="31" t="str">
        <f aca="false">IF(OR($G36="",$G36=0),"",IFERROR(ROUND($F36*$G36*(1-IF($H36="",0,$H36)),2),""))</f>
        <v/>
      </c>
      <c r="J36" s="9"/>
    </row>
    <row r="37" customFormat="false" ht="21.75" hidden="false" customHeight="true" outlineLevel="0" collapsed="false">
      <c r="B37" s="14" t="n">
        <v>27</v>
      </c>
      <c r="C37" s="7" t="s">
        <v>41</v>
      </c>
      <c r="D37" s="7" t="s">
        <v>65</v>
      </c>
      <c r="E37" s="7" t="s">
        <v>277</v>
      </c>
      <c r="F37" s="18" t="n">
        <f aca="false">IF('Base de Datos SACI'!U31="","",'Base de Datos SACI'!U31)</f>
        <v>25</v>
      </c>
      <c r="G37" s="14"/>
      <c r="H37" s="28"/>
      <c r="I37" s="29" t="str">
        <f aca="false">IF(OR($G37="",$G37=0),"",IFERROR(ROUND($F37*$G37*(1-IF($H37="",0,$H37)),2),""))</f>
        <v/>
      </c>
      <c r="J37" s="7"/>
    </row>
    <row r="38" customFormat="false" ht="21.75" hidden="false" customHeight="true" outlineLevel="0" collapsed="false">
      <c r="B38" s="15" t="n">
        <v>28</v>
      </c>
      <c r="C38" s="9" t="s">
        <v>41</v>
      </c>
      <c r="D38" s="9" t="s">
        <v>65</v>
      </c>
      <c r="E38" s="9" t="s">
        <v>278</v>
      </c>
      <c r="F38" s="19" t="n">
        <f aca="false">IF('Base de Datos SACI'!U32="","",'Base de Datos SACI'!U32)</f>
        <v>35</v>
      </c>
      <c r="G38" s="15"/>
      <c r="H38" s="30"/>
      <c r="I38" s="31" t="str">
        <f aca="false">IF(OR($G38="",$G38=0),"",IFERROR(ROUND($F38*$G38*(1-IF($H38="",0,$H38)),2),""))</f>
        <v/>
      </c>
      <c r="J38" s="9"/>
    </row>
    <row r="39" customFormat="false" ht="21.75" hidden="false" customHeight="true" outlineLevel="0" collapsed="false">
      <c r="B39" s="14" t="n">
        <v>29</v>
      </c>
      <c r="C39" s="7" t="s">
        <v>41</v>
      </c>
      <c r="D39" s="7" t="s">
        <v>65</v>
      </c>
      <c r="E39" s="7" t="s">
        <v>280</v>
      </c>
      <c r="F39" s="18" t="n">
        <f aca="false">IF('Base de Datos SACI'!U33="","",'Base de Datos SACI'!U33)</f>
        <v>55</v>
      </c>
      <c r="G39" s="14"/>
      <c r="H39" s="28"/>
      <c r="I39" s="29" t="str">
        <f aca="false">IF(OR($G39="",$G39=0),"",IFERROR(ROUND($F39*$G39*(1-IF($H39="",0,$H39)),2),""))</f>
        <v/>
      </c>
      <c r="J39" s="7"/>
    </row>
    <row r="40" customFormat="false" ht="21.75" hidden="false" customHeight="true" outlineLevel="0" collapsed="false">
      <c r="B40" s="15" t="n">
        <v>30</v>
      </c>
      <c r="C40" s="9" t="s">
        <v>41</v>
      </c>
      <c r="D40" s="9" t="s">
        <v>65</v>
      </c>
      <c r="E40" s="9" t="s">
        <v>282</v>
      </c>
      <c r="F40" s="19" t="n">
        <f aca="false">IF('Base de Datos SACI'!U34="","",'Base de Datos SACI'!U34)</f>
        <v>85</v>
      </c>
      <c r="G40" s="15"/>
      <c r="H40" s="30"/>
      <c r="I40" s="31" t="str">
        <f aca="false">IF(OR($G40="",$G40=0),"",IFERROR(ROUND($F40*$G40*(1-IF($H40="",0,$H40)),2),""))</f>
        <v/>
      </c>
      <c r="J40" s="9"/>
    </row>
    <row r="41" customFormat="false" ht="21.75" hidden="false" customHeight="true" outlineLevel="0" collapsed="false">
      <c r="B41" s="14" t="n">
        <v>31</v>
      </c>
      <c r="C41" s="7" t="s">
        <v>41</v>
      </c>
      <c r="D41" s="7" t="s">
        <v>66</v>
      </c>
      <c r="E41" s="7" t="s">
        <v>284</v>
      </c>
      <c r="F41" s="18" t="n">
        <f aca="false">IF('Base de Datos SACI'!U35="","",'Base de Datos SACI'!U35)</f>
        <v>25</v>
      </c>
      <c r="G41" s="14"/>
      <c r="H41" s="28"/>
      <c r="I41" s="29" t="str">
        <f aca="false">IF(OR($G41="",$G41=0),"",IFERROR(ROUND($F41*$G41*(1-IF($H41="",0,$H41)),2),""))</f>
        <v/>
      </c>
      <c r="J41" s="7"/>
    </row>
    <row r="42" customFormat="false" ht="21.75" hidden="false" customHeight="true" outlineLevel="0" collapsed="false">
      <c r="B42" s="15" t="n">
        <v>32</v>
      </c>
      <c r="C42" s="9" t="s">
        <v>41</v>
      </c>
      <c r="D42" s="9" t="s">
        <v>66</v>
      </c>
      <c r="E42" s="9" t="s">
        <v>293</v>
      </c>
      <c r="F42" s="19" t="n">
        <f aca="false">IF('Base de Datos SACI'!U36="","",'Base de Datos SACI'!U36)</f>
        <v>40</v>
      </c>
      <c r="G42" s="15"/>
      <c r="H42" s="30"/>
      <c r="I42" s="31" t="str">
        <f aca="false">IF(OR($G42="",$G42=0),"",IFERROR(ROUND($F42*$G42*(1-IF($H42="",0,$H42)),2),""))</f>
        <v/>
      </c>
      <c r="J42" s="9"/>
    </row>
    <row r="43" customFormat="false" ht="21.75" hidden="false" customHeight="true" outlineLevel="0" collapsed="false">
      <c r="B43" s="14" t="n">
        <v>33</v>
      </c>
      <c r="C43" s="7" t="s">
        <v>41</v>
      </c>
      <c r="D43" s="7" t="s">
        <v>66</v>
      </c>
      <c r="E43" s="7" t="s">
        <v>295</v>
      </c>
      <c r="F43" s="18" t="n">
        <f aca="false">IF('Base de Datos SACI'!U37="","",'Base de Datos SACI'!U37)</f>
        <v>55</v>
      </c>
      <c r="G43" s="14"/>
      <c r="H43" s="28"/>
      <c r="I43" s="29" t="str">
        <f aca="false">IF(OR($G43="",$G43=0),"",IFERROR(ROUND($F43*$G43*(1-IF($H43="",0,$H43)),2),""))</f>
        <v/>
      </c>
      <c r="J43" s="7"/>
    </row>
    <row r="44" customFormat="false" ht="21.75" hidden="false" customHeight="true" outlineLevel="0" collapsed="false">
      <c r="B44" s="15" t="n">
        <v>34</v>
      </c>
      <c r="C44" s="9" t="s">
        <v>41</v>
      </c>
      <c r="D44" s="9" t="s">
        <v>66</v>
      </c>
      <c r="E44" s="9" t="s">
        <v>298</v>
      </c>
      <c r="F44" s="19" t="n">
        <f aca="false">IF('Base de Datos SACI'!U38="","",'Base de Datos SACI'!U38)</f>
        <v>80</v>
      </c>
      <c r="G44" s="15"/>
      <c r="H44" s="30"/>
      <c r="I44" s="31" t="str">
        <f aca="false">IF(OR($G44="",$G44=0),"",IFERROR(ROUND($F44*$G44*(1-IF($H44="",0,$H44)),2),""))</f>
        <v/>
      </c>
      <c r="J44" s="9"/>
    </row>
    <row r="45" customFormat="false" ht="21.75" hidden="false" customHeight="true" outlineLevel="0" collapsed="false">
      <c r="B45" s="14" t="n">
        <v>35</v>
      </c>
      <c r="C45" s="7" t="s">
        <v>41</v>
      </c>
      <c r="D45" s="7" t="s">
        <v>66</v>
      </c>
      <c r="E45" s="7" t="s">
        <v>300</v>
      </c>
      <c r="F45" s="18" t="n">
        <f aca="false">IF('Base de Datos SACI'!U39="","",'Base de Datos SACI'!U39)</f>
        <v>120</v>
      </c>
      <c r="G45" s="14"/>
      <c r="H45" s="28"/>
      <c r="I45" s="29" t="str">
        <f aca="false">IF(OR($G45="",$G45=0),"",IFERROR(ROUND($F45*$G45*(1-IF($H45="",0,$H45)),2),""))</f>
        <v/>
      </c>
      <c r="J45" s="7"/>
    </row>
    <row r="46" customFormat="false" ht="21.75" hidden="false" customHeight="true" outlineLevel="0" collapsed="false">
      <c r="B46" s="15" t="n">
        <v>36</v>
      </c>
      <c r="C46" s="9" t="s">
        <v>41</v>
      </c>
      <c r="D46" s="9" t="s">
        <v>67</v>
      </c>
      <c r="E46" s="9" t="s">
        <v>302</v>
      </c>
      <c r="F46" s="19" t="n">
        <f aca="false">IF('Base de Datos SACI'!U40="","",'Base de Datos SACI'!U40)</f>
        <v>8</v>
      </c>
      <c r="G46" s="15"/>
      <c r="H46" s="30"/>
      <c r="I46" s="31" t="str">
        <f aca="false">IF(OR($G46="",$G46=0),"",IFERROR(ROUND($F46*$G46*(1-IF($H46="",0,$H46)),2),""))</f>
        <v/>
      </c>
      <c r="J46" s="9"/>
    </row>
    <row r="47" customFormat="false" ht="21.75" hidden="false" customHeight="true" outlineLevel="0" collapsed="false">
      <c r="B47" s="14" t="n">
        <v>37</v>
      </c>
      <c r="C47" s="7" t="s">
        <v>41</v>
      </c>
      <c r="D47" s="7" t="s">
        <v>67</v>
      </c>
      <c r="E47" s="7" t="s">
        <v>311</v>
      </c>
      <c r="F47" s="18" t="n">
        <f aca="false">IF('Base de Datos SACI'!U41="","",'Base de Datos SACI'!U41)</f>
        <v>8</v>
      </c>
      <c r="G47" s="14"/>
      <c r="H47" s="28"/>
      <c r="I47" s="29" t="str">
        <f aca="false">IF(OR($G47="",$G47=0),"",IFERROR(ROUND($F47*$G47*(1-IF($H47="",0,$H47)),2),""))</f>
        <v/>
      </c>
      <c r="J47" s="7"/>
    </row>
    <row r="48" customFormat="false" ht="21.75" hidden="false" customHeight="true" outlineLevel="0" collapsed="false">
      <c r="B48" s="15" t="n">
        <v>38</v>
      </c>
      <c r="C48" s="9" t="s">
        <v>41</v>
      </c>
      <c r="D48" s="9" t="s">
        <v>67</v>
      </c>
      <c r="E48" s="9" t="s">
        <v>313</v>
      </c>
      <c r="F48" s="19" t="n">
        <f aca="false">IF('Base de Datos SACI'!U42="","",'Base de Datos SACI'!U42)</f>
        <v>8</v>
      </c>
      <c r="G48" s="15"/>
      <c r="H48" s="30"/>
      <c r="I48" s="31" t="str">
        <f aca="false">IF(OR($G48="",$G48=0),"",IFERROR(ROUND($F48*$G48*(1-IF($H48="",0,$H48)),2),""))</f>
        <v/>
      </c>
      <c r="J48" s="9"/>
    </row>
    <row r="49" customFormat="false" ht="21.75" hidden="false" customHeight="true" outlineLevel="0" collapsed="false">
      <c r="B49" s="14" t="n">
        <v>39</v>
      </c>
      <c r="C49" s="7" t="s">
        <v>41</v>
      </c>
      <c r="D49" s="7" t="s">
        <v>67</v>
      </c>
      <c r="E49" s="7" t="s">
        <v>316</v>
      </c>
      <c r="F49" s="18" t="n">
        <f aca="false">IF('Base de Datos SACI'!U43="","",'Base de Datos SACI'!U43)</f>
        <v>12</v>
      </c>
      <c r="G49" s="14"/>
      <c r="H49" s="28"/>
      <c r="I49" s="29" t="str">
        <f aca="false">IF(OR($G49="",$G49=0),"",IFERROR(ROUND($F49*$G49*(1-IF($H49="",0,$H49)),2),""))</f>
        <v/>
      </c>
      <c r="J49" s="7"/>
    </row>
    <row r="50" customFormat="false" ht="21.75" hidden="false" customHeight="true" outlineLevel="0" collapsed="false">
      <c r="B50" s="15" t="n">
        <v>40</v>
      </c>
      <c r="C50" s="9" t="s">
        <v>41</v>
      </c>
      <c r="D50" s="9" t="s">
        <v>67</v>
      </c>
      <c r="E50" s="9" t="s">
        <v>318</v>
      </c>
      <c r="F50" s="19" t="n">
        <f aca="false">IF('Base de Datos SACI'!U44="","",'Base de Datos SACI'!U44)</f>
        <v>18</v>
      </c>
      <c r="G50" s="15"/>
      <c r="H50" s="30"/>
      <c r="I50" s="31" t="str">
        <f aca="false">IF(OR($G50="",$G50=0),"",IFERROR(ROUND($F50*$G50*(1-IF($H50="",0,$H50)),2),""))</f>
        <v/>
      </c>
      <c r="J50" s="9"/>
    </row>
    <row r="51" customFormat="false" ht="21.75" hidden="false" customHeight="true" outlineLevel="0" collapsed="false">
      <c r="B51" s="14" t="n">
        <v>41</v>
      </c>
      <c r="C51" s="7" t="s">
        <v>41</v>
      </c>
      <c r="D51" s="7" t="s">
        <v>68</v>
      </c>
      <c r="E51" s="7" t="s">
        <v>320</v>
      </c>
      <c r="F51" s="18" t="n">
        <f aca="false">IF('Base de Datos SACI'!U45="","",'Base de Datos SACI'!U45)</f>
        <v>19</v>
      </c>
      <c r="G51" s="14"/>
      <c r="H51" s="28"/>
      <c r="I51" s="29" t="str">
        <f aca="false">IF(OR($G51="",$G51=0),"",IFERROR(ROUND($F51*$G51*(1-IF($H51="",0,$H51)),2),""))</f>
        <v/>
      </c>
      <c r="J51" s="7"/>
    </row>
    <row r="52" customFormat="false" ht="21.75" hidden="false" customHeight="true" outlineLevel="0" collapsed="false">
      <c r="B52" s="15" t="n">
        <v>42</v>
      </c>
      <c r="C52" s="9" t="s">
        <v>41</v>
      </c>
      <c r="D52" s="9" t="s">
        <v>68</v>
      </c>
      <c r="E52" s="9" t="s">
        <v>329</v>
      </c>
      <c r="F52" s="19" t="n">
        <f aca="false">IF('Base de Datos SACI'!U46="","",'Base de Datos SACI'!U46)</f>
        <v>25</v>
      </c>
      <c r="G52" s="15"/>
      <c r="H52" s="30"/>
      <c r="I52" s="31" t="str">
        <f aca="false">IF(OR($G52="",$G52=0),"",IFERROR(ROUND($F52*$G52*(1-IF($H52="",0,$H52)),2),""))</f>
        <v/>
      </c>
      <c r="J52" s="9"/>
    </row>
    <row r="53" customFormat="false" ht="21.75" hidden="false" customHeight="true" outlineLevel="0" collapsed="false">
      <c r="B53" s="14" t="n">
        <v>43</v>
      </c>
      <c r="C53" s="7" t="s">
        <v>41</v>
      </c>
      <c r="D53" s="7" t="s">
        <v>68</v>
      </c>
      <c r="E53" s="7" t="s">
        <v>331</v>
      </c>
      <c r="F53" s="18" t="n">
        <f aca="false">IF('Base de Datos SACI'!U47="","",'Base de Datos SACI'!U47)</f>
        <v>35</v>
      </c>
      <c r="G53" s="14"/>
      <c r="H53" s="28"/>
      <c r="I53" s="29" t="str">
        <f aca="false">IF(OR($G53="",$G53=0),"",IFERROR(ROUND($F53*$G53*(1-IF($H53="",0,$H53)),2),""))</f>
        <v/>
      </c>
      <c r="J53" s="7"/>
    </row>
    <row r="54" customFormat="false" ht="21.75" hidden="false" customHeight="true" outlineLevel="0" collapsed="false">
      <c r="B54" s="15" t="n">
        <v>44</v>
      </c>
      <c r="C54" s="9" t="s">
        <v>41</v>
      </c>
      <c r="D54" s="9" t="s">
        <v>68</v>
      </c>
      <c r="E54" s="9" t="s">
        <v>334</v>
      </c>
      <c r="F54" s="19" t="n">
        <f aca="false">IF('Base de Datos SACI'!U48="","",'Base de Datos SACI'!U48)</f>
        <v>55</v>
      </c>
      <c r="G54" s="15"/>
      <c r="H54" s="30"/>
      <c r="I54" s="31" t="str">
        <f aca="false">IF(OR($G54="",$G54=0),"",IFERROR(ROUND($F54*$G54*(1-IF($H54="",0,$H54)),2),""))</f>
        <v/>
      </c>
      <c r="J54" s="9"/>
    </row>
    <row r="55" customFormat="false" ht="21.75" hidden="false" customHeight="true" outlineLevel="0" collapsed="false">
      <c r="B55" s="14" t="n">
        <v>45</v>
      </c>
      <c r="C55" s="7" t="s">
        <v>41</v>
      </c>
      <c r="D55" s="7" t="s">
        <v>68</v>
      </c>
      <c r="E55" s="7" t="s">
        <v>336</v>
      </c>
      <c r="F55" s="18" t="n">
        <f aca="false">IF('Base de Datos SACI'!U49="","",'Base de Datos SACI'!U49)</f>
        <v>80</v>
      </c>
      <c r="G55" s="14"/>
      <c r="H55" s="28"/>
      <c r="I55" s="29" t="str">
        <f aca="false">IF(OR($G55="",$G55=0),"",IFERROR(ROUND($F55*$G55*(1-IF($H55="",0,$H55)),2),""))</f>
        <v/>
      </c>
      <c r="J55" s="7"/>
    </row>
    <row r="56" customFormat="false" ht="21.75" hidden="false" customHeight="true" outlineLevel="0" collapsed="false">
      <c r="B56" s="15" t="n">
        <v>46</v>
      </c>
      <c r="C56" s="9" t="s">
        <v>41</v>
      </c>
      <c r="D56" s="9" t="s">
        <v>69</v>
      </c>
      <c r="E56" s="9" t="s">
        <v>338</v>
      </c>
      <c r="F56" s="19" t="n">
        <f aca="false">IF('Base de Datos SACI'!U50="","",'Base de Datos SACI'!U50)</f>
        <v>20</v>
      </c>
      <c r="G56" s="15"/>
      <c r="H56" s="30"/>
      <c r="I56" s="31" t="str">
        <f aca="false">IF(OR($G56="",$G56=0),"",IFERROR(ROUND($F56*$G56*(1-IF($H56="",0,$H56)),2),""))</f>
        <v/>
      </c>
      <c r="J56" s="9"/>
    </row>
    <row r="57" customFormat="false" ht="21.75" hidden="false" customHeight="true" outlineLevel="0" collapsed="false">
      <c r="B57" s="14" t="n">
        <v>47</v>
      </c>
      <c r="C57" s="7" t="s">
        <v>41</v>
      </c>
      <c r="D57" s="7" t="s">
        <v>69</v>
      </c>
      <c r="E57" s="7" t="s">
        <v>349</v>
      </c>
      <c r="F57" s="18" t="n">
        <f aca="false">IF('Base de Datos SACI'!U51="","",'Base de Datos SACI'!U51)</f>
        <v>30</v>
      </c>
      <c r="G57" s="14"/>
      <c r="H57" s="28"/>
      <c r="I57" s="29" t="str">
        <f aca="false">IF(OR($G57="",$G57=0),"",IFERROR(ROUND($F57*$G57*(1-IF($H57="",0,$H57)),2),""))</f>
        <v/>
      </c>
      <c r="J57" s="7"/>
    </row>
    <row r="58" customFormat="false" ht="21.75" hidden="false" customHeight="true" outlineLevel="0" collapsed="false">
      <c r="B58" s="15" t="n">
        <v>48</v>
      </c>
      <c r="C58" s="9" t="s">
        <v>41</v>
      </c>
      <c r="D58" s="9" t="s">
        <v>69</v>
      </c>
      <c r="E58" s="9" t="s">
        <v>351</v>
      </c>
      <c r="F58" s="19" t="n">
        <f aca="false">IF('Base de Datos SACI'!U52="","",'Base de Datos SACI'!U52)</f>
        <v>45</v>
      </c>
      <c r="G58" s="15"/>
      <c r="H58" s="30"/>
      <c r="I58" s="31" t="str">
        <f aca="false">IF(OR($G58="",$G58=0),"",IFERROR(ROUND($F58*$G58*(1-IF($H58="",0,$H58)),2),""))</f>
        <v/>
      </c>
      <c r="J58" s="9"/>
    </row>
    <row r="59" customFormat="false" ht="21.75" hidden="false" customHeight="true" outlineLevel="0" collapsed="false">
      <c r="B59" s="14" t="n">
        <v>49</v>
      </c>
      <c r="C59" s="7" t="s">
        <v>41</v>
      </c>
      <c r="D59" s="7" t="s">
        <v>69</v>
      </c>
      <c r="E59" s="7" t="s">
        <v>354</v>
      </c>
      <c r="F59" s="18" t="n">
        <f aca="false">IF('Base de Datos SACI'!U53="","",'Base de Datos SACI'!U53)</f>
        <v>65</v>
      </c>
      <c r="G59" s="14"/>
      <c r="H59" s="28"/>
      <c r="I59" s="29" t="str">
        <f aca="false">IF(OR($G59="",$G59=0),"",IFERROR(ROUND($F59*$G59*(1-IF($H59="",0,$H59)),2),""))</f>
        <v/>
      </c>
      <c r="J59" s="7"/>
    </row>
    <row r="60" customFormat="false" ht="21.75" hidden="false" customHeight="true" outlineLevel="0" collapsed="false">
      <c r="B60" s="15" t="n">
        <v>50</v>
      </c>
      <c r="C60" s="9" t="s">
        <v>41</v>
      </c>
      <c r="D60" s="9" t="s">
        <v>69</v>
      </c>
      <c r="E60" s="9" t="s">
        <v>356</v>
      </c>
      <c r="F60" s="19" t="n">
        <f aca="false">IF('Base de Datos SACI'!U54="","",'Base de Datos SACI'!U54)</f>
        <v>100</v>
      </c>
      <c r="G60" s="15"/>
      <c r="H60" s="30"/>
      <c r="I60" s="31" t="str">
        <f aca="false">IF(OR($G60="",$G60=0),"",IFERROR(ROUND($F60*$G60*(1-IF($H60="",0,$H60)),2),""))</f>
        <v/>
      </c>
      <c r="J60" s="9"/>
    </row>
    <row r="61" customFormat="false" ht="21.75" hidden="false" customHeight="true" outlineLevel="0" collapsed="false">
      <c r="B61" s="14" t="n">
        <v>51</v>
      </c>
      <c r="C61" s="7" t="s">
        <v>41</v>
      </c>
      <c r="D61" s="7" t="s">
        <v>70</v>
      </c>
      <c r="E61" s="7" t="s">
        <v>358</v>
      </c>
      <c r="F61" s="18" t="n">
        <f aca="false">IF('Base de Datos SACI'!U55="","",'Base de Datos SACI'!U55)</f>
        <v>13</v>
      </c>
      <c r="G61" s="14"/>
      <c r="H61" s="28"/>
      <c r="I61" s="29" t="str">
        <f aca="false">IF(OR($G61="",$G61=0),"",IFERROR(ROUND($F61*$G61*(1-IF($H61="",0,$H61)),2),""))</f>
        <v/>
      </c>
      <c r="J61" s="7"/>
    </row>
    <row r="62" customFormat="false" ht="21.75" hidden="false" customHeight="true" outlineLevel="0" collapsed="false">
      <c r="B62" s="15" t="n">
        <v>52</v>
      </c>
      <c r="C62" s="9" t="s">
        <v>41</v>
      </c>
      <c r="D62" s="9" t="s">
        <v>70</v>
      </c>
      <c r="E62" s="9" t="s">
        <v>366</v>
      </c>
      <c r="F62" s="19" t="n">
        <f aca="false">IF('Base de Datos SACI'!U56="","",'Base de Datos SACI'!U56)</f>
        <v>20</v>
      </c>
      <c r="G62" s="15"/>
      <c r="H62" s="30"/>
      <c r="I62" s="31" t="str">
        <f aca="false">IF(OR($G62="",$G62=0),"",IFERROR(ROUND($F62*$G62*(1-IF($H62="",0,$H62)),2),""))</f>
        <v/>
      </c>
      <c r="J62" s="9"/>
    </row>
    <row r="63" customFormat="false" ht="21.75" hidden="false" customHeight="true" outlineLevel="0" collapsed="false">
      <c r="B63" s="14" t="n">
        <v>53</v>
      </c>
      <c r="C63" s="7" t="s">
        <v>41</v>
      </c>
      <c r="D63" s="7" t="s">
        <v>70</v>
      </c>
      <c r="E63" s="7" t="s">
        <v>368</v>
      </c>
      <c r="F63" s="18" t="n">
        <f aca="false">IF('Base de Datos SACI'!U57="","",'Base de Datos SACI'!U57)</f>
        <v>25</v>
      </c>
      <c r="G63" s="14"/>
      <c r="H63" s="28"/>
      <c r="I63" s="29" t="str">
        <f aca="false">IF(OR($G63="",$G63=0),"",IFERROR(ROUND($F63*$G63*(1-IF($H63="",0,$H63)),2),""))</f>
        <v/>
      </c>
      <c r="J63" s="7"/>
    </row>
    <row r="64" customFormat="false" ht="21.75" hidden="false" customHeight="true" outlineLevel="0" collapsed="false">
      <c r="B64" s="15" t="n">
        <v>54</v>
      </c>
      <c r="C64" s="9" t="s">
        <v>41</v>
      </c>
      <c r="D64" s="9" t="s">
        <v>70</v>
      </c>
      <c r="E64" s="9" t="s">
        <v>371</v>
      </c>
      <c r="F64" s="19" t="n">
        <f aca="false">IF('Base de Datos SACI'!U58="","",'Base de Datos SACI'!U58)</f>
        <v>35</v>
      </c>
      <c r="G64" s="15"/>
      <c r="H64" s="30"/>
      <c r="I64" s="31" t="str">
        <f aca="false">IF(OR($G64="",$G64=0),"",IFERROR(ROUND($F64*$G64*(1-IF($H64="",0,$H64)),2),""))</f>
        <v/>
      </c>
      <c r="J64" s="9"/>
    </row>
    <row r="65" customFormat="false" ht="21.75" hidden="false" customHeight="true" outlineLevel="0" collapsed="false">
      <c r="B65" s="14" t="n">
        <v>55</v>
      </c>
      <c r="C65" s="7" t="s">
        <v>41</v>
      </c>
      <c r="D65" s="7" t="s">
        <v>70</v>
      </c>
      <c r="E65" s="7" t="s">
        <v>372</v>
      </c>
      <c r="F65" s="18" t="n">
        <f aca="false">IF('Base de Datos SACI'!U59="","",'Base de Datos SACI'!U59)</f>
        <v>55</v>
      </c>
      <c r="G65" s="14"/>
      <c r="H65" s="28"/>
      <c r="I65" s="29" t="str">
        <f aca="false">IF(OR($G65="",$G65=0),"",IFERROR(ROUND($F65*$G65*(1-IF($H65="",0,$H65)),2),""))</f>
        <v/>
      </c>
      <c r="J65" s="7"/>
    </row>
    <row r="66" customFormat="false" ht="21.75" hidden="false" customHeight="true" outlineLevel="0" collapsed="false">
      <c r="B66" s="15" t="n">
        <v>56</v>
      </c>
      <c r="C66" s="9" t="s">
        <v>41</v>
      </c>
      <c r="D66" s="9" t="s">
        <v>71</v>
      </c>
      <c r="E66" s="9" t="s">
        <v>373</v>
      </c>
      <c r="F66" s="19" t="n">
        <f aca="false">IF('Base de Datos SACI'!U60="","",'Base de Datos SACI'!U60)</f>
        <v>90</v>
      </c>
      <c r="G66" s="15"/>
      <c r="H66" s="30"/>
      <c r="I66" s="31" t="str">
        <f aca="false">IF(OR($G66="",$G66=0),"",IFERROR(ROUND($F66*$G66*(1-IF($H66="",0,$H66)),2),""))</f>
        <v/>
      </c>
      <c r="J66" s="9"/>
    </row>
    <row r="67" customFormat="false" ht="21.75" hidden="false" customHeight="true" outlineLevel="0" collapsed="false">
      <c r="B67" s="14" t="n">
        <v>57</v>
      </c>
      <c r="C67" s="7" t="s">
        <v>41</v>
      </c>
      <c r="D67" s="7" t="s">
        <v>71</v>
      </c>
      <c r="E67" s="7" t="s">
        <v>382</v>
      </c>
      <c r="F67" s="18" t="n">
        <f aca="false">IF('Base de Datos SACI'!U61="","",'Base de Datos SACI'!U61)</f>
        <v>135</v>
      </c>
      <c r="G67" s="14"/>
      <c r="H67" s="28"/>
      <c r="I67" s="29" t="str">
        <f aca="false">IF(OR($G67="",$G67=0),"",IFERROR(ROUND($F67*$G67*(1-IF($H67="",0,$H67)),2),""))</f>
        <v/>
      </c>
      <c r="J67" s="7"/>
    </row>
    <row r="68" customFormat="false" ht="21.75" hidden="false" customHeight="true" outlineLevel="0" collapsed="false">
      <c r="B68" s="15" t="n">
        <v>58</v>
      </c>
      <c r="C68" s="9" t="s">
        <v>41</v>
      </c>
      <c r="D68" s="9" t="s">
        <v>71</v>
      </c>
      <c r="E68" s="9" t="s">
        <v>384</v>
      </c>
      <c r="F68" s="19" t="n">
        <f aca="false">IF('Base de Datos SACI'!U62="","",'Base de Datos SACI'!U62)</f>
        <v>185</v>
      </c>
      <c r="G68" s="15"/>
      <c r="H68" s="30"/>
      <c r="I68" s="31" t="str">
        <f aca="false">IF(OR($G68="",$G68=0),"",IFERROR(ROUND($F68*$G68*(1-IF($H68="",0,$H68)),2),""))</f>
        <v/>
      </c>
      <c r="J68" s="9"/>
    </row>
    <row r="69" customFormat="false" ht="21.75" hidden="false" customHeight="true" outlineLevel="0" collapsed="false">
      <c r="B69" s="14" t="n">
        <v>59</v>
      </c>
      <c r="C69" s="7" t="s">
        <v>41</v>
      </c>
      <c r="D69" s="7" t="s">
        <v>71</v>
      </c>
      <c r="E69" s="7" t="s">
        <v>387</v>
      </c>
      <c r="F69" s="18" t="n">
        <f aca="false">IF('Base de Datos SACI'!U63="","",'Base de Datos SACI'!U63)</f>
        <v>275</v>
      </c>
      <c r="G69" s="14"/>
      <c r="H69" s="28"/>
      <c r="I69" s="29" t="str">
        <f aca="false">IF(OR($G69="",$G69=0),"",IFERROR(ROUND($F69*$G69*(1-IF($H69="",0,$H69)),2),""))</f>
        <v/>
      </c>
      <c r="J69" s="7"/>
    </row>
    <row r="70" customFormat="false" ht="21.75" hidden="false" customHeight="true" outlineLevel="0" collapsed="false">
      <c r="B70" s="15" t="n">
        <v>60</v>
      </c>
      <c r="C70" s="9" t="s">
        <v>41</v>
      </c>
      <c r="D70" s="9" t="s">
        <v>71</v>
      </c>
      <c r="E70" s="9" t="s">
        <v>389</v>
      </c>
      <c r="F70" s="19" t="n">
        <f aca="false">IF('Base de Datos SACI'!U64="","",'Base de Datos SACI'!U64)</f>
        <v>405</v>
      </c>
      <c r="G70" s="15"/>
      <c r="H70" s="30"/>
      <c r="I70" s="31" t="str">
        <f aca="false">IF(OR($G70="",$G70=0),"",IFERROR(ROUND($F70*$G70*(1-IF($H70="",0,$H70)),2),""))</f>
        <v/>
      </c>
      <c r="J70" s="9"/>
    </row>
    <row r="71" customFormat="false" ht="21.75" hidden="false" customHeight="true" outlineLevel="0" collapsed="false">
      <c r="B71" s="14" t="n">
        <v>61</v>
      </c>
      <c r="C71" s="7" t="s">
        <v>41</v>
      </c>
      <c r="D71" s="7" t="s">
        <v>72</v>
      </c>
      <c r="E71" s="7" t="s">
        <v>391</v>
      </c>
      <c r="F71" s="18" t="str">
        <f aca="false">IF('Base de Datos SACI'!U65="","",'Base de Datos SACI'!U65)</f>
        <v/>
      </c>
      <c r="G71" s="14"/>
      <c r="H71" s="28"/>
      <c r="I71" s="29" t="str">
        <f aca="false">IF(OR($G71="",$G71=0),"",IFERROR(ROUND($F71*$G71*(1-IF($H71="",0,$H71)),2),""))</f>
        <v/>
      </c>
      <c r="J71" s="7"/>
    </row>
    <row r="72" customFormat="false" ht="21.75" hidden="false" customHeight="true" outlineLevel="0" collapsed="false">
      <c r="B72" s="15" t="n">
        <v>62</v>
      </c>
      <c r="C72" s="9" t="s">
        <v>41</v>
      </c>
      <c r="D72" s="9" t="s">
        <v>73</v>
      </c>
      <c r="E72" s="9" t="s">
        <v>393</v>
      </c>
      <c r="F72" s="19" t="n">
        <f aca="false">IF('Base de Datos SACI'!U66="","",'Base de Datos SACI'!U66)</f>
        <v>35</v>
      </c>
      <c r="G72" s="15"/>
      <c r="H72" s="30"/>
      <c r="I72" s="31" t="str">
        <f aca="false">IF(OR($G72="",$G72=0),"",IFERROR(ROUND($F72*$G72*(1-IF($H72="",0,$H72)),2),""))</f>
        <v/>
      </c>
      <c r="J72" s="9"/>
    </row>
    <row r="73" customFormat="false" ht="21.75" hidden="false" customHeight="true" outlineLevel="0" collapsed="false">
      <c r="B73" s="14" t="n">
        <v>63</v>
      </c>
      <c r="C73" s="7" t="s">
        <v>41</v>
      </c>
      <c r="D73" s="7" t="s">
        <v>73</v>
      </c>
      <c r="E73" s="7" t="s">
        <v>401</v>
      </c>
      <c r="F73" s="18" t="n">
        <f aca="false">IF('Base de Datos SACI'!U67="","",'Base de Datos SACI'!U67)</f>
        <v>55</v>
      </c>
      <c r="G73" s="14"/>
      <c r="H73" s="28"/>
      <c r="I73" s="29" t="str">
        <f aca="false">IF(OR($G73="",$G73=0),"",IFERROR(ROUND($F73*$G73*(1-IF($H73="",0,$H73)),2),""))</f>
        <v/>
      </c>
      <c r="J73" s="7"/>
    </row>
    <row r="74" customFormat="false" ht="21.75" hidden="false" customHeight="true" outlineLevel="0" collapsed="false">
      <c r="B74" s="15" t="n">
        <v>64</v>
      </c>
      <c r="C74" s="9" t="s">
        <v>41</v>
      </c>
      <c r="D74" s="9" t="s">
        <v>73</v>
      </c>
      <c r="E74" s="9" t="s">
        <v>403</v>
      </c>
      <c r="F74" s="19" t="n">
        <f aca="false">IF('Base de Datos SACI'!U68="","",'Base de Datos SACI'!U68)</f>
        <v>75</v>
      </c>
      <c r="G74" s="15"/>
      <c r="H74" s="30"/>
      <c r="I74" s="31" t="str">
        <f aca="false">IF(OR($G74="",$G74=0),"",IFERROR(ROUND($F74*$G74*(1-IF($H74="",0,$H74)),2),""))</f>
        <v/>
      </c>
      <c r="J74" s="9"/>
    </row>
    <row r="75" customFormat="false" ht="21.75" hidden="false" customHeight="true" outlineLevel="0" collapsed="false">
      <c r="B75" s="14" t="n">
        <v>65</v>
      </c>
      <c r="C75" s="7" t="s">
        <v>41</v>
      </c>
      <c r="D75" s="7" t="s">
        <v>73</v>
      </c>
      <c r="E75" s="7" t="s">
        <v>406</v>
      </c>
      <c r="F75" s="18" t="n">
        <f aca="false">IF('Base de Datos SACI'!U69="","",'Base de Datos SACI'!U69)</f>
        <v>115</v>
      </c>
      <c r="G75" s="14"/>
      <c r="H75" s="28"/>
      <c r="I75" s="29" t="str">
        <f aca="false">IF(OR($G75="",$G75=0),"",IFERROR(ROUND($F75*$G75*(1-IF($H75="",0,$H75)),2),""))</f>
        <v/>
      </c>
      <c r="J75" s="7"/>
    </row>
    <row r="76" customFormat="false" ht="21.75" hidden="false" customHeight="true" outlineLevel="0" collapsed="false">
      <c r="B76" s="15" t="n">
        <v>66</v>
      </c>
      <c r="C76" s="9" t="s">
        <v>41</v>
      </c>
      <c r="D76" s="9" t="s">
        <v>73</v>
      </c>
      <c r="E76" s="9" t="s">
        <v>408</v>
      </c>
      <c r="F76" s="19" t="n">
        <f aca="false">IF('Base de Datos SACI'!U70="","",'Base de Datos SACI'!U70)</f>
        <v>170</v>
      </c>
      <c r="G76" s="15"/>
      <c r="H76" s="30"/>
      <c r="I76" s="31" t="str">
        <f aca="false">IF(OR($G76="",$G76=0),"",IFERROR(ROUND($F76*$G76*(1-IF($H76="",0,$H76)),2),""))</f>
        <v/>
      </c>
      <c r="J76" s="9"/>
    </row>
    <row r="77" customFormat="false" ht="21.75" hidden="false" customHeight="true" outlineLevel="0" collapsed="false">
      <c r="B77" s="14" t="n">
        <v>67</v>
      </c>
      <c r="C77" s="7" t="s">
        <v>41</v>
      </c>
      <c r="D77" s="7" t="s">
        <v>74</v>
      </c>
      <c r="E77" s="7" t="s">
        <v>410</v>
      </c>
      <c r="F77" s="18" t="n">
        <f aca="false">IF('Base de Datos SACI'!U71="","",'Base de Datos SACI'!U71)</f>
        <v>30</v>
      </c>
      <c r="G77" s="14"/>
      <c r="H77" s="28"/>
      <c r="I77" s="29" t="str">
        <f aca="false">IF(OR($G77="",$G77=0),"",IFERROR(ROUND($F77*$G77*(1-IF($H77="",0,$H77)),2),""))</f>
        <v/>
      </c>
      <c r="J77" s="7"/>
    </row>
    <row r="78" customFormat="false" ht="21.75" hidden="false" customHeight="true" outlineLevel="0" collapsed="false">
      <c r="B78" s="15" t="n">
        <v>68</v>
      </c>
      <c r="C78" s="9" t="s">
        <v>41</v>
      </c>
      <c r="D78" s="9" t="s">
        <v>74</v>
      </c>
      <c r="E78" s="9" t="s">
        <v>420</v>
      </c>
      <c r="F78" s="19" t="n">
        <f aca="false">IF('Base de Datos SACI'!U72="","",'Base de Datos SACI'!U72)</f>
        <v>45</v>
      </c>
      <c r="G78" s="15"/>
      <c r="H78" s="30"/>
      <c r="I78" s="31" t="str">
        <f aca="false">IF(OR($G78="",$G78=0),"",IFERROR(ROUND($F78*$G78*(1-IF($H78="",0,$H78)),2),""))</f>
        <v/>
      </c>
      <c r="J78" s="9"/>
    </row>
    <row r="79" customFormat="false" ht="21.75" hidden="false" customHeight="true" outlineLevel="0" collapsed="false">
      <c r="B79" s="14" t="n">
        <v>69</v>
      </c>
      <c r="C79" s="7" t="s">
        <v>41</v>
      </c>
      <c r="D79" s="7" t="s">
        <v>74</v>
      </c>
      <c r="E79" s="7" t="s">
        <v>422</v>
      </c>
      <c r="F79" s="18" t="n">
        <f aca="false">IF('Base de Datos SACI'!U73="","",'Base de Datos SACI'!U73)</f>
        <v>65</v>
      </c>
      <c r="G79" s="14"/>
      <c r="H79" s="28"/>
      <c r="I79" s="29" t="str">
        <f aca="false">IF(OR($G79="",$G79=0),"",IFERROR(ROUND($F79*$G79*(1-IF($H79="",0,$H79)),2),""))</f>
        <v/>
      </c>
      <c r="J79" s="7"/>
    </row>
    <row r="80" customFormat="false" ht="21.75" hidden="false" customHeight="true" outlineLevel="0" collapsed="false">
      <c r="B80" s="15" t="n">
        <v>70</v>
      </c>
      <c r="C80" s="9" t="s">
        <v>41</v>
      </c>
      <c r="D80" s="9" t="s">
        <v>74</v>
      </c>
      <c r="E80" s="9" t="s">
        <v>425</v>
      </c>
      <c r="F80" s="19" t="n">
        <f aca="false">IF('Base de Datos SACI'!U74="","",'Base de Datos SACI'!U74)</f>
        <v>95</v>
      </c>
      <c r="G80" s="15"/>
      <c r="H80" s="30"/>
      <c r="I80" s="31" t="str">
        <f aca="false">IF(OR($G80="",$G80=0),"",IFERROR(ROUND($F80*$G80*(1-IF($H80="",0,$H80)),2),""))</f>
        <v/>
      </c>
      <c r="J80" s="9"/>
    </row>
    <row r="81" customFormat="false" ht="21.75" hidden="false" customHeight="true" outlineLevel="0" collapsed="false">
      <c r="B81" s="14" t="n">
        <v>71</v>
      </c>
      <c r="C81" s="7" t="s">
        <v>41</v>
      </c>
      <c r="D81" s="7" t="s">
        <v>74</v>
      </c>
      <c r="E81" s="7" t="s">
        <v>427</v>
      </c>
      <c r="F81" s="18" t="n">
        <f aca="false">IF('Base de Datos SACI'!U75="","",'Base de Datos SACI'!U75)</f>
        <v>140</v>
      </c>
      <c r="G81" s="14"/>
      <c r="H81" s="28"/>
      <c r="I81" s="29" t="str">
        <f aca="false">IF(OR($G81="",$G81=0),"",IFERROR(ROUND($F81*$G81*(1-IF($H81="",0,$H81)),2),""))</f>
        <v/>
      </c>
      <c r="J81" s="7"/>
    </row>
    <row r="82" customFormat="false" ht="21.75" hidden="false" customHeight="true" outlineLevel="0" collapsed="false">
      <c r="B82" s="15" t="n">
        <v>72</v>
      </c>
      <c r="C82" s="9" t="s">
        <v>41</v>
      </c>
      <c r="D82" s="9" t="s">
        <v>75</v>
      </c>
      <c r="E82" s="9" t="s">
        <v>429</v>
      </c>
      <c r="F82" s="19" t="n">
        <f aca="false">IF('Base de Datos SACI'!U76="","",'Base de Datos SACI'!U76)</f>
        <v>20</v>
      </c>
      <c r="G82" s="15"/>
      <c r="H82" s="30"/>
      <c r="I82" s="31" t="str">
        <f aca="false">IF(OR($G82="",$G82=0),"",IFERROR(ROUND($F82*$G82*(1-IF($H82="",0,$H82)),2),""))</f>
        <v/>
      </c>
      <c r="J82" s="9"/>
    </row>
    <row r="83" customFormat="false" ht="21.75" hidden="false" customHeight="true" outlineLevel="0" collapsed="false">
      <c r="B83" s="14" t="n">
        <v>73</v>
      </c>
      <c r="C83" s="7" t="s">
        <v>41</v>
      </c>
      <c r="D83" s="7" t="s">
        <v>75</v>
      </c>
      <c r="E83" s="7" t="s">
        <v>437</v>
      </c>
      <c r="F83" s="18" t="n">
        <f aca="false">IF('Base de Datos SACI'!U77="","",'Base de Datos SACI'!U77)</f>
        <v>30</v>
      </c>
      <c r="G83" s="14"/>
      <c r="H83" s="28"/>
      <c r="I83" s="29" t="str">
        <f aca="false">IF(OR($G83="",$G83=0),"",IFERROR(ROUND($F83*$G83*(1-IF($H83="",0,$H83)),2),""))</f>
        <v/>
      </c>
      <c r="J83" s="7"/>
    </row>
    <row r="84" customFormat="false" ht="21.75" hidden="false" customHeight="true" outlineLevel="0" collapsed="false">
      <c r="B84" s="15" t="n">
        <v>74</v>
      </c>
      <c r="C84" s="9" t="s">
        <v>41</v>
      </c>
      <c r="D84" s="9" t="s">
        <v>75</v>
      </c>
      <c r="E84" s="9" t="s">
        <v>439</v>
      </c>
      <c r="F84" s="19" t="n">
        <f aca="false">IF('Base de Datos SACI'!U78="","",'Base de Datos SACI'!U78)</f>
        <v>40</v>
      </c>
      <c r="G84" s="15"/>
      <c r="H84" s="30"/>
      <c r="I84" s="31" t="str">
        <f aca="false">IF(OR($G84="",$G84=0),"",IFERROR(ROUND($F84*$G84*(1-IF($H84="",0,$H84)),2),""))</f>
        <v/>
      </c>
      <c r="J84" s="9"/>
    </row>
    <row r="85" customFormat="false" ht="21.75" hidden="false" customHeight="true" outlineLevel="0" collapsed="false">
      <c r="B85" s="14" t="n">
        <v>75</v>
      </c>
      <c r="C85" s="7" t="s">
        <v>41</v>
      </c>
      <c r="D85" s="7" t="s">
        <v>75</v>
      </c>
      <c r="E85" s="7" t="s">
        <v>442</v>
      </c>
      <c r="F85" s="18" t="n">
        <f aca="false">IF('Base de Datos SACI'!U79="","",'Base de Datos SACI'!U79)</f>
        <v>60</v>
      </c>
      <c r="G85" s="14"/>
      <c r="H85" s="28"/>
      <c r="I85" s="29" t="str">
        <f aca="false">IF(OR($G85="",$G85=0),"",IFERROR(ROUND($F85*$G85*(1-IF($H85="",0,$H85)),2),""))</f>
        <v/>
      </c>
      <c r="J85" s="7"/>
    </row>
    <row r="86" customFormat="false" ht="21.75" hidden="false" customHeight="true" outlineLevel="0" collapsed="false">
      <c r="B86" s="15" t="n">
        <v>76</v>
      </c>
      <c r="C86" s="9" t="s">
        <v>41</v>
      </c>
      <c r="D86" s="9" t="s">
        <v>75</v>
      </c>
      <c r="E86" s="9" t="s">
        <v>427</v>
      </c>
      <c r="F86" s="19" t="n">
        <f aca="false">IF('Base de Datos SACI'!U80="","",'Base de Datos SACI'!U80)</f>
        <v>85</v>
      </c>
      <c r="G86" s="15"/>
      <c r="H86" s="30"/>
      <c r="I86" s="31" t="str">
        <f aca="false">IF(OR($G86="",$G86=0),"",IFERROR(ROUND($F86*$G86*(1-IF($H86="",0,$H86)),2),""))</f>
        <v/>
      </c>
      <c r="J86" s="9"/>
    </row>
    <row r="87" customFormat="false" ht="21.75" hidden="false" customHeight="true" outlineLevel="0" collapsed="false">
      <c r="B87" s="14" t="n">
        <v>77</v>
      </c>
      <c r="C87" s="7" t="s">
        <v>42</v>
      </c>
      <c r="D87" s="7" t="s">
        <v>60</v>
      </c>
      <c r="E87" s="7" t="s">
        <v>445</v>
      </c>
      <c r="F87" s="18" t="n">
        <f aca="false">IF('Base de Datos SACI'!U81="","",'Base de Datos SACI'!U81)</f>
        <v>155</v>
      </c>
      <c r="G87" s="14"/>
      <c r="H87" s="28"/>
      <c r="I87" s="29" t="str">
        <f aca="false">IF(OR($G87="",$G87=0),"",IFERROR(ROUND($F87*$G87*(1-IF($H87="",0,$H87)),2),""))</f>
        <v/>
      </c>
      <c r="J87" s="7"/>
    </row>
    <row r="88" customFormat="false" ht="21.75" hidden="false" customHeight="true" outlineLevel="0" collapsed="false">
      <c r="B88" s="15" t="n">
        <v>78</v>
      </c>
      <c r="C88" s="9" t="s">
        <v>42</v>
      </c>
      <c r="D88" s="9" t="s">
        <v>60</v>
      </c>
      <c r="E88" s="9" t="s">
        <v>457</v>
      </c>
      <c r="F88" s="19" t="n">
        <f aca="false">IF('Base de Datos SACI'!U82="","",'Base de Datos SACI'!U82)</f>
        <v>230</v>
      </c>
      <c r="G88" s="15"/>
      <c r="H88" s="30"/>
      <c r="I88" s="31" t="str">
        <f aca="false">IF(OR($G88="",$G88=0),"",IFERROR(ROUND($F88*$G88*(1-IF($H88="",0,$H88)),2),""))</f>
        <v/>
      </c>
      <c r="J88" s="9"/>
    </row>
    <row r="89" customFormat="false" ht="21.75" hidden="false" customHeight="true" outlineLevel="0" collapsed="false">
      <c r="B89" s="14" t="n">
        <v>79</v>
      </c>
      <c r="C89" s="7" t="s">
        <v>42</v>
      </c>
      <c r="D89" s="7" t="s">
        <v>60</v>
      </c>
      <c r="E89" s="7" t="s">
        <v>458</v>
      </c>
      <c r="F89" s="18" t="n">
        <f aca="false">IF('Base de Datos SACI'!U83="","",'Base de Datos SACI'!U83)</f>
        <v>310</v>
      </c>
      <c r="G89" s="14"/>
      <c r="H89" s="28"/>
      <c r="I89" s="29" t="str">
        <f aca="false">IF(OR($G89="",$G89=0),"",IFERROR(ROUND($F89*$G89*(1-IF($H89="",0,$H89)),2),""))</f>
        <v/>
      </c>
      <c r="J89" s="7"/>
    </row>
    <row r="90" customFormat="false" ht="21.75" hidden="false" customHeight="true" outlineLevel="0" collapsed="false">
      <c r="B90" s="15" t="n">
        <v>80</v>
      </c>
      <c r="C90" s="9" t="s">
        <v>42</v>
      </c>
      <c r="D90" s="9" t="s">
        <v>60</v>
      </c>
      <c r="E90" s="9" t="s">
        <v>460</v>
      </c>
      <c r="F90" s="19" t="n">
        <f aca="false">IF('Base de Datos SACI'!U84="","",'Base de Datos SACI'!U84)</f>
        <v>465</v>
      </c>
      <c r="G90" s="15"/>
      <c r="H90" s="30"/>
      <c r="I90" s="31" t="str">
        <f aca="false">IF(OR($G90="",$G90=0),"",IFERROR(ROUND($F90*$G90*(1-IF($H90="",0,$H90)),2),""))</f>
        <v/>
      </c>
      <c r="J90" s="9"/>
    </row>
    <row r="91" customFormat="false" ht="21.75" hidden="false" customHeight="true" outlineLevel="0" collapsed="false">
      <c r="B91" s="14" t="n">
        <v>81</v>
      </c>
      <c r="C91" s="7" t="s">
        <v>42</v>
      </c>
      <c r="D91" s="7" t="s">
        <v>60</v>
      </c>
      <c r="E91" s="7" t="s">
        <v>461</v>
      </c>
      <c r="F91" s="18" t="n">
        <f aca="false">IF('Base de Datos SACI'!U85="","",'Base de Datos SACI'!U85)</f>
        <v>680</v>
      </c>
      <c r="G91" s="14"/>
      <c r="H91" s="28"/>
      <c r="I91" s="29" t="str">
        <f aca="false">IF(OR($G91="",$G91=0),"",IFERROR(ROUND($F91*$G91*(1-IF($H91="",0,$H91)),2),""))</f>
        <v/>
      </c>
      <c r="J91" s="7"/>
    </row>
    <row r="92" customFormat="false" ht="21.75" hidden="false" customHeight="true" outlineLevel="0" collapsed="false">
      <c r="B92" s="15" t="n">
        <v>82</v>
      </c>
      <c r="C92" s="9" t="s">
        <v>42</v>
      </c>
      <c r="D92" s="9" t="s">
        <v>61</v>
      </c>
      <c r="E92" s="9" t="s">
        <v>462</v>
      </c>
      <c r="F92" s="19" t="n">
        <f aca="false">IF('Base de Datos SACI'!U86="","",'Base de Datos SACI'!U86)</f>
        <v>90</v>
      </c>
      <c r="G92" s="15"/>
      <c r="H92" s="30"/>
      <c r="I92" s="31" t="str">
        <f aca="false">IF(OR($G92="",$G92=0),"",IFERROR(ROUND($F92*$G92*(1-IF($H92="",0,$H92)),2),""))</f>
        <v/>
      </c>
      <c r="J92" s="9"/>
    </row>
    <row r="93" customFormat="false" ht="21.75" hidden="false" customHeight="true" outlineLevel="0" collapsed="false">
      <c r="B93" s="14" t="n">
        <v>83</v>
      </c>
      <c r="C93" s="7" t="s">
        <v>42</v>
      </c>
      <c r="D93" s="7" t="s">
        <v>61</v>
      </c>
      <c r="E93" s="7" t="s">
        <v>469</v>
      </c>
      <c r="F93" s="18" t="n">
        <f aca="false">IF('Base de Datos SACI'!U87="","",'Base de Datos SACI'!U87)</f>
        <v>135</v>
      </c>
      <c r="G93" s="14"/>
      <c r="H93" s="28"/>
      <c r="I93" s="29" t="str">
        <f aca="false">IF(OR($G93="",$G93=0),"",IFERROR(ROUND($F93*$G93*(1-IF($H93="",0,$H93)),2),""))</f>
        <v/>
      </c>
      <c r="J93" s="7"/>
    </row>
    <row r="94" customFormat="false" ht="21.75" hidden="false" customHeight="true" outlineLevel="0" collapsed="false">
      <c r="B94" s="15" t="n">
        <v>84</v>
      </c>
      <c r="C94" s="9" t="s">
        <v>42</v>
      </c>
      <c r="D94" s="9" t="s">
        <v>61</v>
      </c>
      <c r="E94" s="9" t="s">
        <v>461</v>
      </c>
      <c r="F94" s="19" t="n">
        <f aca="false">IF('Base de Datos SACI'!U88="","",'Base de Datos SACI'!U88)</f>
        <v>185</v>
      </c>
      <c r="G94" s="15"/>
      <c r="H94" s="30"/>
      <c r="I94" s="31" t="str">
        <f aca="false">IF(OR($G94="",$G94=0),"",IFERROR(ROUND($F94*$G94*(1-IF($H94="",0,$H94)),2),""))</f>
        <v/>
      </c>
      <c r="J94" s="9"/>
    </row>
    <row r="95" customFormat="false" ht="21.75" hidden="false" customHeight="true" outlineLevel="0" collapsed="false">
      <c r="B95" s="14" t="n">
        <v>85</v>
      </c>
      <c r="C95" s="7" t="s">
        <v>42</v>
      </c>
      <c r="D95" s="7" t="s">
        <v>61</v>
      </c>
      <c r="E95" s="7" t="s">
        <v>471</v>
      </c>
      <c r="F95" s="18" t="n">
        <f aca="false">IF('Base de Datos SACI'!U89="","",'Base de Datos SACI'!U89)</f>
        <v>275</v>
      </c>
      <c r="G95" s="14"/>
      <c r="H95" s="28"/>
      <c r="I95" s="29" t="str">
        <f aca="false">IF(OR($G95="",$G95=0),"",IFERROR(ROUND($F95*$G95*(1-IF($H95="",0,$H95)),2),""))</f>
        <v/>
      </c>
      <c r="J95" s="7"/>
    </row>
    <row r="96" customFormat="false" ht="21.75" hidden="false" customHeight="true" outlineLevel="0" collapsed="false">
      <c r="B96" s="15" t="n">
        <v>86</v>
      </c>
      <c r="C96" s="9" t="s">
        <v>42</v>
      </c>
      <c r="D96" s="9" t="s">
        <v>61</v>
      </c>
      <c r="E96" s="9" t="s">
        <v>472</v>
      </c>
      <c r="F96" s="19" t="n">
        <f aca="false">IF('Base de Datos SACI'!U90="","",'Base de Datos SACI'!U90)</f>
        <v>405</v>
      </c>
      <c r="G96" s="15"/>
      <c r="H96" s="30"/>
      <c r="I96" s="31" t="str">
        <f aca="false">IF(OR($G96="",$G96=0),"",IFERROR(ROUND($F96*$G96*(1-IF($H96="",0,$H96)),2),""))</f>
        <v/>
      </c>
      <c r="J96" s="9"/>
    </row>
    <row r="97" customFormat="false" ht="21.75" hidden="false" customHeight="true" outlineLevel="0" collapsed="false">
      <c r="B97" s="14" t="n">
        <v>87</v>
      </c>
      <c r="C97" s="7" t="s">
        <v>42</v>
      </c>
      <c r="D97" s="7" t="s">
        <v>62</v>
      </c>
      <c r="E97" s="7" t="s">
        <v>473</v>
      </c>
      <c r="F97" s="18" t="n">
        <f aca="false">IF('Base de Datos SACI'!U91="","",'Base de Datos SACI'!U91)</f>
        <v>120</v>
      </c>
      <c r="G97" s="14"/>
      <c r="H97" s="28"/>
      <c r="I97" s="29" t="str">
        <f aca="false">IF(OR($G97="",$G97=0),"",IFERROR(ROUND($F97*$G97*(1-IF($H97="",0,$H97)),2),""))</f>
        <v/>
      </c>
      <c r="J97" s="7"/>
    </row>
    <row r="98" customFormat="false" ht="21.75" hidden="false" customHeight="true" outlineLevel="0" collapsed="false">
      <c r="B98" s="15" t="n">
        <v>88</v>
      </c>
      <c r="C98" s="9" t="s">
        <v>42</v>
      </c>
      <c r="D98" s="9" t="s">
        <v>62</v>
      </c>
      <c r="E98" s="9" t="s">
        <v>483</v>
      </c>
      <c r="F98" s="19" t="n">
        <f aca="false">IF('Base de Datos SACI'!U92="","",'Base de Datos SACI'!U92)</f>
        <v>185</v>
      </c>
      <c r="G98" s="15"/>
      <c r="H98" s="30"/>
      <c r="I98" s="31" t="str">
        <f aca="false">IF(OR($G98="",$G98=0),"",IFERROR(ROUND($F98*$G98*(1-IF($H98="",0,$H98)),2),""))</f>
        <v/>
      </c>
      <c r="J98" s="9"/>
    </row>
    <row r="99" customFormat="false" ht="21.75" hidden="false" customHeight="true" outlineLevel="0" collapsed="false">
      <c r="B99" s="14" t="n">
        <v>89</v>
      </c>
      <c r="C99" s="7" t="s">
        <v>42</v>
      </c>
      <c r="D99" s="7" t="s">
        <v>62</v>
      </c>
      <c r="E99" s="7" t="s">
        <v>484</v>
      </c>
      <c r="F99" s="18" t="n">
        <f aca="false">IF('Base de Datos SACI'!U93="","",'Base de Datos SACI'!U93)</f>
        <v>245</v>
      </c>
      <c r="G99" s="14"/>
      <c r="H99" s="28"/>
      <c r="I99" s="29" t="str">
        <f aca="false">IF(OR($G99="",$G99=0),"",IFERROR(ROUND($F99*$G99*(1-IF($H99="",0,$H99)),2),""))</f>
        <v/>
      </c>
      <c r="J99" s="7"/>
    </row>
    <row r="100" customFormat="false" ht="21.75" hidden="false" customHeight="true" outlineLevel="0" collapsed="false">
      <c r="B100" s="15" t="n">
        <v>90</v>
      </c>
      <c r="C100" s="9" t="s">
        <v>42</v>
      </c>
      <c r="D100" s="9" t="s">
        <v>62</v>
      </c>
      <c r="E100" s="9" t="s">
        <v>486</v>
      </c>
      <c r="F100" s="19" t="n">
        <f aca="false">IF('Base de Datos SACI'!U94="","",'Base de Datos SACI'!U94)</f>
        <v>370</v>
      </c>
      <c r="G100" s="15"/>
      <c r="H100" s="30"/>
      <c r="I100" s="31" t="str">
        <f aca="false">IF(OR($G100="",$G100=0),"",IFERROR(ROUND($F100*$G100*(1-IF($H100="",0,$H100)),2),""))</f>
        <v/>
      </c>
      <c r="J100" s="9"/>
    </row>
    <row r="101" customFormat="false" ht="21.75" hidden="false" customHeight="true" outlineLevel="0" collapsed="false">
      <c r="B101" s="14" t="n">
        <v>91</v>
      </c>
      <c r="C101" s="7" t="s">
        <v>42</v>
      </c>
      <c r="D101" s="7" t="s">
        <v>62</v>
      </c>
      <c r="E101" s="7" t="s">
        <v>487</v>
      </c>
      <c r="F101" s="18" t="n">
        <f aca="false">IF('Base de Datos SACI'!U95="","",'Base de Datos SACI'!U95)</f>
        <v>545</v>
      </c>
      <c r="G101" s="14"/>
      <c r="H101" s="28"/>
      <c r="I101" s="29" t="str">
        <f aca="false">IF(OR($G101="",$G101=0),"",IFERROR(ROUND($F101*$G101*(1-IF($H101="",0,$H101)),2),""))</f>
        <v/>
      </c>
      <c r="J101" s="7"/>
    </row>
    <row r="102" customFormat="false" ht="21.75" hidden="false" customHeight="true" outlineLevel="0" collapsed="false">
      <c r="B102" s="15" t="n">
        <v>92</v>
      </c>
      <c r="C102" s="9" t="s">
        <v>42</v>
      </c>
      <c r="D102" s="9" t="s">
        <v>63</v>
      </c>
      <c r="E102" s="9" t="s">
        <v>488</v>
      </c>
      <c r="F102" s="19" t="n">
        <f aca="false">IF('Base de Datos SACI'!U96="","",'Base de Datos SACI'!U96)</f>
        <v>40</v>
      </c>
      <c r="G102" s="15"/>
      <c r="H102" s="30"/>
      <c r="I102" s="31" t="str">
        <f aca="false">IF(OR($G102="",$G102=0),"",IFERROR(ROUND($F102*$G102*(1-IF($H102="",0,$H102)),2),""))</f>
        <v/>
      </c>
      <c r="J102" s="9"/>
    </row>
    <row r="103" customFormat="false" ht="21.75" hidden="false" customHeight="true" outlineLevel="0" collapsed="false">
      <c r="B103" s="14" t="n">
        <v>93</v>
      </c>
      <c r="C103" s="7" t="s">
        <v>42</v>
      </c>
      <c r="D103" s="7" t="s">
        <v>63</v>
      </c>
      <c r="E103" s="7" t="s">
        <v>496</v>
      </c>
      <c r="F103" s="18" t="n">
        <f aca="false">IF('Base de Datos SACI'!U97="","",'Base de Datos SACI'!U97)</f>
        <v>65</v>
      </c>
      <c r="G103" s="14"/>
      <c r="H103" s="28"/>
      <c r="I103" s="29" t="str">
        <f aca="false">IF(OR($G103="",$G103=0),"",IFERROR(ROUND($F103*$G103*(1-IF($H103="",0,$H103)),2),""))</f>
        <v/>
      </c>
      <c r="J103" s="7"/>
    </row>
    <row r="104" customFormat="false" ht="21.75" hidden="false" customHeight="true" outlineLevel="0" collapsed="false">
      <c r="B104" s="15" t="n">
        <v>94</v>
      </c>
      <c r="C104" s="9" t="s">
        <v>42</v>
      </c>
      <c r="D104" s="9" t="s">
        <v>63</v>
      </c>
      <c r="E104" s="9" t="s">
        <v>497</v>
      </c>
      <c r="F104" s="19" t="n">
        <f aca="false">IF('Base de Datos SACI'!U98="","",'Base de Datos SACI'!U98)</f>
        <v>85</v>
      </c>
      <c r="G104" s="15"/>
      <c r="H104" s="30"/>
      <c r="I104" s="31" t="str">
        <f aca="false">IF(OR($G104="",$G104=0),"",IFERROR(ROUND($F104*$G104*(1-IF($H104="",0,$H104)),2),""))</f>
        <v/>
      </c>
      <c r="J104" s="9"/>
    </row>
    <row r="105" customFormat="false" ht="21.75" hidden="false" customHeight="true" outlineLevel="0" collapsed="false">
      <c r="B105" s="14" t="n">
        <v>95</v>
      </c>
      <c r="C105" s="7" t="s">
        <v>42</v>
      </c>
      <c r="D105" s="7" t="s">
        <v>63</v>
      </c>
      <c r="E105" s="7" t="s">
        <v>499</v>
      </c>
      <c r="F105" s="18" t="n">
        <f aca="false">IF('Base de Datos SACI'!U99="","",'Base de Datos SACI'!U99)</f>
        <v>130</v>
      </c>
      <c r="G105" s="14"/>
      <c r="H105" s="28"/>
      <c r="I105" s="29" t="str">
        <f aca="false">IF(OR($G105="",$G105=0),"",IFERROR(ROUND($F105*$G105*(1-IF($H105="",0,$H105)),2),""))</f>
        <v/>
      </c>
      <c r="J105" s="7"/>
    </row>
    <row r="106" customFormat="false" ht="21.75" hidden="false" customHeight="true" outlineLevel="0" collapsed="false">
      <c r="B106" s="15" t="n">
        <v>96</v>
      </c>
      <c r="C106" s="9" t="s">
        <v>42</v>
      </c>
      <c r="D106" s="9" t="s">
        <v>63</v>
      </c>
      <c r="E106" s="9" t="s">
        <v>500</v>
      </c>
      <c r="F106" s="19" t="n">
        <f aca="false">IF('Base de Datos SACI'!U100="","",'Base de Datos SACI'!U100)</f>
        <v>190</v>
      </c>
      <c r="G106" s="15"/>
      <c r="H106" s="30"/>
      <c r="I106" s="31" t="str">
        <f aca="false">IF(OR($G106="",$G106=0),"",IFERROR(ROUND($F106*$G106*(1-IF($H106="",0,$H106)),2),""))</f>
        <v/>
      </c>
      <c r="J106" s="9"/>
    </row>
    <row r="107" customFormat="false" ht="21.75" hidden="false" customHeight="true" outlineLevel="0" collapsed="false">
      <c r="B107" s="14" t="n">
        <v>97</v>
      </c>
      <c r="C107" s="7" t="s">
        <v>42</v>
      </c>
      <c r="D107" s="7" t="s">
        <v>64</v>
      </c>
      <c r="E107" s="7" t="s">
        <v>501</v>
      </c>
      <c r="F107" s="18" t="n">
        <f aca="false">IF('Base de Datos SACI'!U101="","",'Base de Datos SACI'!U101)</f>
        <v>12</v>
      </c>
      <c r="G107" s="14"/>
      <c r="H107" s="28"/>
      <c r="I107" s="29" t="str">
        <f aca="false">IF(OR($G107="",$G107=0),"",IFERROR(ROUND($F107*$G107*(1-IF($H107="",0,$H107)),2),""))</f>
        <v/>
      </c>
      <c r="J107" s="7"/>
    </row>
    <row r="108" customFormat="false" ht="21.75" hidden="false" customHeight="true" outlineLevel="0" collapsed="false">
      <c r="B108" s="15" t="n">
        <v>98</v>
      </c>
      <c r="C108" s="9" t="s">
        <v>42</v>
      </c>
      <c r="D108" s="9" t="s">
        <v>64</v>
      </c>
      <c r="E108" s="9" t="s">
        <v>509</v>
      </c>
      <c r="F108" s="19" t="n">
        <f aca="false">IF('Base de Datos SACI'!U102="","",'Base de Datos SACI'!U102)</f>
        <v>18</v>
      </c>
      <c r="G108" s="15"/>
      <c r="H108" s="30"/>
      <c r="I108" s="31" t="str">
        <f aca="false">IF(OR($G108="",$G108=0),"",IFERROR(ROUND($F108*$G108*(1-IF($H108="",0,$H108)),2),""))</f>
        <v/>
      </c>
      <c r="J108" s="9"/>
    </row>
    <row r="109" customFormat="false" ht="21.75" hidden="false" customHeight="true" outlineLevel="0" collapsed="false">
      <c r="B109" s="14" t="n">
        <v>99</v>
      </c>
      <c r="C109" s="7" t="s">
        <v>42</v>
      </c>
      <c r="D109" s="7" t="s">
        <v>64</v>
      </c>
      <c r="E109" s="7" t="s">
        <v>510</v>
      </c>
      <c r="F109" s="18" t="n">
        <f aca="false">IF('Base de Datos SACI'!U103="","",'Base de Datos SACI'!U103)</f>
        <v>20</v>
      </c>
      <c r="G109" s="14"/>
      <c r="H109" s="28"/>
      <c r="I109" s="29" t="str">
        <f aca="false">IF(OR($G109="",$G109=0),"",IFERROR(ROUND($F109*$G109*(1-IF($H109="",0,$H109)),2),""))</f>
        <v/>
      </c>
      <c r="J109" s="7"/>
    </row>
    <row r="110" customFormat="false" ht="21.75" hidden="false" customHeight="true" outlineLevel="0" collapsed="false">
      <c r="B110" s="15" t="n">
        <v>100</v>
      </c>
      <c r="C110" s="9" t="s">
        <v>42</v>
      </c>
      <c r="D110" s="9" t="s">
        <v>64</v>
      </c>
      <c r="E110" s="9" t="s">
        <v>512</v>
      </c>
      <c r="F110" s="19" t="n">
        <f aca="false">IF('Base de Datos SACI'!U104="","",'Base de Datos SACI'!U104)</f>
        <v>35</v>
      </c>
      <c r="G110" s="15"/>
      <c r="H110" s="30"/>
      <c r="I110" s="31" t="str">
        <f aca="false">IF(OR($G110="",$G110=0),"",IFERROR(ROUND($F110*$G110*(1-IF($H110="",0,$H110)),2),""))</f>
        <v/>
      </c>
      <c r="J110" s="9"/>
    </row>
    <row r="111" customFormat="false" ht="21.75" hidden="false" customHeight="true" outlineLevel="0" collapsed="false">
      <c r="B111" s="14" t="n">
        <v>101</v>
      </c>
      <c r="C111" s="7" t="s">
        <v>42</v>
      </c>
      <c r="D111" s="7" t="s">
        <v>64</v>
      </c>
      <c r="E111" s="7" t="s">
        <v>513</v>
      </c>
      <c r="F111" s="18" t="n">
        <f aca="false">IF('Base de Datos SACI'!U105="","",'Base de Datos SACI'!U105)</f>
        <v>50</v>
      </c>
      <c r="G111" s="14"/>
      <c r="H111" s="28"/>
      <c r="I111" s="29" t="str">
        <f aca="false">IF(OR($G111="",$G111=0),"",IFERROR(ROUND($F111*$G111*(1-IF($H111="",0,$H111)),2),""))</f>
        <v/>
      </c>
      <c r="J111" s="7"/>
    </row>
    <row r="112" customFormat="false" ht="21.75" hidden="false" customHeight="true" outlineLevel="0" collapsed="false">
      <c r="B112" s="15" t="n">
        <v>102</v>
      </c>
      <c r="C112" s="9" t="s">
        <v>42</v>
      </c>
      <c r="D112" s="9" t="s">
        <v>65</v>
      </c>
      <c r="E112" s="9" t="s">
        <v>514</v>
      </c>
      <c r="F112" s="19" t="n">
        <f aca="false">IF('Base de Datos SACI'!U106="","",'Base de Datos SACI'!U106)</f>
        <v>18</v>
      </c>
      <c r="G112" s="15"/>
      <c r="H112" s="30"/>
      <c r="I112" s="31" t="str">
        <f aca="false">IF(OR($G112="",$G112=0),"",IFERROR(ROUND($F112*$G112*(1-IF($H112="",0,$H112)),2),""))</f>
        <v/>
      </c>
      <c r="J112" s="9"/>
    </row>
    <row r="113" customFormat="false" ht="21.75" hidden="false" customHeight="true" outlineLevel="0" collapsed="false">
      <c r="B113" s="14" t="n">
        <v>103</v>
      </c>
      <c r="C113" s="7" t="s">
        <v>42</v>
      </c>
      <c r="D113" s="7" t="s">
        <v>65</v>
      </c>
      <c r="E113" s="7" t="s">
        <v>523</v>
      </c>
      <c r="F113" s="18" t="n">
        <f aca="false">IF('Base de Datos SACI'!U107="","",'Base de Datos SACI'!U107)</f>
        <v>25</v>
      </c>
      <c r="G113" s="14"/>
      <c r="H113" s="28"/>
      <c r="I113" s="29" t="str">
        <f aca="false">IF(OR($G113="",$G113=0),"",IFERROR(ROUND($F113*$G113*(1-IF($H113="",0,$H113)),2),""))</f>
        <v/>
      </c>
      <c r="J113" s="7"/>
    </row>
    <row r="114" customFormat="false" ht="21.75" hidden="false" customHeight="true" outlineLevel="0" collapsed="false">
      <c r="B114" s="15" t="n">
        <v>104</v>
      </c>
      <c r="C114" s="9" t="s">
        <v>42</v>
      </c>
      <c r="D114" s="9" t="s">
        <v>65</v>
      </c>
      <c r="E114" s="9" t="s">
        <v>524</v>
      </c>
      <c r="F114" s="19" t="n">
        <f aca="false">IF('Base de Datos SACI'!U108="","",'Base de Datos SACI'!U108)</f>
        <v>35</v>
      </c>
      <c r="G114" s="15"/>
      <c r="H114" s="30"/>
      <c r="I114" s="31" t="str">
        <f aca="false">IF(OR($G114="",$G114=0),"",IFERROR(ROUND($F114*$G114*(1-IF($H114="",0,$H114)),2),""))</f>
        <v/>
      </c>
      <c r="J114" s="9"/>
    </row>
    <row r="115" customFormat="false" ht="21.75" hidden="false" customHeight="true" outlineLevel="0" collapsed="false">
      <c r="B115" s="14" t="n">
        <v>105</v>
      </c>
      <c r="C115" s="7" t="s">
        <v>42</v>
      </c>
      <c r="D115" s="7" t="s">
        <v>65</v>
      </c>
      <c r="E115" s="7" t="s">
        <v>526</v>
      </c>
      <c r="F115" s="18" t="n">
        <f aca="false">IF('Base de Datos SACI'!U109="","",'Base de Datos SACI'!U109)</f>
        <v>50</v>
      </c>
      <c r="G115" s="14"/>
      <c r="H115" s="28"/>
      <c r="I115" s="29" t="str">
        <f aca="false">IF(OR($G115="",$G115=0),"",IFERROR(ROUND($F115*$G115*(1-IF($H115="",0,$H115)),2),""))</f>
        <v/>
      </c>
      <c r="J115" s="7"/>
    </row>
    <row r="116" customFormat="false" ht="21.75" hidden="false" customHeight="true" outlineLevel="0" collapsed="false">
      <c r="B116" s="15" t="n">
        <v>106</v>
      </c>
      <c r="C116" s="9" t="s">
        <v>42</v>
      </c>
      <c r="D116" s="9" t="s">
        <v>65</v>
      </c>
      <c r="E116" s="9" t="s">
        <v>527</v>
      </c>
      <c r="F116" s="19" t="n">
        <f aca="false">IF('Base de Datos SACI'!U110="","",'Base de Datos SACI'!U110)</f>
        <v>75</v>
      </c>
      <c r="G116" s="15"/>
      <c r="H116" s="30"/>
      <c r="I116" s="31" t="str">
        <f aca="false">IF(OR($G116="",$G116=0),"",IFERROR(ROUND($F116*$G116*(1-IF($H116="",0,$H116)),2),""))</f>
        <v/>
      </c>
      <c r="J116" s="9"/>
    </row>
    <row r="117" customFormat="false" ht="21.75" hidden="false" customHeight="true" outlineLevel="0" collapsed="false">
      <c r="B117" s="14" t="n">
        <v>107</v>
      </c>
      <c r="C117" s="7" t="s">
        <v>42</v>
      </c>
      <c r="D117" s="7" t="s">
        <v>66</v>
      </c>
      <c r="E117" s="7" t="s">
        <v>528</v>
      </c>
      <c r="F117" s="18" t="n">
        <f aca="false">IF('Base de Datos SACI'!U111="","",'Base de Datos SACI'!U111)</f>
        <v>25</v>
      </c>
      <c r="G117" s="14"/>
      <c r="H117" s="28"/>
      <c r="I117" s="29" t="str">
        <f aca="false">IF(OR($G117="",$G117=0),"",IFERROR(ROUND($F117*$G117*(1-IF($H117="",0,$H117)),2),""))</f>
        <v/>
      </c>
      <c r="J117" s="7"/>
    </row>
    <row r="118" customFormat="false" ht="21.75" hidden="false" customHeight="true" outlineLevel="0" collapsed="false">
      <c r="B118" s="15" t="n">
        <v>108</v>
      </c>
      <c r="C118" s="9" t="s">
        <v>42</v>
      </c>
      <c r="D118" s="9" t="s">
        <v>66</v>
      </c>
      <c r="E118" s="9" t="s">
        <v>534</v>
      </c>
      <c r="F118" s="19" t="n">
        <f aca="false">IF('Base de Datos SACI'!U112="","",'Base de Datos SACI'!U112)</f>
        <v>40</v>
      </c>
      <c r="G118" s="15"/>
      <c r="H118" s="30"/>
      <c r="I118" s="31" t="str">
        <f aca="false">IF(OR($G118="",$G118=0),"",IFERROR(ROUND($F118*$G118*(1-IF($H118="",0,$H118)),2),""))</f>
        <v/>
      </c>
      <c r="J118" s="9"/>
    </row>
    <row r="119" customFormat="false" ht="21.75" hidden="false" customHeight="true" outlineLevel="0" collapsed="false">
      <c r="B119" s="14" t="n">
        <v>109</v>
      </c>
      <c r="C119" s="7" t="s">
        <v>42</v>
      </c>
      <c r="D119" s="7" t="s">
        <v>66</v>
      </c>
      <c r="E119" s="7" t="s">
        <v>535</v>
      </c>
      <c r="F119" s="18" t="n">
        <f aca="false">IF('Base de Datos SACI'!U113="","",'Base de Datos SACI'!U113)</f>
        <v>55</v>
      </c>
      <c r="G119" s="14"/>
      <c r="H119" s="28"/>
      <c r="I119" s="29" t="str">
        <f aca="false">IF(OR($G119="",$G119=0),"",IFERROR(ROUND($F119*$G119*(1-IF($H119="",0,$H119)),2),""))</f>
        <v/>
      </c>
      <c r="J119" s="7"/>
    </row>
    <row r="120" customFormat="false" ht="21.75" hidden="false" customHeight="true" outlineLevel="0" collapsed="false">
      <c r="B120" s="15" t="n">
        <v>110</v>
      </c>
      <c r="C120" s="9" t="s">
        <v>42</v>
      </c>
      <c r="D120" s="9" t="s">
        <v>66</v>
      </c>
      <c r="E120" s="9" t="s">
        <v>537</v>
      </c>
      <c r="F120" s="19" t="n">
        <f aca="false">IF('Base de Datos SACI'!U114="","",'Base de Datos SACI'!U114)</f>
        <v>85</v>
      </c>
      <c r="G120" s="15"/>
      <c r="H120" s="30"/>
      <c r="I120" s="31" t="str">
        <f aca="false">IF(OR($G120="",$G120=0),"",IFERROR(ROUND($F120*$G120*(1-IF($H120="",0,$H120)),2),""))</f>
        <v/>
      </c>
      <c r="J120" s="9"/>
    </row>
    <row r="121" customFormat="false" ht="21.75" hidden="false" customHeight="true" outlineLevel="0" collapsed="false">
      <c r="B121" s="14" t="n">
        <v>111</v>
      </c>
      <c r="C121" s="7" t="s">
        <v>42</v>
      </c>
      <c r="D121" s="7" t="s">
        <v>66</v>
      </c>
      <c r="E121" s="7" t="s">
        <v>538</v>
      </c>
      <c r="F121" s="18" t="n">
        <f aca="false">IF('Base de Datos SACI'!U115="","",'Base de Datos SACI'!U115)</f>
        <v>125</v>
      </c>
      <c r="G121" s="14"/>
      <c r="H121" s="28"/>
      <c r="I121" s="29" t="str">
        <f aca="false">IF(OR($G121="",$G121=0),"",IFERROR(ROUND($F121*$G121*(1-IF($H121="",0,$H121)),2),""))</f>
        <v/>
      </c>
      <c r="J121" s="7"/>
    </row>
    <row r="122" customFormat="false" ht="21.75" hidden="false" customHeight="true" outlineLevel="0" collapsed="false">
      <c r="B122" s="15" t="n">
        <v>112</v>
      </c>
      <c r="C122" s="9" t="s">
        <v>42</v>
      </c>
      <c r="D122" s="9" t="s">
        <v>67</v>
      </c>
      <c r="E122" s="9" t="s">
        <v>539</v>
      </c>
      <c r="F122" s="19" t="n">
        <f aca="false">IF('Base de Datos SACI'!U116="","",'Base de Datos SACI'!U116)</f>
        <v>16</v>
      </c>
      <c r="G122" s="15"/>
      <c r="H122" s="30"/>
      <c r="I122" s="31" t="str">
        <f aca="false">IF(OR($G122="",$G122=0),"",IFERROR(ROUND($F122*$G122*(1-IF($H122="",0,$H122)),2),""))</f>
        <v/>
      </c>
      <c r="J122" s="9"/>
    </row>
    <row r="123" customFormat="false" ht="21.75" hidden="false" customHeight="true" outlineLevel="0" collapsed="false">
      <c r="B123" s="14" t="n">
        <v>113</v>
      </c>
      <c r="C123" s="7" t="s">
        <v>42</v>
      </c>
      <c r="D123" s="7" t="s">
        <v>67</v>
      </c>
      <c r="E123" s="7" t="s">
        <v>547</v>
      </c>
      <c r="F123" s="18" t="n">
        <f aca="false">IF('Base de Datos SACI'!U117="","",'Base de Datos SACI'!U117)</f>
        <v>20</v>
      </c>
      <c r="G123" s="14"/>
      <c r="H123" s="28"/>
      <c r="I123" s="29" t="str">
        <f aca="false">IF(OR($G123="",$G123=0),"",IFERROR(ROUND($F123*$G123*(1-IF($H123="",0,$H123)),2),""))</f>
        <v/>
      </c>
      <c r="J123" s="7"/>
    </row>
    <row r="124" customFormat="false" ht="21.75" hidden="false" customHeight="true" outlineLevel="0" collapsed="false">
      <c r="B124" s="15" t="n">
        <v>114</v>
      </c>
      <c r="C124" s="9" t="s">
        <v>42</v>
      </c>
      <c r="D124" s="9" t="s">
        <v>67</v>
      </c>
      <c r="E124" s="9" t="s">
        <v>548</v>
      </c>
      <c r="F124" s="19" t="n">
        <f aca="false">IF('Base de Datos SACI'!U118="","",'Base de Datos SACI'!U118)</f>
        <v>30</v>
      </c>
      <c r="G124" s="15"/>
      <c r="H124" s="30"/>
      <c r="I124" s="31" t="str">
        <f aca="false">IF(OR($G124="",$G124=0),"",IFERROR(ROUND($F124*$G124*(1-IF($H124="",0,$H124)),2),""))</f>
        <v/>
      </c>
      <c r="J124" s="9"/>
    </row>
    <row r="125" customFormat="false" ht="21.75" hidden="false" customHeight="true" outlineLevel="0" collapsed="false">
      <c r="B125" s="14" t="n">
        <v>115</v>
      </c>
      <c r="C125" s="7" t="s">
        <v>42</v>
      </c>
      <c r="D125" s="7" t="s">
        <v>67</v>
      </c>
      <c r="E125" s="7" t="s">
        <v>550</v>
      </c>
      <c r="F125" s="18" t="n">
        <f aca="false">IF('Base de Datos SACI'!U119="","",'Base de Datos SACI'!U119)</f>
        <v>45</v>
      </c>
      <c r="G125" s="14"/>
      <c r="H125" s="28"/>
      <c r="I125" s="29" t="str">
        <f aca="false">IF(OR($G125="",$G125=0),"",IFERROR(ROUND($F125*$G125*(1-IF($H125="",0,$H125)),2),""))</f>
        <v/>
      </c>
      <c r="J125" s="7"/>
    </row>
    <row r="126" customFormat="false" ht="21.75" hidden="false" customHeight="true" outlineLevel="0" collapsed="false">
      <c r="B126" s="15" t="n">
        <v>116</v>
      </c>
      <c r="C126" s="9" t="s">
        <v>42</v>
      </c>
      <c r="D126" s="9" t="s">
        <v>67</v>
      </c>
      <c r="E126" s="9" t="s">
        <v>551</v>
      </c>
      <c r="F126" s="19" t="n">
        <f aca="false">IF('Base de Datos SACI'!U120="","",'Base de Datos SACI'!U120)</f>
        <v>70</v>
      </c>
      <c r="G126" s="15"/>
      <c r="H126" s="30"/>
      <c r="I126" s="31" t="str">
        <f aca="false">IF(OR($G126="",$G126=0),"",IFERROR(ROUND($F126*$G126*(1-IF($H126="",0,$H126)),2),""))</f>
        <v/>
      </c>
      <c r="J126" s="9"/>
    </row>
    <row r="127" customFormat="false" ht="21.75" hidden="false" customHeight="true" outlineLevel="0" collapsed="false">
      <c r="B127" s="14" t="n">
        <v>117</v>
      </c>
      <c r="C127" s="7" t="s">
        <v>42</v>
      </c>
      <c r="D127" s="7" t="s">
        <v>68</v>
      </c>
      <c r="E127" s="7" t="s">
        <v>552</v>
      </c>
      <c r="F127" s="18" t="n">
        <f aca="false">IF('Base de Datos SACI'!U121="","",'Base de Datos SACI'!U121)</f>
        <v>14</v>
      </c>
      <c r="G127" s="14"/>
      <c r="H127" s="28"/>
      <c r="I127" s="29" t="str">
        <f aca="false">IF(OR($G127="",$G127=0),"",IFERROR(ROUND($F127*$G127*(1-IF($H127="",0,$H127)),2),""))</f>
        <v/>
      </c>
      <c r="J127" s="7"/>
    </row>
    <row r="128" customFormat="false" ht="21.75" hidden="false" customHeight="true" outlineLevel="0" collapsed="false">
      <c r="B128" s="15" t="n">
        <v>118</v>
      </c>
      <c r="C128" s="9" t="s">
        <v>42</v>
      </c>
      <c r="D128" s="9" t="s">
        <v>68</v>
      </c>
      <c r="E128" s="9" t="s">
        <v>558</v>
      </c>
      <c r="F128" s="19" t="n">
        <f aca="false">IF('Base de Datos SACI'!U122="","",'Base de Datos SACI'!U122)</f>
        <v>20</v>
      </c>
      <c r="G128" s="15"/>
      <c r="H128" s="30"/>
      <c r="I128" s="31" t="str">
        <f aca="false">IF(OR($G128="",$G128=0),"",IFERROR(ROUND($F128*$G128*(1-IF($H128="",0,$H128)),2),""))</f>
        <v/>
      </c>
      <c r="J128" s="9"/>
    </row>
    <row r="129" customFormat="false" ht="21.75" hidden="false" customHeight="true" outlineLevel="0" collapsed="false">
      <c r="B129" s="14" t="n">
        <v>119</v>
      </c>
      <c r="C129" s="7" t="s">
        <v>42</v>
      </c>
      <c r="D129" s="7" t="s">
        <v>68</v>
      </c>
      <c r="E129" s="7" t="s">
        <v>559</v>
      </c>
      <c r="F129" s="18" t="n">
        <f aca="false">IF('Base de Datos SACI'!U123="","",'Base de Datos SACI'!U123)</f>
        <v>25</v>
      </c>
      <c r="G129" s="14"/>
      <c r="H129" s="28"/>
      <c r="I129" s="29" t="str">
        <f aca="false">IF(OR($G129="",$G129=0),"",IFERROR(ROUND($F129*$G129*(1-IF($H129="",0,$H129)),2),""))</f>
        <v/>
      </c>
      <c r="J129" s="7"/>
    </row>
    <row r="130" customFormat="false" ht="21.75" hidden="false" customHeight="true" outlineLevel="0" collapsed="false">
      <c r="B130" s="15" t="n">
        <v>120</v>
      </c>
      <c r="C130" s="9" t="s">
        <v>42</v>
      </c>
      <c r="D130" s="9" t="s">
        <v>68</v>
      </c>
      <c r="E130" s="9" t="s">
        <v>561</v>
      </c>
      <c r="F130" s="19" t="n">
        <f aca="false">IF('Base de Datos SACI'!U124="","",'Base de Datos SACI'!U124)</f>
        <v>40</v>
      </c>
      <c r="G130" s="15"/>
      <c r="H130" s="30"/>
      <c r="I130" s="31" t="str">
        <f aca="false">IF(OR($G130="",$G130=0),"",IFERROR(ROUND($F130*$G130*(1-IF($H130="",0,$H130)),2),""))</f>
        <v/>
      </c>
      <c r="J130" s="9"/>
    </row>
    <row r="131" customFormat="false" ht="21.75" hidden="false" customHeight="true" outlineLevel="0" collapsed="false">
      <c r="B131" s="14" t="n">
        <v>121</v>
      </c>
      <c r="C131" s="7" t="s">
        <v>42</v>
      </c>
      <c r="D131" s="7" t="s">
        <v>68</v>
      </c>
      <c r="E131" s="7" t="s">
        <v>562</v>
      </c>
      <c r="F131" s="18" t="n">
        <f aca="false">IF('Base de Datos SACI'!U125="","",'Base de Datos SACI'!U125)</f>
        <v>55</v>
      </c>
      <c r="G131" s="14"/>
      <c r="H131" s="28"/>
      <c r="I131" s="29" t="str">
        <f aca="false">IF(OR($G131="",$G131=0),"",IFERROR(ROUND($F131*$G131*(1-IF($H131="",0,$H131)),2),""))</f>
        <v/>
      </c>
      <c r="J131" s="7"/>
    </row>
    <row r="132" customFormat="false" ht="21.75" hidden="false" customHeight="true" outlineLevel="0" collapsed="false">
      <c r="B132" s="15" t="n">
        <v>122</v>
      </c>
      <c r="C132" s="9" t="s">
        <v>42</v>
      </c>
      <c r="D132" s="9" t="s">
        <v>69</v>
      </c>
      <c r="E132" s="9" t="s">
        <v>563</v>
      </c>
      <c r="F132" s="19" t="n">
        <f aca="false">IF('Base de Datos SACI'!U126="","",'Base de Datos SACI'!U126)</f>
        <v>20</v>
      </c>
      <c r="G132" s="15"/>
      <c r="H132" s="30"/>
      <c r="I132" s="31" t="str">
        <f aca="false">IF(OR($G132="",$G132=0),"",IFERROR(ROUND($F132*$G132*(1-IF($H132="",0,$H132)),2),""))</f>
        <v/>
      </c>
      <c r="J132" s="9"/>
    </row>
    <row r="133" customFormat="false" ht="21.75" hidden="false" customHeight="true" outlineLevel="0" collapsed="false">
      <c r="B133" s="14" t="n">
        <v>123</v>
      </c>
      <c r="C133" s="7" t="s">
        <v>42</v>
      </c>
      <c r="D133" s="7" t="s">
        <v>69</v>
      </c>
      <c r="E133" s="7" t="s">
        <v>569</v>
      </c>
      <c r="F133" s="18" t="n">
        <f aca="false">IF('Base de Datos SACI'!U127="","",'Base de Datos SACI'!U127)</f>
        <v>30</v>
      </c>
      <c r="G133" s="14"/>
      <c r="H133" s="28"/>
      <c r="I133" s="29" t="str">
        <f aca="false">IF(OR($G133="",$G133=0),"",IFERROR(ROUND($F133*$G133*(1-IF($H133="",0,$H133)),2),""))</f>
        <v/>
      </c>
      <c r="J133" s="7"/>
    </row>
    <row r="134" customFormat="false" ht="21.75" hidden="false" customHeight="true" outlineLevel="0" collapsed="false">
      <c r="B134" s="15" t="n">
        <v>124</v>
      </c>
      <c r="C134" s="9" t="s">
        <v>42</v>
      </c>
      <c r="D134" s="9" t="s">
        <v>69</v>
      </c>
      <c r="E134" s="9" t="s">
        <v>570</v>
      </c>
      <c r="F134" s="19" t="n">
        <f aca="false">IF('Base de Datos SACI'!U128="","",'Base de Datos SACI'!U128)</f>
        <v>45</v>
      </c>
      <c r="G134" s="15"/>
      <c r="H134" s="30"/>
      <c r="I134" s="31" t="str">
        <f aca="false">IF(OR($G134="",$G134=0),"",IFERROR(ROUND($F134*$G134*(1-IF($H134="",0,$H134)),2),""))</f>
        <v/>
      </c>
      <c r="J134" s="9"/>
    </row>
    <row r="135" customFormat="false" ht="21.75" hidden="false" customHeight="true" outlineLevel="0" collapsed="false">
      <c r="B135" s="14" t="n">
        <v>125</v>
      </c>
      <c r="C135" s="7" t="s">
        <v>42</v>
      </c>
      <c r="D135" s="7" t="s">
        <v>69</v>
      </c>
      <c r="E135" s="7" t="s">
        <v>572</v>
      </c>
      <c r="F135" s="18" t="n">
        <f aca="false">IF('Base de Datos SACI'!U129="","",'Base de Datos SACI'!U129)</f>
        <v>65</v>
      </c>
      <c r="G135" s="14"/>
      <c r="H135" s="28"/>
      <c r="I135" s="29" t="str">
        <f aca="false">IF(OR($G135="",$G135=0),"",IFERROR(ROUND($F135*$G135*(1-IF($H135="",0,$H135)),2),""))</f>
        <v/>
      </c>
      <c r="J135" s="7"/>
    </row>
    <row r="136" customFormat="false" ht="21.75" hidden="false" customHeight="true" outlineLevel="0" collapsed="false">
      <c r="B136" s="15" t="n">
        <v>126</v>
      </c>
      <c r="C136" s="9" t="s">
        <v>42</v>
      </c>
      <c r="D136" s="9" t="s">
        <v>69</v>
      </c>
      <c r="E136" s="9" t="s">
        <v>573</v>
      </c>
      <c r="F136" s="19" t="n">
        <f aca="false">IF('Base de Datos SACI'!U130="","",'Base de Datos SACI'!U130)</f>
        <v>100</v>
      </c>
      <c r="G136" s="15"/>
      <c r="H136" s="30"/>
      <c r="I136" s="31" t="str">
        <f aca="false">IF(OR($G136="",$G136=0),"",IFERROR(ROUND($F136*$G136*(1-IF($H136="",0,$H136)),2),""))</f>
        <v/>
      </c>
      <c r="J136" s="9"/>
    </row>
    <row r="137" customFormat="false" ht="21.75" hidden="false" customHeight="true" outlineLevel="0" collapsed="false">
      <c r="B137" s="14" t="n">
        <v>127</v>
      </c>
      <c r="C137" s="7" t="s">
        <v>42</v>
      </c>
      <c r="D137" s="7" t="s">
        <v>70</v>
      </c>
      <c r="E137" s="7" t="s">
        <v>574</v>
      </c>
      <c r="F137" s="18" t="n">
        <f aca="false">IF('Base de Datos SACI'!U131="","",'Base de Datos SACI'!U131)</f>
        <v>20</v>
      </c>
      <c r="G137" s="14"/>
      <c r="H137" s="28"/>
      <c r="I137" s="29" t="str">
        <f aca="false">IF(OR($G137="",$G137=0),"",IFERROR(ROUND($F137*$G137*(1-IF($H137="",0,$H137)),2),""))</f>
        <v/>
      </c>
      <c r="J137" s="7"/>
    </row>
    <row r="138" customFormat="false" ht="21.75" hidden="false" customHeight="true" outlineLevel="0" collapsed="false">
      <c r="B138" s="15" t="n">
        <v>128</v>
      </c>
      <c r="C138" s="9" t="s">
        <v>42</v>
      </c>
      <c r="D138" s="9" t="s">
        <v>70</v>
      </c>
      <c r="E138" s="9" t="s">
        <v>579</v>
      </c>
      <c r="F138" s="19" t="n">
        <f aca="false">IF('Base de Datos SACI'!U132="","",'Base de Datos SACI'!U132)</f>
        <v>25</v>
      </c>
      <c r="G138" s="15"/>
      <c r="H138" s="30"/>
      <c r="I138" s="31" t="str">
        <f aca="false">IF(OR($G138="",$G138=0),"",IFERROR(ROUND($F138*$G138*(1-IF($H138="",0,$H138)),2),""))</f>
        <v/>
      </c>
      <c r="J138" s="9"/>
    </row>
    <row r="139" customFormat="false" ht="21.75" hidden="false" customHeight="true" outlineLevel="0" collapsed="false">
      <c r="B139" s="14" t="n">
        <v>129</v>
      </c>
      <c r="C139" s="7" t="s">
        <v>42</v>
      </c>
      <c r="D139" s="7" t="s">
        <v>70</v>
      </c>
      <c r="E139" s="7" t="s">
        <v>580</v>
      </c>
      <c r="F139" s="18" t="n">
        <f aca="false">IF('Base de Datos SACI'!U133="","",'Base de Datos SACI'!U133)</f>
        <v>35</v>
      </c>
      <c r="G139" s="14"/>
      <c r="H139" s="28"/>
      <c r="I139" s="29" t="str">
        <f aca="false">IF(OR($G139="",$G139=0),"",IFERROR(ROUND($F139*$G139*(1-IF($H139="",0,$H139)),2),""))</f>
        <v/>
      </c>
      <c r="J139" s="7"/>
    </row>
    <row r="140" customFormat="false" ht="21.75" hidden="false" customHeight="true" outlineLevel="0" collapsed="false">
      <c r="B140" s="15" t="n">
        <v>130</v>
      </c>
      <c r="C140" s="9" t="s">
        <v>42</v>
      </c>
      <c r="D140" s="9" t="s">
        <v>70</v>
      </c>
      <c r="E140" s="9" t="s">
        <v>582</v>
      </c>
      <c r="F140" s="19" t="n">
        <f aca="false">IF('Base de Datos SACI'!U134="","",'Base de Datos SACI'!U134)</f>
        <v>55</v>
      </c>
      <c r="G140" s="15"/>
      <c r="H140" s="30"/>
      <c r="I140" s="31" t="str">
        <f aca="false">IF(OR($G140="",$G140=0),"",IFERROR(ROUND($F140*$G140*(1-IF($H140="",0,$H140)),2),""))</f>
        <v/>
      </c>
      <c r="J140" s="9"/>
    </row>
    <row r="141" customFormat="false" ht="21.75" hidden="false" customHeight="true" outlineLevel="0" collapsed="false">
      <c r="B141" s="14" t="n">
        <v>131</v>
      </c>
      <c r="C141" s="7" t="s">
        <v>42</v>
      </c>
      <c r="D141" s="7" t="s">
        <v>70</v>
      </c>
      <c r="E141" s="7" t="s">
        <v>583</v>
      </c>
      <c r="F141" s="18" t="n">
        <f aca="false">IF('Base de Datos SACI'!U135="","",'Base de Datos SACI'!U135)</f>
        <v>85</v>
      </c>
      <c r="G141" s="14"/>
      <c r="H141" s="28"/>
      <c r="I141" s="29" t="str">
        <f aca="false">IF(OR($G141="",$G141=0),"",IFERROR(ROUND($F141*$G141*(1-IF($H141="",0,$H141)),2),""))</f>
        <v/>
      </c>
      <c r="J141" s="7"/>
    </row>
    <row r="142" customFormat="false" ht="21.75" hidden="false" customHeight="true" outlineLevel="0" collapsed="false">
      <c r="B142" s="15" t="n">
        <v>132</v>
      </c>
      <c r="C142" s="9" t="s">
        <v>42</v>
      </c>
      <c r="D142" s="9" t="s">
        <v>71</v>
      </c>
      <c r="E142" s="9" t="s">
        <v>584</v>
      </c>
      <c r="F142" s="19" t="n">
        <f aca="false">IF('Base de Datos SACI'!U136="","",'Base de Datos SACI'!U136)</f>
        <v>85</v>
      </c>
      <c r="G142" s="15"/>
      <c r="H142" s="30"/>
      <c r="I142" s="31" t="str">
        <f aca="false">IF(OR($G142="",$G142=0),"",IFERROR(ROUND($F142*$G142*(1-IF($H142="",0,$H142)),2),""))</f>
        <v/>
      </c>
      <c r="J142" s="9"/>
    </row>
    <row r="143" customFormat="false" ht="21.75" hidden="false" customHeight="true" outlineLevel="0" collapsed="false">
      <c r="B143" s="14" t="n">
        <v>133</v>
      </c>
      <c r="C143" s="7" t="s">
        <v>42</v>
      </c>
      <c r="D143" s="7" t="s">
        <v>71</v>
      </c>
      <c r="E143" s="7" t="s">
        <v>592</v>
      </c>
      <c r="F143" s="18" t="n">
        <f aca="false">IF('Base de Datos SACI'!U137="","",'Base de Datos SACI'!U137)</f>
        <v>125</v>
      </c>
      <c r="G143" s="14"/>
      <c r="H143" s="28"/>
      <c r="I143" s="29" t="str">
        <f aca="false">IF(OR($G143="",$G143=0),"",IFERROR(ROUND($F143*$G143*(1-IF($H143="",0,$H143)),2),""))</f>
        <v/>
      </c>
      <c r="J143" s="7"/>
    </row>
    <row r="144" customFormat="false" ht="21.75" hidden="false" customHeight="true" outlineLevel="0" collapsed="false">
      <c r="B144" s="15" t="n">
        <v>134</v>
      </c>
      <c r="C144" s="9" t="s">
        <v>42</v>
      </c>
      <c r="D144" s="9" t="s">
        <v>71</v>
      </c>
      <c r="E144" s="9" t="s">
        <v>593</v>
      </c>
      <c r="F144" s="19" t="n">
        <f aca="false">IF('Base de Datos SACI'!U138="","",'Base de Datos SACI'!U138)</f>
        <v>170</v>
      </c>
      <c r="G144" s="15"/>
      <c r="H144" s="30"/>
      <c r="I144" s="31" t="str">
        <f aca="false">IF(OR($G144="",$G144=0),"",IFERROR(ROUND($F144*$G144*(1-IF($H144="",0,$H144)),2),""))</f>
        <v/>
      </c>
      <c r="J144" s="9"/>
    </row>
    <row r="145" customFormat="false" ht="21.75" hidden="false" customHeight="true" outlineLevel="0" collapsed="false">
      <c r="B145" s="14" t="n">
        <v>135</v>
      </c>
      <c r="C145" s="7" t="s">
        <v>42</v>
      </c>
      <c r="D145" s="7" t="s">
        <v>71</v>
      </c>
      <c r="E145" s="7" t="s">
        <v>595</v>
      </c>
      <c r="F145" s="18" t="n">
        <f aca="false">IF('Base de Datos SACI'!U139="","",'Base de Datos SACI'!U139)</f>
        <v>255</v>
      </c>
      <c r="G145" s="14"/>
      <c r="H145" s="28"/>
      <c r="I145" s="29" t="str">
        <f aca="false">IF(OR($G145="",$G145=0),"",IFERROR(ROUND($F145*$G145*(1-IF($H145="",0,$H145)),2),""))</f>
        <v/>
      </c>
      <c r="J145" s="7"/>
    </row>
    <row r="146" customFormat="false" ht="21.75" hidden="false" customHeight="true" outlineLevel="0" collapsed="false">
      <c r="B146" s="15" t="n">
        <v>136</v>
      </c>
      <c r="C146" s="9" t="s">
        <v>42</v>
      </c>
      <c r="D146" s="9" t="s">
        <v>71</v>
      </c>
      <c r="E146" s="9" t="s">
        <v>596</v>
      </c>
      <c r="F146" s="19" t="n">
        <f aca="false">IF('Base de Datos SACI'!U140="","",'Base de Datos SACI'!U140)</f>
        <v>375</v>
      </c>
      <c r="G146" s="15"/>
      <c r="H146" s="30"/>
      <c r="I146" s="31" t="str">
        <f aca="false">IF(OR($G146="",$G146=0),"",IFERROR(ROUND($F146*$G146*(1-IF($H146="",0,$H146)),2),""))</f>
        <v/>
      </c>
      <c r="J146" s="9"/>
    </row>
    <row r="147" customFormat="false" ht="21.75" hidden="false" customHeight="true" outlineLevel="0" collapsed="false">
      <c r="B147" s="14" t="n">
        <v>137</v>
      </c>
      <c r="C147" s="7" t="s">
        <v>42</v>
      </c>
      <c r="D147" s="7" t="s">
        <v>72</v>
      </c>
      <c r="E147" s="7" t="s">
        <v>391</v>
      </c>
      <c r="F147" s="18" t="str">
        <f aca="false">IF('Base de Datos SACI'!U141="","",'Base de Datos SACI'!U141)</f>
        <v/>
      </c>
      <c r="G147" s="14"/>
      <c r="H147" s="28"/>
      <c r="I147" s="29" t="str">
        <f aca="false">IF(OR($G147="",$G147=0),"",IFERROR(ROUND($F147*$G147*(1-IF($H147="",0,$H147)),2),""))</f>
        <v/>
      </c>
      <c r="J147" s="7"/>
    </row>
    <row r="148" customFormat="false" ht="21.75" hidden="false" customHeight="true" outlineLevel="0" collapsed="false">
      <c r="B148" s="15" t="n">
        <v>138</v>
      </c>
      <c r="C148" s="9" t="s">
        <v>42</v>
      </c>
      <c r="D148" s="9" t="s">
        <v>73</v>
      </c>
      <c r="E148" s="9" t="s">
        <v>598</v>
      </c>
      <c r="F148" s="19" t="n">
        <f aca="false">IF('Base de Datos SACI'!U142="","",'Base de Datos SACI'!U142)</f>
        <v>30</v>
      </c>
      <c r="G148" s="15"/>
      <c r="H148" s="30"/>
      <c r="I148" s="31" t="str">
        <f aca="false">IF(OR($G148="",$G148=0),"",IFERROR(ROUND($F148*$G148*(1-IF($H148="",0,$H148)),2),""))</f>
        <v/>
      </c>
      <c r="J148" s="9"/>
    </row>
    <row r="149" customFormat="false" ht="21.75" hidden="false" customHeight="true" outlineLevel="0" collapsed="false">
      <c r="B149" s="14" t="n">
        <v>139</v>
      </c>
      <c r="C149" s="7" t="s">
        <v>42</v>
      </c>
      <c r="D149" s="7" t="s">
        <v>73</v>
      </c>
      <c r="E149" s="7" t="s">
        <v>606</v>
      </c>
      <c r="F149" s="18" t="n">
        <f aca="false">IF('Base de Datos SACI'!U143="","",'Base de Datos SACI'!U143)</f>
        <v>50</v>
      </c>
      <c r="G149" s="14"/>
      <c r="H149" s="28"/>
      <c r="I149" s="29" t="str">
        <f aca="false">IF(OR($G149="",$G149=0),"",IFERROR(ROUND($F149*$G149*(1-IF($H149="",0,$H149)),2),""))</f>
        <v/>
      </c>
      <c r="J149" s="7"/>
    </row>
    <row r="150" customFormat="false" ht="21.75" hidden="false" customHeight="true" outlineLevel="0" collapsed="false">
      <c r="B150" s="15" t="n">
        <v>140</v>
      </c>
      <c r="C150" s="9" t="s">
        <v>42</v>
      </c>
      <c r="D150" s="9" t="s">
        <v>73</v>
      </c>
      <c r="E150" s="9" t="s">
        <v>607</v>
      </c>
      <c r="F150" s="19" t="n">
        <f aca="false">IF('Base de Datos SACI'!U144="","",'Base de Datos SACI'!U144)</f>
        <v>65</v>
      </c>
      <c r="G150" s="15"/>
      <c r="H150" s="30"/>
      <c r="I150" s="31" t="str">
        <f aca="false">IF(OR($G150="",$G150=0),"",IFERROR(ROUND($F150*$G150*(1-IF($H150="",0,$H150)),2),""))</f>
        <v/>
      </c>
      <c r="J150" s="9"/>
    </row>
    <row r="151" customFormat="false" ht="21.75" hidden="false" customHeight="true" outlineLevel="0" collapsed="false">
      <c r="B151" s="14" t="n">
        <v>141</v>
      </c>
      <c r="C151" s="7" t="s">
        <v>42</v>
      </c>
      <c r="D151" s="7" t="s">
        <v>73</v>
      </c>
      <c r="E151" s="7" t="s">
        <v>609</v>
      </c>
      <c r="F151" s="18" t="n">
        <f aca="false">IF('Base de Datos SACI'!U145="","",'Base de Datos SACI'!U145)</f>
        <v>100</v>
      </c>
      <c r="G151" s="14"/>
      <c r="H151" s="28"/>
      <c r="I151" s="29" t="str">
        <f aca="false">IF(OR($G151="",$G151=0),"",IFERROR(ROUND($F151*$G151*(1-IF($H151="",0,$H151)),2),""))</f>
        <v/>
      </c>
      <c r="J151" s="7"/>
    </row>
    <row r="152" customFormat="false" ht="21.75" hidden="false" customHeight="true" outlineLevel="0" collapsed="false">
      <c r="B152" s="15" t="n">
        <v>142</v>
      </c>
      <c r="C152" s="9" t="s">
        <v>42</v>
      </c>
      <c r="D152" s="9" t="s">
        <v>73</v>
      </c>
      <c r="E152" s="9" t="s">
        <v>610</v>
      </c>
      <c r="F152" s="19" t="n">
        <f aca="false">IF('Base de Datos SACI'!U146="","",'Base de Datos SACI'!U146)</f>
        <v>145</v>
      </c>
      <c r="G152" s="15"/>
      <c r="H152" s="30"/>
      <c r="I152" s="31" t="str">
        <f aca="false">IF(OR($G152="",$G152=0),"",IFERROR(ROUND($F152*$G152*(1-IF($H152="",0,$H152)),2),""))</f>
        <v/>
      </c>
      <c r="J152" s="9"/>
    </row>
    <row r="153" customFormat="false" ht="21.75" hidden="false" customHeight="true" outlineLevel="0" collapsed="false">
      <c r="B153" s="14" t="n">
        <v>143</v>
      </c>
      <c r="C153" s="7" t="s">
        <v>42</v>
      </c>
      <c r="D153" s="7" t="s">
        <v>74</v>
      </c>
      <c r="E153" s="7" t="s">
        <v>611</v>
      </c>
      <c r="F153" s="18" t="n">
        <f aca="false">IF('Base de Datos SACI'!U147="","",'Base de Datos SACI'!U147)</f>
        <v>19</v>
      </c>
      <c r="G153" s="14"/>
      <c r="H153" s="28"/>
      <c r="I153" s="29" t="str">
        <f aca="false">IF(OR($G153="",$G153=0),"",IFERROR(ROUND($F153*$G153*(1-IF($H153="",0,$H153)),2),""))</f>
        <v/>
      </c>
      <c r="J153" s="7"/>
    </row>
    <row r="154" customFormat="false" ht="21.75" hidden="false" customHeight="true" outlineLevel="0" collapsed="false">
      <c r="B154" s="15" t="n">
        <v>144</v>
      </c>
      <c r="C154" s="9" t="s">
        <v>42</v>
      </c>
      <c r="D154" s="9" t="s">
        <v>74</v>
      </c>
      <c r="E154" s="9" t="s">
        <v>619</v>
      </c>
      <c r="F154" s="19" t="n">
        <f aca="false">IF('Base de Datos SACI'!U148="","",'Base de Datos SACI'!U148)</f>
        <v>25</v>
      </c>
      <c r="G154" s="15"/>
      <c r="H154" s="30"/>
      <c r="I154" s="31" t="str">
        <f aca="false">IF(OR($G154="",$G154=0),"",IFERROR(ROUND($F154*$G154*(1-IF($H154="",0,$H154)),2),""))</f>
        <v/>
      </c>
      <c r="J154" s="9"/>
    </row>
    <row r="155" customFormat="false" ht="21.75" hidden="false" customHeight="true" outlineLevel="0" collapsed="false">
      <c r="B155" s="14" t="n">
        <v>145</v>
      </c>
      <c r="C155" s="7" t="s">
        <v>42</v>
      </c>
      <c r="D155" s="7" t="s">
        <v>74</v>
      </c>
      <c r="E155" s="7" t="s">
        <v>620</v>
      </c>
      <c r="F155" s="18" t="n">
        <f aca="false">IF('Base de Datos SACI'!U149="","",'Base de Datos SACI'!U149)</f>
        <v>35</v>
      </c>
      <c r="G155" s="14"/>
      <c r="H155" s="28"/>
      <c r="I155" s="29" t="str">
        <f aca="false">IF(OR($G155="",$G155=0),"",IFERROR(ROUND($F155*$G155*(1-IF($H155="",0,$H155)),2),""))</f>
        <v/>
      </c>
      <c r="J155" s="7"/>
    </row>
    <row r="156" customFormat="false" ht="21.75" hidden="false" customHeight="true" outlineLevel="0" collapsed="false">
      <c r="B156" s="15" t="n">
        <v>146</v>
      </c>
      <c r="C156" s="9" t="s">
        <v>42</v>
      </c>
      <c r="D156" s="9" t="s">
        <v>74</v>
      </c>
      <c r="E156" s="9" t="s">
        <v>622</v>
      </c>
      <c r="F156" s="19" t="n">
        <f aca="false">IF('Base de Datos SACI'!U150="","",'Base de Datos SACI'!U150)</f>
        <v>55</v>
      </c>
      <c r="G156" s="15"/>
      <c r="H156" s="30"/>
      <c r="I156" s="31" t="str">
        <f aca="false">IF(OR($G156="",$G156=0),"",IFERROR(ROUND($F156*$G156*(1-IF($H156="",0,$H156)),2),""))</f>
        <v/>
      </c>
      <c r="J156" s="9"/>
    </row>
    <row r="157" customFormat="false" ht="21.75" hidden="false" customHeight="true" outlineLevel="0" collapsed="false">
      <c r="B157" s="14" t="n">
        <v>147</v>
      </c>
      <c r="C157" s="7" t="s">
        <v>42</v>
      </c>
      <c r="D157" s="7" t="s">
        <v>74</v>
      </c>
      <c r="E157" s="7" t="s">
        <v>623</v>
      </c>
      <c r="F157" s="18" t="n">
        <f aca="false">IF('Base de Datos SACI'!U151="","",'Base de Datos SACI'!U151)</f>
        <v>80</v>
      </c>
      <c r="G157" s="14"/>
      <c r="H157" s="28"/>
      <c r="I157" s="29" t="str">
        <f aca="false">IF(OR($G157="",$G157=0),"",IFERROR(ROUND($F157*$G157*(1-IF($H157="",0,$H157)),2),""))</f>
        <v/>
      </c>
      <c r="J157" s="7"/>
    </row>
    <row r="158" customFormat="false" ht="21.75" hidden="false" customHeight="true" outlineLevel="0" collapsed="false">
      <c r="B158" s="15" t="n">
        <v>148</v>
      </c>
      <c r="C158" s="9" t="s">
        <v>42</v>
      </c>
      <c r="D158" s="9" t="s">
        <v>75</v>
      </c>
      <c r="E158" s="9" t="s">
        <v>624</v>
      </c>
      <c r="F158" s="19" t="n">
        <f aca="false">IF('Base de Datos SACI'!U152="","",'Base de Datos SACI'!U152)</f>
        <v>14</v>
      </c>
      <c r="G158" s="15"/>
      <c r="H158" s="30"/>
      <c r="I158" s="31" t="str">
        <f aca="false">IF(OR($G158="",$G158=0),"",IFERROR(ROUND($F158*$G158*(1-IF($H158="",0,$H158)),2),""))</f>
        <v/>
      </c>
      <c r="J158" s="9"/>
    </row>
    <row r="159" customFormat="false" ht="21.75" hidden="false" customHeight="true" outlineLevel="0" collapsed="false">
      <c r="B159" s="14" t="n">
        <v>149</v>
      </c>
      <c r="C159" s="7" t="s">
        <v>42</v>
      </c>
      <c r="D159" s="7" t="s">
        <v>75</v>
      </c>
      <c r="E159" s="7" t="s">
        <v>629</v>
      </c>
      <c r="F159" s="18" t="n">
        <f aca="false">IF('Base de Datos SACI'!U153="","",'Base de Datos SACI'!U153)</f>
        <v>20</v>
      </c>
      <c r="G159" s="14"/>
      <c r="H159" s="28"/>
      <c r="I159" s="29" t="str">
        <f aca="false">IF(OR($G159="",$G159=0),"",IFERROR(ROUND($F159*$G159*(1-IF($H159="",0,$H159)),2),""))</f>
        <v/>
      </c>
      <c r="J159" s="7"/>
    </row>
    <row r="160" customFormat="false" ht="21.75" hidden="false" customHeight="true" outlineLevel="0" collapsed="false">
      <c r="B160" s="15" t="n">
        <v>150</v>
      </c>
      <c r="C160" s="9" t="s">
        <v>42</v>
      </c>
      <c r="D160" s="9" t="s">
        <v>75</v>
      </c>
      <c r="E160" s="9" t="s">
        <v>630</v>
      </c>
      <c r="F160" s="19" t="n">
        <f aca="false">IF('Base de Datos SACI'!U154="","",'Base de Datos SACI'!U154)</f>
        <v>25</v>
      </c>
      <c r="G160" s="15"/>
      <c r="H160" s="30"/>
      <c r="I160" s="31" t="str">
        <f aca="false">IF(OR($G160="",$G160=0),"",IFERROR(ROUND($F160*$G160*(1-IF($H160="",0,$H160)),2),""))</f>
        <v/>
      </c>
      <c r="J160" s="9"/>
    </row>
    <row r="161" customFormat="false" ht="21.75" hidden="false" customHeight="true" outlineLevel="0" collapsed="false">
      <c r="B161" s="14" t="n">
        <v>151</v>
      </c>
      <c r="C161" s="7" t="s">
        <v>42</v>
      </c>
      <c r="D161" s="7" t="s">
        <v>75</v>
      </c>
      <c r="E161" s="7" t="s">
        <v>632</v>
      </c>
      <c r="F161" s="18" t="n">
        <f aca="false">IF('Base de Datos SACI'!U155="","",'Base de Datos SACI'!U155)</f>
        <v>40</v>
      </c>
      <c r="G161" s="14"/>
      <c r="H161" s="28"/>
      <c r="I161" s="29" t="str">
        <f aca="false">IF(OR($G161="",$G161=0),"",IFERROR(ROUND($F161*$G161*(1-IF($H161="",0,$H161)),2),""))</f>
        <v/>
      </c>
      <c r="J161" s="7"/>
    </row>
    <row r="162" customFormat="false" ht="21.75" hidden="false" customHeight="true" outlineLevel="0" collapsed="false">
      <c r="B162" s="15" t="n">
        <v>152</v>
      </c>
      <c r="C162" s="9" t="s">
        <v>42</v>
      </c>
      <c r="D162" s="9" t="s">
        <v>75</v>
      </c>
      <c r="E162" s="9" t="s">
        <v>633</v>
      </c>
      <c r="F162" s="19" t="n">
        <f aca="false">IF('Base de Datos SACI'!U156="","",'Base de Datos SACI'!U156)</f>
        <v>60</v>
      </c>
      <c r="G162" s="15"/>
      <c r="H162" s="30"/>
      <c r="I162" s="31" t="str">
        <f aca="false">IF(OR($G162="",$G162=0),"",IFERROR(ROUND($F162*$G162*(1-IF($H162="",0,$H162)),2),""))</f>
        <v/>
      </c>
      <c r="J162" s="9"/>
    </row>
    <row r="163" customFormat="false" ht="21.75" hidden="false" customHeight="true" outlineLevel="0" collapsed="false">
      <c r="B163" s="14" t="n">
        <v>153</v>
      </c>
      <c r="C163" s="7" t="s">
        <v>43</v>
      </c>
      <c r="D163" s="7" t="s">
        <v>60</v>
      </c>
      <c r="E163" s="7" t="s">
        <v>634</v>
      </c>
      <c r="F163" s="18" t="n">
        <f aca="false">IF('Base de Datos SACI'!U157="","",'Base de Datos SACI'!U157)</f>
        <v>140</v>
      </c>
      <c r="G163" s="14"/>
      <c r="H163" s="28"/>
      <c r="I163" s="29" t="str">
        <f aca="false">IF(OR($G163="",$G163=0),"",IFERROR(ROUND($F163*$G163*(1-IF($H163="",0,$H163)),2),""))</f>
        <v/>
      </c>
      <c r="J163" s="7"/>
    </row>
    <row r="164" customFormat="false" ht="21.75" hidden="false" customHeight="true" outlineLevel="0" collapsed="false">
      <c r="B164" s="15" t="n">
        <v>154</v>
      </c>
      <c r="C164" s="9" t="s">
        <v>43</v>
      </c>
      <c r="D164" s="9" t="s">
        <v>60</v>
      </c>
      <c r="E164" s="9" t="s">
        <v>646</v>
      </c>
      <c r="F164" s="19" t="n">
        <f aca="false">IF('Base de Datos SACI'!U158="","",'Base de Datos SACI'!U158)</f>
        <v>210</v>
      </c>
      <c r="G164" s="15"/>
      <c r="H164" s="30"/>
      <c r="I164" s="31" t="str">
        <f aca="false">IF(OR($G164="",$G164=0),"",IFERROR(ROUND($F164*$G164*(1-IF($H164="",0,$H164)),2),""))</f>
        <v/>
      </c>
      <c r="J164" s="9"/>
    </row>
    <row r="165" customFormat="false" ht="21.75" hidden="false" customHeight="true" outlineLevel="0" collapsed="false">
      <c r="B165" s="14" t="n">
        <v>155</v>
      </c>
      <c r="C165" s="7" t="s">
        <v>43</v>
      </c>
      <c r="D165" s="7" t="s">
        <v>60</v>
      </c>
      <c r="E165" s="7" t="s">
        <v>647</v>
      </c>
      <c r="F165" s="18" t="n">
        <f aca="false">IF('Base de Datos SACI'!U159="","",'Base de Datos SACI'!U159)</f>
        <v>285</v>
      </c>
      <c r="G165" s="14"/>
      <c r="H165" s="28"/>
      <c r="I165" s="29" t="str">
        <f aca="false">IF(OR($G165="",$G165=0),"",IFERROR(ROUND($F165*$G165*(1-IF($H165="",0,$H165)),2),""))</f>
        <v/>
      </c>
      <c r="J165" s="7"/>
    </row>
    <row r="166" customFormat="false" ht="21.75" hidden="false" customHeight="true" outlineLevel="0" collapsed="false">
      <c r="B166" s="15" t="n">
        <v>156</v>
      </c>
      <c r="C166" s="9" t="s">
        <v>43</v>
      </c>
      <c r="D166" s="9" t="s">
        <v>60</v>
      </c>
      <c r="E166" s="9" t="s">
        <v>649</v>
      </c>
      <c r="F166" s="19" t="n">
        <f aca="false">IF('Base de Datos SACI'!U160="","",'Base de Datos SACI'!U160)</f>
        <v>425</v>
      </c>
      <c r="G166" s="15"/>
      <c r="H166" s="30"/>
      <c r="I166" s="31" t="str">
        <f aca="false">IF(OR($G166="",$G166=0),"",IFERROR(ROUND($F166*$G166*(1-IF($H166="",0,$H166)),2),""))</f>
        <v/>
      </c>
      <c r="J166" s="9"/>
    </row>
    <row r="167" customFormat="false" ht="21.75" hidden="false" customHeight="true" outlineLevel="0" collapsed="false">
      <c r="B167" s="14" t="n">
        <v>157</v>
      </c>
      <c r="C167" s="7" t="s">
        <v>43</v>
      </c>
      <c r="D167" s="7" t="s">
        <v>60</v>
      </c>
      <c r="E167" s="7" t="s">
        <v>650</v>
      </c>
      <c r="F167" s="18" t="n">
        <f aca="false">IF('Base de Datos SACI'!U161="","",'Base de Datos SACI'!U161)</f>
        <v>625</v>
      </c>
      <c r="G167" s="14"/>
      <c r="H167" s="28"/>
      <c r="I167" s="29" t="str">
        <f aca="false">IF(OR($G167="",$G167=0),"",IFERROR(ROUND($F167*$G167*(1-IF($H167="",0,$H167)),2),""))</f>
        <v/>
      </c>
      <c r="J167" s="7"/>
    </row>
    <row r="168" customFormat="false" ht="21.75" hidden="false" customHeight="true" outlineLevel="0" collapsed="false">
      <c r="B168" s="15" t="n">
        <v>158</v>
      </c>
      <c r="C168" s="9" t="s">
        <v>43</v>
      </c>
      <c r="D168" s="9" t="s">
        <v>61</v>
      </c>
      <c r="E168" s="9" t="s">
        <v>634</v>
      </c>
      <c r="F168" s="19" t="n">
        <f aca="false">IF('Base de Datos SACI'!U162="","",'Base de Datos SACI'!U162)</f>
        <v>65</v>
      </c>
      <c r="G168" s="15"/>
      <c r="H168" s="30"/>
      <c r="I168" s="31" t="str">
        <f aca="false">IF(OR($G168="",$G168=0),"",IFERROR(ROUND($F168*$G168*(1-IF($H168="",0,$H168)),2),""))</f>
        <v/>
      </c>
      <c r="J168" s="9"/>
    </row>
    <row r="169" customFormat="false" ht="21.75" hidden="false" customHeight="true" outlineLevel="0" collapsed="false">
      <c r="B169" s="14" t="n">
        <v>159</v>
      </c>
      <c r="C169" s="7" t="s">
        <v>43</v>
      </c>
      <c r="D169" s="7" t="s">
        <v>61</v>
      </c>
      <c r="E169" s="7" t="s">
        <v>646</v>
      </c>
      <c r="F169" s="18" t="n">
        <f aca="false">IF('Base de Datos SACI'!U163="","",'Base de Datos SACI'!U163)</f>
        <v>100</v>
      </c>
      <c r="G169" s="14"/>
      <c r="H169" s="28"/>
      <c r="I169" s="29" t="str">
        <f aca="false">IF(OR($G169="",$G169=0),"",IFERROR(ROUND($F169*$G169*(1-IF($H169="",0,$H169)),2),""))</f>
        <v/>
      </c>
      <c r="J169" s="7"/>
    </row>
    <row r="170" customFormat="false" ht="21.75" hidden="false" customHeight="true" outlineLevel="0" collapsed="false">
      <c r="B170" s="15" t="n">
        <v>160</v>
      </c>
      <c r="C170" s="9" t="s">
        <v>43</v>
      </c>
      <c r="D170" s="9" t="s">
        <v>61</v>
      </c>
      <c r="E170" s="9" t="s">
        <v>647</v>
      </c>
      <c r="F170" s="19" t="n">
        <f aca="false">IF('Base de Datos SACI'!U164="","",'Base de Datos SACI'!U164)</f>
        <v>135</v>
      </c>
      <c r="G170" s="15"/>
      <c r="H170" s="30"/>
      <c r="I170" s="31" t="str">
        <f aca="false">IF(OR($G170="",$G170=0),"",IFERROR(ROUND($F170*$G170*(1-IF($H170="",0,$H170)),2),""))</f>
        <v/>
      </c>
      <c r="J170" s="9"/>
    </row>
    <row r="171" customFormat="false" ht="21.75" hidden="false" customHeight="true" outlineLevel="0" collapsed="false">
      <c r="B171" s="14" t="n">
        <v>161</v>
      </c>
      <c r="C171" s="7" t="s">
        <v>43</v>
      </c>
      <c r="D171" s="7" t="s">
        <v>61</v>
      </c>
      <c r="E171" s="7" t="s">
        <v>649</v>
      </c>
      <c r="F171" s="18" t="n">
        <f aca="false">IF('Base de Datos SACI'!U165="","",'Base de Datos SACI'!U165)</f>
        <v>200</v>
      </c>
      <c r="G171" s="14"/>
      <c r="H171" s="28"/>
      <c r="I171" s="29" t="str">
        <f aca="false">IF(OR($G171="",$G171=0),"",IFERROR(ROUND($F171*$G171*(1-IF($H171="",0,$H171)),2),""))</f>
        <v/>
      </c>
      <c r="J171" s="7"/>
    </row>
    <row r="172" customFormat="false" ht="21.75" hidden="false" customHeight="true" outlineLevel="0" collapsed="false">
      <c r="B172" s="15" t="n">
        <v>162</v>
      </c>
      <c r="C172" s="9" t="s">
        <v>43</v>
      </c>
      <c r="D172" s="9" t="s">
        <v>61</v>
      </c>
      <c r="E172" s="9" t="s">
        <v>650</v>
      </c>
      <c r="F172" s="19" t="n">
        <f aca="false">IF('Base de Datos SACI'!U166="","",'Base de Datos SACI'!U166)</f>
        <v>295</v>
      </c>
      <c r="G172" s="15"/>
      <c r="H172" s="30"/>
      <c r="I172" s="31" t="str">
        <f aca="false">IF(OR($G172="",$G172=0),"",IFERROR(ROUND($F172*$G172*(1-IF($H172="",0,$H172)),2),""))</f>
        <v/>
      </c>
      <c r="J172" s="9"/>
    </row>
    <row r="173" customFormat="false" ht="21.75" hidden="false" customHeight="true" outlineLevel="0" collapsed="false">
      <c r="B173" s="14" t="n">
        <v>163</v>
      </c>
      <c r="C173" s="7" t="s">
        <v>43</v>
      </c>
      <c r="D173" s="7" t="s">
        <v>62</v>
      </c>
      <c r="E173" s="7" t="s">
        <v>657</v>
      </c>
      <c r="F173" s="18" t="n">
        <f aca="false">IF('Base de Datos SACI'!U167="","",'Base de Datos SACI'!U167)</f>
        <v>80</v>
      </c>
      <c r="G173" s="14"/>
      <c r="H173" s="28"/>
      <c r="I173" s="29" t="str">
        <f aca="false">IF(OR($G173="",$G173=0),"",IFERROR(ROUND($F173*$G173*(1-IF($H173="",0,$H173)),2),""))</f>
        <v/>
      </c>
      <c r="J173" s="7"/>
    </row>
    <row r="174" customFormat="false" ht="21.75" hidden="false" customHeight="true" outlineLevel="0" collapsed="false">
      <c r="B174" s="15" t="n">
        <v>164</v>
      </c>
      <c r="C174" s="9" t="s">
        <v>43</v>
      </c>
      <c r="D174" s="9" t="s">
        <v>62</v>
      </c>
      <c r="E174" s="9" t="s">
        <v>665</v>
      </c>
      <c r="F174" s="19" t="n">
        <f aca="false">IF('Base de Datos SACI'!U168="","",'Base de Datos SACI'!U168)</f>
        <v>125</v>
      </c>
      <c r="G174" s="15"/>
      <c r="H174" s="30"/>
      <c r="I174" s="31" t="str">
        <f aca="false">IF(OR($G174="",$G174=0),"",IFERROR(ROUND($F174*$G174*(1-IF($H174="",0,$H174)),2),""))</f>
        <v/>
      </c>
      <c r="J174" s="9"/>
    </row>
    <row r="175" customFormat="false" ht="21.75" hidden="false" customHeight="true" outlineLevel="0" collapsed="false">
      <c r="B175" s="14" t="n">
        <v>165</v>
      </c>
      <c r="C175" s="7" t="s">
        <v>43</v>
      </c>
      <c r="D175" s="7" t="s">
        <v>62</v>
      </c>
      <c r="E175" s="7" t="s">
        <v>666</v>
      </c>
      <c r="F175" s="18" t="n">
        <f aca="false">IF('Base de Datos SACI'!U169="","",'Base de Datos SACI'!U169)</f>
        <v>165</v>
      </c>
      <c r="G175" s="14"/>
      <c r="H175" s="28"/>
      <c r="I175" s="29" t="str">
        <f aca="false">IF(OR($G175="",$G175=0),"",IFERROR(ROUND($F175*$G175*(1-IF($H175="",0,$H175)),2),""))</f>
        <v/>
      </c>
      <c r="J175" s="7"/>
    </row>
    <row r="176" customFormat="false" ht="21.75" hidden="false" customHeight="true" outlineLevel="0" collapsed="false">
      <c r="B176" s="15" t="n">
        <v>166</v>
      </c>
      <c r="C176" s="9" t="s">
        <v>43</v>
      </c>
      <c r="D176" s="9" t="s">
        <v>62</v>
      </c>
      <c r="E176" s="9" t="s">
        <v>668</v>
      </c>
      <c r="F176" s="19" t="n">
        <f aca="false">IF('Base de Datos SACI'!U170="","",'Base de Datos SACI'!U170)</f>
        <v>250</v>
      </c>
      <c r="G176" s="15"/>
      <c r="H176" s="30"/>
      <c r="I176" s="31" t="str">
        <f aca="false">IF(OR($G176="",$G176=0),"",IFERROR(ROUND($F176*$G176*(1-IF($H176="",0,$H176)),2),""))</f>
        <v/>
      </c>
      <c r="J176" s="9"/>
    </row>
    <row r="177" customFormat="false" ht="21.75" hidden="false" customHeight="true" outlineLevel="0" collapsed="false">
      <c r="B177" s="14" t="n">
        <v>167</v>
      </c>
      <c r="C177" s="7" t="s">
        <v>43</v>
      </c>
      <c r="D177" s="7" t="s">
        <v>62</v>
      </c>
      <c r="E177" s="7" t="s">
        <v>669</v>
      </c>
      <c r="F177" s="18" t="n">
        <f aca="false">IF('Base de Datos SACI'!U171="","",'Base de Datos SACI'!U171)</f>
        <v>365</v>
      </c>
      <c r="G177" s="14"/>
      <c r="H177" s="28"/>
      <c r="I177" s="29" t="str">
        <f aca="false">IF(OR($G177="",$G177=0),"",IFERROR(ROUND($F177*$G177*(1-IF($H177="",0,$H177)),2),""))</f>
        <v/>
      </c>
      <c r="J177" s="7"/>
    </row>
    <row r="178" customFormat="false" ht="21.75" hidden="false" customHeight="true" outlineLevel="0" collapsed="false">
      <c r="B178" s="15" t="n">
        <v>168</v>
      </c>
      <c r="C178" s="9" t="s">
        <v>43</v>
      </c>
      <c r="D178" s="9" t="s">
        <v>63</v>
      </c>
      <c r="E178" s="9" t="s">
        <v>670</v>
      </c>
      <c r="F178" s="19" t="n">
        <f aca="false">IF('Base de Datos SACI'!U172="","",'Base de Datos SACI'!U172)</f>
        <v>35</v>
      </c>
      <c r="G178" s="15"/>
      <c r="H178" s="30"/>
      <c r="I178" s="31" t="str">
        <f aca="false">IF(OR($G178="",$G178=0),"",IFERROR(ROUND($F178*$G178*(1-IF($H178="",0,$H178)),2),""))</f>
        <v/>
      </c>
      <c r="J178" s="9"/>
    </row>
    <row r="179" customFormat="false" ht="21.75" hidden="false" customHeight="true" outlineLevel="0" collapsed="false">
      <c r="B179" s="14" t="n">
        <v>169</v>
      </c>
      <c r="C179" s="7" t="s">
        <v>43</v>
      </c>
      <c r="D179" s="7" t="s">
        <v>63</v>
      </c>
      <c r="E179" s="7" t="s">
        <v>679</v>
      </c>
      <c r="F179" s="18" t="n">
        <f aca="false">IF('Base de Datos SACI'!U173="","",'Base de Datos SACI'!U173)</f>
        <v>55</v>
      </c>
      <c r="G179" s="14"/>
      <c r="H179" s="28"/>
      <c r="I179" s="29" t="str">
        <f aca="false">IF(OR($G179="",$G179=0),"",IFERROR(ROUND($F179*$G179*(1-IF($H179="",0,$H179)),2),""))</f>
        <v/>
      </c>
      <c r="J179" s="7"/>
    </row>
    <row r="180" customFormat="false" ht="21.75" hidden="false" customHeight="true" outlineLevel="0" collapsed="false">
      <c r="B180" s="15" t="n">
        <v>170</v>
      </c>
      <c r="C180" s="9" t="s">
        <v>43</v>
      </c>
      <c r="D180" s="9" t="s">
        <v>63</v>
      </c>
      <c r="E180" s="9" t="s">
        <v>680</v>
      </c>
      <c r="F180" s="19" t="n">
        <f aca="false">IF('Base de Datos SACI'!U174="","",'Base de Datos SACI'!U174)</f>
        <v>75</v>
      </c>
      <c r="G180" s="15"/>
      <c r="H180" s="30"/>
      <c r="I180" s="31" t="str">
        <f aca="false">IF(OR($G180="",$G180=0),"",IFERROR(ROUND($F180*$G180*(1-IF($H180="",0,$H180)),2),""))</f>
        <v/>
      </c>
      <c r="J180" s="9"/>
    </row>
    <row r="181" customFormat="false" ht="21.75" hidden="false" customHeight="true" outlineLevel="0" collapsed="false">
      <c r="B181" s="14" t="n">
        <v>171</v>
      </c>
      <c r="C181" s="7" t="s">
        <v>43</v>
      </c>
      <c r="D181" s="7" t="s">
        <v>63</v>
      </c>
      <c r="E181" s="7" t="s">
        <v>682</v>
      </c>
      <c r="F181" s="18" t="n">
        <f aca="false">IF('Base de Datos SACI'!U175="","",'Base de Datos SACI'!U175)</f>
        <v>115</v>
      </c>
      <c r="G181" s="14"/>
      <c r="H181" s="28"/>
      <c r="I181" s="29" t="str">
        <f aca="false">IF(OR($G181="",$G181=0),"",IFERROR(ROUND($F181*$G181*(1-IF($H181="",0,$H181)),2),""))</f>
        <v/>
      </c>
      <c r="J181" s="7"/>
    </row>
    <row r="182" customFormat="false" ht="21.75" hidden="false" customHeight="true" outlineLevel="0" collapsed="false">
      <c r="B182" s="15" t="n">
        <v>172</v>
      </c>
      <c r="C182" s="9" t="s">
        <v>43</v>
      </c>
      <c r="D182" s="9" t="s">
        <v>63</v>
      </c>
      <c r="E182" s="9" t="s">
        <v>683</v>
      </c>
      <c r="F182" s="19" t="n">
        <f aca="false">IF('Base de Datos SACI'!U176="","",'Base de Datos SACI'!U176)</f>
        <v>170</v>
      </c>
      <c r="G182" s="15"/>
      <c r="H182" s="30"/>
      <c r="I182" s="31" t="str">
        <f aca="false">IF(OR($G182="",$G182=0),"",IFERROR(ROUND($F182*$G182*(1-IF($H182="",0,$H182)),2),""))</f>
        <v/>
      </c>
      <c r="J182" s="9"/>
    </row>
    <row r="183" customFormat="false" ht="21.75" hidden="false" customHeight="true" outlineLevel="0" collapsed="false">
      <c r="B183" s="14" t="n">
        <v>173</v>
      </c>
      <c r="C183" s="7" t="s">
        <v>43</v>
      </c>
      <c r="D183" s="7" t="s">
        <v>64</v>
      </c>
      <c r="E183" s="7" t="s">
        <v>684</v>
      </c>
      <c r="F183" s="18" t="n">
        <f aca="false">IF('Base de Datos SACI'!U177="","",'Base de Datos SACI'!U177)</f>
        <v>13</v>
      </c>
      <c r="G183" s="14"/>
      <c r="H183" s="28"/>
      <c r="I183" s="29" t="str">
        <f aca="false">IF(OR($G183="",$G183=0),"",IFERROR(ROUND($F183*$G183*(1-IF($H183="",0,$H183)),2),""))</f>
        <v/>
      </c>
      <c r="J183" s="7"/>
    </row>
    <row r="184" customFormat="false" ht="21.75" hidden="false" customHeight="true" outlineLevel="0" collapsed="false">
      <c r="B184" s="15" t="n">
        <v>174</v>
      </c>
      <c r="C184" s="9" t="s">
        <v>43</v>
      </c>
      <c r="D184" s="9" t="s">
        <v>64</v>
      </c>
      <c r="E184" s="9" t="s">
        <v>692</v>
      </c>
      <c r="F184" s="19" t="n">
        <f aca="false">IF('Base de Datos SACI'!U178="","",'Base de Datos SACI'!U178)</f>
        <v>20</v>
      </c>
      <c r="G184" s="15"/>
      <c r="H184" s="30"/>
      <c r="I184" s="31" t="str">
        <f aca="false">IF(OR($G184="",$G184=0),"",IFERROR(ROUND($F184*$G184*(1-IF($H184="",0,$H184)),2),""))</f>
        <v/>
      </c>
      <c r="J184" s="9"/>
    </row>
    <row r="185" customFormat="false" ht="21.75" hidden="false" customHeight="true" outlineLevel="0" collapsed="false">
      <c r="B185" s="14" t="n">
        <v>175</v>
      </c>
      <c r="C185" s="7" t="s">
        <v>43</v>
      </c>
      <c r="D185" s="7" t="s">
        <v>64</v>
      </c>
      <c r="E185" s="7" t="s">
        <v>693</v>
      </c>
      <c r="F185" s="18" t="n">
        <f aca="false">IF('Base de Datos SACI'!U179="","",'Base de Datos SACI'!U179)</f>
        <v>25</v>
      </c>
      <c r="G185" s="14"/>
      <c r="H185" s="28"/>
      <c r="I185" s="29" t="str">
        <f aca="false">IF(OR($G185="",$G185=0),"",IFERROR(ROUND($F185*$G185*(1-IF($H185="",0,$H185)),2),""))</f>
        <v/>
      </c>
      <c r="J185" s="7"/>
    </row>
    <row r="186" customFormat="false" ht="21.75" hidden="false" customHeight="true" outlineLevel="0" collapsed="false">
      <c r="B186" s="15" t="n">
        <v>176</v>
      </c>
      <c r="C186" s="9" t="s">
        <v>43</v>
      </c>
      <c r="D186" s="9" t="s">
        <v>64</v>
      </c>
      <c r="E186" s="9" t="s">
        <v>695</v>
      </c>
      <c r="F186" s="19" t="n">
        <f aca="false">IF('Base de Datos SACI'!U180="","",'Base de Datos SACI'!U180)</f>
        <v>35</v>
      </c>
      <c r="G186" s="15"/>
      <c r="H186" s="30"/>
      <c r="I186" s="31" t="str">
        <f aca="false">IF(OR($G186="",$G186=0),"",IFERROR(ROUND($F186*$G186*(1-IF($H186="",0,$H186)),2),""))</f>
        <v/>
      </c>
      <c r="J186" s="9"/>
    </row>
    <row r="187" customFormat="false" ht="21.75" hidden="false" customHeight="true" outlineLevel="0" collapsed="false">
      <c r="B187" s="14" t="n">
        <v>177</v>
      </c>
      <c r="C187" s="7" t="s">
        <v>43</v>
      </c>
      <c r="D187" s="7" t="s">
        <v>64</v>
      </c>
      <c r="E187" s="7" t="s">
        <v>696</v>
      </c>
      <c r="F187" s="18" t="n">
        <f aca="false">IF('Base de Datos SACI'!U181="","",'Base de Datos SACI'!U181)</f>
        <v>55</v>
      </c>
      <c r="G187" s="14"/>
      <c r="H187" s="28"/>
      <c r="I187" s="29" t="str">
        <f aca="false">IF(OR($G187="",$G187=0),"",IFERROR(ROUND($F187*$G187*(1-IF($H187="",0,$H187)),2),""))</f>
        <v/>
      </c>
      <c r="J187" s="7"/>
    </row>
    <row r="188" customFormat="false" ht="21.75" hidden="false" customHeight="true" outlineLevel="0" collapsed="false">
      <c r="B188" s="15" t="n">
        <v>178</v>
      </c>
      <c r="C188" s="9" t="s">
        <v>43</v>
      </c>
      <c r="D188" s="9" t="s">
        <v>65</v>
      </c>
      <c r="E188" s="9" t="s">
        <v>697</v>
      </c>
      <c r="F188" s="19" t="n">
        <f aca="false">IF('Base de Datos SACI'!U182="","",'Base de Datos SACI'!U182)</f>
        <v>20</v>
      </c>
      <c r="G188" s="15"/>
      <c r="H188" s="30"/>
      <c r="I188" s="31" t="str">
        <f aca="false">IF(OR($G188="",$G188=0),"",IFERROR(ROUND($F188*$G188*(1-IF($H188="",0,$H188)),2),""))</f>
        <v/>
      </c>
      <c r="J188" s="9"/>
    </row>
    <row r="189" customFormat="false" ht="21.75" hidden="false" customHeight="true" outlineLevel="0" collapsed="false">
      <c r="B189" s="14" t="n">
        <v>179</v>
      </c>
      <c r="C189" s="7" t="s">
        <v>43</v>
      </c>
      <c r="D189" s="7" t="s">
        <v>65</v>
      </c>
      <c r="E189" s="7" t="s">
        <v>703</v>
      </c>
      <c r="F189" s="18" t="n">
        <f aca="false">IF('Base de Datos SACI'!U183="","",'Base de Datos SACI'!U183)</f>
        <v>30</v>
      </c>
      <c r="G189" s="14"/>
      <c r="H189" s="28"/>
      <c r="I189" s="29" t="str">
        <f aca="false">IF(OR($G189="",$G189=0),"",IFERROR(ROUND($F189*$G189*(1-IF($H189="",0,$H189)),2),""))</f>
        <v/>
      </c>
      <c r="J189" s="7"/>
    </row>
    <row r="190" customFormat="false" ht="21.75" hidden="false" customHeight="true" outlineLevel="0" collapsed="false">
      <c r="B190" s="15" t="n">
        <v>180</v>
      </c>
      <c r="C190" s="9" t="s">
        <v>43</v>
      </c>
      <c r="D190" s="9" t="s">
        <v>65</v>
      </c>
      <c r="E190" s="9" t="s">
        <v>704</v>
      </c>
      <c r="F190" s="19" t="n">
        <f aca="false">IF('Base de Datos SACI'!U184="","",'Base de Datos SACI'!U184)</f>
        <v>40</v>
      </c>
      <c r="G190" s="15"/>
      <c r="H190" s="30"/>
      <c r="I190" s="31" t="str">
        <f aca="false">IF(OR($G190="",$G190=0),"",IFERROR(ROUND($F190*$G190*(1-IF($H190="",0,$H190)),2),""))</f>
        <v/>
      </c>
      <c r="J190" s="9"/>
    </row>
    <row r="191" customFormat="false" ht="21.75" hidden="false" customHeight="true" outlineLevel="0" collapsed="false">
      <c r="B191" s="14" t="n">
        <v>181</v>
      </c>
      <c r="C191" s="7" t="s">
        <v>43</v>
      </c>
      <c r="D191" s="7" t="s">
        <v>65</v>
      </c>
      <c r="E191" s="7" t="s">
        <v>706</v>
      </c>
      <c r="F191" s="18" t="n">
        <f aca="false">IF('Base de Datos SACI'!U185="","",'Base de Datos SACI'!U185)</f>
        <v>65</v>
      </c>
      <c r="G191" s="14"/>
      <c r="H191" s="28"/>
      <c r="I191" s="29" t="str">
        <f aca="false">IF(OR($G191="",$G191=0),"",IFERROR(ROUND($F191*$G191*(1-IF($H191="",0,$H191)),2),""))</f>
        <v/>
      </c>
      <c r="J191" s="7"/>
    </row>
    <row r="192" customFormat="false" ht="21.75" hidden="false" customHeight="true" outlineLevel="0" collapsed="false">
      <c r="B192" s="15" t="n">
        <v>182</v>
      </c>
      <c r="C192" s="9" t="s">
        <v>43</v>
      </c>
      <c r="D192" s="9" t="s">
        <v>65</v>
      </c>
      <c r="E192" s="9" t="s">
        <v>707</v>
      </c>
      <c r="F192" s="19" t="n">
        <f aca="false">IF('Base de Datos SACI'!U186="","",'Base de Datos SACI'!U186)</f>
        <v>95</v>
      </c>
      <c r="G192" s="15"/>
      <c r="H192" s="30"/>
      <c r="I192" s="31" t="str">
        <f aca="false">IF(OR($G192="",$G192=0),"",IFERROR(ROUND($F192*$G192*(1-IF($H192="",0,$H192)),2),""))</f>
        <v/>
      </c>
      <c r="J192" s="9"/>
    </row>
    <row r="193" customFormat="false" ht="21.75" hidden="false" customHeight="true" outlineLevel="0" collapsed="false">
      <c r="B193" s="14" t="n">
        <v>183</v>
      </c>
      <c r="C193" s="7" t="s">
        <v>43</v>
      </c>
      <c r="D193" s="7" t="s">
        <v>66</v>
      </c>
      <c r="E193" s="7" t="s">
        <v>707</v>
      </c>
      <c r="F193" s="18" t="n">
        <f aca="false">IF('Base de Datos SACI'!U187="","",'Base de Datos SACI'!U187)</f>
        <v>30</v>
      </c>
      <c r="G193" s="14"/>
      <c r="H193" s="28"/>
      <c r="I193" s="29" t="str">
        <f aca="false">IF(OR($G193="",$G193=0),"",IFERROR(ROUND($F193*$G193*(1-IF($H193="",0,$H193)),2),""))</f>
        <v/>
      </c>
      <c r="J193" s="7"/>
    </row>
    <row r="194" customFormat="false" ht="21.75" hidden="false" customHeight="true" outlineLevel="0" collapsed="false">
      <c r="B194" s="15" t="n">
        <v>184</v>
      </c>
      <c r="C194" s="9" t="s">
        <v>43</v>
      </c>
      <c r="D194" s="9" t="s">
        <v>66</v>
      </c>
      <c r="E194" s="9" t="s">
        <v>715</v>
      </c>
      <c r="F194" s="19" t="n">
        <f aca="false">IF('Base de Datos SACI'!U188="","",'Base de Datos SACI'!U188)</f>
        <v>50</v>
      </c>
      <c r="G194" s="15"/>
      <c r="H194" s="30"/>
      <c r="I194" s="31" t="str">
        <f aca="false">IF(OR($G194="",$G194=0),"",IFERROR(ROUND($F194*$G194*(1-IF($H194="",0,$H194)),2),""))</f>
        <v/>
      </c>
      <c r="J194" s="9"/>
    </row>
    <row r="195" customFormat="false" ht="21.75" hidden="false" customHeight="true" outlineLevel="0" collapsed="false">
      <c r="B195" s="14" t="n">
        <v>185</v>
      </c>
      <c r="C195" s="7" t="s">
        <v>43</v>
      </c>
      <c r="D195" s="7" t="s">
        <v>66</v>
      </c>
      <c r="E195" s="7" t="s">
        <v>716</v>
      </c>
      <c r="F195" s="18" t="n">
        <f aca="false">IF('Base de Datos SACI'!U189="","",'Base de Datos SACI'!U189)</f>
        <v>65</v>
      </c>
      <c r="G195" s="14"/>
      <c r="H195" s="28"/>
      <c r="I195" s="29" t="str">
        <f aca="false">IF(OR($G195="",$G195=0),"",IFERROR(ROUND($F195*$G195*(1-IF($H195="",0,$H195)),2),""))</f>
        <v/>
      </c>
      <c r="J195" s="7"/>
    </row>
    <row r="196" customFormat="false" ht="21.75" hidden="false" customHeight="true" outlineLevel="0" collapsed="false">
      <c r="B196" s="15" t="n">
        <v>186</v>
      </c>
      <c r="C196" s="9" t="s">
        <v>43</v>
      </c>
      <c r="D196" s="9" t="s">
        <v>66</v>
      </c>
      <c r="E196" s="9" t="s">
        <v>718</v>
      </c>
      <c r="F196" s="19" t="n">
        <f aca="false">IF('Base de Datos SACI'!U190="","",'Base de Datos SACI'!U190)</f>
        <v>100</v>
      </c>
      <c r="G196" s="15"/>
      <c r="H196" s="30"/>
      <c r="I196" s="31" t="str">
        <f aca="false">IF(OR($G196="",$G196=0),"",IFERROR(ROUND($F196*$G196*(1-IF($H196="",0,$H196)),2),""))</f>
        <v/>
      </c>
      <c r="J196" s="9"/>
    </row>
    <row r="197" customFormat="false" ht="21.75" hidden="false" customHeight="true" outlineLevel="0" collapsed="false">
      <c r="B197" s="14" t="n">
        <v>187</v>
      </c>
      <c r="C197" s="7" t="s">
        <v>43</v>
      </c>
      <c r="D197" s="7" t="s">
        <v>66</v>
      </c>
      <c r="E197" s="7" t="s">
        <v>719</v>
      </c>
      <c r="F197" s="18" t="n">
        <f aca="false">IF('Base de Datos SACI'!U191="","",'Base de Datos SACI'!U191)</f>
        <v>145</v>
      </c>
      <c r="G197" s="14"/>
      <c r="H197" s="28"/>
      <c r="I197" s="29" t="str">
        <f aca="false">IF(OR($G197="",$G197=0),"",IFERROR(ROUND($F197*$G197*(1-IF($H197="",0,$H197)),2),""))</f>
        <v/>
      </c>
      <c r="J197" s="7"/>
    </row>
    <row r="198" customFormat="false" ht="21.75" hidden="false" customHeight="true" outlineLevel="0" collapsed="false">
      <c r="B198" s="15" t="n">
        <v>188</v>
      </c>
      <c r="C198" s="9" t="s">
        <v>43</v>
      </c>
      <c r="D198" s="9" t="s">
        <v>67</v>
      </c>
      <c r="E198" s="9" t="s">
        <v>720</v>
      </c>
      <c r="F198" s="19" t="n">
        <f aca="false">IF('Base de Datos SACI'!U192="","",'Base de Datos SACI'!U192)</f>
        <v>15</v>
      </c>
      <c r="G198" s="15"/>
      <c r="H198" s="30"/>
      <c r="I198" s="31" t="str">
        <f aca="false">IF(OR($G198="",$G198=0),"",IFERROR(ROUND($F198*$G198*(1-IF($H198="",0,$H198)),2),""))</f>
        <v/>
      </c>
      <c r="J198" s="9"/>
    </row>
    <row r="199" customFormat="false" ht="21.75" hidden="false" customHeight="true" outlineLevel="0" collapsed="false">
      <c r="B199" s="14" t="n">
        <v>189</v>
      </c>
      <c r="C199" s="7" t="s">
        <v>43</v>
      </c>
      <c r="D199" s="7" t="s">
        <v>67</v>
      </c>
      <c r="E199" s="7" t="s">
        <v>726</v>
      </c>
      <c r="F199" s="18" t="n">
        <f aca="false">IF('Base de Datos SACI'!U193="","",'Base de Datos SACI'!U193)</f>
        <v>20</v>
      </c>
      <c r="G199" s="14"/>
      <c r="H199" s="28"/>
      <c r="I199" s="29" t="str">
        <f aca="false">IF(OR($G199="",$G199=0),"",IFERROR(ROUND($F199*$G199*(1-IF($H199="",0,$H199)),2),""))</f>
        <v/>
      </c>
      <c r="J199" s="7"/>
    </row>
    <row r="200" customFormat="false" ht="21.75" hidden="false" customHeight="true" outlineLevel="0" collapsed="false">
      <c r="B200" s="15" t="n">
        <v>190</v>
      </c>
      <c r="C200" s="9" t="s">
        <v>43</v>
      </c>
      <c r="D200" s="9" t="s">
        <v>67</v>
      </c>
      <c r="E200" s="9" t="s">
        <v>727</v>
      </c>
      <c r="F200" s="19" t="n">
        <f aca="false">IF('Base de Datos SACI'!U194="","",'Base de Datos SACI'!U194)</f>
        <v>30</v>
      </c>
      <c r="G200" s="15"/>
      <c r="H200" s="30"/>
      <c r="I200" s="31" t="str">
        <f aca="false">IF(OR($G200="",$G200=0),"",IFERROR(ROUND($F200*$G200*(1-IF($H200="",0,$H200)),2),""))</f>
        <v/>
      </c>
      <c r="J200" s="9"/>
    </row>
    <row r="201" customFormat="false" ht="21.75" hidden="false" customHeight="true" outlineLevel="0" collapsed="false">
      <c r="B201" s="14" t="n">
        <v>191</v>
      </c>
      <c r="C201" s="7" t="s">
        <v>43</v>
      </c>
      <c r="D201" s="7" t="s">
        <v>67</v>
      </c>
      <c r="E201" s="7" t="s">
        <v>704</v>
      </c>
      <c r="F201" s="18" t="n">
        <f aca="false">IF('Base de Datos SACI'!U195="","",'Base de Datos SACI'!U195)</f>
        <v>45</v>
      </c>
      <c r="G201" s="14"/>
      <c r="H201" s="28"/>
      <c r="I201" s="29" t="str">
        <f aca="false">IF(OR($G201="",$G201=0),"",IFERROR(ROUND($F201*$G201*(1-IF($H201="",0,$H201)),2),""))</f>
        <v/>
      </c>
      <c r="J201" s="7"/>
    </row>
    <row r="202" customFormat="false" ht="21.75" hidden="false" customHeight="true" outlineLevel="0" collapsed="false">
      <c r="B202" s="15" t="n">
        <v>192</v>
      </c>
      <c r="C202" s="9" t="s">
        <v>43</v>
      </c>
      <c r="D202" s="9" t="s">
        <v>67</v>
      </c>
      <c r="E202" s="9" t="s">
        <v>729</v>
      </c>
      <c r="F202" s="19" t="n">
        <f aca="false">IF('Base de Datos SACI'!U196="","",'Base de Datos SACI'!U196)</f>
        <v>65</v>
      </c>
      <c r="G202" s="15"/>
      <c r="H202" s="30"/>
      <c r="I202" s="31" t="str">
        <f aca="false">IF(OR($G202="",$G202=0),"",IFERROR(ROUND($F202*$G202*(1-IF($H202="",0,$H202)),2),""))</f>
        <v/>
      </c>
      <c r="J202" s="9"/>
    </row>
    <row r="203" customFormat="false" ht="21.75" hidden="false" customHeight="true" outlineLevel="0" collapsed="false">
      <c r="B203" s="14" t="n">
        <v>193</v>
      </c>
      <c r="C203" s="7" t="s">
        <v>43</v>
      </c>
      <c r="D203" s="7" t="s">
        <v>68</v>
      </c>
      <c r="E203" s="7" t="s">
        <v>730</v>
      </c>
      <c r="F203" s="18" t="n">
        <f aca="false">IF('Base de Datos SACI'!U197="","",'Base de Datos SACI'!U197)</f>
        <v>12</v>
      </c>
      <c r="G203" s="14"/>
      <c r="H203" s="28"/>
      <c r="I203" s="29" t="str">
        <f aca="false">IF(OR($G203="",$G203=0),"",IFERROR(ROUND($F203*$G203*(1-IF($H203="",0,$H203)),2),""))</f>
        <v/>
      </c>
      <c r="J203" s="7"/>
    </row>
    <row r="204" customFormat="false" ht="21.75" hidden="false" customHeight="true" outlineLevel="0" collapsed="false">
      <c r="B204" s="15" t="n">
        <v>194</v>
      </c>
      <c r="C204" s="9" t="s">
        <v>43</v>
      </c>
      <c r="D204" s="9" t="s">
        <v>68</v>
      </c>
      <c r="E204" s="9" t="s">
        <v>736</v>
      </c>
      <c r="F204" s="19" t="n">
        <f aca="false">IF('Base de Datos SACI'!U198="","",'Base de Datos SACI'!U198)</f>
        <v>19</v>
      </c>
      <c r="G204" s="15"/>
      <c r="H204" s="30"/>
      <c r="I204" s="31" t="str">
        <f aca="false">IF(OR($G204="",$G204=0),"",IFERROR(ROUND($F204*$G204*(1-IF($H204="",0,$H204)),2),""))</f>
        <v/>
      </c>
      <c r="J204" s="9"/>
    </row>
    <row r="205" customFormat="false" ht="21.75" hidden="false" customHeight="true" outlineLevel="0" collapsed="false">
      <c r="B205" s="14" t="n">
        <v>195</v>
      </c>
      <c r="C205" s="7" t="s">
        <v>43</v>
      </c>
      <c r="D205" s="7" t="s">
        <v>68</v>
      </c>
      <c r="E205" s="7" t="s">
        <v>737</v>
      </c>
      <c r="F205" s="18" t="n">
        <f aca="false">IF('Base de Datos SACI'!U199="","",'Base de Datos SACI'!U199)</f>
        <v>25</v>
      </c>
      <c r="G205" s="14"/>
      <c r="H205" s="28"/>
      <c r="I205" s="29" t="str">
        <f aca="false">IF(OR($G205="",$G205=0),"",IFERROR(ROUND($F205*$G205*(1-IF($H205="",0,$H205)),2),""))</f>
        <v/>
      </c>
      <c r="J205" s="7"/>
    </row>
    <row r="206" customFormat="false" ht="21.75" hidden="false" customHeight="true" outlineLevel="0" collapsed="false">
      <c r="B206" s="15" t="n">
        <v>196</v>
      </c>
      <c r="C206" s="9" t="s">
        <v>43</v>
      </c>
      <c r="D206" s="9" t="s">
        <v>68</v>
      </c>
      <c r="E206" s="9" t="s">
        <v>739</v>
      </c>
      <c r="F206" s="19" t="n">
        <f aca="false">IF('Base de Datos SACI'!U200="","",'Base de Datos SACI'!U200)</f>
        <v>35</v>
      </c>
      <c r="G206" s="15"/>
      <c r="H206" s="30"/>
      <c r="I206" s="31" t="str">
        <f aca="false">IF(OR($G206="",$G206=0),"",IFERROR(ROUND($F206*$G206*(1-IF($H206="",0,$H206)),2),""))</f>
        <v/>
      </c>
      <c r="J206" s="9"/>
    </row>
    <row r="207" customFormat="false" ht="21.75" hidden="false" customHeight="true" outlineLevel="0" collapsed="false">
      <c r="B207" s="14" t="n">
        <v>197</v>
      </c>
      <c r="C207" s="7" t="s">
        <v>43</v>
      </c>
      <c r="D207" s="7" t="s">
        <v>68</v>
      </c>
      <c r="E207" s="7" t="s">
        <v>740</v>
      </c>
      <c r="F207" s="18" t="n">
        <f aca="false">IF('Base de Datos SACI'!U201="","",'Base de Datos SACI'!U201)</f>
        <v>55</v>
      </c>
      <c r="G207" s="14"/>
      <c r="H207" s="28"/>
      <c r="I207" s="29" t="str">
        <f aca="false">IF(OR($G207="",$G207=0),"",IFERROR(ROUND($F207*$G207*(1-IF($H207="",0,$H207)),2),""))</f>
        <v/>
      </c>
      <c r="J207" s="7"/>
    </row>
    <row r="208" customFormat="false" ht="21.75" hidden="false" customHeight="true" outlineLevel="0" collapsed="false">
      <c r="B208" s="15" t="n">
        <v>198</v>
      </c>
      <c r="C208" s="9" t="s">
        <v>43</v>
      </c>
      <c r="D208" s="9" t="s">
        <v>69</v>
      </c>
      <c r="E208" s="9" t="s">
        <v>741</v>
      </c>
      <c r="F208" s="19" t="n">
        <f aca="false">IF('Base de Datos SACI'!U202="","",'Base de Datos SACI'!U202)</f>
        <v>25</v>
      </c>
      <c r="G208" s="15"/>
      <c r="H208" s="30"/>
      <c r="I208" s="31" t="str">
        <f aca="false">IF(OR($G208="",$G208=0),"",IFERROR(ROUND($F208*$G208*(1-IF($H208="",0,$H208)),2),""))</f>
        <v/>
      </c>
      <c r="J208" s="9"/>
    </row>
    <row r="209" customFormat="false" ht="21.75" hidden="false" customHeight="true" outlineLevel="0" collapsed="false">
      <c r="B209" s="14" t="n">
        <v>199</v>
      </c>
      <c r="C209" s="7" t="s">
        <v>43</v>
      </c>
      <c r="D209" s="7" t="s">
        <v>69</v>
      </c>
      <c r="E209" s="7" t="s">
        <v>747</v>
      </c>
      <c r="F209" s="18" t="n">
        <f aca="false">IF('Base de Datos SACI'!U203="","",'Base de Datos SACI'!U203)</f>
        <v>35</v>
      </c>
      <c r="G209" s="14"/>
      <c r="H209" s="28"/>
      <c r="I209" s="29" t="str">
        <f aca="false">IF(OR($G209="",$G209=0),"",IFERROR(ROUND($F209*$G209*(1-IF($H209="",0,$H209)),2),""))</f>
        <v/>
      </c>
      <c r="J209" s="7"/>
    </row>
    <row r="210" customFormat="false" ht="21.75" hidden="false" customHeight="true" outlineLevel="0" collapsed="false">
      <c r="B210" s="15" t="n">
        <v>200</v>
      </c>
      <c r="C210" s="9" t="s">
        <v>43</v>
      </c>
      <c r="D210" s="9" t="s">
        <v>69</v>
      </c>
      <c r="E210" s="9" t="s">
        <v>748</v>
      </c>
      <c r="F210" s="19" t="n">
        <f aca="false">IF('Base de Datos SACI'!U204="","",'Base de Datos SACI'!U204)</f>
        <v>50</v>
      </c>
      <c r="G210" s="15"/>
      <c r="H210" s="30"/>
      <c r="I210" s="31" t="str">
        <f aca="false">IF(OR($G210="",$G210=0),"",IFERROR(ROUND($F210*$G210*(1-IF($H210="",0,$H210)),2),""))</f>
        <v/>
      </c>
      <c r="J210" s="9"/>
    </row>
    <row r="211" customFormat="false" ht="21.75" hidden="false" customHeight="true" outlineLevel="0" collapsed="false">
      <c r="B211" s="14" t="n">
        <v>201</v>
      </c>
      <c r="C211" s="7" t="s">
        <v>43</v>
      </c>
      <c r="D211" s="7" t="s">
        <v>69</v>
      </c>
      <c r="E211" s="7" t="s">
        <v>750</v>
      </c>
      <c r="F211" s="18" t="n">
        <f aca="false">IF('Base de Datos SACI'!U205="","",'Base de Datos SACI'!U205)</f>
        <v>75</v>
      </c>
      <c r="G211" s="14"/>
      <c r="H211" s="28"/>
      <c r="I211" s="29" t="str">
        <f aca="false">IF(OR($G211="",$G211=0),"",IFERROR(ROUND($F211*$G211*(1-IF($H211="",0,$H211)),2),""))</f>
        <v/>
      </c>
      <c r="J211" s="7"/>
    </row>
    <row r="212" customFormat="false" ht="21.75" hidden="false" customHeight="true" outlineLevel="0" collapsed="false">
      <c r="B212" s="15" t="n">
        <v>202</v>
      </c>
      <c r="C212" s="9" t="s">
        <v>43</v>
      </c>
      <c r="D212" s="9" t="s">
        <v>69</v>
      </c>
      <c r="E212" s="9" t="s">
        <v>751</v>
      </c>
      <c r="F212" s="19" t="n">
        <f aca="false">IF('Base de Datos SACI'!U206="","",'Base de Datos SACI'!U206)</f>
        <v>110</v>
      </c>
      <c r="G212" s="15"/>
      <c r="H212" s="30"/>
      <c r="I212" s="31" t="str">
        <f aca="false">IF(OR($G212="",$G212=0),"",IFERROR(ROUND($F212*$G212*(1-IF($H212="",0,$H212)),2),""))</f>
        <v/>
      </c>
      <c r="J212" s="9"/>
    </row>
    <row r="213" customFormat="false" ht="21.75" hidden="false" customHeight="true" outlineLevel="0" collapsed="false">
      <c r="B213" s="14" t="n">
        <v>203</v>
      </c>
      <c r="C213" s="7" t="s">
        <v>43</v>
      </c>
      <c r="D213" s="7" t="s">
        <v>70</v>
      </c>
      <c r="E213" s="7" t="s">
        <v>741</v>
      </c>
      <c r="F213" s="18" t="n">
        <f aca="false">IF('Base de Datos SACI'!U207="","",'Base de Datos SACI'!U207)</f>
        <v>14</v>
      </c>
      <c r="G213" s="14"/>
      <c r="H213" s="28"/>
      <c r="I213" s="29" t="str">
        <f aca="false">IF(OR($G213="",$G213=0),"",IFERROR(ROUND($F213*$G213*(1-IF($H213="",0,$H213)),2),""))</f>
        <v/>
      </c>
      <c r="J213" s="7"/>
    </row>
    <row r="214" customFormat="false" ht="21.75" hidden="false" customHeight="true" outlineLevel="0" collapsed="false">
      <c r="B214" s="15" t="n">
        <v>204</v>
      </c>
      <c r="C214" s="9" t="s">
        <v>43</v>
      </c>
      <c r="D214" s="9" t="s">
        <v>70</v>
      </c>
      <c r="E214" s="9" t="s">
        <v>756</v>
      </c>
      <c r="F214" s="19" t="n">
        <f aca="false">IF('Base de Datos SACI'!U208="","",'Base de Datos SACI'!U208)</f>
        <v>20</v>
      </c>
      <c r="G214" s="15"/>
      <c r="H214" s="30"/>
      <c r="I214" s="31" t="str">
        <f aca="false">IF(OR($G214="",$G214=0),"",IFERROR(ROUND($F214*$G214*(1-IF($H214="",0,$H214)),2),""))</f>
        <v/>
      </c>
      <c r="J214" s="9"/>
    </row>
    <row r="215" customFormat="false" ht="21.75" hidden="false" customHeight="true" outlineLevel="0" collapsed="false">
      <c r="B215" s="14" t="n">
        <v>205</v>
      </c>
      <c r="C215" s="7" t="s">
        <v>43</v>
      </c>
      <c r="D215" s="7" t="s">
        <v>70</v>
      </c>
      <c r="E215" s="7" t="s">
        <v>757</v>
      </c>
      <c r="F215" s="18" t="n">
        <f aca="false">IF('Base de Datos SACI'!U209="","",'Base de Datos SACI'!U209)</f>
        <v>25</v>
      </c>
      <c r="G215" s="14"/>
      <c r="H215" s="28"/>
      <c r="I215" s="29" t="str">
        <f aca="false">IF(OR($G215="",$G215=0),"",IFERROR(ROUND($F215*$G215*(1-IF($H215="",0,$H215)),2),""))</f>
        <v/>
      </c>
      <c r="J215" s="7"/>
    </row>
    <row r="216" customFormat="false" ht="21.75" hidden="false" customHeight="true" outlineLevel="0" collapsed="false">
      <c r="B216" s="15" t="n">
        <v>206</v>
      </c>
      <c r="C216" s="9" t="s">
        <v>43</v>
      </c>
      <c r="D216" s="9" t="s">
        <v>70</v>
      </c>
      <c r="E216" s="9" t="s">
        <v>759</v>
      </c>
      <c r="F216" s="19" t="n">
        <f aca="false">IF('Base de Datos SACI'!U210="","",'Base de Datos SACI'!U210)</f>
        <v>40</v>
      </c>
      <c r="G216" s="15"/>
      <c r="H216" s="30"/>
      <c r="I216" s="31" t="str">
        <f aca="false">IF(OR($G216="",$G216=0),"",IFERROR(ROUND($F216*$G216*(1-IF($H216="",0,$H216)),2),""))</f>
        <v/>
      </c>
      <c r="J216" s="9"/>
    </row>
    <row r="217" customFormat="false" ht="21.75" hidden="false" customHeight="true" outlineLevel="0" collapsed="false">
      <c r="B217" s="14" t="n">
        <v>207</v>
      </c>
      <c r="C217" s="7" t="s">
        <v>43</v>
      </c>
      <c r="D217" s="7" t="s">
        <v>70</v>
      </c>
      <c r="E217" s="7" t="s">
        <v>760</v>
      </c>
      <c r="F217" s="18" t="n">
        <f aca="false">IF('Base de Datos SACI'!U211="","",'Base de Datos SACI'!U211)</f>
        <v>60</v>
      </c>
      <c r="G217" s="14"/>
      <c r="H217" s="28"/>
      <c r="I217" s="29" t="str">
        <f aca="false">IF(OR($G217="",$G217=0),"",IFERROR(ROUND($F217*$G217*(1-IF($H217="",0,$H217)),2),""))</f>
        <v/>
      </c>
      <c r="J217" s="7"/>
    </row>
    <row r="218" customFormat="false" ht="21.75" hidden="false" customHeight="true" outlineLevel="0" collapsed="false">
      <c r="B218" s="15" t="n">
        <v>208</v>
      </c>
      <c r="C218" s="9" t="s">
        <v>43</v>
      </c>
      <c r="D218" s="9" t="s">
        <v>71</v>
      </c>
      <c r="E218" s="9" t="s">
        <v>761</v>
      </c>
      <c r="F218" s="19" t="n">
        <f aca="false">IF('Base de Datos SACI'!U212="","",'Base de Datos SACI'!U212)</f>
        <v>45</v>
      </c>
      <c r="G218" s="15"/>
      <c r="H218" s="30"/>
      <c r="I218" s="31" t="str">
        <f aca="false">IF(OR($G218="",$G218=0),"",IFERROR(ROUND($F218*$G218*(1-IF($H218="",0,$H218)),2),""))</f>
        <v/>
      </c>
      <c r="J218" s="9"/>
    </row>
    <row r="219" customFormat="false" ht="21.75" hidden="false" customHeight="true" outlineLevel="0" collapsed="false">
      <c r="B219" s="14" t="n">
        <v>209</v>
      </c>
      <c r="C219" s="7" t="s">
        <v>43</v>
      </c>
      <c r="D219" s="7" t="s">
        <v>71</v>
      </c>
      <c r="E219" s="7" t="s">
        <v>768</v>
      </c>
      <c r="F219" s="18" t="n">
        <f aca="false">IF('Base de Datos SACI'!U213="","",'Base de Datos SACI'!U213)</f>
        <v>70</v>
      </c>
      <c r="G219" s="14"/>
      <c r="H219" s="28"/>
      <c r="I219" s="29" t="str">
        <f aca="false">IF(OR($G219="",$G219=0),"",IFERROR(ROUND($F219*$G219*(1-IF($H219="",0,$H219)),2),""))</f>
        <v/>
      </c>
      <c r="J219" s="7"/>
    </row>
    <row r="220" customFormat="false" ht="21.75" hidden="false" customHeight="true" outlineLevel="0" collapsed="false">
      <c r="B220" s="15" t="n">
        <v>210</v>
      </c>
      <c r="C220" s="9" t="s">
        <v>43</v>
      </c>
      <c r="D220" s="9" t="s">
        <v>71</v>
      </c>
      <c r="E220" s="9" t="s">
        <v>769</v>
      </c>
      <c r="F220" s="19" t="n">
        <f aca="false">IF('Base de Datos SACI'!U214="","",'Base de Datos SACI'!U214)</f>
        <v>95</v>
      </c>
      <c r="G220" s="15"/>
      <c r="H220" s="30"/>
      <c r="I220" s="31" t="str">
        <f aca="false">IF(OR($G220="",$G220=0),"",IFERROR(ROUND($F220*$G220*(1-IF($H220="",0,$H220)),2),""))</f>
        <v/>
      </c>
      <c r="J220" s="9"/>
    </row>
    <row r="221" customFormat="false" ht="21.75" hidden="false" customHeight="true" outlineLevel="0" collapsed="false">
      <c r="B221" s="14" t="n">
        <v>211</v>
      </c>
      <c r="C221" s="7" t="s">
        <v>43</v>
      </c>
      <c r="D221" s="7" t="s">
        <v>71</v>
      </c>
      <c r="E221" s="7" t="s">
        <v>771</v>
      </c>
      <c r="F221" s="18" t="n">
        <f aca="false">IF('Base de Datos SACI'!U215="","",'Base de Datos SACI'!U215)</f>
        <v>140</v>
      </c>
      <c r="G221" s="14"/>
      <c r="H221" s="28"/>
      <c r="I221" s="29" t="str">
        <f aca="false">IF(OR($G221="",$G221=0),"",IFERROR(ROUND($F221*$G221*(1-IF($H221="",0,$H221)),2),""))</f>
        <v/>
      </c>
      <c r="J221" s="7"/>
    </row>
    <row r="222" customFormat="false" ht="21.75" hidden="false" customHeight="true" outlineLevel="0" collapsed="false">
      <c r="B222" s="15" t="n">
        <v>212</v>
      </c>
      <c r="C222" s="9" t="s">
        <v>43</v>
      </c>
      <c r="D222" s="9" t="s">
        <v>71</v>
      </c>
      <c r="E222" s="9" t="s">
        <v>772</v>
      </c>
      <c r="F222" s="19" t="n">
        <f aca="false">IF('Base de Datos SACI'!U216="","",'Base de Datos SACI'!U216)</f>
        <v>205</v>
      </c>
      <c r="G222" s="15"/>
      <c r="H222" s="30"/>
      <c r="I222" s="31" t="str">
        <f aca="false">IF(OR($G222="",$G222=0),"",IFERROR(ROUND($F222*$G222*(1-IF($H222="",0,$H222)),2),""))</f>
        <v/>
      </c>
      <c r="J222" s="9"/>
    </row>
    <row r="223" customFormat="false" ht="21.75" hidden="false" customHeight="true" outlineLevel="0" collapsed="false">
      <c r="B223" s="14" t="n">
        <v>213</v>
      </c>
      <c r="C223" s="7" t="s">
        <v>43</v>
      </c>
      <c r="D223" s="7" t="s">
        <v>72</v>
      </c>
      <c r="E223" s="7" t="s">
        <v>391</v>
      </c>
      <c r="F223" s="18" t="str">
        <f aca="false">IF('Base de Datos SACI'!U217="","",'Base de Datos SACI'!U217)</f>
        <v/>
      </c>
      <c r="G223" s="14"/>
      <c r="H223" s="28"/>
      <c r="I223" s="29" t="str">
        <f aca="false">IF(OR($G223="",$G223=0),"",IFERROR(ROUND($F223*$G223*(1-IF($H223="",0,$H223)),2),""))</f>
        <v/>
      </c>
      <c r="J223" s="7"/>
    </row>
    <row r="224" customFormat="false" ht="21.75" hidden="false" customHeight="true" outlineLevel="0" collapsed="false">
      <c r="B224" s="15" t="n">
        <v>214</v>
      </c>
      <c r="C224" s="9" t="s">
        <v>43</v>
      </c>
      <c r="D224" s="9" t="s">
        <v>73</v>
      </c>
      <c r="E224" s="9" t="s">
        <v>774</v>
      </c>
      <c r="F224" s="19" t="n">
        <f aca="false">IF('Base de Datos SACI'!U218="","",'Base de Datos SACI'!U218)</f>
        <v>30</v>
      </c>
      <c r="G224" s="15"/>
      <c r="H224" s="30"/>
      <c r="I224" s="31" t="str">
        <f aca="false">IF(OR($G224="",$G224=0),"",IFERROR(ROUND($F224*$G224*(1-IF($H224="",0,$H224)),2),""))</f>
        <v/>
      </c>
      <c r="J224" s="9"/>
    </row>
    <row r="225" customFormat="false" ht="21.75" hidden="false" customHeight="true" outlineLevel="0" collapsed="false">
      <c r="B225" s="14" t="n">
        <v>215</v>
      </c>
      <c r="C225" s="7" t="s">
        <v>43</v>
      </c>
      <c r="D225" s="7" t="s">
        <v>73</v>
      </c>
      <c r="E225" s="7" t="s">
        <v>782</v>
      </c>
      <c r="F225" s="18" t="n">
        <f aca="false">IF('Base de Datos SACI'!U219="","",'Base de Datos SACI'!U219)</f>
        <v>45</v>
      </c>
      <c r="G225" s="14"/>
      <c r="H225" s="28"/>
      <c r="I225" s="29" t="str">
        <f aca="false">IF(OR($G225="",$G225=0),"",IFERROR(ROUND($F225*$G225*(1-IF($H225="",0,$H225)),2),""))</f>
        <v/>
      </c>
      <c r="J225" s="7"/>
    </row>
    <row r="226" customFormat="false" ht="21.75" hidden="false" customHeight="true" outlineLevel="0" collapsed="false">
      <c r="B226" s="15" t="n">
        <v>216</v>
      </c>
      <c r="C226" s="9" t="s">
        <v>43</v>
      </c>
      <c r="D226" s="9" t="s">
        <v>73</v>
      </c>
      <c r="E226" s="9" t="s">
        <v>783</v>
      </c>
      <c r="F226" s="19" t="n">
        <f aca="false">IF('Base de Datos SACI'!U220="","",'Base de Datos SACI'!U220)</f>
        <v>60</v>
      </c>
      <c r="G226" s="15"/>
      <c r="H226" s="30"/>
      <c r="I226" s="31" t="str">
        <f aca="false">IF(OR($G226="",$G226=0),"",IFERROR(ROUND($F226*$G226*(1-IF($H226="",0,$H226)),2),""))</f>
        <v/>
      </c>
      <c r="J226" s="9"/>
    </row>
    <row r="227" customFormat="false" ht="21.75" hidden="false" customHeight="true" outlineLevel="0" collapsed="false">
      <c r="B227" s="14" t="n">
        <v>217</v>
      </c>
      <c r="C227" s="7" t="s">
        <v>43</v>
      </c>
      <c r="D227" s="7" t="s">
        <v>73</v>
      </c>
      <c r="E227" s="7" t="s">
        <v>785</v>
      </c>
      <c r="F227" s="18" t="n">
        <f aca="false">IF('Base de Datos SACI'!U221="","",'Base de Datos SACI'!U221)</f>
        <v>90</v>
      </c>
      <c r="G227" s="14"/>
      <c r="H227" s="28"/>
      <c r="I227" s="29" t="str">
        <f aca="false">IF(OR($G227="",$G227=0),"",IFERROR(ROUND($F227*$G227*(1-IF($H227="",0,$H227)),2),""))</f>
        <v/>
      </c>
      <c r="J227" s="7"/>
    </row>
    <row r="228" customFormat="false" ht="21.75" hidden="false" customHeight="true" outlineLevel="0" collapsed="false">
      <c r="B228" s="15" t="n">
        <v>218</v>
      </c>
      <c r="C228" s="9" t="s">
        <v>43</v>
      </c>
      <c r="D228" s="9" t="s">
        <v>73</v>
      </c>
      <c r="E228" s="9" t="s">
        <v>786</v>
      </c>
      <c r="F228" s="19" t="n">
        <f aca="false">IF('Base de Datos SACI'!U222="","",'Base de Datos SACI'!U222)</f>
        <v>135</v>
      </c>
      <c r="G228" s="15"/>
      <c r="H228" s="30"/>
      <c r="I228" s="31" t="str">
        <f aca="false">IF(OR($G228="",$G228=0),"",IFERROR(ROUND($F228*$G228*(1-IF($H228="",0,$H228)),2),""))</f>
        <v/>
      </c>
      <c r="J228" s="9"/>
    </row>
    <row r="229" customFormat="false" ht="21.75" hidden="false" customHeight="true" outlineLevel="0" collapsed="false">
      <c r="B229" s="14" t="n">
        <v>219</v>
      </c>
      <c r="C229" s="7" t="s">
        <v>43</v>
      </c>
      <c r="D229" s="7" t="s">
        <v>74</v>
      </c>
      <c r="E229" s="7" t="s">
        <v>391</v>
      </c>
      <c r="F229" s="18" t="str">
        <f aca="false">IF('Base de Datos SACI'!U223="","",'Base de Datos SACI'!U223)</f>
        <v/>
      </c>
      <c r="G229" s="14"/>
      <c r="H229" s="28"/>
      <c r="I229" s="29" t="str">
        <f aca="false">IF(OR($G229="",$G229=0),"",IFERROR(ROUND($F229*$G229*(1-IF($H229="",0,$H229)),2),""))</f>
        <v/>
      </c>
      <c r="J229" s="7"/>
    </row>
    <row r="230" customFormat="false" ht="21.75" hidden="false" customHeight="true" outlineLevel="0" collapsed="false">
      <c r="B230" s="15" t="n">
        <v>220</v>
      </c>
      <c r="C230" s="9" t="s">
        <v>43</v>
      </c>
      <c r="D230" s="9" t="s">
        <v>75</v>
      </c>
      <c r="E230" s="9" t="s">
        <v>788</v>
      </c>
      <c r="F230" s="19" t="n">
        <f aca="false">IF('Base de Datos SACI'!U224="","",'Base de Datos SACI'!U224)</f>
        <v>14</v>
      </c>
      <c r="G230" s="15"/>
      <c r="H230" s="30"/>
      <c r="I230" s="31" t="str">
        <f aca="false">IF(OR($G230="",$G230=0),"",IFERROR(ROUND($F230*$G230*(1-IF($H230="",0,$H230)),2),""))</f>
        <v/>
      </c>
      <c r="J230" s="9"/>
    </row>
    <row r="231" customFormat="false" ht="21.75" hidden="false" customHeight="true" outlineLevel="0" collapsed="false">
      <c r="B231" s="14" t="n">
        <v>221</v>
      </c>
      <c r="C231" s="7" t="s">
        <v>43</v>
      </c>
      <c r="D231" s="7" t="s">
        <v>75</v>
      </c>
      <c r="E231" s="7" t="s">
        <v>793</v>
      </c>
      <c r="F231" s="18" t="n">
        <f aca="false">IF('Base de Datos SACI'!U225="","",'Base de Datos SACI'!U225)</f>
        <v>20</v>
      </c>
      <c r="G231" s="14"/>
      <c r="H231" s="28"/>
      <c r="I231" s="29" t="str">
        <f aca="false">IF(OR($G231="",$G231=0),"",IFERROR(ROUND($F231*$G231*(1-IF($H231="",0,$H231)),2),""))</f>
        <v/>
      </c>
      <c r="J231" s="7"/>
    </row>
    <row r="232" customFormat="false" ht="21.75" hidden="false" customHeight="true" outlineLevel="0" collapsed="false">
      <c r="B232" s="15" t="n">
        <v>222</v>
      </c>
      <c r="C232" s="9" t="s">
        <v>43</v>
      </c>
      <c r="D232" s="9" t="s">
        <v>75</v>
      </c>
      <c r="E232" s="9" t="s">
        <v>794</v>
      </c>
      <c r="F232" s="19" t="n">
        <f aca="false">IF('Base de Datos SACI'!U226="","",'Base de Datos SACI'!U226)</f>
        <v>25</v>
      </c>
      <c r="G232" s="15"/>
      <c r="H232" s="30"/>
      <c r="I232" s="31" t="str">
        <f aca="false">IF(OR($G232="",$G232=0),"",IFERROR(ROUND($F232*$G232*(1-IF($H232="",0,$H232)),2),""))</f>
        <v/>
      </c>
      <c r="J232" s="9"/>
    </row>
    <row r="233" customFormat="false" ht="21.75" hidden="false" customHeight="true" outlineLevel="0" collapsed="false">
      <c r="B233" s="14" t="n">
        <v>223</v>
      </c>
      <c r="C233" s="7" t="s">
        <v>43</v>
      </c>
      <c r="D233" s="7" t="s">
        <v>75</v>
      </c>
      <c r="E233" s="7" t="s">
        <v>796</v>
      </c>
      <c r="F233" s="18" t="n">
        <f aca="false">IF('Base de Datos SACI'!U227="","",'Base de Datos SACI'!U227)</f>
        <v>40</v>
      </c>
      <c r="G233" s="14"/>
      <c r="H233" s="28"/>
      <c r="I233" s="29" t="str">
        <f aca="false">IF(OR($G233="",$G233=0),"",IFERROR(ROUND($F233*$G233*(1-IF($H233="",0,$H233)),2),""))</f>
        <v/>
      </c>
      <c r="J233" s="7"/>
    </row>
    <row r="234" customFormat="false" ht="21.75" hidden="false" customHeight="true" outlineLevel="0" collapsed="false">
      <c r="B234" s="15" t="n">
        <v>224</v>
      </c>
      <c r="C234" s="9" t="s">
        <v>43</v>
      </c>
      <c r="D234" s="9" t="s">
        <v>75</v>
      </c>
      <c r="E234" s="9" t="s">
        <v>797</v>
      </c>
      <c r="F234" s="19" t="n">
        <f aca="false">IF('Base de Datos SACI'!U228="","",'Base de Datos SACI'!U228)</f>
        <v>60</v>
      </c>
      <c r="G234" s="15"/>
      <c r="H234" s="30"/>
      <c r="I234" s="31" t="str">
        <f aca="false">IF(OR($G234="",$G234=0),"",IFERROR(ROUND($F234*$G234*(1-IF($H234="",0,$H234)),2),""))</f>
        <v/>
      </c>
      <c r="J234" s="9"/>
    </row>
    <row r="235" customFormat="false" ht="21.75" hidden="false" customHeight="true" outlineLevel="0" collapsed="false">
      <c r="B235" s="14" t="n">
        <v>225</v>
      </c>
      <c r="C235" s="7" t="s">
        <v>44</v>
      </c>
      <c r="D235" s="7" t="s">
        <v>60</v>
      </c>
      <c r="E235" s="7" t="s">
        <v>798</v>
      </c>
      <c r="F235" s="18" t="n">
        <f aca="false">IF('Base de Datos SACI'!U229="","",'Base de Datos SACI'!U229)</f>
        <v>130</v>
      </c>
      <c r="G235" s="14"/>
      <c r="H235" s="28"/>
      <c r="I235" s="29" t="str">
        <f aca="false">IF(OR($G235="",$G235=0),"",IFERROR(ROUND($F235*$G235*(1-IF($H235="",0,$H235)),2),""))</f>
        <v/>
      </c>
      <c r="J235" s="7"/>
    </row>
    <row r="236" customFormat="false" ht="21.75" hidden="false" customHeight="true" outlineLevel="0" collapsed="false">
      <c r="B236" s="15" t="n">
        <v>226</v>
      </c>
      <c r="C236" s="9" t="s">
        <v>44</v>
      </c>
      <c r="D236" s="9" t="s">
        <v>60</v>
      </c>
      <c r="E236" s="9" t="s">
        <v>806</v>
      </c>
      <c r="F236" s="19" t="n">
        <f aca="false">IF('Base de Datos SACI'!U230="","",'Base de Datos SACI'!U230)</f>
        <v>195</v>
      </c>
      <c r="G236" s="15"/>
      <c r="H236" s="30"/>
      <c r="I236" s="31" t="str">
        <f aca="false">IF(OR($G236="",$G236=0),"",IFERROR(ROUND($F236*$G236*(1-IF($H236="",0,$H236)),2),""))</f>
        <v/>
      </c>
      <c r="J236" s="9"/>
    </row>
    <row r="237" customFormat="false" ht="21.75" hidden="false" customHeight="true" outlineLevel="0" collapsed="false">
      <c r="B237" s="14" t="n">
        <v>227</v>
      </c>
      <c r="C237" s="7" t="s">
        <v>44</v>
      </c>
      <c r="D237" s="7" t="s">
        <v>60</v>
      </c>
      <c r="E237" s="7" t="s">
        <v>807</v>
      </c>
      <c r="F237" s="18" t="n">
        <f aca="false">IF('Base de Datos SACI'!U231="","",'Base de Datos SACI'!U231)</f>
        <v>265</v>
      </c>
      <c r="G237" s="14"/>
      <c r="H237" s="28"/>
      <c r="I237" s="29" t="str">
        <f aca="false">IF(OR($G237="",$G237=0),"",IFERROR(ROUND($F237*$G237*(1-IF($H237="",0,$H237)),2),""))</f>
        <v/>
      </c>
      <c r="J237" s="7"/>
    </row>
    <row r="238" customFormat="false" ht="21.75" hidden="false" customHeight="true" outlineLevel="0" collapsed="false">
      <c r="B238" s="15" t="n">
        <v>228</v>
      </c>
      <c r="C238" s="9" t="s">
        <v>44</v>
      </c>
      <c r="D238" s="9" t="s">
        <v>60</v>
      </c>
      <c r="E238" s="9" t="s">
        <v>809</v>
      </c>
      <c r="F238" s="19" t="n">
        <f aca="false">IF('Base de Datos SACI'!U232="","",'Base de Datos SACI'!U232)</f>
        <v>395</v>
      </c>
      <c r="G238" s="15"/>
      <c r="H238" s="30"/>
      <c r="I238" s="31" t="str">
        <f aca="false">IF(OR($G238="",$G238=0),"",IFERROR(ROUND($F238*$G238*(1-IF($H238="",0,$H238)),2),""))</f>
        <v/>
      </c>
      <c r="J238" s="9"/>
    </row>
    <row r="239" customFormat="false" ht="21.75" hidden="false" customHeight="true" outlineLevel="0" collapsed="false">
      <c r="B239" s="14" t="n">
        <v>229</v>
      </c>
      <c r="C239" s="7" t="s">
        <v>44</v>
      </c>
      <c r="D239" s="7" t="s">
        <v>60</v>
      </c>
      <c r="E239" s="7" t="s">
        <v>810</v>
      </c>
      <c r="F239" s="18" t="n">
        <f aca="false">IF('Base de Datos SACI'!U233="","",'Base de Datos SACI'!U233)</f>
        <v>580</v>
      </c>
      <c r="G239" s="14"/>
      <c r="H239" s="28"/>
      <c r="I239" s="29" t="str">
        <f aca="false">IF(OR($G239="",$G239=0),"",IFERROR(ROUND($F239*$G239*(1-IF($H239="",0,$H239)),2),""))</f>
        <v/>
      </c>
      <c r="J239" s="7"/>
    </row>
    <row r="240" customFormat="false" ht="21.75" hidden="false" customHeight="true" outlineLevel="0" collapsed="false">
      <c r="B240" s="15" t="n">
        <v>230</v>
      </c>
      <c r="C240" s="9" t="s">
        <v>44</v>
      </c>
      <c r="D240" s="9" t="s">
        <v>61</v>
      </c>
      <c r="E240" s="9" t="s">
        <v>798</v>
      </c>
      <c r="F240" s="19" t="n">
        <f aca="false">IF('Base de Datos SACI'!U234="","",'Base de Datos SACI'!U234)</f>
        <v>90</v>
      </c>
      <c r="G240" s="15"/>
      <c r="H240" s="30"/>
      <c r="I240" s="31" t="str">
        <f aca="false">IF(OR($G240="",$G240=0),"",IFERROR(ROUND($F240*$G240*(1-IF($H240="",0,$H240)),2),""))</f>
        <v/>
      </c>
      <c r="J240" s="9"/>
    </row>
    <row r="241" customFormat="false" ht="21.75" hidden="false" customHeight="true" outlineLevel="0" collapsed="false">
      <c r="B241" s="14" t="n">
        <v>231</v>
      </c>
      <c r="C241" s="7" t="s">
        <v>44</v>
      </c>
      <c r="D241" s="7" t="s">
        <v>61</v>
      </c>
      <c r="E241" s="7" t="s">
        <v>806</v>
      </c>
      <c r="F241" s="18" t="n">
        <f aca="false">IF('Base de Datos SACI'!U235="","",'Base de Datos SACI'!U235)</f>
        <v>135</v>
      </c>
      <c r="G241" s="14"/>
      <c r="H241" s="28"/>
      <c r="I241" s="29" t="str">
        <f aca="false">IF(OR($G241="",$G241=0),"",IFERROR(ROUND($F241*$G241*(1-IF($H241="",0,$H241)),2),""))</f>
        <v/>
      </c>
      <c r="J241" s="7"/>
    </row>
    <row r="242" customFormat="false" ht="21.75" hidden="false" customHeight="true" outlineLevel="0" collapsed="false">
      <c r="B242" s="15" t="n">
        <v>232</v>
      </c>
      <c r="C242" s="9" t="s">
        <v>44</v>
      </c>
      <c r="D242" s="9" t="s">
        <v>61</v>
      </c>
      <c r="E242" s="9" t="s">
        <v>809</v>
      </c>
      <c r="F242" s="19" t="n">
        <f aca="false">IF('Base de Datos SACI'!U236="","",'Base de Datos SACI'!U236)</f>
        <v>185</v>
      </c>
      <c r="G242" s="15"/>
      <c r="H242" s="30"/>
      <c r="I242" s="31" t="str">
        <f aca="false">IF(OR($G242="",$G242=0),"",IFERROR(ROUND($F242*$G242*(1-IF($H242="",0,$H242)),2),""))</f>
        <v/>
      </c>
      <c r="J242" s="9"/>
    </row>
    <row r="243" customFormat="false" ht="21.75" hidden="false" customHeight="true" outlineLevel="0" collapsed="false">
      <c r="B243" s="14" t="n">
        <v>233</v>
      </c>
      <c r="C243" s="7" t="s">
        <v>44</v>
      </c>
      <c r="D243" s="7" t="s">
        <v>61</v>
      </c>
      <c r="E243" s="7" t="s">
        <v>818</v>
      </c>
      <c r="F243" s="18" t="n">
        <f aca="false">IF('Base de Datos SACI'!U237="","",'Base de Datos SACI'!U237)</f>
        <v>275</v>
      </c>
      <c r="G243" s="14"/>
      <c r="H243" s="28"/>
      <c r="I243" s="29" t="str">
        <f aca="false">IF(OR($G243="",$G243=0),"",IFERROR(ROUND($F243*$G243*(1-IF($H243="",0,$H243)),2),""))</f>
        <v/>
      </c>
      <c r="J243" s="7"/>
    </row>
    <row r="244" customFormat="false" ht="21.75" hidden="false" customHeight="true" outlineLevel="0" collapsed="false">
      <c r="B244" s="15" t="n">
        <v>234</v>
      </c>
      <c r="C244" s="9" t="s">
        <v>44</v>
      </c>
      <c r="D244" s="9" t="s">
        <v>61</v>
      </c>
      <c r="E244" s="9" t="s">
        <v>819</v>
      </c>
      <c r="F244" s="19" t="n">
        <f aca="false">IF('Base de Datos SACI'!U238="","",'Base de Datos SACI'!U238)</f>
        <v>405</v>
      </c>
      <c r="G244" s="15"/>
      <c r="H244" s="30"/>
      <c r="I244" s="31" t="str">
        <f aca="false">IF(OR($G244="",$G244=0),"",IFERROR(ROUND($F244*$G244*(1-IF($H244="",0,$H244)),2),""))</f>
        <v/>
      </c>
      <c r="J244" s="9"/>
    </row>
    <row r="245" customFormat="false" ht="21.75" hidden="false" customHeight="true" outlineLevel="0" collapsed="false">
      <c r="B245" s="14" t="n">
        <v>235</v>
      </c>
      <c r="C245" s="7" t="s">
        <v>44</v>
      </c>
      <c r="D245" s="7" t="s">
        <v>62</v>
      </c>
      <c r="E245" s="7" t="s">
        <v>820</v>
      </c>
      <c r="F245" s="18" t="n">
        <f aca="false">IF('Base de Datos SACI'!U239="","",'Base de Datos SACI'!U239)</f>
        <v>115</v>
      </c>
      <c r="G245" s="14"/>
      <c r="H245" s="28"/>
      <c r="I245" s="29" t="str">
        <f aca="false">IF(OR($G245="",$G245=0),"",IFERROR(ROUND($F245*$G245*(1-IF($H245="",0,$H245)),2),""))</f>
        <v/>
      </c>
      <c r="J245" s="7"/>
    </row>
    <row r="246" customFormat="false" ht="21.75" hidden="false" customHeight="true" outlineLevel="0" collapsed="false">
      <c r="B246" s="15" t="n">
        <v>236</v>
      </c>
      <c r="C246" s="9" t="s">
        <v>44</v>
      </c>
      <c r="D246" s="9" t="s">
        <v>62</v>
      </c>
      <c r="E246" s="9" t="s">
        <v>827</v>
      </c>
      <c r="F246" s="19" t="n">
        <f aca="false">IF('Base de Datos SACI'!U240="","",'Base de Datos SACI'!U240)</f>
        <v>175</v>
      </c>
      <c r="G246" s="15"/>
      <c r="H246" s="30"/>
      <c r="I246" s="31" t="str">
        <f aca="false">IF(OR($G246="",$G246=0),"",IFERROR(ROUND($F246*$G246*(1-IF($H246="",0,$H246)),2),""))</f>
        <v/>
      </c>
      <c r="J246" s="9"/>
    </row>
    <row r="247" customFormat="false" ht="21.75" hidden="false" customHeight="true" outlineLevel="0" collapsed="false">
      <c r="B247" s="14" t="n">
        <v>237</v>
      </c>
      <c r="C247" s="7" t="s">
        <v>44</v>
      </c>
      <c r="D247" s="7" t="s">
        <v>62</v>
      </c>
      <c r="E247" s="7" t="s">
        <v>807</v>
      </c>
      <c r="F247" s="18" t="n">
        <f aca="false">IF('Base de Datos SACI'!U241="","",'Base de Datos SACI'!U241)</f>
        <v>235</v>
      </c>
      <c r="G247" s="14"/>
      <c r="H247" s="28"/>
      <c r="I247" s="29" t="str">
        <f aca="false">IF(OR($G247="",$G247=0),"",IFERROR(ROUND($F247*$G247*(1-IF($H247="",0,$H247)),2),""))</f>
        <v/>
      </c>
      <c r="J247" s="7"/>
    </row>
    <row r="248" customFormat="false" ht="21.75" hidden="false" customHeight="true" outlineLevel="0" collapsed="false">
      <c r="B248" s="15" t="n">
        <v>238</v>
      </c>
      <c r="C248" s="9" t="s">
        <v>44</v>
      </c>
      <c r="D248" s="9" t="s">
        <v>62</v>
      </c>
      <c r="E248" s="9" t="s">
        <v>829</v>
      </c>
      <c r="F248" s="19" t="n">
        <f aca="false">IF('Base de Datos SACI'!U242="","",'Base de Datos SACI'!U242)</f>
        <v>355</v>
      </c>
      <c r="G248" s="15"/>
      <c r="H248" s="30"/>
      <c r="I248" s="31" t="str">
        <f aca="false">IF(OR($G248="",$G248=0),"",IFERROR(ROUND($F248*$G248*(1-IF($H248="",0,$H248)),2),""))</f>
        <v/>
      </c>
      <c r="J248" s="9"/>
    </row>
    <row r="249" customFormat="false" ht="21.75" hidden="false" customHeight="true" outlineLevel="0" collapsed="false">
      <c r="B249" s="14" t="n">
        <v>239</v>
      </c>
      <c r="C249" s="7" t="s">
        <v>44</v>
      </c>
      <c r="D249" s="7" t="s">
        <v>62</v>
      </c>
      <c r="E249" s="7" t="s">
        <v>830</v>
      </c>
      <c r="F249" s="18" t="n">
        <f aca="false">IF('Base de Datos SACI'!U243="","",'Base de Datos SACI'!U243)</f>
        <v>520</v>
      </c>
      <c r="G249" s="14"/>
      <c r="H249" s="28"/>
      <c r="I249" s="29" t="str">
        <f aca="false">IF(OR($G249="",$G249=0),"",IFERROR(ROUND($F249*$G249*(1-IF($H249="",0,$H249)),2),""))</f>
        <v/>
      </c>
      <c r="J249" s="7"/>
    </row>
    <row r="250" customFormat="false" ht="21.75" hidden="false" customHeight="true" outlineLevel="0" collapsed="false">
      <c r="B250" s="15" t="n">
        <v>240</v>
      </c>
      <c r="C250" s="9" t="s">
        <v>44</v>
      </c>
      <c r="D250" s="9" t="s">
        <v>63</v>
      </c>
      <c r="E250" s="9" t="s">
        <v>831</v>
      </c>
      <c r="F250" s="19" t="n">
        <f aca="false">IF('Base de Datos SACI'!U244="","",'Base de Datos SACI'!U244)</f>
        <v>40</v>
      </c>
      <c r="G250" s="15"/>
      <c r="H250" s="30"/>
      <c r="I250" s="31" t="str">
        <f aca="false">IF(OR($G250="",$G250=0),"",IFERROR(ROUND($F250*$G250*(1-IF($H250="",0,$H250)),2),""))</f>
        <v/>
      </c>
      <c r="J250" s="9"/>
    </row>
    <row r="251" customFormat="false" ht="21.75" hidden="false" customHeight="true" outlineLevel="0" collapsed="false">
      <c r="B251" s="14" t="n">
        <v>241</v>
      </c>
      <c r="C251" s="7" t="s">
        <v>44</v>
      </c>
      <c r="D251" s="7" t="s">
        <v>63</v>
      </c>
      <c r="E251" s="7" t="s">
        <v>840</v>
      </c>
      <c r="F251" s="18" t="n">
        <f aca="false">IF('Base de Datos SACI'!U245="","",'Base de Datos SACI'!U245)</f>
        <v>65</v>
      </c>
      <c r="G251" s="14"/>
      <c r="H251" s="28"/>
      <c r="I251" s="29" t="str">
        <f aca="false">IF(OR($G251="",$G251=0),"",IFERROR(ROUND($F251*$G251*(1-IF($H251="",0,$H251)),2),""))</f>
        <v/>
      </c>
      <c r="J251" s="7"/>
    </row>
    <row r="252" customFormat="false" ht="21.75" hidden="false" customHeight="true" outlineLevel="0" collapsed="false">
      <c r="B252" s="15" t="n">
        <v>242</v>
      </c>
      <c r="C252" s="9" t="s">
        <v>44</v>
      </c>
      <c r="D252" s="9" t="s">
        <v>63</v>
      </c>
      <c r="E252" s="9" t="s">
        <v>841</v>
      </c>
      <c r="F252" s="19" t="n">
        <f aca="false">IF('Base de Datos SACI'!U246="","",'Base de Datos SACI'!U246)</f>
        <v>85</v>
      </c>
      <c r="G252" s="15"/>
      <c r="H252" s="30"/>
      <c r="I252" s="31" t="str">
        <f aca="false">IF(OR($G252="",$G252=0),"",IFERROR(ROUND($F252*$G252*(1-IF($H252="",0,$H252)),2),""))</f>
        <v/>
      </c>
      <c r="J252" s="9"/>
    </row>
    <row r="253" customFormat="false" ht="21.75" hidden="false" customHeight="true" outlineLevel="0" collapsed="false">
      <c r="B253" s="14" t="n">
        <v>243</v>
      </c>
      <c r="C253" s="7" t="s">
        <v>44</v>
      </c>
      <c r="D253" s="7" t="s">
        <v>63</v>
      </c>
      <c r="E253" s="7" t="s">
        <v>843</v>
      </c>
      <c r="F253" s="18" t="n">
        <f aca="false">IF('Base de Datos SACI'!U247="","",'Base de Datos SACI'!U247)</f>
        <v>130</v>
      </c>
      <c r="G253" s="14"/>
      <c r="H253" s="28"/>
      <c r="I253" s="29" t="str">
        <f aca="false">IF(OR($G253="",$G253=0),"",IFERROR(ROUND($F253*$G253*(1-IF($H253="",0,$H253)),2),""))</f>
        <v/>
      </c>
      <c r="J253" s="7"/>
    </row>
    <row r="254" customFormat="false" ht="21.75" hidden="false" customHeight="true" outlineLevel="0" collapsed="false">
      <c r="B254" s="15" t="n">
        <v>244</v>
      </c>
      <c r="C254" s="9" t="s">
        <v>44</v>
      </c>
      <c r="D254" s="9" t="s">
        <v>63</v>
      </c>
      <c r="E254" s="9" t="s">
        <v>844</v>
      </c>
      <c r="F254" s="19" t="n">
        <f aca="false">IF('Base de Datos SACI'!U248="","",'Base de Datos SACI'!U248)</f>
        <v>190</v>
      </c>
      <c r="G254" s="15"/>
      <c r="H254" s="30"/>
      <c r="I254" s="31" t="str">
        <f aca="false">IF(OR($G254="",$G254=0),"",IFERROR(ROUND($F254*$G254*(1-IF($H254="",0,$H254)),2),""))</f>
        <v/>
      </c>
      <c r="J254" s="9"/>
    </row>
    <row r="255" customFormat="false" ht="21.75" hidden="false" customHeight="true" outlineLevel="0" collapsed="false">
      <c r="B255" s="14" t="n">
        <v>245</v>
      </c>
      <c r="C255" s="7" t="s">
        <v>44</v>
      </c>
      <c r="D255" s="7" t="s">
        <v>64</v>
      </c>
      <c r="E255" s="7" t="s">
        <v>845</v>
      </c>
      <c r="F255" s="18" t="n">
        <f aca="false">IF('Base de Datos SACI'!U249="","",'Base de Datos SACI'!U249)</f>
        <v>19</v>
      </c>
      <c r="G255" s="14"/>
      <c r="H255" s="28"/>
      <c r="I255" s="29" t="str">
        <f aca="false">IF(OR($G255="",$G255=0),"",IFERROR(ROUND($F255*$G255*(1-IF($H255="",0,$H255)),2),""))</f>
        <v/>
      </c>
      <c r="J255" s="7"/>
    </row>
    <row r="256" customFormat="false" ht="21.75" hidden="false" customHeight="true" outlineLevel="0" collapsed="false">
      <c r="B256" s="15" t="n">
        <v>246</v>
      </c>
      <c r="C256" s="9" t="s">
        <v>44</v>
      </c>
      <c r="D256" s="9" t="s">
        <v>64</v>
      </c>
      <c r="E256" s="9" t="s">
        <v>851</v>
      </c>
      <c r="F256" s="19" t="n">
        <f aca="false">IF('Base de Datos SACI'!U250="","",'Base de Datos SACI'!U250)</f>
        <v>25</v>
      </c>
      <c r="G256" s="15"/>
      <c r="H256" s="30"/>
      <c r="I256" s="31" t="str">
        <f aca="false">IF(OR($G256="",$G256=0),"",IFERROR(ROUND($F256*$G256*(1-IF($H256="",0,$H256)),2),""))</f>
        <v/>
      </c>
      <c r="J256" s="9"/>
    </row>
    <row r="257" customFormat="false" ht="21.75" hidden="false" customHeight="true" outlineLevel="0" collapsed="false">
      <c r="B257" s="14" t="n">
        <v>247</v>
      </c>
      <c r="C257" s="7" t="s">
        <v>44</v>
      </c>
      <c r="D257" s="7" t="s">
        <v>64</v>
      </c>
      <c r="E257" s="7" t="s">
        <v>852</v>
      </c>
      <c r="F257" s="18" t="n">
        <f aca="false">IF('Base de Datos SACI'!U251="","",'Base de Datos SACI'!U251)</f>
        <v>35</v>
      </c>
      <c r="G257" s="14"/>
      <c r="H257" s="28"/>
      <c r="I257" s="29" t="str">
        <f aca="false">IF(OR($G257="",$G257=0),"",IFERROR(ROUND($F257*$G257*(1-IF($H257="",0,$H257)),2),""))</f>
        <v/>
      </c>
      <c r="J257" s="7"/>
    </row>
    <row r="258" customFormat="false" ht="21.75" hidden="false" customHeight="true" outlineLevel="0" collapsed="false">
      <c r="B258" s="15" t="n">
        <v>248</v>
      </c>
      <c r="C258" s="9" t="s">
        <v>44</v>
      </c>
      <c r="D258" s="9" t="s">
        <v>64</v>
      </c>
      <c r="E258" s="9" t="s">
        <v>854</v>
      </c>
      <c r="F258" s="19" t="n">
        <f aca="false">IF('Base de Datos SACI'!U252="","",'Base de Datos SACI'!U252)</f>
        <v>55</v>
      </c>
      <c r="G258" s="15"/>
      <c r="H258" s="30"/>
      <c r="I258" s="31" t="str">
        <f aca="false">IF(OR($G258="",$G258=0),"",IFERROR(ROUND($F258*$G258*(1-IF($H258="",0,$H258)),2),""))</f>
        <v/>
      </c>
      <c r="J258" s="9"/>
    </row>
    <row r="259" customFormat="false" ht="21.75" hidden="false" customHeight="true" outlineLevel="0" collapsed="false">
      <c r="B259" s="14" t="n">
        <v>249</v>
      </c>
      <c r="C259" s="7" t="s">
        <v>44</v>
      </c>
      <c r="D259" s="7" t="s">
        <v>64</v>
      </c>
      <c r="E259" s="7" t="s">
        <v>855</v>
      </c>
      <c r="F259" s="18" t="n">
        <f aca="false">IF('Base de Datos SACI'!U253="","",'Base de Datos SACI'!U253)</f>
        <v>80</v>
      </c>
      <c r="G259" s="14"/>
      <c r="H259" s="28"/>
      <c r="I259" s="29" t="str">
        <f aca="false">IF(OR($G259="",$G259=0),"",IFERROR(ROUND($F259*$G259*(1-IF($H259="",0,$H259)),2),""))</f>
        <v/>
      </c>
      <c r="J259" s="7"/>
    </row>
    <row r="260" customFormat="false" ht="21.75" hidden="false" customHeight="true" outlineLevel="0" collapsed="false">
      <c r="B260" s="15" t="n">
        <v>250</v>
      </c>
      <c r="C260" s="9" t="s">
        <v>44</v>
      </c>
      <c r="D260" s="9" t="s">
        <v>65</v>
      </c>
      <c r="E260" s="9" t="s">
        <v>856</v>
      </c>
      <c r="F260" s="19" t="n">
        <f aca="false">IF('Base de Datos SACI'!U254="","",'Base de Datos SACI'!U254)</f>
        <v>20</v>
      </c>
      <c r="G260" s="15"/>
      <c r="H260" s="30"/>
      <c r="I260" s="31" t="str">
        <f aca="false">IF(OR($G260="",$G260=0),"",IFERROR(ROUND($F260*$G260*(1-IF($H260="",0,$H260)),2),""))</f>
        <v/>
      </c>
      <c r="J260" s="9"/>
    </row>
    <row r="261" customFormat="false" ht="21.75" hidden="false" customHeight="true" outlineLevel="0" collapsed="false">
      <c r="B261" s="14" t="n">
        <v>251</v>
      </c>
      <c r="C261" s="7" t="s">
        <v>44</v>
      </c>
      <c r="D261" s="7" t="s">
        <v>65</v>
      </c>
      <c r="E261" s="7" t="s">
        <v>863</v>
      </c>
      <c r="F261" s="18" t="n">
        <f aca="false">IF('Base de Datos SACI'!U255="","",'Base de Datos SACI'!U255)</f>
        <v>30</v>
      </c>
      <c r="G261" s="14"/>
      <c r="H261" s="28"/>
      <c r="I261" s="29" t="str">
        <f aca="false">IF(OR($G261="",$G261=0),"",IFERROR(ROUND($F261*$G261*(1-IF($H261="",0,$H261)),2),""))</f>
        <v/>
      </c>
      <c r="J261" s="7"/>
    </row>
    <row r="262" customFormat="false" ht="21.75" hidden="false" customHeight="true" outlineLevel="0" collapsed="false">
      <c r="B262" s="15" t="n">
        <v>252</v>
      </c>
      <c r="C262" s="9" t="s">
        <v>44</v>
      </c>
      <c r="D262" s="9" t="s">
        <v>65</v>
      </c>
      <c r="E262" s="9" t="s">
        <v>864</v>
      </c>
      <c r="F262" s="19" t="n">
        <f aca="false">IF('Base de Datos SACI'!U256="","",'Base de Datos SACI'!U256)</f>
        <v>45</v>
      </c>
      <c r="G262" s="15"/>
      <c r="H262" s="30"/>
      <c r="I262" s="31" t="str">
        <f aca="false">IF(OR($G262="",$G262=0),"",IFERROR(ROUND($F262*$G262*(1-IF($H262="",0,$H262)),2),""))</f>
        <v/>
      </c>
      <c r="J262" s="9"/>
    </row>
    <row r="263" customFormat="false" ht="21.75" hidden="false" customHeight="true" outlineLevel="0" collapsed="false">
      <c r="B263" s="14" t="n">
        <v>253</v>
      </c>
      <c r="C263" s="7" t="s">
        <v>44</v>
      </c>
      <c r="D263" s="7" t="s">
        <v>65</v>
      </c>
      <c r="E263" s="7" t="s">
        <v>866</v>
      </c>
      <c r="F263" s="18" t="n">
        <f aca="false">IF('Base de Datos SACI'!U257="","",'Base de Datos SACI'!U257)</f>
        <v>65</v>
      </c>
      <c r="G263" s="14"/>
      <c r="H263" s="28"/>
      <c r="I263" s="29" t="str">
        <f aca="false">IF(OR($G263="",$G263=0),"",IFERROR(ROUND($F263*$G263*(1-IF($H263="",0,$H263)),2),""))</f>
        <v/>
      </c>
      <c r="J263" s="7"/>
    </row>
    <row r="264" customFormat="false" ht="21.75" hidden="false" customHeight="true" outlineLevel="0" collapsed="false">
      <c r="B264" s="15" t="n">
        <v>254</v>
      </c>
      <c r="C264" s="9" t="s">
        <v>44</v>
      </c>
      <c r="D264" s="9" t="s">
        <v>65</v>
      </c>
      <c r="E264" s="9" t="s">
        <v>867</v>
      </c>
      <c r="F264" s="19" t="n">
        <f aca="false">IF('Base de Datos SACI'!U258="","",'Base de Datos SACI'!U258)</f>
        <v>95</v>
      </c>
      <c r="G264" s="15"/>
      <c r="H264" s="30"/>
      <c r="I264" s="31" t="str">
        <f aca="false">IF(OR($G264="",$G264=0),"",IFERROR(ROUND($F264*$G264*(1-IF($H264="",0,$H264)),2),""))</f>
        <v/>
      </c>
      <c r="J264" s="9"/>
    </row>
    <row r="265" customFormat="false" ht="21.75" hidden="false" customHeight="true" outlineLevel="0" collapsed="false">
      <c r="B265" s="14" t="n">
        <v>255</v>
      </c>
      <c r="C265" s="7" t="s">
        <v>44</v>
      </c>
      <c r="D265" s="7" t="s">
        <v>66</v>
      </c>
      <c r="E265" s="7" t="s">
        <v>868</v>
      </c>
      <c r="F265" s="18" t="n">
        <f aca="false">IF('Base de Datos SACI'!U259="","",'Base de Datos SACI'!U259)</f>
        <v>30</v>
      </c>
      <c r="G265" s="14"/>
      <c r="H265" s="28"/>
      <c r="I265" s="29" t="str">
        <f aca="false">IF(OR($G265="",$G265=0),"",IFERROR(ROUND($F265*$G265*(1-IF($H265="",0,$H265)),2),""))</f>
        <v/>
      </c>
      <c r="J265" s="7"/>
    </row>
    <row r="266" customFormat="false" ht="21.75" hidden="false" customHeight="true" outlineLevel="0" collapsed="false">
      <c r="B266" s="15" t="n">
        <v>256</v>
      </c>
      <c r="C266" s="9" t="s">
        <v>44</v>
      </c>
      <c r="D266" s="9" t="s">
        <v>66</v>
      </c>
      <c r="E266" s="9" t="s">
        <v>874</v>
      </c>
      <c r="F266" s="19" t="n">
        <f aca="false">IF('Base de Datos SACI'!U260="","",'Base de Datos SACI'!U260)</f>
        <v>50</v>
      </c>
      <c r="G266" s="15"/>
      <c r="H266" s="30"/>
      <c r="I266" s="31" t="str">
        <f aca="false">IF(OR($G266="",$G266=0),"",IFERROR(ROUND($F266*$G266*(1-IF($H266="",0,$H266)),2),""))</f>
        <v/>
      </c>
      <c r="J266" s="9"/>
    </row>
    <row r="267" customFormat="false" ht="21.75" hidden="false" customHeight="true" outlineLevel="0" collapsed="false">
      <c r="B267" s="14" t="n">
        <v>257</v>
      </c>
      <c r="C267" s="7" t="s">
        <v>44</v>
      </c>
      <c r="D267" s="7" t="s">
        <v>66</v>
      </c>
      <c r="E267" s="7" t="s">
        <v>875</v>
      </c>
      <c r="F267" s="18" t="n">
        <f aca="false">IF('Base de Datos SACI'!U261="","",'Base de Datos SACI'!U261)</f>
        <v>65</v>
      </c>
      <c r="G267" s="14"/>
      <c r="H267" s="28"/>
      <c r="I267" s="29" t="str">
        <f aca="false">IF(OR($G267="",$G267=0),"",IFERROR(ROUND($F267*$G267*(1-IF($H267="",0,$H267)),2),""))</f>
        <v/>
      </c>
      <c r="J267" s="7"/>
    </row>
    <row r="268" customFormat="false" ht="21.75" hidden="false" customHeight="true" outlineLevel="0" collapsed="false">
      <c r="B268" s="15" t="n">
        <v>258</v>
      </c>
      <c r="C268" s="9" t="s">
        <v>44</v>
      </c>
      <c r="D268" s="9" t="s">
        <v>66</v>
      </c>
      <c r="E268" s="9" t="s">
        <v>877</v>
      </c>
      <c r="F268" s="19" t="n">
        <f aca="false">IF('Base de Datos SACI'!U262="","",'Base de Datos SACI'!U262)</f>
        <v>100</v>
      </c>
      <c r="G268" s="15"/>
      <c r="H268" s="30"/>
      <c r="I268" s="31" t="str">
        <f aca="false">IF(OR($G268="",$G268=0),"",IFERROR(ROUND($F268*$G268*(1-IF($H268="",0,$H268)),2),""))</f>
        <v/>
      </c>
      <c r="J268" s="9"/>
    </row>
    <row r="269" customFormat="false" ht="21.75" hidden="false" customHeight="true" outlineLevel="0" collapsed="false">
      <c r="B269" s="14" t="n">
        <v>259</v>
      </c>
      <c r="C269" s="7" t="s">
        <v>44</v>
      </c>
      <c r="D269" s="7" t="s">
        <v>66</v>
      </c>
      <c r="E269" s="7" t="s">
        <v>878</v>
      </c>
      <c r="F269" s="18" t="n">
        <f aca="false">IF('Base de Datos SACI'!U263="","",'Base de Datos SACI'!U263)</f>
        <v>145</v>
      </c>
      <c r="G269" s="14"/>
      <c r="H269" s="28"/>
      <c r="I269" s="29" t="str">
        <f aca="false">IF(OR($G269="",$G269=0),"",IFERROR(ROUND($F269*$G269*(1-IF($H269="",0,$H269)),2),""))</f>
        <v/>
      </c>
      <c r="J269" s="7"/>
    </row>
    <row r="270" customFormat="false" ht="21.75" hidden="false" customHeight="true" outlineLevel="0" collapsed="false">
      <c r="B270" s="15" t="n">
        <v>260</v>
      </c>
      <c r="C270" s="9" t="s">
        <v>44</v>
      </c>
      <c r="D270" s="9" t="s">
        <v>67</v>
      </c>
      <c r="E270" s="9" t="s">
        <v>879</v>
      </c>
      <c r="F270" s="19" t="n">
        <f aca="false">IF('Base de Datos SACI'!U264="","",'Base de Datos SACI'!U264)</f>
        <v>19</v>
      </c>
      <c r="G270" s="15"/>
      <c r="H270" s="30"/>
      <c r="I270" s="31" t="str">
        <f aca="false">IF(OR($G270="",$G270=0),"",IFERROR(ROUND($F270*$G270*(1-IF($H270="",0,$H270)),2),""))</f>
        <v/>
      </c>
      <c r="J270" s="9"/>
    </row>
    <row r="271" customFormat="false" ht="21.75" hidden="false" customHeight="true" outlineLevel="0" collapsed="false">
      <c r="B271" s="14" t="n">
        <v>261</v>
      </c>
      <c r="C271" s="7" t="s">
        <v>44</v>
      </c>
      <c r="D271" s="7" t="s">
        <v>67</v>
      </c>
      <c r="E271" s="7" t="s">
        <v>884</v>
      </c>
      <c r="F271" s="18" t="n">
        <f aca="false">IF('Base de Datos SACI'!U265="","",'Base de Datos SACI'!U265)</f>
        <v>25</v>
      </c>
      <c r="G271" s="14"/>
      <c r="H271" s="28"/>
      <c r="I271" s="29" t="str">
        <f aca="false">IF(OR($G271="",$G271=0),"",IFERROR(ROUND($F271*$G271*(1-IF($H271="",0,$H271)),2),""))</f>
        <v/>
      </c>
      <c r="J271" s="7"/>
    </row>
    <row r="272" customFormat="false" ht="21.75" hidden="false" customHeight="true" outlineLevel="0" collapsed="false">
      <c r="B272" s="15" t="n">
        <v>262</v>
      </c>
      <c r="C272" s="9" t="s">
        <v>44</v>
      </c>
      <c r="D272" s="9" t="s">
        <v>67</v>
      </c>
      <c r="E272" s="9" t="s">
        <v>885</v>
      </c>
      <c r="F272" s="19" t="n">
        <f aca="false">IF('Base de Datos SACI'!U266="","",'Base de Datos SACI'!U266)</f>
        <v>35</v>
      </c>
      <c r="G272" s="15"/>
      <c r="H272" s="30"/>
      <c r="I272" s="31" t="str">
        <f aca="false">IF(OR($G272="",$G272=0),"",IFERROR(ROUND($F272*$G272*(1-IF($H272="",0,$H272)),2),""))</f>
        <v/>
      </c>
      <c r="J272" s="9"/>
    </row>
    <row r="273" customFormat="false" ht="21.75" hidden="false" customHeight="true" outlineLevel="0" collapsed="false">
      <c r="B273" s="14" t="n">
        <v>263</v>
      </c>
      <c r="C273" s="7" t="s">
        <v>44</v>
      </c>
      <c r="D273" s="7" t="s">
        <v>67</v>
      </c>
      <c r="E273" s="7" t="s">
        <v>886</v>
      </c>
      <c r="F273" s="18" t="n">
        <f aca="false">IF('Base de Datos SACI'!U267="","",'Base de Datos SACI'!U267)</f>
        <v>55</v>
      </c>
      <c r="G273" s="14"/>
      <c r="H273" s="28"/>
      <c r="I273" s="29" t="str">
        <f aca="false">IF(OR($G273="",$G273=0),"",IFERROR(ROUND($F273*$G273*(1-IF($H273="",0,$H273)),2),""))</f>
        <v/>
      </c>
      <c r="J273" s="7"/>
    </row>
    <row r="274" customFormat="false" ht="21.75" hidden="false" customHeight="true" outlineLevel="0" collapsed="false">
      <c r="B274" s="15" t="n">
        <v>264</v>
      </c>
      <c r="C274" s="9" t="s">
        <v>44</v>
      </c>
      <c r="D274" s="9" t="s">
        <v>67</v>
      </c>
      <c r="E274" s="9" t="s">
        <v>887</v>
      </c>
      <c r="F274" s="19" t="n">
        <f aca="false">IF('Base de Datos SACI'!U268="","",'Base de Datos SACI'!U268)</f>
        <v>80</v>
      </c>
      <c r="G274" s="15"/>
      <c r="H274" s="30"/>
      <c r="I274" s="31" t="str">
        <f aca="false">IF(OR($G274="",$G274=0),"",IFERROR(ROUND($F274*$G274*(1-IF($H274="",0,$H274)),2),""))</f>
        <v/>
      </c>
      <c r="J274" s="9"/>
    </row>
    <row r="275" customFormat="false" ht="21.75" hidden="false" customHeight="true" outlineLevel="0" collapsed="false">
      <c r="B275" s="14" t="n">
        <v>265</v>
      </c>
      <c r="C275" s="7" t="s">
        <v>44</v>
      </c>
      <c r="D275" s="7" t="s">
        <v>68</v>
      </c>
      <c r="E275" s="7" t="s">
        <v>888</v>
      </c>
      <c r="F275" s="18" t="n">
        <f aca="false">IF('Base de Datos SACI'!U269="","",'Base de Datos SACI'!U269)</f>
        <v>20</v>
      </c>
      <c r="G275" s="14"/>
      <c r="H275" s="28"/>
      <c r="I275" s="29" t="str">
        <f aca="false">IF(OR($G275="",$G275=0),"",IFERROR(ROUND($F275*$G275*(1-IF($H275="",0,$H275)),2),""))</f>
        <v/>
      </c>
      <c r="J275" s="7"/>
    </row>
    <row r="276" customFormat="false" ht="21.75" hidden="false" customHeight="true" outlineLevel="0" collapsed="false">
      <c r="B276" s="15" t="n">
        <v>266</v>
      </c>
      <c r="C276" s="9" t="s">
        <v>44</v>
      </c>
      <c r="D276" s="9" t="s">
        <v>68</v>
      </c>
      <c r="E276" s="9" t="s">
        <v>894</v>
      </c>
      <c r="F276" s="19" t="n">
        <f aca="false">IF('Base de Datos SACI'!U270="","",'Base de Datos SACI'!U270)</f>
        <v>30</v>
      </c>
      <c r="G276" s="15"/>
      <c r="H276" s="30"/>
      <c r="I276" s="31" t="str">
        <f aca="false">IF(OR($G276="",$G276=0),"",IFERROR(ROUND($F276*$G276*(1-IF($H276="",0,$H276)),2),""))</f>
        <v/>
      </c>
      <c r="J276" s="9"/>
    </row>
    <row r="277" customFormat="false" ht="21.75" hidden="false" customHeight="true" outlineLevel="0" collapsed="false">
      <c r="B277" s="14" t="n">
        <v>267</v>
      </c>
      <c r="C277" s="7" t="s">
        <v>44</v>
      </c>
      <c r="D277" s="7" t="s">
        <v>68</v>
      </c>
      <c r="E277" s="7" t="s">
        <v>895</v>
      </c>
      <c r="F277" s="18" t="n">
        <f aca="false">IF('Base de Datos SACI'!U271="","",'Base de Datos SACI'!U271)</f>
        <v>40</v>
      </c>
      <c r="G277" s="14"/>
      <c r="H277" s="28"/>
      <c r="I277" s="29" t="str">
        <f aca="false">IF(OR($G277="",$G277=0),"",IFERROR(ROUND($F277*$G277*(1-IF($H277="",0,$H277)),2),""))</f>
        <v/>
      </c>
      <c r="J277" s="7"/>
    </row>
    <row r="278" customFormat="false" ht="21.75" hidden="false" customHeight="true" outlineLevel="0" collapsed="false">
      <c r="B278" s="15" t="n">
        <v>268</v>
      </c>
      <c r="C278" s="9" t="s">
        <v>44</v>
      </c>
      <c r="D278" s="9" t="s">
        <v>68</v>
      </c>
      <c r="E278" s="9" t="s">
        <v>897</v>
      </c>
      <c r="F278" s="19" t="n">
        <f aca="false">IF('Base de Datos SACI'!U272="","",'Base de Datos SACI'!U272)</f>
        <v>60</v>
      </c>
      <c r="G278" s="15"/>
      <c r="H278" s="30"/>
      <c r="I278" s="31" t="str">
        <f aca="false">IF(OR($G278="",$G278=0),"",IFERROR(ROUND($F278*$G278*(1-IF($H278="",0,$H278)),2),""))</f>
        <v/>
      </c>
      <c r="J278" s="9"/>
    </row>
    <row r="279" customFormat="false" ht="21.75" hidden="false" customHeight="true" outlineLevel="0" collapsed="false">
      <c r="B279" s="14" t="n">
        <v>269</v>
      </c>
      <c r="C279" s="7" t="s">
        <v>44</v>
      </c>
      <c r="D279" s="7" t="s">
        <v>68</v>
      </c>
      <c r="E279" s="7" t="s">
        <v>898</v>
      </c>
      <c r="F279" s="18" t="n">
        <f aca="false">IF('Base de Datos SACI'!U273="","",'Base de Datos SACI'!U273)</f>
        <v>90</v>
      </c>
      <c r="G279" s="14"/>
      <c r="H279" s="28"/>
      <c r="I279" s="29" t="str">
        <f aca="false">IF(OR($G279="",$G279=0),"",IFERROR(ROUND($F279*$G279*(1-IF($H279="",0,$H279)),2),""))</f>
        <v/>
      </c>
      <c r="J279" s="7"/>
    </row>
    <row r="280" customFormat="false" ht="21.75" hidden="false" customHeight="true" outlineLevel="0" collapsed="false">
      <c r="B280" s="15" t="n">
        <v>270</v>
      </c>
      <c r="C280" s="9" t="s">
        <v>44</v>
      </c>
      <c r="D280" s="9" t="s">
        <v>69</v>
      </c>
      <c r="E280" s="9" t="s">
        <v>899</v>
      </c>
      <c r="F280" s="19" t="n">
        <f aca="false">IF('Base de Datos SACI'!U274="","",'Base de Datos SACI'!U274)</f>
        <v>25</v>
      </c>
      <c r="G280" s="15"/>
      <c r="H280" s="30"/>
      <c r="I280" s="31" t="str">
        <f aca="false">IF(OR($G280="",$G280=0),"",IFERROR(ROUND($F280*$G280*(1-IF($H280="",0,$H280)),2),""))</f>
        <v/>
      </c>
      <c r="J280" s="9"/>
    </row>
    <row r="281" customFormat="false" ht="21.75" hidden="false" customHeight="true" outlineLevel="0" collapsed="false">
      <c r="B281" s="14" t="n">
        <v>271</v>
      </c>
      <c r="C281" s="7" t="s">
        <v>44</v>
      </c>
      <c r="D281" s="7" t="s">
        <v>69</v>
      </c>
      <c r="E281" s="7" t="s">
        <v>903</v>
      </c>
      <c r="F281" s="18" t="n">
        <f aca="false">IF('Base de Datos SACI'!U275="","",'Base de Datos SACI'!U275)</f>
        <v>40</v>
      </c>
      <c r="G281" s="14"/>
      <c r="H281" s="28"/>
      <c r="I281" s="29" t="str">
        <f aca="false">IF(OR($G281="",$G281=0),"",IFERROR(ROUND($F281*$G281*(1-IF($H281="",0,$H281)),2),""))</f>
        <v/>
      </c>
      <c r="J281" s="7"/>
    </row>
    <row r="282" customFormat="false" ht="21.75" hidden="false" customHeight="true" outlineLevel="0" collapsed="false">
      <c r="B282" s="15" t="n">
        <v>272</v>
      </c>
      <c r="C282" s="9" t="s">
        <v>44</v>
      </c>
      <c r="D282" s="9" t="s">
        <v>69</v>
      </c>
      <c r="E282" s="9" t="s">
        <v>904</v>
      </c>
      <c r="F282" s="19" t="n">
        <f aca="false">IF('Base de Datos SACI'!U276="","",'Base de Datos SACI'!U276)</f>
        <v>55</v>
      </c>
      <c r="G282" s="15"/>
      <c r="H282" s="30"/>
      <c r="I282" s="31" t="str">
        <f aca="false">IF(OR($G282="",$G282=0),"",IFERROR(ROUND($F282*$G282*(1-IF($H282="",0,$H282)),2),""))</f>
        <v/>
      </c>
      <c r="J282" s="9"/>
    </row>
    <row r="283" customFormat="false" ht="21.75" hidden="false" customHeight="true" outlineLevel="0" collapsed="false">
      <c r="B283" s="14" t="n">
        <v>273</v>
      </c>
      <c r="C283" s="7" t="s">
        <v>44</v>
      </c>
      <c r="D283" s="7" t="s">
        <v>69</v>
      </c>
      <c r="E283" s="7" t="s">
        <v>906</v>
      </c>
      <c r="F283" s="18" t="n">
        <f aca="false">IF('Base de Datos SACI'!U277="","",'Base de Datos SACI'!U277)</f>
        <v>85</v>
      </c>
      <c r="G283" s="14"/>
      <c r="H283" s="28"/>
      <c r="I283" s="29" t="str">
        <f aca="false">IF(OR($G283="",$G283=0),"",IFERROR(ROUND($F283*$G283*(1-IF($H283="",0,$H283)),2),""))</f>
        <v/>
      </c>
      <c r="J283" s="7"/>
    </row>
    <row r="284" customFormat="false" ht="21.75" hidden="false" customHeight="true" outlineLevel="0" collapsed="false">
      <c r="B284" s="15" t="n">
        <v>274</v>
      </c>
      <c r="C284" s="9" t="s">
        <v>44</v>
      </c>
      <c r="D284" s="9" t="s">
        <v>69</v>
      </c>
      <c r="E284" s="9" t="s">
        <v>907</v>
      </c>
      <c r="F284" s="19" t="n">
        <f aca="false">IF('Base de Datos SACI'!U278="","",'Base de Datos SACI'!U278)</f>
        <v>125</v>
      </c>
      <c r="G284" s="15"/>
      <c r="H284" s="30"/>
      <c r="I284" s="31" t="str">
        <f aca="false">IF(OR($G284="",$G284=0),"",IFERROR(ROUND($F284*$G284*(1-IF($H284="",0,$H284)),2),""))</f>
        <v/>
      </c>
      <c r="J284" s="9"/>
    </row>
    <row r="285" customFormat="false" ht="21.75" hidden="false" customHeight="true" outlineLevel="0" collapsed="false">
      <c r="B285" s="14" t="n">
        <v>275</v>
      </c>
      <c r="C285" s="7" t="s">
        <v>44</v>
      </c>
      <c r="D285" s="7" t="s">
        <v>70</v>
      </c>
      <c r="E285" s="7" t="s">
        <v>908</v>
      </c>
      <c r="F285" s="18" t="n">
        <f aca="false">IF('Base de Datos SACI'!U279="","",'Base de Datos SACI'!U279)</f>
        <v>16</v>
      </c>
      <c r="G285" s="14"/>
      <c r="H285" s="28"/>
      <c r="I285" s="29" t="str">
        <f aca="false">IF(OR($G285="",$G285=0),"",IFERROR(ROUND($F285*$G285*(1-IF($H285="",0,$H285)),2),""))</f>
        <v/>
      </c>
      <c r="J285" s="7"/>
    </row>
    <row r="286" customFormat="false" ht="21.75" hidden="false" customHeight="true" outlineLevel="0" collapsed="false">
      <c r="B286" s="15" t="n">
        <v>276</v>
      </c>
      <c r="C286" s="9" t="s">
        <v>44</v>
      </c>
      <c r="D286" s="9" t="s">
        <v>70</v>
      </c>
      <c r="E286" s="9" t="s">
        <v>912</v>
      </c>
      <c r="F286" s="19" t="n">
        <f aca="false">IF('Base de Datos SACI'!U280="","",'Base de Datos SACI'!U280)</f>
        <v>20</v>
      </c>
      <c r="G286" s="15"/>
      <c r="H286" s="30"/>
      <c r="I286" s="31" t="str">
        <f aca="false">IF(OR($G286="",$G286=0),"",IFERROR(ROUND($F286*$G286*(1-IF($H286="",0,$H286)),2),""))</f>
        <v/>
      </c>
      <c r="J286" s="9"/>
    </row>
    <row r="287" customFormat="false" ht="21.75" hidden="false" customHeight="true" outlineLevel="0" collapsed="false">
      <c r="B287" s="14" t="n">
        <v>277</v>
      </c>
      <c r="C287" s="7" t="s">
        <v>44</v>
      </c>
      <c r="D287" s="7" t="s">
        <v>70</v>
      </c>
      <c r="E287" s="7" t="s">
        <v>913</v>
      </c>
      <c r="F287" s="18" t="n">
        <f aca="false">IF('Base de Datos SACI'!U281="","",'Base de Datos SACI'!U281)</f>
        <v>30</v>
      </c>
      <c r="G287" s="14"/>
      <c r="H287" s="28"/>
      <c r="I287" s="29" t="str">
        <f aca="false">IF(OR($G287="",$G287=0),"",IFERROR(ROUND($F287*$G287*(1-IF($H287="",0,$H287)),2),""))</f>
        <v/>
      </c>
      <c r="J287" s="7"/>
    </row>
    <row r="288" customFormat="false" ht="21.75" hidden="false" customHeight="true" outlineLevel="0" collapsed="false">
      <c r="B288" s="15" t="n">
        <v>278</v>
      </c>
      <c r="C288" s="9" t="s">
        <v>44</v>
      </c>
      <c r="D288" s="9" t="s">
        <v>70</v>
      </c>
      <c r="E288" s="9" t="s">
        <v>915</v>
      </c>
      <c r="F288" s="19" t="n">
        <f aca="false">IF('Base de Datos SACI'!U282="","",'Base de Datos SACI'!U282)</f>
        <v>45</v>
      </c>
      <c r="G288" s="15"/>
      <c r="H288" s="30"/>
      <c r="I288" s="31" t="str">
        <f aca="false">IF(OR($G288="",$G288=0),"",IFERROR(ROUND($F288*$G288*(1-IF($H288="",0,$H288)),2),""))</f>
        <v/>
      </c>
      <c r="J288" s="9"/>
    </row>
    <row r="289" customFormat="false" ht="21.75" hidden="false" customHeight="true" outlineLevel="0" collapsed="false">
      <c r="B289" s="14" t="n">
        <v>279</v>
      </c>
      <c r="C289" s="7" t="s">
        <v>44</v>
      </c>
      <c r="D289" s="7" t="s">
        <v>70</v>
      </c>
      <c r="E289" s="7" t="s">
        <v>916</v>
      </c>
      <c r="F289" s="18" t="n">
        <f aca="false">IF('Base de Datos SACI'!U283="","",'Base de Datos SACI'!U283)</f>
        <v>70</v>
      </c>
      <c r="G289" s="14"/>
      <c r="H289" s="28"/>
      <c r="I289" s="29" t="str">
        <f aca="false">IF(OR($G289="",$G289=0),"",IFERROR(ROUND($F289*$G289*(1-IF($H289="",0,$H289)),2),""))</f>
        <v/>
      </c>
      <c r="J289" s="7"/>
    </row>
    <row r="290" customFormat="false" ht="21.75" hidden="false" customHeight="true" outlineLevel="0" collapsed="false">
      <c r="B290" s="15" t="n">
        <v>280</v>
      </c>
      <c r="C290" s="9" t="s">
        <v>44</v>
      </c>
      <c r="D290" s="9" t="s">
        <v>71</v>
      </c>
      <c r="E290" s="9" t="s">
        <v>917</v>
      </c>
      <c r="F290" s="19" t="n">
        <f aca="false">IF('Base de Datos SACI'!U284="","",'Base de Datos SACI'!U284)</f>
        <v>95</v>
      </c>
      <c r="G290" s="15"/>
      <c r="H290" s="30"/>
      <c r="I290" s="31" t="str">
        <f aca="false">IF(OR($G290="",$G290=0),"",IFERROR(ROUND($F290*$G290*(1-IF($H290="",0,$H290)),2),""))</f>
        <v/>
      </c>
      <c r="J290" s="9"/>
    </row>
    <row r="291" customFormat="false" ht="21.75" hidden="false" customHeight="true" outlineLevel="0" collapsed="false">
      <c r="B291" s="14" t="n">
        <v>281</v>
      </c>
      <c r="C291" s="7" t="s">
        <v>44</v>
      </c>
      <c r="D291" s="7" t="s">
        <v>71</v>
      </c>
      <c r="E291" s="7" t="s">
        <v>923</v>
      </c>
      <c r="F291" s="18" t="n">
        <f aca="false">IF('Base de Datos SACI'!U285="","",'Base de Datos SACI'!U285)</f>
        <v>145</v>
      </c>
      <c r="G291" s="14"/>
      <c r="H291" s="28"/>
      <c r="I291" s="29" t="str">
        <f aca="false">IF(OR($G291="",$G291=0),"",IFERROR(ROUND($F291*$G291*(1-IF($H291="",0,$H291)),2),""))</f>
        <v/>
      </c>
      <c r="J291" s="7"/>
    </row>
    <row r="292" customFormat="false" ht="21.75" hidden="false" customHeight="true" outlineLevel="0" collapsed="false">
      <c r="B292" s="15" t="n">
        <v>282</v>
      </c>
      <c r="C292" s="9" t="s">
        <v>44</v>
      </c>
      <c r="D292" s="9" t="s">
        <v>71</v>
      </c>
      <c r="E292" s="9" t="s">
        <v>924</v>
      </c>
      <c r="F292" s="19" t="n">
        <f aca="false">IF('Base de Datos SACI'!U286="","",'Base de Datos SACI'!U286)</f>
        <v>195</v>
      </c>
      <c r="G292" s="15"/>
      <c r="H292" s="30"/>
      <c r="I292" s="31" t="str">
        <f aca="false">IF(OR($G292="",$G292=0),"",IFERROR(ROUND($F292*$G292*(1-IF($H292="",0,$H292)),2),""))</f>
        <v/>
      </c>
      <c r="J292" s="9"/>
    </row>
    <row r="293" customFormat="false" ht="21.75" hidden="false" customHeight="true" outlineLevel="0" collapsed="false">
      <c r="B293" s="14" t="n">
        <v>283</v>
      </c>
      <c r="C293" s="7" t="s">
        <v>44</v>
      </c>
      <c r="D293" s="7" t="s">
        <v>71</v>
      </c>
      <c r="E293" s="7" t="s">
        <v>926</v>
      </c>
      <c r="F293" s="18" t="n">
        <f aca="false">IF('Base de Datos SACI'!U287="","",'Base de Datos SACI'!U287)</f>
        <v>290</v>
      </c>
      <c r="G293" s="14"/>
      <c r="H293" s="28"/>
      <c r="I293" s="29" t="str">
        <f aca="false">IF(OR($G293="",$G293=0),"",IFERROR(ROUND($F293*$G293*(1-IF($H293="",0,$H293)),2),""))</f>
        <v/>
      </c>
      <c r="J293" s="7"/>
    </row>
    <row r="294" customFormat="false" ht="21.75" hidden="false" customHeight="true" outlineLevel="0" collapsed="false">
      <c r="B294" s="15" t="n">
        <v>284</v>
      </c>
      <c r="C294" s="9" t="s">
        <v>44</v>
      </c>
      <c r="D294" s="9" t="s">
        <v>71</v>
      </c>
      <c r="E294" s="9" t="s">
        <v>927</v>
      </c>
      <c r="F294" s="19" t="n">
        <f aca="false">IF('Base de Datos SACI'!U288="","",'Base de Datos SACI'!U288)</f>
        <v>425</v>
      </c>
      <c r="G294" s="15"/>
      <c r="H294" s="30"/>
      <c r="I294" s="31" t="str">
        <f aca="false">IF(OR($G294="",$G294=0),"",IFERROR(ROUND($F294*$G294*(1-IF($H294="",0,$H294)),2),""))</f>
        <v/>
      </c>
      <c r="J294" s="9"/>
    </row>
    <row r="295" customFormat="false" ht="21.75" hidden="false" customHeight="true" outlineLevel="0" collapsed="false">
      <c r="B295" s="14" t="n">
        <v>285</v>
      </c>
      <c r="C295" s="7" t="s">
        <v>44</v>
      </c>
      <c r="D295" s="7" t="s">
        <v>72</v>
      </c>
      <c r="E295" s="7" t="s">
        <v>391</v>
      </c>
      <c r="F295" s="18" t="str">
        <f aca="false">IF('Base de Datos SACI'!U289="","",'Base de Datos SACI'!U289)</f>
        <v/>
      </c>
      <c r="G295" s="14"/>
      <c r="H295" s="28"/>
      <c r="I295" s="29" t="str">
        <f aca="false">IF(OR($G295="",$G295=0),"",IFERROR(ROUND($F295*$G295*(1-IF($H295="",0,$H295)),2),""))</f>
        <v/>
      </c>
      <c r="J295" s="7"/>
    </row>
    <row r="296" customFormat="false" ht="21.75" hidden="false" customHeight="true" outlineLevel="0" collapsed="false">
      <c r="B296" s="15" t="n">
        <v>286</v>
      </c>
      <c r="C296" s="9" t="s">
        <v>44</v>
      </c>
      <c r="D296" s="9" t="s">
        <v>73</v>
      </c>
      <c r="E296" s="9" t="s">
        <v>929</v>
      </c>
      <c r="F296" s="19" t="n">
        <f aca="false">IF('Base de Datos SACI'!U290="","",'Base de Datos SACI'!U290)</f>
        <v>35</v>
      </c>
      <c r="G296" s="15"/>
      <c r="H296" s="30"/>
      <c r="I296" s="31" t="str">
        <f aca="false">IF(OR($G296="",$G296=0),"",IFERROR(ROUND($F296*$G296*(1-IF($H296="",0,$H296)),2),""))</f>
        <v/>
      </c>
      <c r="J296" s="9"/>
    </row>
    <row r="297" customFormat="false" ht="21.75" hidden="false" customHeight="true" outlineLevel="0" collapsed="false">
      <c r="B297" s="14" t="n">
        <v>287</v>
      </c>
      <c r="C297" s="7" t="s">
        <v>44</v>
      </c>
      <c r="D297" s="7" t="s">
        <v>73</v>
      </c>
      <c r="E297" s="7" t="s">
        <v>935</v>
      </c>
      <c r="F297" s="18" t="n">
        <f aca="false">IF('Base de Datos SACI'!U291="","",'Base de Datos SACI'!U291)</f>
        <v>50</v>
      </c>
      <c r="G297" s="14"/>
      <c r="H297" s="28"/>
      <c r="I297" s="29" t="str">
        <f aca="false">IF(OR($G297="",$G297=0),"",IFERROR(ROUND($F297*$G297*(1-IF($H297="",0,$H297)),2),""))</f>
        <v/>
      </c>
      <c r="J297" s="7"/>
    </row>
    <row r="298" customFormat="false" ht="21.75" hidden="false" customHeight="true" outlineLevel="0" collapsed="false">
      <c r="B298" s="15" t="n">
        <v>288</v>
      </c>
      <c r="C298" s="9" t="s">
        <v>44</v>
      </c>
      <c r="D298" s="9" t="s">
        <v>73</v>
      </c>
      <c r="E298" s="9" t="s">
        <v>936</v>
      </c>
      <c r="F298" s="19" t="n">
        <f aca="false">IF('Base de Datos SACI'!U292="","",'Base de Datos SACI'!U292)</f>
        <v>70</v>
      </c>
      <c r="G298" s="15"/>
      <c r="H298" s="30"/>
      <c r="I298" s="31" t="str">
        <f aca="false">IF(OR($G298="",$G298=0),"",IFERROR(ROUND($F298*$G298*(1-IF($H298="",0,$H298)),2),""))</f>
        <v/>
      </c>
      <c r="J298" s="9"/>
    </row>
    <row r="299" customFormat="false" ht="21.75" hidden="false" customHeight="true" outlineLevel="0" collapsed="false">
      <c r="B299" s="14" t="n">
        <v>289</v>
      </c>
      <c r="C299" s="7" t="s">
        <v>44</v>
      </c>
      <c r="D299" s="7" t="s">
        <v>73</v>
      </c>
      <c r="E299" s="7" t="s">
        <v>938</v>
      </c>
      <c r="F299" s="18" t="n">
        <f aca="false">IF('Base de Datos SACI'!U293="","",'Base de Datos SACI'!U293)</f>
        <v>105</v>
      </c>
      <c r="G299" s="14"/>
      <c r="H299" s="28"/>
      <c r="I299" s="29" t="str">
        <f aca="false">IF(OR($G299="",$G299=0),"",IFERROR(ROUND($F299*$G299*(1-IF($H299="",0,$H299)),2),""))</f>
        <v/>
      </c>
      <c r="J299" s="7"/>
    </row>
    <row r="300" customFormat="false" ht="21.75" hidden="false" customHeight="true" outlineLevel="0" collapsed="false">
      <c r="B300" s="15" t="n">
        <v>290</v>
      </c>
      <c r="C300" s="9" t="s">
        <v>44</v>
      </c>
      <c r="D300" s="9" t="s">
        <v>73</v>
      </c>
      <c r="E300" s="9" t="s">
        <v>939</v>
      </c>
      <c r="F300" s="19" t="n">
        <f aca="false">IF('Base de Datos SACI'!U294="","",'Base de Datos SACI'!U294)</f>
        <v>155</v>
      </c>
      <c r="G300" s="15"/>
      <c r="H300" s="30"/>
      <c r="I300" s="31" t="str">
        <f aca="false">IF(OR($G300="",$G300=0),"",IFERROR(ROUND($F300*$G300*(1-IF($H300="",0,$H300)),2),""))</f>
        <v/>
      </c>
      <c r="J300" s="9"/>
    </row>
    <row r="301" customFormat="false" ht="21.75" hidden="false" customHeight="true" outlineLevel="0" collapsed="false">
      <c r="B301" s="14" t="n">
        <v>291</v>
      </c>
      <c r="C301" s="7" t="s">
        <v>44</v>
      </c>
      <c r="D301" s="7" t="s">
        <v>74</v>
      </c>
      <c r="E301" s="7" t="s">
        <v>391</v>
      </c>
      <c r="F301" s="18" t="str">
        <f aca="false">IF('Base de Datos SACI'!U295="","",'Base de Datos SACI'!U295)</f>
        <v/>
      </c>
      <c r="G301" s="14"/>
      <c r="H301" s="28"/>
      <c r="I301" s="29" t="str">
        <f aca="false">IF(OR($G301="",$G301=0),"",IFERROR(ROUND($F301*$G301*(1-IF($H301="",0,$H301)),2),""))</f>
        <v/>
      </c>
      <c r="J301" s="7"/>
    </row>
    <row r="302" customFormat="false" ht="21.75" hidden="false" customHeight="true" outlineLevel="0" collapsed="false">
      <c r="B302" s="15" t="n">
        <v>292</v>
      </c>
      <c r="C302" s="9" t="s">
        <v>44</v>
      </c>
      <c r="D302" s="9" t="s">
        <v>75</v>
      </c>
      <c r="E302" s="9" t="s">
        <v>391</v>
      </c>
      <c r="F302" s="19" t="str">
        <f aca="false">IF('Base de Datos SACI'!U296="","",'Base de Datos SACI'!U296)</f>
        <v/>
      </c>
      <c r="G302" s="15"/>
      <c r="H302" s="30"/>
      <c r="I302" s="31" t="str">
        <f aca="false">IF(OR($G302="",$G302=0),"",IFERROR(ROUND($F302*$G302*(1-IF($H302="",0,$H302)),2),""))</f>
        <v/>
      </c>
      <c r="J302" s="9"/>
    </row>
    <row r="303" customFormat="false" ht="21.75" hidden="false" customHeight="true" outlineLevel="0" collapsed="false">
      <c r="B303" s="14" t="n">
        <v>293</v>
      </c>
      <c r="C303" s="7" t="s">
        <v>45</v>
      </c>
      <c r="D303" s="7" t="s">
        <v>60</v>
      </c>
      <c r="E303" s="7" t="s">
        <v>391</v>
      </c>
      <c r="F303" s="18" t="str">
        <f aca="false">IF('Base de Datos SACI'!U297="","",'Base de Datos SACI'!U297)</f>
        <v/>
      </c>
      <c r="G303" s="14"/>
      <c r="H303" s="28"/>
      <c r="I303" s="29" t="str">
        <f aca="false">IF(OR($G303="",$G303=0),"",IFERROR(ROUND($F303*$G303*(1-IF($H303="",0,$H303)),2),""))</f>
        <v/>
      </c>
      <c r="J303" s="7"/>
    </row>
    <row r="304" customFormat="false" ht="21.75" hidden="false" customHeight="true" outlineLevel="0" collapsed="false">
      <c r="B304" s="15" t="n">
        <v>294</v>
      </c>
      <c r="C304" s="9" t="s">
        <v>45</v>
      </c>
      <c r="D304" s="9" t="s">
        <v>61</v>
      </c>
      <c r="E304" s="9" t="s">
        <v>391</v>
      </c>
      <c r="F304" s="19" t="str">
        <f aca="false">IF('Base de Datos SACI'!U298="","",'Base de Datos SACI'!U298)</f>
        <v/>
      </c>
      <c r="G304" s="15"/>
      <c r="H304" s="30"/>
      <c r="I304" s="31" t="str">
        <f aca="false">IF(OR($G304="",$G304=0),"",IFERROR(ROUND($F304*$G304*(1-IF($H304="",0,$H304)),2),""))</f>
        <v/>
      </c>
      <c r="J304" s="9"/>
    </row>
    <row r="305" customFormat="false" ht="21.75" hidden="false" customHeight="true" outlineLevel="0" collapsed="false">
      <c r="B305" s="14" t="n">
        <v>295</v>
      </c>
      <c r="C305" s="7" t="s">
        <v>45</v>
      </c>
      <c r="D305" s="7" t="s">
        <v>62</v>
      </c>
      <c r="E305" s="7" t="s">
        <v>944</v>
      </c>
      <c r="F305" s="18" t="n">
        <f aca="false">IF('Base de Datos SACI'!U299="","",'Base de Datos SACI'!U299)</f>
        <v>155</v>
      </c>
      <c r="G305" s="14"/>
      <c r="H305" s="28"/>
      <c r="I305" s="29" t="str">
        <f aca="false">IF(OR($G305="",$G305=0),"",IFERROR(ROUND($F305*$G305*(1-IF($H305="",0,$H305)),2),""))</f>
        <v/>
      </c>
      <c r="J305" s="7"/>
    </row>
    <row r="306" customFormat="false" ht="21.75" hidden="false" customHeight="true" outlineLevel="0" collapsed="false">
      <c r="B306" s="15" t="n">
        <v>296</v>
      </c>
      <c r="C306" s="9" t="s">
        <v>45</v>
      </c>
      <c r="D306" s="9" t="s">
        <v>62</v>
      </c>
      <c r="E306" s="9" t="s">
        <v>958</v>
      </c>
      <c r="F306" s="19" t="n">
        <f aca="false">IF('Base de Datos SACI'!U300="","",'Base de Datos SACI'!U300)</f>
        <v>230</v>
      </c>
      <c r="G306" s="15"/>
      <c r="H306" s="30"/>
      <c r="I306" s="31" t="str">
        <f aca="false">IF(OR($G306="",$G306=0),"",IFERROR(ROUND($F306*$G306*(1-IF($H306="",0,$H306)),2),""))</f>
        <v/>
      </c>
      <c r="J306" s="9"/>
    </row>
    <row r="307" customFormat="false" ht="21.75" hidden="false" customHeight="true" outlineLevel="0" collapsed="false">
      <c r="B307" s="14" t="n">
        <v>297</v>
      </c>
      <c r="C307" s="7" t="s">
        <v>45</v>
      </c>
      <c r="D307" s="7" t="s">
        <v>62</v>
      </c>
      <c r="E307" s="7" t="s">
        <v>959</v>
      </c>
      <c r="F307" s="18" t="n">
        <f aca="false">IF('Base de Datos SACI'!U301="","",'Base de Datos SACI'!U301)</f>
        <v>310</v>
      </c>
      <c r="G307" s="14"/>
      <c r="H307" s="28"/>
      <c r="I307" s="29" t="str">
        <f aca="false">IF(OR($G307="",$G307=0),"",IFERROR(ROUND($F307*$G307*(1-IF($H307="",0,$H307)),2),""))</f>
        <v/>
      </c>
      <c r="J307" s="7"/>
    </row>
    <row r="308" customFormat="false" ht="21.75" hidden="false" customHeight="true" outlineLevel="0" collapsed="false">
      <c r="B308" s="15" t="n">
        <v>298</v>
      </c>
      <c r="C308" s="9" t="s">
        <v>45</v>
      </c>
      <c r="D308" s="9" t="s">
        <v>62</v>
      </c>
      <c r="E308" s="9" t="s">
        <v>961</v>
      </c>
      <c r="F308" s="19" t="n">
        <f aca="false">IF('Base de Datos SACI'!U302="","",'Base de Datos SACI'!U302)</f>
        <v>465</v>
      </c>
      <c r="G308" s="15"/>
      <c r="H308" s="30"/>
      <c r="I308" s="31" t="str">
        <f aca="false">IF(OR($G308="",$G308=0),"",IFERROR(ROUND($F308*$G308*(1-IF($H308="",0,$H308)),2),""))</f>
        <v/>
      </c>
      <c r="J308" s="9"/>
    </row>
    <row r="309" customFormat="false" ht="21.75" hidden="false" customHeight="true" outlineLevel="0" collapsed="false">
      <c r="B309" s="14" t="n">
        <v>299</v>
      </c>
      <c r="C309" s="7" t="s">
        <v>45</v>
      </c>
      <c r="D309" s="7" t="s">
        <v>62</v>
      </c>
      <c r="E309" s="7" t="s">
        <v>962</v>
      </c>
      <c r="F309" s="18" t="n">
        <f aca="false">IF('Base de Datos SACI'!U303="","",'Base de Datos SACI'!U303)</f>
        <v>680</v>
      </c>
      <c r="G309" s="14"/>
      <c r="H309" s="28"/>
      <c r="I309" s="29" t="str">
        <f aca="false">IF(OR($G309="",$G309=0),"",IFERROR(ROUND($F309*$G309*(1-IF($H309="",0,$H309)),2),""))</f>
        <v/>
      </c>
      <c r="J309" s="7"/>
    </row>
    <row r="310" customFormat="false" ht="21.75" hidden="false" customHeight="true" outlineLevel="0" collapsed="false">
      <c r="B310" s="15" t="n">
        <v>300</v>
      </c>
      <c r="C310" s="9" t="s">
        <v>45</v>
      </c>
      <c r="D310" s="9" t="s">
        <v>63</v>
      </c>
      <c r="E310" s="9" t="s">
        <v>963</v>
      </c>
      <c r="F310" s="19" t="n">
        <f aca="false">IF('Base de Datos SACI'!U304="","",'Base de Datos SACI'!U304)</f>
        <v>40</v>
      </c>
      <c r="G310" s="15"/>
      <c r="H310" s="30"/>
      <c r="I310" s="31" t="str">
        <f aca="false">IF(OR($G310="",$G310=0),"",IFERROR(ROUND($F310*$G310*(1-IF($H310="",0,$H310)),2),""))</f>
        <v/>
      </c>
      <c r="J310" s="9"/>
    </row>
    <row r="311" customFormat="false" ht="21.75" hidden="false" customHeight="true" outlineLevel="0" collapsed="false">
      <c r="B311" s="14" t="n">
        <v>301</v>
      </c>
      <c r="C311" s="7" t="s">
        <v>45</v>
      </c>
      <c r="D311" s="7" t="s">
        <v>63</v>
      </c>
      <c r="E311" s="7" t="s">
        <v>972</v>
      </c>
      <c r="F311" s="18" t="n">
        <f aca="false">IF('Base de Datos SACI'!U305="","",'Base de Datos SACI'!U305)</f>
        <v>60</v>
      </c>
      <c r="G311" s="14"/>
      <c r="H311" s="28"/>
      <c r="I311" s="29" t="str">
        <f aca="false">IF(OR($G311="",$G311=0),"",IFERROR(ROUND($F311*$G311*(1-IF($H311="",0,$H311)),2),""))</f>
        <v/>
      </c>
      <c r="J311" s="7"/>
    </row>
    <row r="312" customFormat="false" ht="21.75" hidden="false" customHeight="true" outlineLevel="0" collapsed="false">
      <c r="B312" s="15" t="n">
        <v>302</v>
      </c>
      <c r="C312" s="9" t="s">
        <v>45</v>
      </c>
      <c r="D312" s="9" t="s">
        <v>63</v>
      </c>
      <c r="E312" s="9" t="s">
        <v>973</v>
      </c>
      <c r="F312" s="19" t="n">
        <f aca="false">IF('Base de Datos SACI'!U306="","",'Base de Datos SACI'!U306)</f>
        <v>85</v>
      </c>
      <c r="G312" s="15"/>
      <c r="H312" s="30"/>
      <c r="I312" s="31" t="str">
        <f aca="false">IF(OR($G312="",$G312=0),"",IFERROR(ROUND($F312*$G312*(1-IF($H312="",0,$H312)),2),""))</f>
        <v/>
      </c>
      <c r="J312" s="9"/>
    </row>
    <row r="313" customFormat="false" ht="21.75" hidden="false" customHeight="true" outlineLevel="0" collapsed="false">
      <c r="B313" s="14" t="n">
        <v>303</v>
      </c>
      <c r="C313" s="7" t="s">
        <v>45</v>
      </c>
      <c r="D313" s="7" t="s">
        <v>63</v>
      </c>
      <c r="E313" s="7" t="s">
        <v>975</v>
      </c>
      <c r="F313" s="18" t="n">
        <f aca="false">IF('Base de Datos SACI'!U307="","",'Base de Datos SACI'!U307)</f>
        <v>125</v>
      </c>
      <c r="G313" s="14"/>
      <c r="H313" s="28"/>
      <c r="I313" s="29" t="str">
        <f aca="false">IF(OR($G313="",$G313=0),"",IFERROR(ROUND($F313*$G313*(1-IF($H313="",0,$H313)),2),""))</f>
        <v/>
      </c>
      <c r="J313" s="7"/>
    </row>
    <row r="314" customFormat="false" ht="21.75" hidden="false" customHeight="true" outlineLevel="0" collapsed="false">
      <c r="B314" s="15" t="n">
        <v>304</v>
      </c>
      <c r="C314" s="9" t="s">
        <v>45</v>
      </c>
      <c r="D314" s="9" t="s">
        <v>63</v>
      </c>
      <c r="E314" s="9" t="s">
        <v>976</v>
      </c>
      <c r="F314" s="19" t="n">
        <f aca="false">IF('Base de Datos SACI'!U308="","",'Base de Datos SACI'!U308)</f>
        <v>185</v>
      </c>
      <c r="G314" s="15"/>
      <c r="H314" s="30"/>
      <c r="I314" s="31" t="str">
        <f aca="false">IF(OR($G314="",$G314=0),"",IFERROR(ROUND($F314*$G314*(1-IF($H314="",0,$H314)),2),""))</f>
        <v/>
      </c>
      <c r="J314" s="9"/>
    </row>
    <row r="315" customFormat="false" ht="21.75" hidden="false" customHeight="true" outlineLevel="0" collapsed="false">
      <c r="B315" s="14" t="n">
        <v>305</v>
      </c>
      <c r="C315" s="7" t="s">
        <v>45</v>
      </c>
      <c r="D315" s="7" t="s">
        <v>64</v>
      </c>
      <c r="E315" s="7" t="s">
        <v>977</v>
      </c>
      <c r="F315" s="18" t="n">
        <f aca="false">IF('Base de Datos SACI'!U309="","",'Base de Datos SACI'!U309)</f>
        <v>20</v>
      </c>
      <c r="G315" s="14"/>
      <c r="H315" s="28"/>
      <c r="I315" s="29" t="str">
        <f aca="false">IF(OR($G315="",$G315=0),"",IFERROR(ROUND($F315*$G315*(1-IF($H315="",0,$H315)),2),""))</f>
        <v/>
      </c>
      <c r="J315" s="7"/>
    </row>
    <row r="316" customFormat="false" ht="21.75" hidden="false" customHeight="true" outlineLevel="0" collapsed="false">
      <c r="B316" s="15" t="n">
        <v>306</v>
      </c>
      <c r="C316" s="9" t="s">
        <v>45</v>
      </c>
      <c r="D316" s="9" t="s">
        <v>64</v>
      </c>
      <c r="E316" s="9" t="s">
        <v>984</v>
      </c>
      <c r="F316" s="19" t="n">
        <f aca="false">IF('Base de Datos SACI'!U310="","",'Base de Datos SACI'!U310)</f>
        <v>30</v>
      </c>
      <c r="G316" s="15"/>
      <c r="H316" s="30"/>
      <c r="I316" s="31" t="str">
        <f aca="false">IF(OR($G316="",$G316=0),"",IFERROR(ROUND($F316*$G316*(1-IF($H316="",0,$H316)),2),""))</f>
        <v/>
      </c>
      <c r="J316" s="9"/>
    </row>
    <row r="317" customFormat="false" ht="21.75" hidden="false" customHeight="true" outlineLevel="0" collapsed="false">
      <c r="B317" s="14" t="n">
        <v>307</v>
      </c>
      <c r="C317" s="7" t="s">
        <v>45</v>
      </c>
      <c r="D317" s="7" t="s">
        <v>64</v>
      </c>
      <c r="E317" s="7" t="s">
        <v>985</v>
      </c>
      <c r="F317" s="18" t="n">
        <f aca="false">IF('Base de Datos SACI'!U311="","",'Base de Datos SACI'!U311)</f>
        <v>40</v>
      </c>
      <c r="G317" s="14"/>
      <c r="H317" s="28"/>
      <c r="I317" s="29" t="str">
        <f aca="false">IF(OR($G317="",$G317=0),"",IFERROR(ROUND($F317*$G317*(1-IF($H317="",0,$H317)),2),""))</f>
        <v/>
      </c>
      <c r="J317" s="7"/>
    </row>
    <row r="318" customFormat="false" ht="21.75" hidden="false" customHeight="true" outlineLevel="0" collapsed="false">
      <c r="B318" s="15" t="n">
        <v>308</v>
      </c>
      <c r="C318" s="9" t="s">
        <v>45</v>
      </c>
      <c r="D318" s="9" t="s">
        <v>64</v>
      </c>
      <c r="E318" s="9" t="s">
        <v>987</v>
      </c>
      <c r="F318" s="19" t="n">
        <f aca="false">IF('Base de Datos SACI'!U312="","",'Base de Datos SACI'!U312)</f>
        <v>60</v>
      </c>
      <c r="G318" s="15"/>
      <c r="H318" s="30"/>
      <c r="I318" s="31" t="str">
        <f aca="false">IF(OR($G318="",$G318=0),"",IFERROR(ROUND($F318*$G318*(1-IF($H318="",0,$H318)),2),""))</f>
        <v/>
      </c>
      <c r="J318" s="9"/>
    </row>
    <row r="319" customFormat="false" ht="21.75" hidden="false" customHeight="true" outlineLevel="0" collapsed="false">
      <c r="B319" s="14" t="n">
        <v>309</v>
      </c>
      <c r="C319" s="7" t="s">
        <v>45</v>
      </c>
      <c r="D319" s="7" t="s">
        <v>64</v>
      </c>
      <c r="E319" s="7" t="s">
        <v>988</v>
      </c>
      <c r="F319" s="18" t="n">
        <f aca="false">IF('Base de Datos SACI'!U313="","",'Base de Datos SACI'!U313)</f>
        <v>90</v>
      </c>
      <c r="G319" s="14"/>
      <c r="H319" s="28"/>
      <c r="I319" s="29" t="str">
        <f aca="false">IF(OR($G319="",$G319=0),"",IFERROR(ROUND($F319*$G319*(1-IF($H319="",0,$H319)),2),""))</f>
        <v/>
      </c>
      <c r="J319" s="7"/>
    </row>
    <row r="320" customFormat="false" ht="21.75" hidden="false" customHeight="true" outlineLevel="0" collapsed="false">
      <c r="B320" s="15" t="n">
        <v>310</v>
      </c>
      <c r="C320" s="9" t="s">
        <v>45</v>
      </c>
      <c r="D320" s="9" t="s">
        <v>65</v>
      </c>
      <c r="E320" s="9" t="s">
        <v>977</v>
      </c>
      <c r="F320" s="19" t="n">
        <f aca="false">IF('Base de Datos SACI'!U314="","",'Base de Datos SACI'!U314)</f>
        <v>14</v>
      </c>
      <c r="G320" s="15"/>
      <c r="H320" s="30"/>
      <c r="I320" s="31" t="str">
        <f aca="false">IF(OR($G320="",$G320=0),"",IFERROR(ROUND($F320*$G320*(1-IF($H320="",0,$H320)),2),""))</f>
        <v/>
      </c>
      <c r="J320" s="9"/>
    </row>
    <row r="321" customFormat="false" ht="21.75" hidden="false" customHeight="true" outlineLevel="0" collapsed="false">
      <c r="B321" s="14" t="n">
        <v>311</v>
      </c>
      <c r="C321" s="7" t="s">
        <v>45</v>
      </c>
      <c r="D321" s="7" t="s">
        <v>65</v>
      </c>
      <c r="E321" s="7" t="s">
        <v>984</v>
      </c>
      <c r="F321" s="18" t="n">
        <f aca="false">IF('Base de Datos SACI'!U315="","",'Base de Datos SACI'!U315)</f>
        <v>20</v>
      </c>
      <c r="G321" s="14"/>
      <c r="H321" s="28"/>
      <c r="I321" s="29" t="str">
        <f aca="false">IF(OR($G321="",$G321=0),"",IFERROR(ROUND($F321*$G321*(1-IF($H321="",0,$H321)),2),""))</f>
        <v/>
      </c>
      <c r="J321" s="7"/>
    </row>
    <row r="322" customFormat="false" ht="21.75" hidden="false" customHeight="true" outlineLevel="0" collapsed="false">
      <c r="B322" s="15" t="n">
        <v>312</v>
      </c>
      <c r="C322" s="9" t="s">
        <v>45</v>
      </c>
      <c r="D322" s="9" t="s">
        <v>65</v>
      </c>
      <c r="E322" s="9" t="s">
        <v>985</v>
      </c>
      <c r="F322" s="19" t="n">
        <f aca="false">IF('Base de Datos SACI'!U316="","",'Base de Datos SACI'!U316)</f>
        <v>25</v>
      </c>
      <c r="G322" s="15"/>
      <c r="H322" s="30"/>
      <c r="I322" s="31" t="str">
        <f aca="false">IF(OR($G322="",$G322=0),"",IFERROR(ROUND($F322*$G322*(1-IF($H322="",0,$H322)),2),""))</f>
        <v/>
      </c>
      <c r="J322" s="9"/>
    </row>
    <row r="323" customFormat="false" ht="21.75" hidden="false" customHeight="true" outlineLevel="0" collapsed="false">
      <c r="B323" s="14" t="n">
        <v>313</v>
      </c>
      <c r="C323" s="7" t="s">
        <v>45</v>
      </c>
      <c r="D323" s="7" t="s">
        <v>65</v>
      </c>
      <c r="E323" s="7" t="s">
        <v>992</v>
      </c>
      <c r="F323" s="18" t="n">
        <f aca="false">IF('Base de Datos SACI'!U317="","",'Base de Datos SACI'!U317)</f>
        <v>40</v>
      </c>
      <c r="G323" s="14"/>
      <c r="H323" s="28"/>
      <c r="I323" s="29" t="str">
        <f aca="false">IF(OR($G323="",$G323=0),"",IFERROR(ROUND($F323*$G323*(1-IF($H323="",0,$H323)),2),""))</f>
        <v/>
      </c>
      <c r="J323" s="7"/>
    </row>
    <row r="324" customFormat="false" ht="21.75" hidden="false" customHeight="true" outlineLevel="0" collapsed="false">
      <c r="B324" s="15" t="n">
        <v>314</v>
      </c>
      <c r="C324" s="9" t="s">
        <v>45</v>
      </c>
      <c r="D324" s="9" t="s">
        <v>65</v>
      </c>
      <c r="E324" s="9" t="s">
        <v>988</v>
      </c>
      <c r="F324" s="19" t="n">
        <f aca="false">IF('Base de Datos SACI'!U318="","",'Base de Datos SACI'!U318)</f>
        <v>60</v>
      </c>
      <c r="G324" s="15"/>
      <c r="H324" s="30"/>
      <c r="I324" s="31" t="str">
        <f aca="false">IF(OR($G324="",$G324=0),"",IFERROR(ROUND($F324*$G324*(1-IF($H324="",0,$H324)),2),""))</f>
        <v/>
      </c>
      <c r="J324" s="9"/>
    </row>
    <row r="325" customFormat="false" ht="21.75" hidden="false" customHeight="true" outlineLevel="0" collapsed="false">
      <c r="B325" s="14" t="n">
        <v>315</v>
      </c>
      <c r="C325" s="7" t="s">
        <v>45</v>
      </c>
      <c r="D325" s="7" t="s">
        <v>66</v>
      </c>
      <c r="E325" s="7" t="s">
        <v>993</v>
      </c>
      <c r="F325" s="18" t="n">
        <f aca="false">IF('Base de Datos SACI'!U319="","",'Base de Datos SACI'!U319)</f>
        <v>45</v>
      </c>
      <c r="G325" s="14"/>
      <c r="H325" s="28"/>
      <c r="I325" s="29" t="str">
        <f aca="false">IF(OR($G325="",$G325=0),"",IFERROR(ROUND($F325*$G325*(1-IF($H325="",0,$H325)),2),""))</f>
        <v/>
      </c>
      <c r="J325" s="7"/>
    </row>
    <row r="326" customFormat="false" ht="21.75" hidden="false" customHeight="true" outlineLevel="0" collapsed="false">
      <c r="B326" s="15" t="n">
        <v>316</v>
      </c>
      <c r="C326" s="9" t="s">
        <v>45</v>
      </c>
      <c r="D326" s="9" t="s">
        <v>66</v>
      </c>
      <c r="E326" s="9" t="s">
        <v>1002</v>
      </c>
      <c r="F326" s="19" t="n">
        <f aca="false">IF('Base de Datos SACI'!U320="","",'Base de Datos SACI'!U320)</f>
        <v>70</v>
      </c>
      <c r="G326" s="15"/>
      <c r="H326" s="30"/>
      <c r="I326" s="31" t="str">
        <f aca="false">IF(OR($G326="",$G326=0),"",IFERROR(ROUND($F326*$G326*(1-IF($H326="",0,$H326)),2),""))</f>
        <v/>
      </c>
      <c r="J326" s="9"/>
    </row>
    <row r="327" customFormat="false" ht="21.75" hidden="false" customHeight="true" outlineLevel="0" collapsed="false">
      <c r="B327" s="14" t="n">
        <v>317</v>
      </c>
      <c r="C327" s="7" t="s">
        <v>45</v>
      </c>
      <c r="D327" s="7" t="s">
        <v>66</v>
      </c>
      <c r="E327" s="7" t="s">
        <v>987</v>
      </c>
      <c r="F327" s="18" t="n">
        <f aca="false">IF('Base de Datos SACI'!U321="","",'Base de Datos SACI'!U321)</f>
        <v>95</v>
      </c>
      <c r="G327" s="14"/>
      <c r="H327" s="28"/>
      <c r="I327" s="29" t="str">
        <f aca="false">IF(OR($G327="",$G327=0),"",IFERROR(ROUND($F327*$G327*(1-IF($H327="",0,$H327)),2),""))</f>
        <v/>
      </c>
      <c r="J327" s="7"/>
    </row>
    <row r="328" customFormat="false" ht="21.75" hidden="false" customHeight="true" outlineLevel="0" collapsed="false">
      <c r="B328" s="15" t="n">
        <v>318</v>
      </c>
      <c r="C328" s="9" t="s">
        <v>45</v>
      </c>
      <c r="D328" s="9" t="s">
        <v>66</v>
      </c>
      <c r="E328" s="9" t="s">
        <v>1004</v>
      </c>
      <c r="F328" s="19" t="n">
        <f aca="false">IF('Base de Datos SACI'!U322="","",'Base de Datos SACI'!U322)</f>
        <v>140</v>
      </c>
      <c r="G328" s="15"/>
      <c r="H328" s="30"/>
      <c r="I328" s="31" t="str">
        <f aca="false">IF(OR($G328="",$G328=0),"",IFERROR(ROUND($F328*$G328*(1-IF($H328="",0,$H328)),2),""))</f>
        <v/>
      </c>
      <c r="J328" s="9"/>
    </row>
    <row r="329" customFormat="false" ht="21.75" hidden="false" customHeight="true" outlineLevel="0" collapsed="false">
      <c r="B329" s="14" t="n">
        <v>319</v>
      </c>
      <c r="C329" s="7" t="s">
        <v>45</v>
      </c>
      <c r="D329" s="7" t="s">
        <v>66</v>
      </c>
      <c r="E329" s="7" t="s">
        <v>1005</v>
      </c>
      <c r="F329" s="18" t="n">
        <f aca="false">IF('Base de Datos SACI'!U323="","",'Base de Datos SACI'!U323)</f>
        <v>205</v>
      </c>
      <c r="G329" s="14"/>
      <c r="H329" s="28"/>
      <c r="I329" s="29" t="str">
        <f aca="false">IF(OR($G329="",$G329=0),"",IFERROR(ROUND($F329*$G329*(1-IF($H329="",0,$H329)),2),""))</f>
        <v/>
      </c>
      <c r="J329" s="7"/>
    </row>
    <row r="330" customFormat="false" ht="21.75" hidden="false" customHeight="true" outlineLevel="0" collapsed="false">
      <c r="B330" s="15" t="n">
        <v>320</v>
      </c>
      <c r="C330" s="9" t="s">
        <v>45</v>
      </c>
      <c r="D330" s="9" t="s">
        <v>67</v>
      </c>
      <c r="E330" s="9" t="s">
        <v>1006</v>
      </c>
      <c r="F330" s="19" t="n">
        <f aca="false">IF('Base de Datos SACI'!U324="","",'Base de Datos SACI'!U324)</f>
        <v>14</v>
      </c>
      <c r="G330" s="15"/>
      <c r="H330" s="30"/>
      <c r="I330" s="31" t="str">
        <f aca="false">IF(OR($G330="",$G330=0),"",IFERROR(ROUND($F330*$G330*(1-IF($H330="",0,$H330)),2),""))</f>
        <v/>
      </c>
      <c r="J330" s="9"/>
    </row>
    <row r="331" customFormat="false" ht="21.75" hidden="false" customHeight="true" outlineLevel="0" collapsed="false">
      <c r="B331" s="14" t="n">
        <v>321</v>
      </c>
      <c r="C331" s="7" t="s">
        <v>45</v>
      </c>
      <c r="D331" s="7" t="s">
        <v>67</v>
      </c>
      <c r="E331" s="7" t="s">
        <v>1010</v>
      </c>
      <c r="F331" s="18" t="n">
        <f aca="false">IF('Base de Datos SACI'!U325="","",'Base de Datos SACI'!U325)</f>
        <v>20</v>
      </c>
      <c r="G331" s="14"/>
      <c r="H331" s="28"/>
      <c r="I331" s="29" t="str">
        <f aca="false">IF(OR($G331="",$G331=0),"",IFERROR(ROUND($F331*$G331*(1-IF($H331="",0,$H331)),2),""))</f>
        <v/>
      </c>
      <c r="J331" s="7"/>
    </row>
    <row r="332" customFormat="false" ht="21.75" hidden="false" customHeight="true" outlineLevel="0" collapsed="false">
      <c r="B332" s="15" t="n">
        <v>322</v>
      </c>
      <c r="C332" s="9" t="s">
        <v>45</v>
      </c>
      <c r="D332" s="9" t="s">
        <v>67</v>
      </c>
      <c r="E332" s="9" t="s">
        <v>1011</v>
      </c>
      <c r="F332" s="19" t="n">
        <f aca="false">IF('Base de Datos SACI'!U326="","",'Base de Datos SACI'!U326)</f>
        <v>25</v>
      </c>
      <c r="G332" s="15"/>
      <c r="H332" s="30"/>
      <c r="I332" s="31" t="str">
        <f aca="false">IF(OR($G332="",$G332=0),"",IFERROR(ROUND($F332*$G332*(1-IF($H332="",0,$H332)),2),""))</f>
        <v/>
      </c>
      <c r="J332" s="9"/>
    </row>
    <row r="333" customFormat="false" ht="21.75" hidden="false" customHeight="true" outlineLevel="0" collapsed="false">
      <c r="B333" s="14" t="n">
        <v>323</v>
      </c>
      <c r="C333" s="7" t="s">
        <v>45</v>
      </c>
      <c r="D333" s="7" t="s">
        <v>67</v>
      </c>
      <c r="E333" s="7" t="s">
        <v>1013</v>
      </c>
      <c r="F333" s="18" t="n">
        <f aca="false">IF('Base de Datos SACI'!U327="","",'Base de Datos SACI'!U327)</f>
        <v>40</v>
      </c>
      <c r="G333" s="14"/>
      <c r="H333" s="28"/>
      <c r="I333" s="29" t="str">
        <f aca="false">IF(OR($G333="",$G333=0),"",IFERROR(ROUND($F333*$G333*(1-IF($H333="",0,$H333)),2),""))</f>
        <v/>
      </c>
      <c r="J333" s="7"/>
    </row>
    <row r="334" customFormat="false" ht="21.75" hidden="false" customHeight="true" outlineLevel="0" collapsed="false">
      <c r="B334" s="15" t="n">
        <v>324</v>
      </c>
      <c r="C334" s="9" t="s">
        <v>45</v>
      </c>
      <c r="D334" s="9" t="s">
        <v>67</v>
      </c>
      <c r="E334" s="9" t="s">
        <v>1014</v>
      </c>
      <c r="F334" s="19" t="n">
        <f aca="false">IF('Base de Datos SACI'!U328="","",'Base de Datos SACI'!U328)</f>
        <v>60</v>
      </c>
      <c r="G334" s="15"/>
      <c r="H334" s="30"/>
      <c r="I334" s="31" t="str">
        <f aca="false">IF(OR($G334="",$G334=0),"",IFERROR(ROUND($F334*$G334*(1-IF($H334="",0,$H334)),2),""))</f>
        <v/>
      </c>
      <c r="J334" s="9"/>
    </row>
    <row r="335" customFormat="false" ht="21.75" hidden="false" customHeight="true" outlineLevel="0" collapsed="false">
      <c r="B335" s="14" t="n">
        <v>325</v>
      </c>
      <c r="C335" s="7" t="s">
        <v>45</v>
      </c>
      <c r="D335" s="7" t="s">
        <v>68</v>
      </c>
      <c r="E335" s="7" t="s">
        <v>1015</v>
      </c>
      <c r="F335" s="18" t="n">
        <f aca="false">IF('Base de Datos SACI'!U329="","",'Base de Datos SACI'!U329)</f>
        <v>12</v>
      </c>
      <c r="G335" s="14"/>
      <c r="H335" s="28"/>
      <c r="I335" s="29" t="str">
        <f aca="false">IF(OR($G335="",$G335=0),"",IFERROR(ROUND($F335*$G335*(1-IF($H335="",0,$H335)),2),""))</f>
        <v/>
      </c>
      <c r="J335" s="7"/>
    </row>
    <row r="336" customFormat="false" ht="21.75" hidden="false" customHeight="true" outlineLevel="0" collapsed="false">
      <c r="B336" s="15" t="n">
        <v>326</v>
      </c>
      <c r="C336" s="9" t="s">
        <v>45</v>
      </c>
      <c r="D336" s="9" t="s">
        <v>68</v>
      </c>
      <c r="E336" s="9" t="s">
        <v>1019</v>
      </c>
      <c r="F336" s="19" t="n">
        <f aca="false">IF('Base de Datos SACI'!U330="","",'Base de Datos SACI'!U330)</f>
        <v>19</v>
      </c>
      <c r="G336" s="15"/>
      <c r="H336" s="30"/>
      <c r="I336" s="31" t="str">
        <f aca="false">IF(OR($G336="",$G336=0),"",IFERROR(ROUND($F336*$G336*(1-IF($H336="",0,$H336)),2),""))</f>
        <v/>
      </c>
      <c r="J336" s="9"/>
    </row>
    <row r="337" customFormat="false" ht="21.75" hidden="false" customHeight="true" outlineLevel="0" collapsed="false">
      <c r="B337" s="14" t="n">
        <v>327</v>
      </c>
      <c r="C337" s="7" t="s">
        <v>45</v>
      </c>
      <c r="D337" s="7" t="s">
        <v>68</v>
      </c>
      <c r="E337" s="7" t="s">
        <v>1020</v>
      </c>
      <c r="F337" s="18" t="n">
        <f aca="false">IF('Base de Datos SACI'!U331="","",'Base de Datos SACI'!U331)</f>
        <v>25</v>
      </c>
      <c r="G337" s="14"/>
      <c r="H337" s="28"/>
      <c r="I337" s="29" t="str">
        <f aca="false">IF(OR($G337="",$G337=0),"",IFERROR(ROUND($F337*$G337*(1-IF($H337="",0,$H337)),2),""))</f>
        <v/>
      </c>
      <c r="J337" s="7"/>
    </row>
    <row r="338" customFormat="false" ht="21.75" hidden="false" customHeight="true" outlineLevel="0" collapsed="false">
      <c r="B338" s="15" t="n">
        <v>328</v>
      </c>
      <c r="C338" s="9" t="s">
        <v>45</v>
      </c>
      <c r="D338" s="9" t="s">
        <v>68</v>
      </c>
      <c r="E338" s="9" t="s">
        <v>1022</v>
      </c>
      <c r="F338" s="19" t="n">
        <f aca="false">IF('Base de Datos SACI'!U332="","",'Base de Datos SACI'!U332)</f>
        <v>35</v>
      </c>
      <c r="G338" s="15"/>
      <c r="H338" s="30"/>
      <c r="I338" s="31" t="str">
        <f aca="false">IF(OR($G338="",$G338=0),"",IFERROR(ROUND($F338*$G338*(1-IF($H338="",0,$H338)),2),""))</f>
        <v/>
      </c>
      <c r="J338" s="9"/>
    </row>
    <row r="339" customFormat="false" ht="21.75" hidden="false" customHeight="true" outlineLevel="0" collapsed="false">
      <c r="B339" s="14" t="n">
        <v>329</v>
      </c>
      <c r="C339" s="7" t="s">
        <v>45</v>
      </c>
      <c r="D339" s="7" t="s">
        <v>68</v>
      </c>
      <c r="E339" s="7" t="s">
        <v>1023</v>
      </c>
      <c r="F339" s="18" t="n">
        <f aca="false">IF('Base de Datos SACI'!U333="","",'Base de Datos SACI'!U333)</f>
        <v>55</v>
      </c>
      <c r="G339" s="14"/>
      <c r="H339" s="28"/>
      <c r="I339" s="29" t="str">
        <f aca="false">IF(OR($G339="",$G339=0),"",IFERROR(ROUND($F339*$G339*(1-IF($H339="",0,$H339)),2),""))</f>
        <v/>
      </c>
      <c r="J339" s="7"/>
    </row>
    <row r="340" customFormat="false" ht="21.75" hidden="false" customHeight="true" outlineLevel="0" collapsed="false">
      <c r="B340" s="15" t="n">
        <v>330</v>
      </c>
      <c r="C340" s="9" t="s">
        <v>45</v>
      </c>
      <c r="D340" s="9" t="s">
        <v>69</v>
      </c>
      <c r="E340" s="9" t="s">
        <v>1024</v>
      </c>
      <c r="F340" s="19" t="n">
        <f aca="false">IF('Base de Datos SACI'!U334="","",'Base de Datos SACI'!U334)</f>
        <v>55</v>
      </c>
      <c r="G340" s="15"/>
      <c r="H340" s="30"/>
      <c r="I340" s="31" t="str">
        <f aca="false">IF(OR($G340="",$G340=0),"",IFERROR(ROUND($F340*$G340*(1-IF($H340="",0,$H340)),2),""))</f>
        <v/>
      </c>
      <c r="J340" s="9"/>
    </row>
    <row r="341" customFormat="false" ht="21.75" hidden="false" customHeight="true" outlineLevel="0" collapsed="false">
      <c r="B341" s="14" t="n">
        <v>331</v>
      </c>
      <c r="C341" s="7" t="s">
        <v>45</v>
      </c>
      <c r="D341" s="7" t="s">
        <v>69</v>
      </c>
      <c r="E341" s="7" t="s">
        <v>1030</v>
      </c>
      <c r="F341" s="18" t="n">
        <f aca="false">IF('Base de Datos SACI'!U335="","",'Base de Datos SACI'!U335)</f>
        <v>85</v>
      </c>
      <c r="G341" s="14"/>
      <c r="H341" s="28"/>
      <c r="I341" s="29" t="str">
        <f aca="false">IF(OR($G341="",$G341=0),"",IFERROR(ROUND($F341*$G341*(1-IF($H341="",0,$H341)),2),""))</f>
        <v/>
      </c>
      <c r="J341" s="7"/>
    </row>
    <row r="342" customFormat="false" ht="21.75" hidden="false" customHeight="true" outlineLevel="0" collapsed="false">
      <c r="B342" s="15" t="n">
        <v>332</v>
      </c>
      <c r="C342" s="9" t="s">
        <v>45</v>
      </c>
      <c r="D342" s="9" t="s">
        <v>69</v>
      </c>
      <c r="E342" s="9" t="s">
        <v>1031</v>
      </c>
      <c r="F342" s="19" t="n">
        <f aca="false">IF('Base de Datos SACI'!U336="","",'Base de Datos SACI'!U336)</f>
        <v>115</v>
      </c>
      <c r="G342" s="15"/>
      <c r="H342" s="30"/>
      <c r="I342" s="31" t="str">
        <f aca="false">IF(OR($G342="",$G342=0),"",IFERROR(ROUND($F342*$G342*(1-IF($H342="",0,$H342)),2),""))</f>
        <v/>
      </c>
      <c r="J342" s="9"/>
    </row>
    <row r="343" customFormat="false" ht="21.75" hidden="false" customHeight="true" outlineLevel="0" collapsed="false">
      <c r="B343" s="14" t="n">
        <v>333</v>
      </c>
      <c r="C343" s="7" t="s">
        <v>45</v>
      </c>
      <c r="D343" s="7" t="s">
        <v>69</v>
      </c>
      <c r="E343" s="7" t="s">
        <v>1033</v>
      </c>
      <c r="F343" s="18" t="n">
        <f aca="false">IF('Base de Datos SACI'!U337="","",'Base de Datos SACI'!U337)</f>
        <v>175</v>
      </c>
      <c r="G343" s="14"/>
      <c r="H343" s="28"/>
      <c r="I343" s="29" t="str">
        <f aca="false">IF(OR($G343="",$G343=0),"",IFERROR(ROUND($F343*$G343*(1-IF($H343="",0,$H343)),2),""))</f>
        <v/>
      </c>
      <c r="J343" s="7"/>
    </row>
    <row r="344" customFormat="false" ht="21.75" hidden="false" customHeight="true" outlineLevel="0" collapsed="false">
      <c r="B344" s="15" t="n">
        <v>334</v>
      </c>
      <c r="C344" s="9" t="s">
        <v>45</v>
      </c>
      <c r="D344" s="9" t="s">
        <v>69</v>
      </c>
      <c r="E344" s="9" t="s">
        <v>1034</v>
      </c>
      <c r="F344" s="19" t="n">
        <f aca="false">IF('Base de Datos SACI'!U338="","",'Base de Datos SACI'!U338)</f>
        <v>255</v>
      </c>
      <c r="G344" s="15"/>
      <c r="H344" s="30"/>
      <c r="I344" s="31" t="str">
        <f aca="false">IF(OR($G344="",$G344=0),"",IFERROR(ROUND($F344*$G344*(1-IF($H344="",0,$H344)),2),""))</f>
        <v/>
      </c>
      <c r="J344" s="9"/>
    </row>
    <row r="345" customFormat="false" ht="21.75" hidden="false" customHeight="true" outlineLevel="0" collapsed="false">
      <c r="B345" s="14" t="n">
        <v>335</v>
      </c>
      <c r="C345" s="7" t="s">
        <v>45</v>
      </c>
      <c r="D345" s="7" t="s">
        <v>70</v>
      </c>
      <c r="E345" s="7" t="s">
        <v>1035</v>
      </c>
      <c r="F345" s="18" t="n">
        <f aca="false">IF('Base de Datos SACI'!U339="","",'Base de Datos SACI'!U339)</f>
        <v>19</v>
      </c>
      <c r="G345" s="14"/>
      <c r="H345" s="28"/>
      <c r="I345" s="29" t="str">
        <f aca="false">IF(OR($G345="",$G345=0),"",IFERROR(ROUND($F345*$G345*(1-IF($H345="",0,$H345)),2),""))</f>
        <v/>
      </c>
      <c r="J345" s="7"/>
    </row>
    <row r="346" customFormat="false" ht="21.75" hidden="false" customHeight="true" outlineLevel="0" collapsed="false">
      <c r="B346" s="15" t="n">
        <v>336</v>
      </c>
      <c r="C346" s="9" t="s">
        <v>45</v>
      </c>
      <c r="D346" s="9" t="s">
        <v>70</v>
      </c>
      <c r="E346" s="9" t="s">
        <v>1039</v>
      </c>
      <c r="F346" s="19" t="n">
        <f aca="false">IF('Base de Datos SACI'!U340="","",'Base de Datos SACI'!U340)</f>
        <v>25</v>
      </c>
      <c r="G346" s="15"/>
      <c r="H346" s="30"/>
      <c r="I346" s="31" t="str">
        <f aca="false">IF(OR($G346="",$G346=0),"",IFERROR(ROUND($F346*$G346*(1-IF($H346="",0,$H346)),2),""))</f>
        <v/>
      </c>
      <c r="J346" s="9"/>
    </row>
    <row r="347" customFormat="false" ht="21.75" hidden="false" customHeight="true" outlineLevel="0" collapsed="false">
      <c r="B347" s="14" t="n">
        <v>337</v>
      </c>
      <c r="C347" s="7" t="s">
        <v>45</v>
      </c>
      <c r="D347" s="7" t="s">
        <v>70</v>
      </c>
      <c r="E347" s="7" t="s">
        <v>1040</v>
      </c>
      <c r="F347" s="18" t="n">
        <f aca="false">IF('Base de Datos SACI'!U341="","",'Base de Datos SACI'!U341)</f>
        <v>35</v>
      </c>
      <c r="G347" s="14"/>
      <c r="H347" s="28"/>
      <c r="I347" s="29" t="str">
        <f aca="false">IF(OR($G347="",$G347=0),"",IFERROR(ROUND($F347*$G347*(1-IF($H347="",0,$H347)),2),""))</f>
        <v/>
      </c>
      <c r="J347" s="7"/>
    </row>
    <row r="348" customFormat="false" ht="21.75" hidden="false" customHeight="true" outlineLevel="0" collapsed="false">
      <c r="B348" s="15" t="n">
        <v>338</v>
      </c>
      <c r="C348" s="9" t="s">
        <v>45</v>
      </c>
      <c r="D348" s="9" t="s">
        <v>70</v>
      </c>
      <c r="E348" s="9" t="s">
        <v>1042</v>
      </c>
      <c r="F348" s="19" t="n">
        <f aca="false">IF('Base de Datos SACI'!U342="","",'Base de Datos SACI'!U342)</f>
        <v>55</v>
      </c>
      <c r="G348" s="15"/>
      <c r="H348" s="30"/>
      <c r="I348" s="31" t="str">
        <f aca="false">IF(OR($G348="",$G348=0),"",IFERROR(ROUND($F348*$G348*(1-IF($H348="",0,$H348)),2),""))</f>
        <v/>
      </c>
      <c r="J348" s="9"/>
    </row>
    <row r="349" customFormat="false" ht="21.75" hidden="false" customHeight="true" outlineLevel="0" collapsed="false">
      <c r="B349" s="14" t="n">
        <v>339</v>
      </c>
      <c r="C349" s="7" t="s">
        <v>45</v>
      </c>
      <c r="D349" s="7" t="s">
        <v>70</v>
      </c>
      <c r="E349" s="7" t="s">
        <v>1043</v>
      </c>
      <c r="F349" s="18" t="n">
        <f aca="false">IF('Base de Datos SACI'!U343="","",'Base de Datos SACI'!U343)</f>
        <v>80</v>
      </c>
      <c r="G349" s="14"/>
      <c r="H349" s="28"/>
      <c r="I349" s="29" t="str">
        <f aca="false">IF(OR($G349="",$G349=0),"",IFERROR(ROUND($F349*$G349*(1-IF($H349="",0,$H349)),2),""))</f>
        <v/>
      </c>
      <c r="J349" s="7"/>
    </row>
    <row r="350" customFormat="false" ht="21.75" hidden="false" customHeight="true" outlineLevel="0" collapsed="false">
      <c r="B350" s="15" t="n">
        <v>340</v>
      </c>
      <c r="C350" s="9" t="s">
        <v>45</v>
      </c>
      <c r="D350" s="9" t="s">
        <v>71</v>
      </c>
      <c r="E350" s="9" t="s">
        <v>1044</v>
      </c>
      <c r="F350" s="19" t="n">
        <f aca="false">IF('Base de Datos SACI'!U344="","",'Base de Datos SACI'!U344)</f>
        <v>20</v>
      </c>
      <c r="G350" s="15"/>
      <c r="H350" s="30"/>
      <c r="I350" s="31" t="str">
        <f aca="false">IF(OR($G350="",$G350=0),"",IFERROR(ROUND($F350*$G350*(1-IF($H350="",0,$H350)),2),""))</f>
        <v/>
      </c>
      <c r="J350" s="9"/>
    </row>
    <row r="351" customFormat="false" ht="21.75" hidden="false" customHeight="true" outlineLevel="0" collapsed="false">
      <c r="B351" s="14" t="n">
        <v>341</v>
      </c>
      <c r="C351" s="7" t="s">
        <v>45</v>
      </c>
      <c r="D351" s="7" t="s">
        <v>71</v>
      </c>
      <c r="E351" s="7" t="s">
        <v>1050</v>
      </c>
      <c r="F351" s="18" t="n">
        <f aca="false">IF('Base de Datos SACI'!U345="","",'Base de Datos SACI'!U345)</f>
        <v>30</v>
      </c>
      <c r="G351" s="14"/>
      <c r="H351" s="28"/>
      <c r="I351" s="29" t="str">
        <f aca="false">IF(OR($G351="",$G351=0),"",IFERROR(ROUND($F351*$G351*(1-IF($H351="",0,$H351)),2),""))</f>
        <v/>
      </c>
      <c r="J351" s="7"/>
    </row>
    <row r="352" customFormat="false" ht="21.75" hidden="false" customHeight="true" outlineLevel="0" collapsed="false">
      <c r="B352" s="15" t="n">
        <v>342</v>
      </c>
      <c r="C352" s="9" t="s">
        <v>45</v>
      </c>
      <c r="D352" s="9" t="s">
        <v>71</v>
      </c>
      <c r="E352" s="9" t="s">
        <v>1051</v>
      </c>
      <c r="F352" s="19" t="n">
        <f aca="false">IF('Base de Datos SACI'!U346="","",'Base de Datos SACI'!U346)</f>
        <v>45</v>
      </c>
      <c r="G352" s="15"/>
      <c r="H352" s="30"/>
      <c r="I352" s="31" t="str">
        <f aca="false">IF(OR($G352="",$G352=0),"",IFERROR(ROUND($F352*$G352*(1-IF($H352="",0,$H352)),2),""))</f>
        <v/>
      </c>
      <c r="J352" s="9"/>
    </row>
    <row r="353" customFormat="false" ht="21.75" hidden="false" customHeight="true" outlineLevel="0" collapsed="false">
      <c r="B353" s="14" t="n">
        <v>343</v>
      </c>
      <c r="C353" s="7" t="s">
        <v>45</v>
      </c>
      <c r="D353" s="7" t="s">
        <v>71</v>
      </c>
      <c r="E353" s="7" t="s">
        <v>1053</v>
      </c>
      <c r="F353" s="18" t="n">
        <f aca="false">IF('Base de Datos SACI'!U347="","",'Base de Datos SACI'!U347)</f>
        <v>65</v>
      </c>
      <c r="G353" s="14"/>
      <c r="H353" s="28"/>
      <c r="I353" s="29" t="str">
        <f aca="false">IF(OR($G353="",$G353=0),"",IFERROR(ROUND($F353*$G353*(1-IF($H353="",0,$H353)),2),""))</f>
        <v/>
      </c>
      <c r="J353" s="7"/>
    </row>
    <row r="354" customFormat="false" ht="21.75" hidden="false" customHeight="true" outlineLevel="0" collapsed="false">
      <c r="B354" s="15" t="n">
        <v>344</v>
      </c>
      <c r="C354" s="9" t="s">
        <v>45</v>
      </c>
      <c r="D354" s="9" t="s">
        <v>71</v>
      </c>
      <c r="E354" s="9" t="s">
        <v>1054</v>
      </c>
      <c r="F354" s="19" t="n">
        <f aca="false">IF('Base de Datos SACI'!U348="","",'Base de Datos SACI'!U348)</f>
        <v>100</v>
      </c>
      <c r="G354" s="15"/>
      <c r="H354" s="30"/>
      <c r="I354" s="31" t="str">
        <f aca="false">IF(OR($G354="",$G354=0),"",IFERROR(ROUND($F354*$G354*(1-IF($H354="",0,$H354)),2),""))</f>
        <v/>
      </c>
      <c r="J354" s="9"/>
    </row>
    <row r="355" customFormat="false" ht="21.75" hidden="false" customHeight="true" outlineLevel="0" collapsed="false">
      <c r="B355" s="14" t="n">
        <v>345</v>
      </c>
      <c r="C355" s="7" t="s">
        <v>45</v>
      </c>
      <c r="D355" s="7" t="s">
        <v>72</v>
      </c>
      <c r="E355" s="7" t="s">
        <v>391</v>
      </c>
      <c r="F355" s="18" t="str">
        <f aca="false">IF('Base de Datos SACI'!U349="","",'Base de Datos SACI'!U349)</f>
        <v/>
      </c>
      <c r="G355" s="14"/>
      <c r="H355" s="28"/>
      <c r="I355" s="29" t="str">
        <f aca="false">IF(OR($G355="",$G355=0),"",IFERROR(ROUND($F355*$G355*(1-IF($H355="",0,$H355)),2),""))</f>
        <v/>
      </c>
      <c r="J355" s="7"/>
    </row>
    <row r="356" customFormat="false" ht="21.75" hidden="false" customHeight="true" outlineLevel="0" collapsed="false">
      <c r="B356" s="15" t="n">
        <v>346</v>
      </c>
      <c r="C356" s="9" t="s">
        <v>45</v>
      </c>
      <c r="D356" s="9" t="s">
        <v>73</v>
      </c>
      <c r="E356" s="9" t="s">
        <v>1056</v>
      </c>
      <c r="F356" s="19" t="n">
        <f aca="false">IF('Base de Datos SACI'!U350="","",'Base de Datos SACI'!U350)</f>
        <v>50</v>
      </c>
      <c r="G356" s="15"/>
      <c r="H356" s="30"/>
      <c r="I356" s="31" t="str">
        <f aca="false">IF(OR($G356="",$G356=0),"",IFERROR(ROUND($F356*$G356*(1-IF($H356="",0,$H356)),2),""))</f>
        <v/>
      </c>
      <c r="J356" s="9"/>
    </row>
    <row r="357" customFormat="false" ht="21.75" hidden="false" customHeight="true" outlineLevel="0" collapsed="false">
      <c r="B357" s="14" t="n">
        <v>347</v>
      </c>
      <c r="C357" s="7" t="s">
        <v>45</v>
      </c>
      <c r="D357" s="7" t="s">
        <v>73</v>
      </c>
      <c r="E357" s="7" t="s">
        <v>1063</v>
      </c>
      <c r="F357" s="18" t="n">
        <f aca="false">IF('Base de Datos SACI'!U351="","",'Base de Datos SACI'!U351)</f>
        <v>75</v>
      </c>
      <c r="G357" s="14"/>
      <c r="H357" s="28"/>
      <c r="I357" s="29" t="str">
        <f aca="false">IF(OR($G357="",$G357=0),"",IFERROR(ROUND($F357*$G357*(1-IF($H357="",0,$H357)),2),""))</f>
        <v/>
      </c>
      <c r="J357" s="7"/>
    </row>
    <row r="358" customFormat="false" ht="21.75" hidden="false" customHeight="true" outlineLevel="0" collapsed="false">
      <c r="B358" s="15" t="n">
        <v>348</v>
      </c>
      <c r="C358" s="9" t="s">
        <v>45</v>
      </c>
      <c r="D358" s="9" t="s">
        <v>73</v>
      </c>
      <c r="E358" s="9" t="s">
        <v>1064</v>
      </c>
      <c r="F358" s="19" t="n">
        <f aca="false">IF('Base de Datos SACI'!U352="","",'Base de Datos SACI'!U352)</f>
        <v>105</v>
      </c>
      <c r="G358" s="15"/>
      <c r="H358" s="30"/>
      <c r="I358" s="31" t="str">
        <f aca="false">IF(OR($G358="",$G358=0),"",IFERROR(ROUND($F358*$G358*(1-IF($H358="",0,$H358)),2),""))</f>
        <v/>
      </c>
      <c r="J358" s="9"/>
    </row>
    <row r="359" customFormat="false" ht="21.75" hidden="false" customHeight="true" outlineLevel="0" collapsed="false">
      <c r="B359" s="14" t="n">
        <v>349</v>
      </c>
      <c r="C359" s="7" t="s">
        <v>45</v>
      </c>
      <c r="D359" s="7" t="s">
        <v>73</v>
      </c>
      <c r="E359" s="7" t="s">
        <v>1066</v>
      </c>
      <c r="F359" s="18" t="n">
        <f aca="false">IF('Base de Datos SACI'!U353="","",'Base de Datos SACI'!U353)</f>
        <v>155</v>
      </c>
      <c r="G359" s="14"/>
      <c r="H359" s="28"/>
      <c r="I359" s="29" t="str">
        <f aca="false">IF(OR($G359="",$G359=0),"",IFERROR(ROUND($F359*$G359*(1-IF($H359="",0,$H359)),2),""))</f>
        <v/>
      </c>
      <c r="J359" s="7"/>
    </row>
    <row r="360" customFormat="false" ht="21.75" hidden="false" customHeight="true" outlineLevel="0" collapsed="false">
      <c r="B360" s="15" t="n">
        <v>350</v>
      </c>
      <c r="C360" s="9" t="s">
        <v>45</v>
      </c>
      <c r="D360" s="9" t="s">
        <v>73</v>
      </c>
      <c r="E360" s="9" t="s">
        <v>1067</v>
      </c>
      <c r="F360" s="19" t="n">
        <f aca="false">IF('Base de Datos SACI'!U354="","",'Base de Datos SACI'!U354)</f>
        <v>230</v>
      </c>
      <c r="G360" s="15"/>
      <c r="H360" s="30"/>
      <c r="I360" s="31" t="str">
        <f aca="false">IF(OR($G360="",$G360=0),"",IFERROR(ROUND($F360*$G360*(1-IF($H360="",0,$H360)),2),""))</f>
        <v/>
      </c>
      <c r="J360" s="9"/>
    </row>
    <row r="361" customFormat="false" ht="21.75" hidden="false" customHeight="true" outlineLevel="0" collapsed="false">
      <c r="B361" s="14" t="n">
        <v>351</v>
      </c>
      <c r="C361" s="7" t="s">
        <v>45</v>
      </c>
      <c r="D361" s="7" t="s">
        <v>74</v>
      </c>
      <c r="E361" s="7" t="s">
        <v>1068</v>
      </c>
      <c r="F361" s="18" t="n">
        <f aca="false">IF('Base de Datos SACI'!U355="","",'Base de Datos SACI'!U355)</f>
        <v>14</v>
      </c>
      <c r="G361" s="14"/>
      <c r="H361" s="28"/>
      <c r="I361" s="29" t="str">
        <f aca="false">IF(OR($G361="",$G361=0),"",IFERROR(ROUND($F361*$G361*(1-IF($H361="",0,$H361)),2),""))</f>
        <v/>
      </c>
      <c r="J361" s="7"/>
    </row>
    <row r="362" customFormat="false" ht="21.75" hidden="false" customHeight="true" outlineLevel="0" collapsed="false">
      <c r="B362" s="15" t="n">
        <v>352</v>
      </c>
      <c r="C362" s="9" t="s">
        <v>45</v>
      </c>
      <c r="D362" s="9" t="s">
        <v>74</v>
      </c>
      <c r="E362" s="9" t="s">
        <v>1075</v>
      </c>
      <c r="F362" s="19" t="n">
        <f aca="false">IF('Base de Datos SACI'!U356="","",'Base de Datos SACI'!U356)</f>
        <v>20</v>
      </c>
      <c r="G362" s="15"/>
      <c r="H362" s="30"/>
      <c r="I362" s="31" t="str">
        <f aca="false">IF(OR($G362="",$G362=0),"",IFERROR(ROUND($F362*$G362*(1-IF($H362="",0,$H362)),2),""))</f>
        <v/>
      </c>
      <c r="J362" s="9"/>
    </row>
    <row r="363" customFormat="false" ht="21.75" hidden="false" customHeight="true" outlineLevel="0" collapsed="false">
      <c r="B363" s="14" t="n">
        <v>353</v>
      </c>
      <c r="C363" s="7" t="s">
        <v>45</v>
      </c>
      <c r="D363" s="7" t="s">
        <v>74</v>
      </c>
      <c r="E363" s="7" t="s">
        <v>1076</v>
      </c>
      <c r="F363" s="18" t="n">
        <f aca="false">IF('Base de Datos SACI'!U357="","",'Base de Datos SACI'!U357)</f>
        <v>25</v>
      </c>
      <c r="G363" s="14"/>
      <c r="H363" s="28"/>
      <c r="I363" s="29" t="str">
        <f aca="false">IF(OR($G363="",$G363=0),"",IFERROR(ROUND($F363*$G363*(1-IF($H363="",0,$H363)),2),""))</f>
        <v/>
      </c>
      <c r="J363" s="7"/>
    </row>
    <row r="364" customFormat="false" ht="21.75" hidden="false" customHeight="true" outlineLevel="0" collapsed="false">
      <c r="B364" s="15" t="n">
        <v>354</v>
      </c>
      <c r="C364" s="9" t="s">
        <v>45</v>
      </c>
      <c r="D364" s="9" t="s">
        <v>74</v>
      </c>
      <c r="E364" s="9" t="s">
        <v>1078</v>
      </c>
      <c r="F364" s="19" t="n">
        <f aca="false">IF('Base de Datos SACI'!U358="","",'Base de Datos SACI'!U358)</f>
        <v>40</v>
      </c>
      <c r="G364" s="15"/>
      <c r="H364" s="30"/>
      <c r="I364" s="31" t="str">
        <f aca="false">IF(OR($G364="",$G364=0),"",IFERROR(ROUND($F364*$G364*(1-IF($H364="",0,$H364)),2),""))</f>
        <v/>
      </c>
      <c r="J364" s="9"/>
    </row>
    <row r="365" customFormat="false" ht="21.75" hidden="false" customHeight="true" outlineLevel="0" collapsed="false">
      <c r="B365" s="14" t="n">
        <v>355</v>
      </c>
      <c r="C365" s="7" t="s">
        <v>45</v>
      </c>
      <c r="D365" s="7" t="s">
        <v>74</v>
      </c>
      <c r="E365" s="7" t="s">
        <v>1079</v>
      </c>
      <c r="F365" s="18" t="n">
        <f aca="false">IF('Base de Datos SACI'!U359="","",'Base de Datos SACI'!U359)</f>
        <v>60</v>
      </c>
      <c r="G365" s="14"/>
      <c r="H365" s="28"/>
      <c r="I365" s="29" t="str">
        <f aca="false">IF(OR($G365="",$G365=0),"",IFERROR(ROUND($F365*$G365*(1-IF($H365="",0,$H365)),2),""))</f>
        <v/>
      </c>
      <c r="J365" s="7"/>
    </row>
    <row r="366" customFormat="false" ht="21.75" hidden="false" customHeight="true" outlineLevel="0" collapsed="false">
      <c r="B366" s="15" t="n">
        <v>356</v>
      </c>
      <c r="C366" s="9" t="s">
        <v>45</v>
      </c>
      <c r="D366" s="9" t="s">
        <v>75</v>
      </c>
      <c r="E366" s="9" t="s">
        <v>976</v>
      </c>
      <c r="F366" s="19" t="n">
        <f aca="false">IF('Base de Datos SACI'!U360="","",'Base de Datos SACI'!U360)</f>
        <v>16</v>
      </c>
      <c r="G366" s="15"/>
      <c r="H366" s="30"/>
      <c r="I366" s="31" t="str">
        <f aca="false">IF(OR($G366="",$G366=0),"",IFERROR(ROUND($F366*$G366*(1-IF($H366="",0,$H366)),2),""))</f>
        <v/>
      </c>
      <c r="J366" s="9"/>
    </row>
    <row r="367" customFormat="false" ht="21.75" hidden="false" customHeight="true" outlineLevel="0" collapsed="false">
      <c r="B367" s="14" t="n">
        <v>357</v>
      </c>
      <c r="C367" s="7" t="s">
        <v>45</v>
      </c>
      <c r="D367" s="7" t="s">
        <v>75</v>
      </c>
      <c r="E367" s="7" t="s">
        <v>1083</v>
      </c>
      <c r="F367" s="18" t="n">
        <f aca="false">IF('Base de Datos SACI'!U361="","",'Base de Datos SACI'!U361)</f>
        <v>20</v>
      </c>
      <c r="G367" s="14"/>
      <c r="H367" s="28"/>
      <c r="I367" s="29" t="str">
        <f aca="false">IF(OR($G367="",$G367=0),"",IFERROR(ROUND($F367*$G367*(1-IF($H367="",0,$H367)),2),""))</f>
        <v/>
      </c>
      <c r="J367" s="7"/>
    </row>
    <row r="368" customFormat="false" ht="21.75" hidden="false" customHeight="true" outlineLevel="0" collapsed="false">
      <c r="B368" s="15" t="n">
        <v>358</v>
      </c>
      <c r="C368" s="9" t="s">
        <v>45</v>
      </c>
      <c r="D368" s="9" t="s">
        <v>75</v>
      </c>
      <c r="E368" s="9" t="s">
        <v>1084</v>
      </c>
      <c r="F368" s="19" t="n">
        <f aca="false">IF('Base de Datos SACI'!U362="","",'Base de Datos SACI'!U362)</f>
        <v>30</v>
      </c>
      <c r="G368" s="15"/>
      <c r="H368" s="30"/>
      <c r="I368" s="31" t="str">
        <f aca="false">IF(OR($G368="",$G368=0),"",IFERROR(ROUND($F368*$G368*(1-IF($H368="",0,$H368)),2),""))</f>
        <v/>
      </c>
      <c r="J368" s="9"/>
    </row>
    <row r="369" customFormat="false" ht="21.75" hidden="false" customHeight="true" outlineLevel="0" collapsed="false">
      <c r="B369" s="14" t="n">
        <v>359</v>
      </c>
      <c r="C369" s="7" t="s">
        <v>45</v>
      </c>
      <c r="D369" s="7" t="s">
        <v>75</v>
      </c>
      <c r="E369" s="7" t="s">
        <v>1086</v>
      </c>
      <c r="F369" s="18" t="n">
        <f aca="false">IF('Base de Datos SACI'!U363="","",'Base de Datos SACI'!U363)</f>
        <v>45</v>
      </c>
      <c r="G369" s="14"/>
      <c r="H369" s="28"/>
      <c r="I369" s="29" t="str">
        <f aca="false">IF(OR($G369="",$G369=0),"",IFERROR(ROUND($F369*$G369*(1-IF($H369="",0,$H369)),2),""))</f>
        <v/>
      </c>
      <c r="J369" s="7"/>
    </row>
    <row r="370" customFormat="false" ht="21.75" hidden="false" customHeight="true" outlineLevel="0" collapsed="false">
      <c r="B370" s="15" t="n">
        <v>360</v>
      </c>
      <c r="C370" s="9" t="s">
        <v>45</v>
      </c>
      <c r="D370" s="9" t="s">
        <v>75</v>
      </c>
      <c r="E370" s="9" t="s">
        <v>1087</v>
      </c>
      <c r="F370" s="19" t="n">
        <f aca="false">IF('Base de Datos SACI'!U364="","",'Base de Datos SACI'!U364)</f>
        <v>70</v>
      </c>
      <c r="G370" s="15"/>
      <c r="H370" s="30"/>
      <c r="I370" s="31" t="str">
        <f aca="false">IF(OR($G370="",$G370=0),"",IFERROR(ROUND($F370*$G370*(1-IF($H370="",0,$H370)),2),""))</f>
        <v/>
      </c>
      <c r="J370" s="9"/>
    </row>
    <row r="371" customFormat="false" ht="21.75" hidden="false" customHeight="true" outlineLevel="0" collapsed="false">
      <c r="B371" s="14" t="n">
        <v>361</v>
      </c>
      <c r="C371" s="7" t="s">
        <v>46</v>
      </c>
      <c r="D371" s="7" t="s">
        <v>60</v>
      </c>
      <c r="E371" s="7" t="s">
        <v>391</v>
      </c>
      <c r="F371" s="18" t="str">
        <f aca="false">IF('Base de Datos SACI'!U365="","",'Base de Datos SACI'!U365)</f>
        <v/>
      </c>
      <c r="G371" s="14"/>
      <c r="H371" s="28"/>
      <c r="I371" s="29" t="str">
        <f aca="false">IF(OR($G371="",$G371=0),"",IFERROR(ROUND($F371*$G371*(1-IF($H371="",0,$H371)),2),""))</f>
        <v/>
      </c>
      <c r="J371" s="7"/>
    </row>
    <row r="372" customFormat="false" ht="21.75" hidden="false" customHeight="true" outlineLevel="0" collapsed="false">
      <c r="B372" s="15" t="n">
        <v>362</v>
      </c>
      <c r="C372" s="9" t="s">
        <v>46</v>
      </c>
      <c r="D372" s="9" t="s">
        <v>61</v>
      </c>
      <c r="E372" s="9" t="s">
        <v>391</v>
      </c>
      <c r="F372" s="19" t="str">
        <f aca="false">IF('Base de Datos SACI'!U366="","",'Base de Datos SACI'!U366)</f>
        <v/>
      </c>
      <c r="G372" s="15"/>
      <c r="H372" s="30"/>
      <c r="I372" s="31" t="str">
        <f aca="false">IF(OR($G372="",$G372=0),"",IFERROR(ROUND($F372*$G372*(1-IF($H372="",0,$H372)),2),""))</f>
        <v/>
      </c>
      <c r="J372" s="9"/>
    </row>
    <row r="373" customFormat="false" ht="21.75" hidden="false" customHeight="true" outlineLevel="0" collapsed="false">
      <c r="B373" s="14" t="n">
        <v>363</v>
      </c>
      <c r="C373" s="7" t="s">
        <v>46</v>
      </c>
      <c r="D373" s="7" t="s">
        <v>62</v>
      </c>
      <c r="E373" s="7" t="s">
        <v>1090</v>
      </c>
      <c r="F373" s="18" t="n">
        <f aca="false">IF('Base de Datos SACI'!U367="","",'Base de Datos SACI'!U367)</f>
        <v>145</v>
      </c>
      <c r="G373" s="14"/>
      <c r="H373" s="28"/>
      <c r="I373" s="29" t="str">
        <f aca="false">IF(OR($G373="",$G373=0),"",IFERROR(ROUND($F373*$G373*(1-IF($H373="",0,$H373)),2),""))</f>
        <v/>
      </c>
      <c r="J373" s="7"/>
    </row>
    <row r="374" customFormat="false" ht="21.75" hidden="false" customHeight="true" outlineLevel="0" collapsed="false">
      <c r="B374" s="15" t="n">
        <v>364</v>
      </c>
      <c r="C374" s="9" t="s">
        <v>46</v>
      </c>
      <c r="D374" s="9" t="s">
        <v>62</v>
      </c>
      <c r="E374" s="9" t="s">
        <v>1099</v>
      </c>
      <c r="F374" s="19" t="n">
        <f aca="false">IF('Base de Datos SACI'!U368="","",'Base de Datos SACI'!U368)</f>
        <v>220</v>
      </c>
      <c r="G374" s="15"/>
      <c r="H374" s="30"/>
      <c r="I374" s="31" t="str">
        <f aca="false">IF(OR($G374="",$G374=0),"",IFERROR(ROUND($F374*$G374*(1-IF($H374="",0,$H374)),2),""))</f>
        <v/>
      </c>
      <c r="J374" s="9"/>
    </row>
    <row r="375" customFormat="false" ht="21.75" hidden="false" customHeight="true" outlineLevel="0" collapsed="false">
      <c r="B375" s="14" t="n">
        <v>365</v>
      </c>
      <c r="C375" s="7" t="s">
        <v>46</v>
      </c>
      <c r="D375" s="7" t="s">
        <v>62</v>
      </c>
      <c r="E375" s="7" t="s">
        <v>1100</v>
      </c>
      <c r="F375" s="18" t="n">
        <f aca="false">IF('Base de Datos SACI'!U369="","",'Base de Datos SACI'!U369)</f>
        <v>295</v>
      </c>
      <c r="G375" s="14"/>
      <c r="H375" s="28"/>
      <c r="I375" s="29" t="str">
        <f aca="false">IF(OR($G375="",$G375=0),"",IFERROR(ROUND($F375*$G375*(1-IF($H375="",0,$H375)),2),""))</f>
        <v/>
      </c>
      <c r="J375" s="7"/>
    </row>
    <row r="376" customFormat="false" ht="21.75" hidden="false" customHeight="true" outlineLevel="0" collapsed="false">
      <c r="B376" s="15" t="n">
        <v>366</v>
      </c>
      <c r="C376" s="9" t="s">
        <v>46</v>
      </c>
      <c r="D376" s="9" t="s">
        <v>62</v>
      </c>
      <c r="E376" s="9" t="s">
        <v>1102</v>
      </c>
      <c r="F376" s="19" t="n">
        <f aca="false">IF('Base de Datos SACI'!U370="","",'Base de Datos SACI'!U370)</f>
        <v>440</v>
      </c>
      <c r="G376" s="15"/>
      <c r="H376" s="30"/>
      <c r="I376" s="31" t="str">
        <f aca="false">IF(OR($G376="",$G376=0),"",IFERROR(ROUND($F376*$G376*(1-IF($H376="",0,$H376)),2),""))</f>
        <v/>
      </c>
      <c r="J376" s="9"/>
    </row>
    <row r="377" customFormat="false" ht="21.75" hidden="false" customHeight="true" outlineLevel="0" collapsed="false">
      <c r="B377" s="14" t="n">
        <v>367</v>
      </c>
      <c r="C377" s="7" t="s">
        <v>46</v>
      </c>
      <c r="D377" s="7" t="s">
        <v>62</v>
      </c>
      <c r="E377" s="7" t="s">
        <v>1103</v>
      </c>
      <c r="F377" s="18" t="n">
        <f aca="false">IF('Base de Datos SACI'!U371="","",'Base de Datos SACI'!U371)</f>
        <v>645</v>
      </c>
      <c r="G377" s="14"/>
      <c r="H377" s="28"/>
      <c r="I377" s="29" t="str">
        <f aca="false">IF(OR($G377="",$G377=0),"",IFERROR(ROUND($F377*$G377*(1-IF($H377="",0,$H377)),2),""))</f>
        <v/>
      </c>
      <c r="J377" s="7"/>
    </row>
    <row r="378" customFormat="false" ht="21.75" hidden="false" customHeight="true" outlineLevel="0" collapsed="false">
      <c r="B378" s="15" t="n">
        <v>368</v>
      </c>
      <c r="C378" s="9" t="s">
        <v>46</v>
      </c>
      <c r="D378" s="9" t="s">
        <v>63</v>
      </c>
      <c r="E378" s="9" t="s">
        <v>1104</v>
      </c>
      <c r="F378" s="19" t="n">
        <f aca="false">IF('Base de Datos SACI'!U372="","",'Base de Datos SACI'!U372)</f>
        <v>45</v>
      </c>
      <c r="G378" s="15"/>
      <c r="H378" s="30"/>
      <c r="I378" s="31" t="str">
        <f aca="false">IF(OR($G378="",$G378=0),"",IFERROR(ROUND($F378*$G378*(1-IF($H378="",0,$H378)),2),""))</f>
        <v/>
      </c>
      <c r="J378" s="9"/>
    </row>
    <row r="379" customFormat="false" ht="21.75" hidden="false" customHeight="true" outlineLevel="0" collapsed="false">
      <c r="B379" s="14" t="n">
        <v>369</v>
      </c>
      <c r="C379" s="7" t="s">
        <v>46</v>
      </c>
      <c r="D379" s="7" t="s">
        <v>63</v>
      </c>
      <c r="E379" s="7" t="s">
        <v>1112</v>
      </c>
      <c r="F379" s="18" t="n">
        <f aca="false">IF('Base de Datos SACI'!U373="","",'Base de Datos SACI'!U373)</f>
        <v>70</v>
      </c>
      <c r="G379" s="14"/>
      <c r="H379" s="28"/>
      <c r="I379" s="29" t="str">
        <f aca="false">IF(OR($G379="",$G379=0),"",IFERROR(ROUND($F379*$G379*(1-IF($H379="",0,$H379)),2),""))</f>
        <v/>
      </c>
      <c r="J379" s="7"/>
    </row>
    <row r="380" customFormat="false" ht="21.75" hidden="false" customHeight="true" outlineLevel="0" collapsed="false">
      <c r="B380" s="15" t="n">
        <v>370</v>
      </c>
      <c r="C380" s="9" t="s">
        <v>46</v>
      </c>
      <c r="D380" s="9" t="s">
        <v>63</v>
      </c>
      <c r="E380" s="9" t="s">
        <v>1113</v>
      </c>
      <c r="F380" s="19" t="n">
        <f aca="false">IF('Base de Datos SACI'!U374="","",'Base de Datos SACI'!U374)</f>
        <v>95</v>
      </c>
      <c r="G380" s="15"/>
      <c r="H380" s="30"/>
      <c r="I380" s="31" t="str">
        <f aca="false">IF(OR($G380="",$G380=0),"",IFERROR(ROUND($F380*$G380*(1-IF($H380="",0,$H380)),2),""))</f>
        <v/>
      </c>
      <c r="J380" s="9"/>
    </row>
    <row r="381" customFormat="false" ht="21.75" hidden="false" customHeight="true" outlineLevel="0" collapsed="false">
      <c r="B381" s="14" t="n">
        <v>371</v>
      </c>
      <c r="C381" s="7" t="s">
        <v>46</v>
      </c>
      <c r="D381" s="7" t="s">
        <v>63</v>
      </c>
      <c r="E381" s="7" t="s">
        <v>1115</v>
      </c>
      <c r="F381" s="18" t="n">
        <f aca="false">IF('Base de Datos SACI'!U375="","",'Base de Datos SACI'!U375)</f>
        <v>145</v>
      </c>
      <c r="G381" s="14"/>
      <c r="H381" s="28"/>
      <c r="I381" s="29" t="str">
        <f aca="false">IF(OR($G381="",$G381=0),"",IFERROR(ROUND($F381*$G381*(1-IF($H381="",0,$H381)),2),""))</f>
        <v/>
      </c>
      <c r="J381" s="7"/>
    </row>
    <row r="382" customFormat="false" ht="21.75" hidden="false" customHeight="true" outlineLevel="0" collapsed="false">
      <c r="B382" s="15" t="n">
        <v>372</v>
      </c>
      <c r="C382" s="9" t="s">
        <v>46</v>
      </c>
      <c r="D382" s="9" t="s">
        <v>63</v>
      </c>
      <c r="E382" s="9" t="s">
        <v>1116</v>
      </c>
      <c r="F382" s="19" t="n">
        <f aca="false">IF('Base de Datos SACI'!U376="","",'Base de Datos SACI'!U376)</f>
        <v>215</v>
      </c>
      <c r="G382" s="15"/>
      <c r="H382" s="30"/>
      <c r="I382" s="31" t="str">
        <f aca="false">IF(OR($G382="",$G382=0),"",IFERROR(ROUND($F382*$G382*(1-IF($H382="",0,$H382)),2),""))</f>
        <v/>
      </c>
      <c r="J382" s="9"/>
    </row>
    <row r="383" customFormat="false" ht="21.75" hidden="false" customHeight="true" outlineLevel="0" collapsed="false">
      <c r="B383" s="14" t="n">
        <v>373</v>
      </c>
      <c r="C383" s="7" t="s">
        <v>46</v>
      </c>
      <c r="D383" s="7" t="s">
        <v>64</v>
      </c>
      <c r="E383" s="7" t="s">
        <v>1117</v>
      </c>
      <c r="F383" s="18" t="n">
        <f aca="false">IF('Base de Datos SACI'!U377="","",'Base de Datos SACI'!U377)</f>
        <v>19</v>
      </c>
      <c r="G383" s="14"/>
      <c r="H383" s="28"/>
      <c r="I383" s="29" t="str">
        <f aca="false">IF(OR($G383="",$G383=0),"",IFERROR(ROUND($F383*$G383*(1-IF($H383="",0,$H383)),2),""))</f>
        <v/>
      </c>
      <c r="J383" s="7"/>
    </row>
    <row r="384" customFormat="false" ht="21.75" hidden="false" customHeight="true" outlineLevel="0" collapsed="false">
      <c r="B384" s="15" t="n">
        <v>374</v>
      </c>
      <c r="C384" s="9" t="s">
        <v>46</v>
      </c>
      <c r="D384" s="9" t="s">
        <v>64</v>
      </c>
      <c r="E384" s="9" t="s">
        <v>1122</v>
      </c>
      <c r="F384" s="19" t="n">
        <f aca="false">IF('Base de Datos SACI'!U378="","",'Base de Datos SACI'!U378)</f>
        <v>25</v>
      </c>
      <c r="G384" s="15"/>
      <c r="H384" s="30"/>
      <c r="I384" s="31" t="str">
        <f aca="false">IF(OR($G384="",$G384=0),"",IFERROR(ROUND($F384*$G384*(1-IF($H384="",0,$H384)),2),""))</f>
        <v/>
      </c>
      <c r="J384" s="9"/>
    </row>
    <row r="385" customFormat="false" ht="21.75" hidden="false" customHeight="true" outlineLevel="0" collapsed="false">
      <c r="B385" s="14" t="n">
        <v>375</v>
      </c>
      <c r="C385" s="7" t="s">
        <v>46</v>
      </c>
      <c r="D385" s="7" t="s">
        <v>64</v>
      </c>
      <c r="E385" s="7" t="s">
        <v>1123</v>
      </c>
      <c r="F385" s="18" t="n">
        <f aca="false">IF('Base de Datos SACI'!U379="","",'Base de Datos SACI'!U379)</f>
        <v>35</v>
      </c>
      <c r="G385" s="14"/>
      <c r="H385" s="28"/>
      <c r="I385" s="29" t="str">
        <f aca="false">IF(OR($G385="",$G385=0),"",IFERROR(ROUND($F385*$G385*(1-IF($H385="",0,$H385)),2),""))</f>
        <v/>
      </c>
      <c r="J385" s="7"/>
    </row>
    <row r="386" customFormat="false" ht="21.75" hidden="false" customHeight="true" outlineLevel="0" collapsed="false">
      <c r="B386" s="15" t="n">
        <v>376</v>
      </c>
      <c r="C386" s="9" t="s">
        <v>46</v>
      </c>
      <c r="D386" s="9" t="s">
        <v>64</v>
      </c>
      <c r="E386" s="9" t="s">
        <v>1125</v>
      </c>
      <c r="F386" s="19" t="n">
        <f aca="false">IF('Base de Datos SACI'!U380="","",'Base de Datos SACI'!U380)</f>
        <v>55</v>
      </c>
      <c r="G386" s="15"/>
      <c r="H386" s="30"/>
      <c r="I386" s="31" t="str">
        <f aca="false">IF(OR($G386="",$G386=0),"",IFERROR(ROUND($F386*$G386*(1-IF($H386="",0,$H386)),2),""))</f>
        <v/>
      </c>
      <c r="J386" s="9"/>
    </row>
    <row r="387" customFormat="false" ht="21.75" hidden="false" customHeight="true" outlineLevel="0" collapsed="false">
      <c r="B387" s="14" t="n">
        <v>377</v>
      </c>
      <c r="C387" s="7" t="s">
        <v>46</v>
      </c>
      <c r="D387" s="7" t="s">
        <v>64</v>
      </c>
      <c r="E387" s="7" t="s">
        <v>1126</v>
      </c>
      <c r="F387" s="18" t="n">
        <f aca="false">IF('Base de Datos SACI'!U381="","",'Base de Datos SACI'!U381)</f>
        <v>80</v>
      </c>
      <c r="G387" s="14"/>
      <c r="H387" s="28"/>
      <c r="I387" s="29" t="str">
        <f aca="false">IF(OR($G387="",$G387=0),"",IFERROR(ROUND($F387*$G387*(1-IF($H387="",0,$H387)),2),""))</f>
        <v/>
      </c>
      <c r="J387" s="7"/>
    </row>
    <row r="388" customFormat="false" ht="21.75" hidden="false" customHeight="true" outlineLevel="0" collapsed="false">
      <c r="B388" s="15" t="n">
        <v>378</v>
      </c>
      <c r="C388" s="9" t="s">
        <v>46</v>
      </c>
      <c r="D388" s="9" t="s">
        <v>65</v>
      </c>
      <c r="E388" s="9" t="s">
        <v>1127</v>
      </c>
      <c r="F388" s="19" t="n">
        <f aca="false">IF('Base de Datos SACI'!U382="","",'Base de Datos SACI'!U382)</f>
        <v>25</v>
      </c>
      <c r="G388" s="15"/>
      <c r="H388" s="30"/>
      <c r="I388" s="31" t="str">
        <f aca="false">IF(OR($G388="",$G388=0),"",IFERROR(ROUND($F388*$G388*(1-IF($H388="",0,$H388)),2),""))</f>
        <v/>
      </c>
      <c r="J388" s="9"/>
    </row>
    <row r="389" customFormat="false" ht="21.75" hidden="false" customHeight="true" outlineLevel="0" collapsed="false">
      <c r="B389" s="14" t="n">
        <v>379</v>
      </c>
      <c r="C389" s="7" t="s">
        <v>46</v>
      </c>
      <c r="D389" s="7" t="s">
        <v>65</v>
      </c>
      <c r="E389" s="7" t="s">
        <v>1133</v>
      </c>
      <c r="F389" s="18" t="n">
        <f aca="false">IF('Base de Datos SACI'!U383="","",'Base de Datos SACI'!U383)</f>
        <v>35</v>
      </c>
      <c r="G389" s="14"/>
      <c r="H389" s="28"/>
      <c r="I389" s="29" t="str">
        <f aca="false">IF(OR($G389="",$G389=0),"",IFERROR(ROUND($F389*$G389*(1-IF($H389="",0,$H389)),2),""))</f>
        <v/>
      </c>
      <c r="J389" s="7"/>
    </row>
    <row r="390" customFormat="false" ht="21.75" hidden="false" customHeight="true" outlineLevel="0" collapsed="false">
      <c r="B390" s="15" t="n">
        <v>380</v>
      </c>
      <c r="C390" s="9" t="s">
        <v>46</v>
      </c>
      <c r="D390" s="9" t="s">
        <v>65</v>
      </c>
      <c r="E390" s="9" t="s">
        <v>1134</v>
      </c>
      <c r="F390" s="19" t="n">
        <f aca="false">IF('Base de Datos SACI'!U384="","",'Base de Datos SACI'!U384)</f>
        <v>50</v>
      </c>
      <c r="G390" s="15"/>
      <c r="H390" s="30"/>
      <c r="I390" s="31" t="str">
        <f aca="false">IF(OR($G390="",$G390=0),"",IFERROR(ROUND($F390*$G390*(1-IF($H390="",0,$H390)),2),""))</f>
        <v/>
      </c>
      <c r="J390" s="9"/>
    </row>
    <row r="391" customFormat="false" ht="21.75" hidden="false" customHeight="true" outlineLevel="0" collapsed="false">
      <c r="B391" s="14" t="n">
        <v>381</v>
      </c>
      <c r="C391" s="7" t="s">
        <v>46</v>
      </c>
      <c r="D391" s="7" t="s">
        <v>65</v>
      </c>
      <c r="E391" s="7" t="s">
        <v>1136</v>
      </c>
      <c r="F391" s="18" t="n">
        <f aca="false">IF('Base de Datos SACI'!U385="","",'Base de Datos SACI'!U385)</f>
        <v>75</v>
      </c>
      <c r="G391" s="14"/>
      <c r="H391" s="28"/>
      <c r="I391" s="29" t="str">
        <f aca="false">IF(OR($G391="",$G391=0),"",IFERROR(ROUND($F391*$G391*(1-IF($H391="",0,$H391)),2),""))</f>
        <v/>
      </c>
      <c r="J391" s="7"/>
    </row>
    <row r="392" customFormat="false" ht="21.75" hidden="false" customHeight="true" outlineLevel="0" collapsed="false">
      <c r="B392" s="15" t="n">
        <v>382</v>
      </c>
      <c r="C392" s="9" t="s">
        <v>46</v>
      </c>
      <c r="D392" s="9" t="s">
        <v>65</v>
      </c>
      <c r="E392" s="9" t="s">
        <v>1137</v>
      </c>
      <c r="F392" s="19" t="n">
        <f aca="false">IF('Base de Datos SACI'!U386="","",'Base de Datos SACI'!U386)</f>
        <v>110</v>
      </c>
      <c r="G392" s="15"/>
      <c r="H392" s="30"/>
      <c r="I392" s="31" t="str">
        <f aca="false">IF(OR($G392="",$G392=0),"",IFERROR(ROUND($F392*$G392*(1-IF($H392="",0,$H392)),2),""))</f>
        <v/>
      </c>
      <c r="J392" s="9"/>
    </row>
    <row r="393" customFormat="false" ht="21.75" hidden="false" customHeight="true" outlineLevel="0" collapsed="false">
      <c r="B393" s="14" t="n">
        <v>383</v>
      </c>
      <c r="C393" s="7" t="s">
        <v>46</v>
      </c>
      <c r="D393" s="7" t="s">
        <v>66</v>
      </c>
      <c r="E393" s="7" t="s">
        <v>1138</v>
      </c>
      <c r="F393" s="18" t="n">
        <f aca="false">IF('Base de Datos SACI'!U387="","",'Base de Datos SACI'!U387)</f>
        <v>35</v>
      </c>
      <c r="G393" s="14"/>
      <c r="H393" s="28"/>
      <c r="I393" s="29" t="str">
        <f aca="false">IF(OR($G393="",$G393=0),"",IFERROR(ROUND($F393*$G393*(1-IF($H393="",0,$H393)),2),""))</f>
        <v/>
      </c>
      <c r="J393" s="7"/>
    </row>
    <row r="394" customFormat="false" ht="21.75" hidden="false" customHeight="true" outlineLevel="0" collapsed="false">
      <c r="B394" s="15" t="n">
        <v>384</v>
      </c>
      <c r="C394" s="9" t="s">
        <v>46</v>
      </c>
      <c r="D394" s="9" t="s">
        <v>66</v>
      </c>
      <c r="E394" s="9" t="s">
        <v>1143</v>
      </c>
      <c r="F394" s="19" t="n">
        <f aca="false">IF('Base de Datos SACI'!U388="","",'Base de Datos SACI'!U388)</f>
        <v>55</v>
      </c>
      <c r="G394" s="15"/>
      <c r="H394" s="30"/>
      <c r="I394" s="31" t="str">
        <f aca="false">IF(OR($G394="",$G394=0),"",IFERROR(ROUND($F394*$G394*(1-IF($H394="",0,$H394)),2),""))</f>
        <v/>
      </c>
      <c r="J394" s="9"/>
    </row>
    <row r="395" customFormat="false" ht="21.75" hidden="false" customHeight="true" outlineLevel="0" collapsed="false">
      <c r="B395" s="14" t="n">
        <v>385</v>
      </c>
      <c r="C395" s="7" t="s">
        <v>46</v>
      </c>
      <c r="D395" s="7" t="s">
        <v>66</v>
      </c>
      <c r="E395" s="7" t="s">
        <v>1144</v>
      </c>
      <c r="F395" s="18" t="n">
        <f aca="false">IF('Base de Datos SACI'!U389="","",'Base de Datos SACI'!U389)</f>
        <v>75</v>
      </c>
      <c r="G395" s="14"/>
      <c r="H395" s="28"/>
      <c r="I395" s="29" t="str">
        <f aca="false">IF(OR($G395="",$G395=0),"",IFERROR(ROUND($F395*$G395*(1-IF($H395="",0,$H395)),2),""))</f>
        <v/>
      </c>
      <c r="J395" s="7"/>
    </row>
    <row r="396" customFormat="false" ht="21.75" hidden="false" customHeight="true" outlineLevel="0" collapsed="false">
      <c r="B396" s="15" t="n">
        <v>386</v>
      </c>
      <c r="C396" s="9" t="s">
        <v>46</v>
      </c>
      <c r="D396" s="9" t="s">
        <v>66</v>
      </c>
      <c r="E396" s="9" t="s">
        <v>1146</v>
      </c>
      <c r="F396" s="19" t="n">
        <f aca="false">IF('Base de Datos SACI'!U390="","",'Base de Datos SACI'!U390)</f>
        <v>115</v>
      </c>
      <c r="G396" s="15"/>
      <c r="H396" s="30"/>
      <c r="I396" s="31" t="str">
        <f aca="false">IF(OR($G396="",$G396=0),"",IFERROR(ROUND($F396*$G396*(1-IF($H396="",0,$H396)),2),""))</f>
        <v/>
      </c>
      <c r="J396" s="9"/>
    </row>
    <row r="397" customFormat="false" ht="21.75" hidden="false" customHeight="true" outlineLevel="0" collapsed="false">
      <c r="B397" s="14" t="n">
        <v>387</v>
      </c>
      <c r="C397" s="7" t="s">
        <v>46</v>
      </c>
      <c r="D397" s="7" t="s">
        <v>66</v>
      </c>
      <c r="E397" s="7" t="s">
        <v>1147</v>
      </c>
      <c r="F397" s="18" t="n">
        <f aca="false">IF('Base de Datos SACI'!U391="","",'Base de Datos SACI'!U391)</f>
        <v>170</v>
      </c>
      <c r="G397" s="14"/>
      <c r="H397" s="28"/>
      <c r="I397" s="29" t="str">
        <f aca="false">IF(OR($G397="",$G397=0),"",IFERROR(ROUND($F397*$G397*(1-IF($H397="",0,$H397)),2),""))</f>
        <v/>
      </c>
      <c r="J397" s="7"/>
    </row>
    <row r="398" customFormat="false" ht="21.75" hidden="false" customHeight="true" outlineLevel="0" collapsed="false">
      <c r="B398" s="15" t="n">
        <v>388</v>
      </c>
      <c r="C398" s="9" t="s">
        <v>46</v>
      </c>
      <c r="D398" s="9" t="s">
        <v>67</v>
      </c>
      <c r="E398" s="9" t="s">
        <v>1148</v>
      </c>
      <c r="F398" s="19" t="n">
        <f aca="false">IF('Base de Datos SACI'!U392="","",'Base de Datos SACI'!U392)</f>
        <v>8</v>
      </c>
      <c r="G398" s="15"/>
      <c r="H398" s="30"/>
      <c r="I398" s="31" t="str">
        <f aca="false">IF(OR($G398="",$G398=0),"",IFERROR(ROUND($F398*$G398*(1-IF($H398="",0,$H398)),2),""))</f>
        <v/>
      </c>
      <c r="J398" s="9"/>
    </row>
    <row r="399" customFormat="false" ht="21.75" hidden="false" customHeight="true" outlineLevel="0" collapsed="false">
      <c r="B399" s="14" t="n">
        <v>389</v>
      </c>
      <c r="C399" s="7" t="s">
        <v>46</v>
      </c>
      <c r="D399" s="7" t="s">
        <v>67</v>
      </c>
      <c r="E399" s="7" t="s">
        <v>1153</v>
      </c>
      <c r="F399" s="18" t="n">
        <f aca="false">IF('Base de Datos SACI'!U393="","",'Base de Datos SACI'!U393)</f>
        <v>10</v>
      </c>
      <c r="G399" s="14"/>
      <c r="H399" s="28"/>
      <c r="I399" s="29" t="str">
        <f aca="false">IF(OR($G399="",$G399=0),"",IFERROR(ROUND($F399*$G399*(1-IF($H399="",0,$H399)),2),""))</f>
        <v/>
      </c>
      <c r="J399" s="7"/>
    </row>
    <row r="400" customFormat="false" ht="21.75" hidden="false" customHeight="true" outlineLevel="0" collapsed="false">
      <c r="B400" s="15" t="n">
        <v>390</v>
      </c>
      <c r="C400" s="9" t="s">
        <v>46</v>
      </c>
      <c r="D400" s="9" t="s">
        <v>67</v>
      </c>
      <c r="E400" s="9" t="s">
        <v>1154</v>
      </c>
      <c r="F400" s="19" t="n">
        <f aca="false">IF('Base de Datos SACI'!U394="","",'Base de Datos SACI'!U394)</f>
        <v>14</v>
      </c>
      <c r="G400" s="15"/>
      <c r="H400" s="30"/>
      <c r="I400" s="31" t="str">
        <f aca="false">IF(OR($G400="",$G400=0),"",IFERROR(ROUND($F400*$G400*(1-IF($H400="",0,$H400)),2),""))</f>
        <v/>
      </c>
      <c r="J400" s="9"/>
    </row>
    <row r="401" customFormat="false" ht="21.75" hidden="false" customHeight="true" outlineLevel="0" collapsed="false">
      <c r="B401" s="14" t="n">
        <v>391</v>
      </c>
      <c r="C401" s="7" t="s">
        <v>46</v>
      </c>
      <c r="D401" s="7" t="s">
        <v>67</v>
      </c>
      <c r="E401" s="7" t="s">
        <v>1156</v>
      </c>
      <c r="F401" s="18" t="n">
        <f aca="false">IF('Base de Datos SACI'!U395="","",'Base de Datos SACI'!U395)</f>
        <v>20</v>
      </c>
      <c r="G401" s="14"/>
      <c r="H401" s="28"/>
      <c r="I401" s="29" t="str">
        <f aca="false">IF(OR($G401="",$G401=0),"",IFERROR(ROUND($F401*$G401*(1-IF($H401="",0,$H401)),2),""))</f>
        <v/>
      </c>
      <c r="J401" s="7"/>
    </row>
    <row r="402" customFormat="false" ht="21.75" hidden="false" customHeight="true" outlineLevel="0" collapsed="false">
      <c r="B402" s="15" t="n">
        <v>392</v>
      </c>
      <c r="C402" s="9" t="s">
        <v>46</v>
      </c>
      <c r="D402" s="9" t="s">
        <v>67</v>
      </c>
      <c r="E402" s="9" t="s">
        <v>1157</v>
      </c>
      <c r="F402" s="19" t="n">
        <f aca="false">IF('Base de Datos SACI'!U396="","",'Base de Datos SACI'!U396)</f>
        <v>30</v>
      </c>
      <c r="G402" s="15"/>
      <c r="H402" s="30"/>
      <c r="I402" s="31" t="str">
        <f aca="false">IF(OR($G402="",$G402=0),"",IFERROR(ROUND($F402*$G402*(1-IF($H402="",0,$H402)),2),""))</f>
        <v/>
      </c>
      <c r="J402" s="9"/>
    </row>
    <row r="403" customFormat="false" ht="21.75" hidden="false" customHeight="true" outlineLevel="0" collapsed="false">
      <c r="B403" s="14" t="n">
        <v>393</v>
      </c>
      <c r="C403" s="7" t="s">
        <v>46</v>
      </c>
      <c r="D403" s="7" t="s">
        <v>68</v>
      </c>
      <c r="E403" s="7" t="s">
        <v>1158</v>
      </c>
      <c r="F403" s="18" t="n">
        <f aca="false">IF('Base de Datos SACI'!U397="","",'Base de Datos SACI'!U397)</f>
        <v>18</v>
      </c>
      <c r="G403" s="14"/>
      <c r="H403" s="28"/>
      <c r="I403" s="29" t="str">
        <f aca="false">IF(OR($G403="",$G403=0),"",IFERROR(ROUND($F403*$G403*(1-IF($H403="",0,$H403)),2),""))</f>
        <v/>
      </c>
      <c r="J403" s="7"/>
    </row>
    <row r="404" customFormat="false" ht="21.75" hidden="false" customHeight="true" outlineLevel="0" collapsed="false">
      <c r="B404" s="15" t="n">
        <v>394</v>
      </c>
      <c r="C404" s="9" t="s">
        <v>46</v>
      </c>
      <c r="D404" s="9" t="s">
        <v>68</v>
      </c>
      <c r="E404" s="9" t="s">
        <v>1162</v>
      </c>
      <c r="F404" s="19" t="n">
        <f aca="false">IF('Base de Datos SACI'!U398="","",'Base de Datos SACI'!U398)</f>
        <v>25</v>
      </c>
      <c r="G404" s="15"/>
      <c r="H404" s="30"/>
      <c r="I404" s="31" t="str">
        <f aca="false">IF(OR($G404="",$G404=0),"",IFERROR(ROUND($F404*$G404*(1-IF($H404="",0,$H404)),2),""))</f>
        <v/>
      </c>
      <c r="J404" s="9"/>
    </row>
    <row r="405" customFormat="false" ht="21.75" hidden="false" customHeight="true" outlineLevel="0" collapsed="false">
      <c r="B405" s="14" t="n">
        <v>395</v>
      </c>
      <c r="C405" s="7" t="s">
        <v>46</v>
      </c>
      <c r="D405" s="7" t="s">
        <v>68</v>
      </c>
      <c r="E405" s="7" t="s">
        <v>1163</v>
      </c>
      <c r="F405" s="18" t="n">
        <f aca="false">IF('Base de Datos SACI'!U399="","",'Base de Datos SACI'!U399)</f>
        <v>35</v>
      </c>
      <c r="G405" s="14"/>
      <c r="H405" s="28"/>
      <c r="I405" s="29" t="str">
        <f aca="false">IF(OR($G405="",$G405=0),"",IFERROR(ROUND($F405*$G405*(1-IF($H405="",0,$H405)),2),""))</f>
        <v/>
      </c>
      <c r="J405" s="7"/>
    </row>
    <row r="406" customFormat="false" ht="21.75" hidden="false" customHeight="true" outlineLevel="0" collapsed="false">
      <c r="B406" s="15" t="n">
        <v>396</v>
      </c>
      <c r="C406" s="9" t="s">
        <v>46</v>
      </c>
      <c r="D406" s="9" t="s">
        <v>68</v>
      </c>
      <c r="E406" s="9" t="s">
        <v>1165</v>
      </c>
      <c r="F406" s="19" t="n">
        <f aca="false">IF('Base de Datos SACI'!U400="","",'Base de Datos SACI'!U400)</f>
        <v>50</v>
      </c>
      <c r="G406" s="15"/>
      <c r="H406" s="30"/>
      <c r="I406" s="31" t="str">
        <f aca="false">IF(OR($G406="",$G406=0),"",IFERROR(ROUND($F406*$G406*(1-IF($H406="",0,$H406)),2),""))</f>
        <v/>
      </c>
      <c r="J406" s="9"/>
    </row>
    <row r="407" customFormat="false" ht="21.75" hidden="false" customHeight="true" outlineLevel="0" collapsed="false">
      <c r="B407" s="14" t="n">
        <v>397</v>
      </c>
      <c r="C407" s="7" t="s">
        <v>46</v>
      </c>
      <c r="D407" s="7" t="s">
        <v>68</v>
      </c>
      <c r="E407" s="7" t="s">
        <v>1166</v>
      </c>
      <c r="F407" s="18" t="n">
        <f aca="false">IF('Base de Datos SACI'!U401="","",'Base de Datos SACI'!U401)</f>
        <v>75</v>
      </c>
      <c r="G407" s="14"/>
      <c r="H407" s="28"/>
      <c r="I407" s="29" t="str">
        <f aca="false">IF(OR($G407="",$G407=0),"",IFERROR(ROUND($F407*$G407*(1-IF($H407="",0,$H407)),2),""))</f>
        <v/>
      </c>
      <c r="J407" s="7"/>
    </row>
    <row r="408" customFormat="false" ht="21.75" hidden="false" customHeight="true" outlineLevel="0" collapsed="false">
      <c r="B408" s="15" t="n">
        <v>398</v>
      </c>
      <c r="C408" s="9" t="s">
        <v>46</v>
      </c>
      <c r="D408" s="9" t="s">
        <v>69</v>
      </c>
      <c r="E408" s="9" t="s">
        <v>1167</v>
      </c>
      <c r="F408" s="19" t="n">
        <f aca="false">IF('Base de Datos SACI'!U402="","",'Base de Datos SACI'!U402)</f>
        <v>35</v>
      </c>
      <c r="G408" s="15"/>
      <c r="H408" s="30"/>
      <c r="I408" s="31" t="str">
        <f aca="false">IF(OR($G408="",$G408=0),"",IFERROR(ROUND($F408*$G408*(1-IF($H408="",0,$H408)),2),""))</f>
        <v/>
      </c>
      <c r="J408" s="9"/>
    </row>
    <row r="409" customFormat="false" ht="21.75" hidden="false" customHeight="true" outlineLevel="0" collapsed="false">
      <c r="B409" s="14" t="n">
        <v>399</v>
      </c>
      <c r="C409" s="7" t="s">
        <v>46</v>
      </c>
      <c r="D409" s="7" t="s">
        <v>69</v>
      </c>
      <c r="E409" s="7" t="s">
        <v>1171</v>
      </c>
      <c r="F409" s="18" t="n">
        <f aca="false">IF('Base de Datos SACI'!U403="","",'Base de Datos SACI'!U403)</f>
        <v>55</v>
      </c>
      <c r="G409" s="14"/>
      <c r="H409" s="28"/>
      <c r="I409" s="29" t="str">
        <f aca="false">IF(OR($G409="",$G409=0),"",IFERROR(ROUND($F409*$G409*(1-IF($H409="",0,$H409)),2),""))</f>
        <v/>
      </c>
      <c r="J409" s="7"/>
    </row>
    <row r="410" customFormat="false" ht="21.75" hidden="false" customHeight="true" outlineLevel="0" collapsed="false">
      <c r="B410" s="15" t="n">
        <v>400</v>
      </c>
      <c r="C410" s="9" t="s">
        <v>46</v>
      </c>
      <c r="D410" s="9" t="s">
        <v>69</v>
      </c>
      <c r="E410" s="9" t="s">
        <v>1172</v>
      </c>
      <c r="F410" s="19" t="n">
        <f aca="false">IF('Base de Datos SACI'!U404="","",'Base de Datos SACI'!U404)</f>
        <v>75</v>
      </c>
      <c r="G410" s="15"/>
      <c r="H410" s="30"/>
      <c r="I410" s="31" t="str">
        <f aca="false">IF(OR($G410="",$G410=0),"",IFERROR(ROUND($F410*$G410*(1-IF($H410="",0,$H410)),2),""))</f>
        <v/>
      </c>
      <c r="J410" s="9"/>
    </row>
    <row r="411" customFormat="false" ht="21.75" hidden="false" customHeight="true" outlineLevel="0" collapsed="false">
      <c r="B411" s="14" t="n">
        <v>401</v>
      </c>
      <c r="C411" s="7" t="s">
        <v>46</v>
      </c>
      <c r="D411" s="7" t="s">
        <v>69</v>
      </c>
      <c r="E411" s="7" t="s">
        <v>1174</v>
      </c>
      <c r="F411" s="18" t="n">
        <f aca="false">IF('Base de Datos SACI'!U405="","",'Base de Datos SACI'!U405)</f>
        <v>115</v>
      </c>
      <c r="G411" s="14"/>
      <c r="H411" s="28"/>
      <c r="I411" s="29" t="str">
        <f aca="false">IF(OR($G411="",$G411=0),"",IFERROR(ROUND($F411*$G411*(1-IF($H411="",0,$H411)),2),""))</f>
        <v/>
      </c>
      <c r="J411" s="7"/>
    </row>
    <row r="412" customFormat="false" ht="21.75" hidden="false" customHeight="true" outlineLevel="0" collapsed="false">
      <c r="B412" s="15" t="n">
        <v>402</v>
      </c>
      <c r="C412" s="9" t="s">
        <v>46</v>
      </c>
      <c r="D412" s="9" t="s">
        <v>69</v>
      </c>
      <c r="E412" s="9" t="s">
        <v>1175</v>
      </c>
      <c r="F412" s="19" t="n">
        <f aca="false">IF('Base de Datos SACI'!U406="","",'Base de Datos SACI'!U406)</f>
        <v>170</v>
      </c>
      <c r="G412" s="15"/>
      <c r="H412" s="30"/>
      <c r="I412" s="31" t="str">
        <f aca="false">IF(OR($G412="",$G412=0),"",IFERROR(ROUND($F412*$G412*(1-IF($H412="",0,$H412)),2),""))</f>
        <v/>
      </c>
      <c r="J412" s="9"/>
    </row>
    <row r="413" customFormat="false" ht="21.75" hidden="false" customHeight="true" outlineLevel="0" collapsed="false">
      <c r="B413" s="14" t="n">
        <v>403</v>
      </c>
      <c r="C413" s="7" t="s">
        <v>46</v>
      </c>
      <c r="D413" s="7" t="s">
        <v>70</v>
      </c>
      <c r="E413" s="7" t="s">
        <v>1176</v>
      </c>
      <c r="F413" s="18" t="n">
        <f aca="false">IF('Base de Datos SACI'!U407="","",'Base de Datos SACI'!U407)</f>
        <v>19</v>
      </c>
      <c r="G413" s="14"/>
      <c r="H413" s="28"/>
      <c r="I413" s="29" t="str">
        <f aca="false">IF(OR($G413="",$G413=0),"",IFERROR(ROUND($F413*$G413*(1-IF($H413="",0,$H413)),2),""))</f>
        <v/>
      </c>
      <c r="J413" s="7"/>
    </row>
    <row r="414" customFormat="false" ht="21.75" hidden="false" customHeight="true" outlineLevel="0" collapsed="false">
      <c r="B414" s="15" t="n">
        <v>404</v>
      </c>
      <c r="C414" s="9" t="s">
        <v>46</v>
      </c>
      <c r="D414" s="9" t="s">
        <v>70</v>
      </c>
      <c r="E414" s="9" t="s">
        <v>1179</v>
      </c>
      <c r="F414" s="19" t="n">
        <f aca="false">IF('Base de Datos SACI'!U408="","",'Base de Datos SACI'!U408)</f>
        <v>25</v>
      </c>
      <c r="G414" s="15"/>
      <c r="H414" s="30"/>
      <c r="I414" s="31" t="str">
        <f aca="false">IF(OR($G414="",$G414=0),"",IFERROR(ROUND($F414*$G414*(1-IF($H414="",0,$H414)),2),""))</f>
        <v/>
      </c>
      <c r="J414" s="9"/>
    </row>
    <row r="415" customFormat="false" ht="21.75" hidden="false" customHeight="true" outlineLevel="0" collapsed="false">
      <c r="B415" s="14" t="n">
        <v>405</v>
      </c>
      <c r="C415" s="7" t="s">
        <v>46</v>
      </c>
      <c r="D415" s="7" t="s">
        <v>70</v>
      </c>
      <c r="E415" s="7" t="s">
        <v>1180</v>
      </c>
      <c r="F415" s="18" t="n">
        <f aca="false">IF('Base de Datos SACI'!U409="","",'Base de Datos SACI'!U409)</f>
        <v>35</v>
      </c>
      <c r="G415" s="14"/>
      <c r="H415" s="28"/>
      <c r="I415" s="29" t="str">
        <f aca="false">IF(OR($G415="",$G415=0),"",IFERROR(ROUND($F415*$G415*(1-IF($H415="",0,$H415)),2),""))</f>
        <v/>
      </c>
      <c r="J415" s="7"/>
    </row>
    <row r="416" customFormat="false" ht="21.75" hidden="false" customHeight="true" outlineLevel="0" collapsed="false">
      <c r="B416" s="15" t="n">
        <v>406</v>
      </c>
      <c r="C416" s="9" t="s">
        <v>46</v>
      </c>
      <c r="D416" s="9" t="s">
        <v>70</v>
      </c>
      <c r="E416" s="9" t="s">
        <v>1182</v>
      </c>
      <c r="F416" s="19" t="n">
        <f aca="false">IF('Base de Datos SACI'!U410="","",'Base de Datos SACI'!U410)</f>
        <v>55</v>
      </c>
      <c r="G416" s="15"/>
      <c r="H416" s="30"/>
      <c r="I416" s="31" t="str">
        <f aca="false">IF(OR($G416="",$G416=0),"",IFERROR(ROUND($F416*$G416*(1-IF($H416="",0,$H416)),2),""))</f>
        <v/>
      </c>
      <c r="J416" s="9"/>
    </row>
    <row r="417" customFormat="false" ht="21.75" hidden="false" customHeight="true" outlineLevel="0" collapsed="false">
      <c r="B417" s="14" t="n">
        <v>407</v>
      </c>
      <c r="C417" s="7" t="s">
        <v>46</v>
      </c>
      <c r="D417" s="7" t="s">
        <v>70</v>
      </c>
      <c r="E417" s="7" t="s">
        <v>1183</v>
      </c>
      <c r="F417" s="18" t="n">
        <f aca="false">IF('Base de Datos SACI'!U411="","",'Base de Datos SACI'!U411)</f>
        <v>80</v>
      </c>
      <c r="G417" s="14"/>
      <c r="H417" s="28"/>
      <c r="I417" s="29" t="str">
        <f aca="false">IF(OR($G417="",$G417=0),"",IFERROR(ROUND($F417*$G417*(1-IF($H417="",0,$H417)),2),""))</f>
        <v/>
      </c>
      <c r="J417" s="7"/>
    </row>
    <row r="418" customFormat="false" ht="21.75" hidden="false" customHeight="true" outlineLevel="0" collapsed="false">
      <c r="B418" s="15" t="n">
        <v>408</v>
      </c>
      <c r="C418" s="9" t="s">
        <v>46</v>
      </c>
      <c r="D418" s="9" t="s">
        <v>71</v>
      </c>
      <c r="E418" s="9" t="s">
        <v>1184</v>
      </c>
      <c r="F418" s="19" t="n">
        <f aca="false">IF('Base de Datos SACI'!U412="","",'Base de Datos SACI'!U412)</f>
        <v>40</v>
      </c>
      <c r="G418" s="15"/>
      <c r="H418" s="30"/>
      <c r="I418" s="31" t="str">
        <f aca="false">IF(OR($G418="",$G418=0),"",IFERROR(ROUND($F418*$G418*(1-IF($H418="",0,$H418)),2),""))</f>
        <v/>
      </c>
      <c r="J418" s="9"/>
    </row>
    <row r="419" customFormat="false" ht="21.75" hidden="false" customHeight="true" outlineLevel="0" collapsed="false">
      <c r="B419" s="14" t="n">
        <v>409</v>
      </c>
      <c r="C419" s="7" t="s">
        <v>46</v>
      </c>
      <c r="D419" s="7" t="s">
        <v>71</v>
      </c>
      <c r="E419" s="7" t="s">
        <v>1192</v>
      </c>
      <c r="F419" s="18" t="n">
        <f aca="false">IF('Base de Datos SACI'!U413="","",'Base de Datos SACI'!U413)</f>
        <v>60</v>
      </c>
      <c r="G419" s="14"/>
      <c r="H419" s="28"/>
      <c r="I419" s="29" t="str">
        <f aca="false">IF(OR($G419="",$G419=0),"",IFERROR(ROUND($F419*$G419*(1-IF($H419="",0,$H419)),2),""))</f>
        <v/>
      </c>
      <c r="J419" s="7"/>
    </row>
    <row r="420" customFormat="false" ht="21.75" hidden="false" customHeight="true" outlineLevel="0" collapsed="false">
      <c r="B420" s="15" t="n">
        <v>410</v>
      </c>
      <c r="C420" s="9" t="s">
        <v>46</v>
      </c>
      <c r="D420" s="9" t="s">
        <v>71</v>
      </c>
      <c r="E420" s="9" t="s">
        <v>1193</v>
      </c>
      <c r="F420" s="19" t="n">
        <f aca="false">IF('Base de Datos SACI'!U414="","",'Base de Datos SACI'!U414)</f>
        <v>85</v>
      </c>
      <c r="G420" s="15"/>
      <c r="H420" s="30"/>
      <c r="I420" s="31" t="str">
        <f aca="false">IF(OR($G420="",$G420=0),"",IFERROR(ROUND($F420*$G420*(1-IF($H420="",0,$H420)),2),""))</f>
        <v/>
      </c>
      <c r="J420" s="9"/>
    </row>
    <row r="421" customFormat="false" ht="21.75" hidden="false" customHeight="true" outlineLevel="0" collapsed="false">
      <c r="B421" s="14" t="n">
        <v>411</v>
      </c>
      <c r="C421" s="7" t="s">
        <v>46</v>
      </c>
      <c r="D421" s="7" t="s">
        <v>71</v>
      </c>
      <c r="E421" s="7" t="s">
        <v>1195</v>
      </c>
      <c r="F421" s="18" t="n">
        <f aca="false">IF('Base de Datos SACI'!U415="","",'Base de Datos SACI'!U415)</f>
        <v>125</v>
      </c>
      <c r="G421" s="14"/>
      <c r="H421" s="28"/>
      <c r="I421" s="29" t="str">
        <f aca="false">IF(OR($G421="",$G421=0),"",IFERROR(ROUND($F421*$G421*(1-IF($H421="",0,$H421)),2),""))</f>
        <v/>
      </c>
      <c r="J421" s="7"/>
    </row>
    <row r="422" customFormat="false" ht="21.75" hidden="false" customHeight="true" outlineLevel="0" collapsed="false">
      <c r="B422" s="15" t="n">
        <v>412</v>
      </c>
      <c r="C422" s="9" t="s">
        <v>46</v>
      </c>
      <c r="D422" s="9" t="s">
        <v>71</v>
      </c>
      <c r="E422" s="9" t="s">
        <v>1196</v>
      </c>
      <c r="F422" s="19" t="n">
        <f aca="false">IF('Base de Datos SACI'!U416="","",'Base de Datos SACI'!U416)</f>
        <v>185</v>
      </c>
      <c r="G422" s="15"/>
      <c r="H422" s="30"/>
      <c r="I422" s="31" t="str">
        <f aca="false">IF(OR($G422="",$G422=0),"",IFERROR(ROUND($F422*$G422*(1-IF($H422="",0,$H422)),2),""))</f>
        <v/>
      </c>
      <c r="J422" s="9"/>
    </row>
    <row r="423" customFormat="false" ht="21.75" hidden="false" customHeight="true" outlineLevel="0" collapsed="false">
      <c r="B423" s="14" t="n">
        <v>413</v>
      </c>
      <c r="C423" s="7" t="s">
        <v>46</v>
      </c>
      <c r="D423" s="7" t="s">
        <v>72</v>
      </c>
      <c r="E423" s="7" t="s">
        <v>1197</v>
      </c>
      <c r="F423" s="18" t="n">
        <f aca="false">IF('Base de Datos SACI'!U417="","",'Base de Datos SACI'!U417)</f>
        <v>40</v>
      </c>
      <c r="G423" s="14"/>
      <c r="H423" s="28"/>
      <c r="I423" s="29" t="str">
        <f aca="false">IF(OR($G423="",$G423=0),"",IFERROR(ROUND($F423*$G423*(1-IF($H423="",0,$H423)),2),""))</f>
        <v/>
      </c>
      <c r="J423" s="7"/>
    </row>
    <row r="424" customFormat="false" ht="21.75" hidden="false" customHeight="true" outlineLevel="0" collapsed="false">
      <c r="B424" s="15" t="n">
        <v>414</v>
      </c>
      <c r="C424" s="9" t="s">
        <v>46</v>
      </c>
      <c r="D424" s="9" t="s">
        <v>72</v>
      </c>
      <c r="E424" s="9" t="s">
        <v>1204</v>
      </c>
      <c r="F424" s="19" t="n">
        <f aca="false">IF('Base de Datos SACI'!U418="","",'Base de Datos SACI'!U418)</f>
        <v>65</v>
      </c>
      <c r="G424" s="15"/>
      <c r="H424" s="30"/>
      <c r="I424" s="31" t="str">
        <f aca="false">IF(OR($G424="",$G424=0),"",IFERROR(ROUND($F424*$G424*(1-IF($H424="",0,$H424)),2),""))</f>
        <v/>
      </c>
      <c r="J424" s="9"/>
    </row>
    <row r="425" customFormat="false" ht="21.75" hidden="false" customHeight="true" outlineLevel="0" collapsed="false">
      <c r="B425" s="14" t="n">
        <v>415</v>
      </c>
      <c r="C425" s="7" t="s">
        <v>46</v>
      </c>
      <c r="D425" s="7" t="s">
        <v>72</v>
      </c>
      <c r="E425" s="7" t="s">
        <v>1206</v>
      </c>
      <c r="F425" s="18" t="n">
        <f aca="false">IF('Base de Datos SACI'!U419="","",'Base de Datos SACI'!U419)</f>
        <v>85</v>
      </c>
      <c r="G425" s="14"/>
      <c r="H425" s="28"/>
      <c r="I425" s="29" t="str">
        <f aca="false">IF(OR($G425="",$G425=0),"",IFERROR(ROUND($F425*$G425*(1-IF($H425="",0,$H425)),2),""))</f>
        <v/>
      </c>
      <c r="J425" s="7"/>
    </row>
    <row r="426" customFormat="false" ht="21.75" hidden="false" customHeight="true" outlineLevel="0" collapsed="false">
      <c r="B426" s="15" t="n">
        <v>416</v>
      </c>
      <c r="C426" s="9" t="s">
        <v>46</v>
      </c>
      <c r="D426" s="9" t="s">
        <v>72</v>
      </c>
      <c r="E426" s="9" t="s">
        <v>1209</v>
      </c>
      <c r="F426" s="19" t="n">
        <f aca="false">IF('Base de Datos SACI'!U420="","",'Base de Datos SACI'!U420)</f>
        <v>130</v>
      </c>
      <c r="G426" s="15"/>
      <c r="H426" s="30"/>
      <c r="I426" s="31" t="str">
        <f aca="false">IF(OR($G426="",$G426=0),"",IFERROR(ROUND($F426*$G426*(1-IF($H426="",0,$H426)),2),""))</f>
        <v/>
      </c>
      <c r="J426" s="9"/>
    </row>
    <row r="427" customFormat="false" ht="21.75" hidden="false" customHeight="true" outlineLevel="0" collapsed="false">
      <c r="B427" s="14" t="n">
        <v>417</v>
      </c>
      <c r="C427" s="7" t="s">
        <v>46</v>
      </c>
      <c r="D427" s="7" t="s">
        <v>72</v>
      </c>
      <c r="E427" s="7" t="s">
        <v>1211</v>
      </c>
      <c r="F427" s="18" t="n">
        <f aca="false">IF('Base de Datos SACI'!U421="","",'Base de Datos SACI'!U421)</f>
        <v>190</v>
      </c>
      <c r="G427" s="14"/>
      <c r="H427" s="28"/>
      <c r="I427" s="29" t="str">
        <f aca="false">IF(OR($G427="",$G427=0),"",IFERROR(ROUND($F427*$G427*(1-IF($H427="",0,$H427)),2),""))</f>
        <v/>
      </c>
      <c r="J427" s="7"/>
    </row>
    <row r="428" customFormat="false" ht="21.75" hidden="false" customHeight="true" outlineLevel="0" collapsed="false">
      <c r="B428" s="15" t="n">
        <v>418</v>
      </c>
      <c r="C428" s="9" t="s">
        <v>46</v>
      </c>
      <c r="D428" s="9" t="s">
        <v>73</v>
      </c>
      <c r="E428" s="9" t="s">
        <v>391</v>
      </c>
      <c r="F428" s="19" t="str">
        <f aca="false">IF('Base de Datos SACI'!U422="","",'Base de Datos SACI'!U422)</f>
        <v/>
      </c>
      <c r="G428" s="15"/>
      <c r="H428" s="30"/>
      <c r="I428" s="31" t="str">
        <f aca="false">IF(OR($G428="",$G428=0),"",IFERROR(ROUND($F428*$G428*(1-IF($H428="",0,$H428)),2),""))</f>
        <v/>
      </c>
      <c r="J428" s="9"/>
    </row>
    <row r="429" customFormat="false" ht="21.75" hidden="false" customHeight="true" outlineLevel="0" collapsed="false">
      <c r="B429" s="14" t="n">
        <v>419</v>
      </c>
      <c r="C429" s="7" t="s">
        <v>46</v>
      </c>
      <c r="D429" s="7" t="s">
        <v>74</v>
      </c>
      <c r="E429" s="7" t="s">
        <v>1214</v>
      </c>
      <c r="F429" s="18" t="n">
        <f aca="false">IF('Base de Datos SACI'!U423="","",'Base de Datos SACI'!U423)</f>
        <v>20</v>
      </c>
      <c r="G429" s="14"/>
      <c r="H429" s="28"/>
      <c r="I429" s="29" t="str">
        <f aca="false">IF(OR($G429="",$G429=0),"",IFERROR(ROUND($F429*$G429*(1-IF($H429="",0,$H429)),2),""))</f>
        <v/>
      </c>
      <c r="J429" s="7"/>
    </row>
    <row r="430" customFormat="false" ht="21.75" hidden="false" customHeight="true" outlineLevel="0" collapsed="false">
      <c r="B430" s="15" t="n">
        <v>420</v>
      </c>
      <c r="C430" s="9" t="s">
        <v>46</v>
      </c>
      <c r="D430" s="9" t="s">
        <v>74</v>
      </c>
      <c r="E430" s="9" t="s">
        <v>1218</v>
      </c>
      <c r="F430" s="19" t="n">
        <f aca="false">IF('Base de Datos SACI'!U424="","",'Base de Datos SACI'!U424)</f>
        <v>30</v>
      </c>
      <c r="G430" s="15"/>
      <c r="H430" s="30"/>
      <c r="I430" s="31" t="str">
        <f aca="false">IF(OR($G430="",$G430=0),"",IFERROR(ROUND($F430*$G430*(1-IF($H430="",0,$H430)),2),""))</f>
        <v/>
      </c>
      <c r="J430" s="9"/>
    </row>
    <row r="431" customFormat="false" ht="21.75" hidden="false" customHeight="true" outlineLevel="0" collapsed="false">
      <c r="B431" s="14" t="n">
        <v>421</v>
      </c>
      <c r="C431" s="7" t="s">
        <v>46</v>
      </c>
      <c r="D431" s="7" t="s">
        <v>74</v>
      </c>
      <c r="E431" s="7" t="s">
        <v>1219</v>
      </c>
      <c r="F431" s="18" t="n">
        <f aca="false">IF('Base de Datos SACI'!U425="","",'Base de Datos SACI'!U425)</f>
        <v>45</v>
      </c>
      <c r="G431" s="14"/>
      <c r="H431" s="28"/>
      <c r="I431" s="29" t="str">
        <f aca="false">IF(OR($G431="",$G431=0),"",IFERROR(ROUND($F431*$G431*(1-IF($H431="",0,$H431)),2),""))</f>
        <v/>
      </c>
      <c r="J431" s="7"/>
    </row>
    <row r="432" customFormat="false" ht="21.75" hidden="false" customHeight="true" outlineLevel="0" collapsed="false">
      <c r="B432" s="15" t="n">
        <v>422</v>
      </c>
      <c r="C432" s="9" t="s">
        <v>46</v>
      </c>
      <c r="D432" s="9" t="s">
        <v>74</v>
      </c>
      <c r="E432" s="9" t="s">
        <v>1221</v>
      </c>
      <c r="F432" s="19" t="n">
        <f aca="false">IF('Base de Datos SACI'!U426="","",'Base de Datos SACI'!U426)</f>
        <v>65</v>
      </c>
      <c r="G432" s="15"/>
      <c r="H432" s="30"/>
      <c r="I432" s="31" t="str">
        <f aca="false">IF(OR($G432="",$G432=0),"",IFERROR(ROUND($F432*$G432*(1-IF($H432="",0,$H432)),2),""))</f>
        <v/>
      </c>
      <c r="J432" s="9"/>
    </row>
    <row r="433" customFormat="false" ht="21.75" hidden="false" customHeight="true" outlineLevel="0" collapsed="false">
      <c r="B433" s="14" t="n">
        <v>423</v>
      </c>
      <c r="C433" s="7" t="s">
        <v>46</v>
      </c>
      <c r="D433" s="7" t="s">
        <v>74</v>
      </c>
      <c r="E433" s="7" t="s">
        <v>1222</v>
      </c>
      <c r="F433" s="18" t="n">
        <f aca="false">IF('Base de Datos SACI'!U427="","",'Base de Datos SACI'!U427)</f>
        <v>95</v>
      </c>
      <c r="G433" s="14"/>
      <c r="H433" s="28"/>
      <c r="I433" s="29" t="str">
        <f aca="false">IF(OR($G433="",$G433=0),"",IFERROR(ROUND($F433*$G433*(1-IF($H433="",0,$H433)),2),""))</f>
        <v/>
      </c>
      <c r="J433" s="7"/>
    </row>
    <row r="434" customFormat="false" ht="21.75" hidden="false" customHeight="true" outlineLevel="0" collapsed="false">
      <c r="B434" s="15" t="n">
        <v>424</v>
      </c>
      <c r="C434" s="9" t="s">
        <v>46</v>
      </c>
      <c r="D434" s="9" t="s">
        <v>75</v>
      </c>
      <c r="E434" s="9" t="s">
        <v>1223</v>
      </c>
      <c r="F434" s="19" t="n">
        <f aca="false">IF('Base de Datos SACI'!U428="","",'Base de Datos SACI'!U428)</f>
        <v>20</v>
      </c>
      <c r="G434" s="15"/>
      <c r="H434" s="30"/>
      <c r="I434" s="31" t="str">
        <f aca="false">IF(OR($G434="",$G434=0),"",IFERROR(ROUND($F434*$G434*(1-IF($H434="",0,$H434)),2),""))</f>
        <v/>
      </c>
      <c r="J434" s="9"/>
    </row>
    <row r="435" customFormat="false" ht="21.75" hidden="false" customHeight="true" outlineLevel="0" collapsed="false">
      <c r="B435" s="14" t="n">
        <v>425</v>
      </c>
      <c r="C435" s="7" t="s">
        <v>46</v>
      </c>
      <c r="D435" s="7" t="s">
        <v>75</v>
      </c>
      <c r="E435" s="7" t="s">
        <v>1229</v>
      </c>
      <c r="F435" s="18" t="n">
        <f aca="false">IF('Base de Datos SACI'!U429="","",'Base de Datos SACI'!U429)</f>
        <v>30</v>
      </c>
      <c r="G435" s="14"/>
      <c r="H435" s="28"/>
      <c r="I435" s="29" t="str">
        <f aca="false">IF(OR($G435="",$G435=0),"",IFERROR(ROUND($F435*$G435*(1-IF($H435="",0,$H435)),2),""))</f>
        <v/>
      </c>
      <c r="J435" s="7"/>
    </row>
    <row r="436" customFormat="false" ht="21.75" hidden="false" customHeight="true" outlineLevel="0" collapsed="false">
      <c r="B436" s="15" t="n">
        <v>426</v>
      </c>
      <c r="C436" s="9" t="s">
        <v>46</v>
      </c>
      <c r="D436" s="9" t="s">
        <v>75</v>
      </c>
      <c r="E436" s="9" t="s">
        <v>1230</v>
      </c>
      <c r="F436" s="19" t="n">
        <f aca="false">IF('Base de Datos SACI'!U430="","",'Base de Datos SACI'!U430)</f>
        <v>40</v>
      </c>
      <c r="G436" s="15"/>
      <c r="H436" s="30"/>
      <c r="I436" s="31" t="str">
        <f aca="false">IF(OR($G436="",$G436=0),"",IFERROR(ROUND($F436*$G436*(1-IF($H436="",0,$H436)),2),""))</f>
        <v/>
      </c>
      <c r="J436" s="9"/>
    </row>
    <row r="437" customFormat="false" ht="21.75" hidden="false" customHeight="true" outlineLevel="0" collapsed="false">
      <c r="B437" s="14" t="n">
        <v>427</v>
      </c>
      <c r="C437" s="7" t="s">
        <v>46</v>
      </c>
      <c r="D437" s="7" t="s">
        <v>75</v>
      </c>
      <c r="E437" s="7" t="s">
        <v>1104</v>
      </c>
      <c r="F437" s="18" t="n">
        <f aca="false">IF('Base de Datos SACI'!U431="","",'Base de Datos SACI'!U431)</f>
        <v>60</v>
      </c>
      <c r="G437" s="14"/>
      <c r="H437" s="28"/>
      <c r="I437" s="29" t="str">
        <f aca="false">IF(OR($G437="",$G437=0),"",IFERROR(ROUND($F437*$G437*(1-IF($H437="",0,$H437)),2),""))</f>
        <v/>
      </c>
      <c r="J437" s="7"/>
    </row>
    <row r="438" customFormat="false" ht="21.75" hidden="false" customHeight="true" outlineLevel="0" collapsed="false">
      <c r="B438" s="15" t="n">
        <v>428</v>
      </c>
      <c r="C438" s="9" t="s">
        <v>46</v>
      </c>
      <c r="D438" s="9" t="s">
        <v>75</v>
      </c>
      <c r="E438" s="9" t="s">
        <v>1157</v>
      </c>
      <c r="F438" s="19" t="n">
        <f aca="false">IF('Base de Datos SACI'!U432="","",'Base de Datos SACI'!U432)</f>
        <v>85</v>
      </c>
      <c r="G438" s="15"/>
      <c r="H438" s="30"/>
      <c r="I438" s="31" t="str">
        <f aca="false">IF(OR($G438="",$G438=0),"",IFERROR(ROUND($F438*$G438*(1-IF($H438="",0,$H438)),2),""))</f>
        <v/>
      </c>
      <c r="J438" s="9"/>
    </row>
    <row r="439" customFormat="false" ht="21.75" hidden="false" customHeight="true" outlineLevel="0" collapsed="false">
      <c r="B439" s="14" t="n">
        <v>429</v>
      </c>
      <c r="C439" s="7" t="s">
        <v>47</v>
      </c>
      <c r="D439" s="7" t="s">
        <v>60</v>
      </c>
      <c r="E439" s="7" t="s">
        <v>1232</v>
      </c>
      <c r="F439" s="18" t="n">
        <f aca="false">IF('Base de Datos SACI'!U433="","",'Base de Datos SACI'!U433)</f>
        <v>130</v>
      </c>
      <c r="G439" s="14"/>
      <c r="H439" s="28"/>
      <c r="I439" s="29" t="str">
        <f aca="false">IF(OR($G439="",$G439=0),"",IFERROR(ROUND($F439*$G439*(1-IF($H439="",0,$H439)),2),""))</f>
        <v/>
      </c>
      <c r="J439" s="7"/>
    </row>
    <row r="440" customFormat="false" ht="21.75" hidden="false" customHeight="true" outlineLevel="0" collapsed="false">
      <c r="B440" s="15" t="n">
        <v>430</v>
      </c>
      <c r="C440" s="9" t="s">
        <v>47</v>
      </c>
      <c r="D440" s="9" t="s">
        <v>60</v>
      </c>
      <c r="E440" s="9" t="s">
        <v>1243</v>
      </c>
      <c r="F440" s="19" t="n">
        <f aca="false">IF('Base de Datos SACI'!U434="","",'Base de Datos SACI'!U434)</f>
        <v>195</v>
      </c>
      <c r="G440" s="15"/>
      <c r="H440" s="30"/>
      <c r="I440" s="31" t="str">
        <f aca="false">IF(OR($G440="",$G440=0),"",IFERROR(ROUND($F440*$G440*(1-IF($H440="",0,$H440)),2),""))</f>
        <v/>
      </c>
      <c r="J440" s="9"/>
    </row>
    <row r="441" customFormat="false" ht="21.75" hidden="false" customHeight="true" outlineLevel="0" collapsed="false">
      <c r="B441" s="14" t="n">
        <v>431</v>
      </c>
      <c r="C441" s="7" t="s">
        <v>47</v>
      </c>
      <c r="D441" s="7" t="s">
        <v>60</v>
      </c>
      <c r="E441" s="7" t="s">
        <v>1244</v>
      </c>
      <c r="F441" s="18" t="n">
        <f aca="false">IF('Base de Datos SACI'!U435="","",'Base de Datos SACI'!U435)</f>
        <v>265</v>
      </c>
      <c r="G441" s="14"/>
      <c r="H441" s="28"/>
      <c r="I441" s="29" t="str">
        <f aca="false">IF(OR($G441="",$G441=0),"",IFERROR(ROUND($F441*$G441*(1-IF($H441="",0,$H441)),2),""))</f>
        <v/>
      </c>
      <c r="J441" s="7"/>
    </row>
    <row r="442" customFormat="false" ht="21.75" hidden="false" customHeight="true" outlineLevel="0" collapsed="false">
      <c r="B442" s="15" t="n">
        <v>432</v>
      </c>
      <c r="C442" s="9" t="s">
        <v>47</v>
      </c>
      <c r="D442" s="9" t="s">
        <v>60</v>
      </c>
      <c r="E442" s="9" t="s">
        <v>1246</v>
      </c>
      <c r="F442" s="19" t="n">
        <f aca="false">IF('Base de Datos SACI'!U436="","",'Base de Datos SACI'!U436)</f>
        <v>395</v>
      </c>
      <c r="G442" s="15"/>
      <c r="H442" s="30"/>
      <c r="I442" s="31" t="str">
        <f aca="false">IF(OR($G442="",$G442=0),"",IFERROR(ROUND($F442*$G442*(1-IF($H442="",0,$H442)),2),""))</f>
        <v/>
      </c>
      <c r="J442" s="9"/>
    </row>
    <row r="443" customFormat="false" ht="21.75" hidden="false" customHeight="true" outlineLevel="0" collapsed="false">
      <c r="B443" s="14" t="n">
        <v>433</v>
      </c>
      <c r="C443" s="7" t="s">
        <v>47</v>
      </c>
      <c r="D443" s="7" t="s">
        <v>60</v>
      </c>
      <c r="E443" s="7" t="s">
        <v>1247</v>
      </c>
      <c r="F443" s="18" t="n">
        <f aca="false">IF('Base de Datos SACI'!U437="","",'Base de Datos SACI'!U437)</f>
        <v>580</v>
      </c>
      <c r="G443" s="14"/>
      <c r="H443" s="28"/>
      <c r="I443" s="29" t="str">
        <f aca="false">IF(OR($G443="",$G443=0),"",IFERROR(ROUND($F443*$G443*(1-IF($H443="",0,$H443)),2),""))</f>
        <v/>
      </c>
      <c r="J443" s="7"/>
    </row>
    <row r="444" customFormat="false" ht="21.75" hidden="false" customHeight="true" outlineLevel="0" collapsed="false">
      <c r="B444" s="15" t="n">
        <v>434</v>
      </c>
      <c r="C444" s="9" t="s">
        <v>47</v>
      </c>
      <c r="D444" s="9" t="s">
        <v>61</v>
      </c>
      <c r="E444" s="9" t="s">
        <v>1232</v>
      </c>
      <c r="F444" s="19" t="n">
        <f aca="false">IF('Base de Datos SACI'!U438="","",'Base de Datos SACI'!U438)</f>
        <v>85</v>
      </c>
      <c r="G444" s="15"/>
      <c r="H444" s="30"/>
      <c r="I444" s="31" t="str">
        <f aca="false">IF(OR($G444="",$G444=0),"",IFERROR(ROUND($F444*$G444*(1-IF($H444="",0,$H444)),2),""))</f>
        <v/>
      </c>
      <c r="J444" s="9"/>
    </row>
    <row r="445" customFormat="false" ht="21.75" hidden="false" customHeight="true" outlineLevel="0" collapsed="false">
      <c r="B445" s="14" t="n">
        <v>435</v>
      </c>
      <c r="C445" s="7" t="s">
        <v>47</v>
      </c>
      <c r="D445" s="7" t="s">
        <v>61</v>
      </c>
      <c r="E445" s="7" t="s">
        <v>1243</v>
      </c>
      <c r="F445" s="18" t="n">
        <f aca="false">IF('Base de Datos SACI'!U439="","",'Base de Datos SACI'!U439)</f>
        <v>130</v>
      </c>
      <c r="G445" s="14"/>
      <c r="H445" s="28"/>
      <c r="I445" s="29" t="str">
        <f aca="false">IF(OR($G445="",$G445=0),"",IFERROR(ROUND($F445*$G445*(1-IF($H445="",0,$H445)),2),""))</f>
        <v/>
      </c>
      <c r="J445" s="7"/>
    </row>
    <row r="446" customFormat="false" ht="21.75" hidden="false" customHeight="true" outlineLevel="0" collapsed="false">
      <c r="B446" s="15" t="n">
        <v>436</v>
      </c>
      <c r="C446" s="9" t="s">
        <v>47</v>
      </c>
      <c r="D446" s="9" t="s">
        <v>61</v>
      </c>
      <c r="E446" s="9" t="s">
        <v>1244</v>
      </c>
      <c r="F446" s="19" t="n">
        <f aca="false">IF('Base de Datos SACI'!U440="","",'Base de Datos SACI'!U440)</f>
        <v>175</v>
      </c>
      <c r="G446" s="15"/>
      <c r="H446" s="30"/>
      <c r="I446" s="31" t="str">
        <f aca="false">IF(OR($G446="",$G446=0),"",IFERROR(ROUND($F446*$G446*(1-IF($H446="",0,$H446)),2),""))</f>
        <v/>
      </c>
      <c r="J446" s="9"/>
    </row>
    <row r="447" customFormat="false" ht="21.75" hidden="false" customHeight="true" outlineLevel="0" collapsed="false">
      <c r="B447" s="14" t="n">
        <v>437</v>
      </c>
      <c r="C447" s="7" t="s">
        <v>47</v>
      </c>
      <c r="D447" s="7" t="s">
        <v>61</v>
      </c>
      <c r="E447" s="7" t="s">
        <v>1246</v>
      </c>
      <c r="F447" s="18" t="n">
        <f aca="false">IF('Base de Datos SACI'!U441="","",'Base de Datos SACI'!U441)</f>
        <v>265</v>
      </c>
      <c r="G447" s="14"/>
      <c r="H447" s="28"/>
      <c r="I447" s="29" t="str">
        <f aca="false">IF(OR($G447="",$G447=0),"",IFERROR(ROUND($F447*$G447*(1-IF($H447="",0,$H447)),2),""))</f>
        <v/>
      </c>
      <c r="J447" s="7"/>
    </row>
    <row r="448" customFormat="false" ht="21.75" hidden="false" customHeight="true" outlineLevel="0" collapsed="false">
      <c r="B448" s="15" t="n">
        <v>438</v>
      </c>
      <c r="C448" s="9" t="s">
        <v>47</v>
      </c>
      <c r="D448" s="9" t="s">
        <v>61</v>
      </c>
      <c r="E448" s="9" t="s">
        <v>1247</v>
      </c>
      <c r="F448" s="19" t="n">
        <f aca="false">IF('Base de Datos SACI'!U442="","",'Base de Datos SACI'!U442)</f>
        <v>390</v>
      </c>
      <c r="G448" s="15"/>
      <c r="H448" s="30"/>
      <c r="I448" s="31" t="str">
        <f aca="false">IF(OR($G448="",$G448=0),"",IFERROR(ROUND($F448*$G448*(1-IF($H448="",0,$H448)),2),""))</f>
        <v/>
      </c>
      <c r="J448" s="9"/>
    </row>
    <row r="449" customFormat="false" ht="21.75" hidden="false" customHeight="true" outlineLevel="0" collapsed="false">
      <c r="B449" s="14" t="n">
        <v>439</v>
      </c>
      <c r="C449" s="7" t="s">
        <v>47</v>
      </c>
      <c r="D449" s="7" t="s">
        <v>62</v>
      </c>
      <c r="E449" s="7" t="s">
        <v>391</v>
      </c>
      <c r="F449" s="18" t="str">
        <f aca="false">IF('Base de Datos SACI'!U443="","",'Base de Datos SACI'!U443)</f>
        <v/>
      </c>
      <c r="G449" s="14"/>
      <c r="H449" s="28"/>
      <c r="I449" s="29" t="str">
        <f aca="false">IF(OR($G449="",$G449=0),"",IFERROR(ROUND($F449*$G449*(1-IF($H449="",0,$H449)),2),""))</f>
        <v/>
      </c>
      <c r="J449" s="7"/>
    </row>
    <row r="450" customFormat="false" ht="21.75" hidden="false" customHeight="true" outlineLevel="0" collapsed="false">
      <c r="B450" s="15" t="n">
        <v>440</v>
      </c>
      <c r="C450" s="9" t="s">
        <v>47</v>
      </c>
      <c r="D450" s="9" t="s">
        <v>63</v>
      </c>
      <c r="E450" s="9" t="s">
        <v>1255</v>
      </c>
      <c r="F450" s="19" t="n">
        <f aca="false">IF('Base de Datos SACI'!U444="","",'Base de Datos SACI'!U444)</f>
        <v>45</v>
      </c>
      <c r="G450" s="15"/>
      <c r="H450" s="30"/>
      <c r="I450" s="31" t="str">
        <f aca="false">IF(OR($G450="",$G450=0),"",IFERROR(ROUND($F450*$G450*(1-IF($H450="",0,$H450)),2),""))</f>
        <v/>
      </c>
      <c r="J450" s="9"/>
    </row>
    <row r="451" customFormat="false" ht="21.75" hidden="false" customHeight="true" outlineLevel="0" collapsed="false">
      <c r="B451" s="14" t="n">
        <v>441</v>
      </c>
      <c r="C451" s="7" t="s">
        <v>47</v>
      </c>
      <c r="D451" s="7" t="s">
        <v>63</v>
      </c>
      <c r="E451" s="7" t="s">
        <v>1262</v>
      </c>
      <c r="F451" s="18" t="n">
        <f aca="false">IF('Base de Datos SACI'!U445="","",'Base de Datos SACI'!U445)</f>
        <v>65</v>
      </c>
      <c r="G451" s="14"/>
      <c r="H451" s="28"/>
      <c r="I451" s="29" t="str">
        <f aca="false">IF(OR($G451="",$G451=0),"",IFERROR(ROUND($F451*$G451*(1-IF($H451="",0,$H451)),2),""))</f>
        <v/>
      </c>
      <c r="J451" s="7"/>
    </row>
    <row r="452" customFormat="false" ht="21.75" hidden="false" customHeight="true" outlineLevel="0" collapsed="false">
      <c r="B452" s="15" t="n">
        <v>442</v>
      </c>
      <c r="C452" s="9" t="s">
        <v>47</v>
      </c>
      <c r="D452" s="9" t="s">
        <v>63</v>
      </c>
      <c r="E452" s="9" t="s">
        <v>1263</v>
      </c>
      <c r="F452" s="19" t="n">
        <f aca="false">IF('Base de Datos SACI'!U446="","",'Base de Datos SACI'!U446)</f>
        <v>90</v>
      </c>
      <c r="G452" s="15"/>
      <c r="H452" s="30"/>
      <c r="I452" s="31" t="str">
        <f aca="false">IF(OR($G452="",$G452=0),"",IFERROR(ROUND($F452*$G452*(1-IF($H452="",0,$H452)),2),""))</f>
        <v/>
      </c>
      <c r="J452" s="9"/>
    </row>
    <row r="453" customFormat="false" ht="21.75" hidden="false" customHeight="true" outlineLevel="0" collapsed="false">
      <c r="B453" s="14" t="n">
        <v>443</v>
      </c>
      <c r="C453" s="7" t="s">
        <v>47</v>
      </c>
      <c r="D453" s="7" t="s">
        <v>63</v>
      </c>
      <c r="E453" s="7" t="s">
        <v>1265</v>
      </c>
      <c r="F453" s="18" t="n">
        <f aca="false">IF('Base de Datos SACI'!U447="","",'Base de Datos SACI'!U447)</f>
        <v>135</v>
      </c>
      <c r="G453" s="14"/>
      <c r="H453" s="28"/>
      <c r="I453" s="29" t="str">
        <f aca="false">IF(OR($G453="",$G453=0),"",IFERROR(ROUND($F453*$G453*(1-IF($H453="",0,$H453)),2),""))</f>
        <v/>
      </c>
      <c r="J453" s="7"/>
    </row>
    <row r="454" customFormat="false" ht="21.75" hidden="false" customHeight="true" outlineLevel="0" collapsed="false">
      <c r="B454" s="15" t="n">
        <v>444</v>
      </c>
      <c r="C454" s="9" t="s">
        <v>47</v>
      </c>
      <c r="D454" s="9" t="s">
        <v>63</v>
      </c>
      <c r="E454" s="9" t="s">
        <v>1266</v>
      </c>
      <c r="F454" s="19" t="n">
        <f aca="false">IF('Base de Datos SACI'!U448="","",'Base de Datos SACI'!U448)</f>
        <v>200</v>
      </c>
      <c r="G454" s="15"/>
      <c r="H454" s="30"/>
      <c r="I454" s="31" t="str">
        <f aca="false">IF(OR($G454="",$G454=0),"",IFERROR(ROUND($F454*$G454*(1-IF($H454="",0,$H454)),2),""))</f>
        <v/>
      </c>
      <c r="J454" s="9"/>
    </row>
    <row r="455" customFormat="false" ht="21.75" hidden="false" customHeight="true" outlineLevel="0" collapsed="false">
      <c r="B455" s="14" t="n">
        <v>445</v>
      </c>
      <c r="C455" s="7" t="s">
        <v>47</v>
      </c>
      <c r="D455" s="7" t="s">
        <v>64</v>
      </c>
      <c r="E455" s="7" t="s">
        <v>1267</v>
      </c>
      <c r="F455" s="18" t="n">
        <f aca="false">IF('Base de Datos SACI'!U449="","",'Base de Datos SACI'!U449)</f>
        <v>18</v>
      </c>
      <c r="G455" s="14"/>
      <c r="H455" s="28"/>
      <c r="I455" s="29" t="str">
        <f aca="false">IF(OR($G455="",$G455=0),"",IFERROR(ROUND($F455*$G455*(1-IF($H455="",0,$H455)),2),""))</f>
        <v/>
      </c>
      <c r="J455" s="7"/>
    </row>
    <row r="456" customFormat="false" ht="21.75" hidden="false" customHeight="true" outlineLevel="0" collapsed="false">
      <c r="B456" s="15" t="n">
        <v>446</v>
      </c>
      <c r="C456" s="9" t="s">
        <v>47</v>
      </c>
      <c r="D456" s="9" t="s">
        <v>64</v>
      </c>
      <c r="E456" s="9" t="s">
        <v>1272</v>
      </c>
      <c r="F456" s="19" t="n">
        <f aca="false">IF('Base de Datos SACI'!U450="","",'Base de Datos SACI'!U450)</f>
        <v>25</v>
      </c>
      <c r="G456" s="15"/>
      <c r="H456" s="30"/>
      <c r="I456" s="31" t="str">
        <f aca="false">IF(OR($G456="",$G456=0),"",IFERROR(ROUND($F456*$G456*(1-IF($H456="",0,$H456)),2),""))</f>
        <v/>
      </c>
      <c r="J456" s="9"/>
    </row>
    <row r="457" customFormat="false" ht="21.75" hidden="false" customHeight="true" outlineLevel="0" collapsed="false">
      <c r="B457" s="14" t="n">
        <v>447</v>
      </c>
      <c r="C457" s="7" t="s">
        <v>47</v>
      </c>
      <c r="D457" s="7" t="s">
        <v>64</v>
      </c>
      <c r="E457" s="7" t="s">
        <v>1273</v>
      </c>
      <c r="F457" s="18" t="n">
        <f aca="false">IF('Base de Datos SACI'!U451="","",'Base de Datos SACI'!U451)</f>
        <v>35</v>
      </c>
      <c r="G457" s="14"/>
      <c r="H457" s="28"/>
      <c r="I457" s="29" t="str">
        <f aca="false">IF(OR($G457="",$G457=0),"",IFERROR(ROUND($F457*$G457*(1-IF($H457="",0,$H457)),2),""))</f>
        <v/>
      </c>
      <c r="J457" s="7"/>
    </row>
    <row r="458" customFormat="false" ht="21.75" hidden="false" customHeight="true" outlineLevel="0" collapsed="false">
      <c r="B458" s="15" t="n">
        <v>448</v>
      </c>
      <c r="C458" s="9" t="s">
        <v>47</v>
      </c>
      <c r="D458" s="9" t="s">
        <v>64</v>
      </c>
      <c r="E458" s="9" t="s">
        <v>1275</v>
      </c>
      <c r="F458" s="19" t="n">
        <f aca="false">IF('Base de Datos SACI'!U452="","",'Base de Datos SACI'!U452)</f>
        <v>50</v>
      </c>
      <c r="G458" s="15"/>
      <c r="H458" s="30"/>
      <c r="I458" s="31" t="str">
        <f aca="false">IF(OR($G458="",$G458=0),"",IFERROR(ROUND($F458*$G458*(1-IF($H458="",0,$H458)),2),""))</f>
        <v/>
      </c>
      <c r="J458" s="9"/>
    </row>
    <row r="459" customFormat="false" ht="21.75" hidden="false" customHeight="true" outlineLevel="0" collapsed="false">
      <c r="B459" s="14" t="n">
        <v>449</v>
      </c>
      <c r="C459" s="7" t="s">
        <v>47</v>
      </c>
      <c r="D459" s="7" t="s">
        <v>64</v>
      </c>
      <c r="E459" s="7" t="s">
        <v>1276</v>
      </c>
      <c r="F459" s="18" t="n">
        <f aca="false">IF('Base de Datos SACI'!U453="","",'Base de Datos SACI'!U453)</f>
        <v>75</v>
      </c>
      <c r="G459" s="14"/>
      <c r="H459" s="28"/>
      <c r="I459" s="29" t="str">
        <f aca="false">IF(OR($G459="",$G459=0),"",IFERROR(ROUND($F459*$G459*(1-IF($H459="",0,$H459)),2),""))</f>
        <v/>
      </c>
      <c r="J459" s="7"/>
    </row>
    <row r="460" customFormat="false" ht="21.75" hidden="false" customHeight="true" outlineLevel="0" collapsed="false">
      <c r="B460" s="15" t="n">
        <v>450</v>
      </c>
      <c r="C460" s="9" t="s">
        <v>47</v>
      </c>
      <c r="D460" s="9" t="s">
        <v>65</v>
      </c>
      <c r="E460" s="9" t="s">
        <v>1277</v>
      </c>
      <c r="F460" s="19" t="n">
        <f aca="false">IF('Base de Datos SACI'!U454="","",'Base de Datos SACI'!U454)</f>
        <v>20</v>
      </c>
      <c r="G460" s="15"/>
      <c r="H460" s="30"/>
      <c r="I460" s="31" t="str">
        <f aca="false">IF(OR($G460="",$G460=0),"",IFERROR(ROUND($F460*$G460*(1-IF($H460="",0,$H460)),2),""))</f>
        <v/>
      </c>
      <c r="J460" s="9"/>
    </row>
    <row r="461" customFormat="false" ht="21.75" hidden="false" customHeight="true" outlineLevel="0" collapsed="false">
      <c r="B461" s="14" t="n">
        <v>451</v>
      </c>
      <c r="C461" s="7" t="s">
        <v>47</v>
      </c>
      <c r="D461" s="7" t="s">
        <v>65</v>
      </c>
      <c r="E461" s="7" t="s">
        <v>1283</v>
      </c>
      <c r="F461" s="18" t="n">
        <f aca="false">IF('Base de Datos SACI'!U455="","",'Base de Datos SACI'!U455)</f>
        <v>35</v>
      </c>
      <c r="G461" s="14"/>
      <c r="H461" s="28"/>
      <c r="I461" s="29" t="str">
        <f aca="false">IF(OR($G461="",$G461=0),"",IFERROR(ROUND($F461*$G461*(1-IF($H461="",0,$H461)),2),""))</f>
        <v/>
      </c>
      <c r="J461" s="7"/>
    </row>
    <row r="462" customFormat="false" ht="21.75" hidden="false" customHeight="true" outlineLevel="0" collapsed="false">
      <c r="B462" s="15" t="n">
        <v>452</v>
      </c>
      <c r="C462" s="9" t="s">
        <v>47</v>
      </c>
      <c r="D462" s="9" t="s">
        <v>65</v>
      </c>
      <c r="E462" s="9" t="s">
        <v>1284</v>
      </c>
      <c r="F462" s="19" t="n">
        <f aca="false">IF('Base de Datos SACI'!U456="","",'Base de Datos SACI'!U456)</f>
        <v>45</v>
      </c>
      <c r="G462" s="15"/>
      <c r="H462" s="30"/>
      <c r="I462" s="31" t="str">
        <f aca="false">IF(OR($G462="",$G462=0),"",IFERROR(ROUND($F462*$G462*(1-IF($H462="",0,$H462)),2),""))</f>
        <v/>
      </c>
      <c r="J462" s="9"/>
    </row>
    <row r="463" customFormat="false" ht="21.75" hidden="false" customHeight="true" outlineLevel="0" collapsed="false">
      <c r="B463" s="14" t="n">
        <v>453</v>
      </c>
      <c r="C463" s="7" t="s">
        <v>47</v>
      </c>
      <c r="D463" s="7" t="s">
        <v>65</v>
      </c>
      <c r="E463" s="7" t="s">
        <v>1286</v>
      </c>
      <c r="F463" s="18" t="n">
        <f aca="false">IF('Base de Datos SACI'!U457="","",'Base de Datos SACI'!U457)</f>
        <v>70</v>
      </c>
      <c r="G463" s="14"/>
      <c r="H463" s="28"/>
      <c r="I463" s="29" t="str">
        <f aca="false">IF(OR($G463="",$G463=0),"",IFERROR(ROUND($F463*$G463*(1-IF($H463="",0,$H463)),2),""))</f>
        <v/>
      </c>
      <c r="J463" s="7"/>
    </row>
    <row r="464" customFormat="false" ht="21.75" hidden="false" customHeight="true" outlineLevel="0" collapsed="false">
      <c r="B464" s="15" t="n">
        <v>454</v>
      </c>
      <c r="C464" s="9" t="s">
        <v>47</v>
      </c>
      <c r="D464" s="9" t="s">
        <v>65</v>
      </c>
      <c r="E464" s="9" t="s">
        <v>1287</v>
      </c>
      <c r="F464" s="19" t="n">
        <f aca="false">IF('Base de Datos SACI'!U458="","",'Base de Datos SACI'!U458)</f>
        <v>105</v>
      </c>
      <c r="G464" s="15"/>
      <c r="H464" s="30"/>
      <c r="I464" s="31" t="str">
        <f aca="false">IF(OR($G464="",$G464=0),"",IFERROR(ROUND($F464*$G464*(1-IF($H464="",0,$H464)),2),""))</f>
        <v/>
      </c>
      <c r="J464" s="9"/>
    </row>
    <row r="465" customFormat="false" ht="21.75" hidden="false" customHeight="true" outlineLevel="0" collapsed="false">
      <c r="B465" s="14" t="n">
        <v>455</v>
      </c>
      <c r="C465" s="7" t="s">
        <v>47</v>
      </c>
      <c r="D465" s="7" t="s">
        <v>66</v>
      </c>
      <c r="E465" s="7" t="s">
        <v>1288</v>
      </c>
      <c r="F465" s="18" t="n">
        <f aca="false">IF('Base de Datos SACI'!U459="","",'Base de Datos SACI'!U459)</f>
        <v>30</v>
      </c>
      <c r="G465" s="14"/>
      <c r="H465" s="28"/>
      <c r="I465" s="29" t="str">
        <f aca="false">IF(OR($G465="",$G465=0),"",IFERROR(ROUND($F465*$G465*(1-IF($H465="",0,$H465)),2),""))</f>
        <v/>
      </c>
      <c r="J465" s="7"/>
    </row>
    <row r="466" customFormat="false" ht="21.75" hidden="false" customHeight="true" outlineLevel="0" collapsed="false">
      <c r="B466" s="15" t="n">
        <v>456</v>
      </c>
      <c r="C466" s="9" t="s">
        <v>47</v>
      </c>
      <c r="D466" s="9" t="s">
        <v>66</v>
      </c>
      <c r="E466" s="9" t="s">
        <v>1293</v>
      </c>
      <c r="F466" s="19" t="n">
        <f aca="false">IF('Base de Datos SACI'!U460="","",'Base de Datos SACI'!U460)</f>
        <v>45</v>
      </c>
      <c r="G466" s="15"/>
      <c r="H466" s="30"/>
      <c r="I466" s="31" t="str">
        <f aca="false">IF(OR($G466="",$G466=0),"",IFERROR(ROUND($F466*$G466*(1-IF($H466="",0,$H466)),2),""))</f>
        <v/>
      </c>
      <c r="J466" s="9"/>
    </row>
    <row r="467" customFormat="false" ht="21.75" hidden="false" customHeight="true" outlineLevel="0" collapsed="false">
      <c r="B467" s="14" t="n">
        <v>457</v>
      </c>
      <c r="C467" s="7" t="s">
        <v>47</v>
      </c>
      <c r="D467" s="7" t="s">
        <v>66</v>
      </c>
      <c r="E467" s="7" t="s">
        <v>1294</v>
      </c>
      <c r="F467" s="18" t="n">
        <f aca="false">IF('Base de Datos SACI'!U461="","",'Base de Datos SACI'!U461)</f>
        <v>60</v>
      </c>
      <c r="G467" s="14"/>
      <c r="H467" s="28"/>
      <c r="I467" s="29" t="str">
        <f aca="false">IF(OR($G467="",$G467=0),"",IFERROR(ROUND($F467*$G467*(1-IF($H467="",0,$H467)),2),""))</f>
        <v/>
      </c>
      <c r="J467" s="7"/>
    </row>
    <row r="468" customFormat="false" ht="21.75" hidden="false" customHeight="true" outlineLevel="0" collapsed="false">
      <c r="B468" s="15" t="n">
        <v>458</v>
      </c>
      <c r="C468" s="9" t="s">
        <v>47</v>
      </c>
      <c r="D468" s="9" t="s">
        <v>66</v>
      </c>
      <c r="E468" s="9" t="s">
        <v>1296</v>
      </c>
      <c r="F468" s="19" t="n">
        <f aca="false">IF('Base de Datos SACI'!U462="","",'Base de Datos SACI'!U462)</f>
        <v>90</v>
      </c>
      <c r="G468" s="15"/>
      <c r="H468" s="30"/>
      <c r="I468" s="31" t="str">
        <f aca="false">IF(OR($G468="",$G468=0),"",IFERROR(ROUND($F468*$G468*(1-IF($H468="",0,$H468)),2),""))</f>
        <v/>
      </c>
      <c r="J468" s="9"/>
    </row>
    <row r="469" customFormat="false" ht="21.75" hidden="false" customHeight="true" outlineLevel="0" collapsed="false">
      <c r="B469" s="14" t="n">
        <v>459</v>
      </c>
      <c r="C469" s="7" t="s">
        <v>47</v>
      </c>
      <c r="D469" s="7" t="s">
        <v>66</v>
      </c>
      <c r="E469" s="7" t="s">
        <v>1297</v>
      </c>
      <c r="F469" s="18" t="n">
        <f aca="false">IF('Base de Datos SACI'!U463="","",'Base de Datos SACI'!U463)</f>
        <v>135</v>
      </c>
      <c r="G469" s="14"/>
      <c r="H469" s="28"/>
      <c r="I469" s="29" t="str">
        <f aca="false">IF(OR($G469="",$G469=0),"",IFERROR(ROUND($F469*$G469*(1-IF($H469="",0,$H469)),2),""))</f>
        <v/>
      </c>
      <c r="J469" s="7"/>
    </row>
    <row r="470" customFormat="false" ht="21.75" hidden="false" customHeight="true" outlineLevel="0" collapsed="false">
      <c r="B470" s="15" t="n">
        <v>460</v>
      </c>
      <c r="C470" s="9" t="s">
        <v>47</v>
      </c>
      <c r="D470" s="9" t="s">
        <v>67</v>
      </c>
      <c r="E470" s="9" t="s">
        <v>1298</v>
      </c>
      <c r="F470" s="19" t="n">
        <f aca="false">IF('Base de Datos SACI'!U464="","",'Base de Datos SACI'!U464)</f>
        <v>19</v>
      </c>
      <c r="G470" s="15"/>
      <c r="H470" s="30"/>
      <c r="I470" s="31" t="str">
        <f aca="false">IF(OR($G470="",$G470=0),"",IFERROR(ROUND($F470*$G470*(1-IF($H470="",0,$H470)),2),""))</f>
        <v/>
      </c>
      <c r="J470" s="9"/>
    </row>
    <row r="471" customFormat="false" ht="21.75" hidden="false" customHeight="true" outlineLevel="0" collapsed="false">
      <c r="B471" s="14" t="n">
        <v>461</v>
      </c>
      <c r="C471" s="7" t="s">
        <v>47</v>
      </c>
      <c r="D471" s="7" t="s">
        <v>67</v>
      </c>
      <c r="E471" s="7" t="s">
        <v>1302</v>
      </c>
      <c r="F471" s="18" t="n">
        <f aca="false">IF('Base de Datos SACI'!U465="","",'Base de Datos SACI'!U465)</f>
        <v>25</v>
      </c>
      <c r="G471" s="14"/>
      <c r="H471" s="28"/>
      <c r="I471" s="29" t="str">
        <f aca="false">IF(OR($G471="",$G471=0),"",IFERROR(ROUND($F471*$G471*(1-IF($H471="",0,$H471)),2),""))</f>
        <v/>
      </c>
      <c r="J471" s="7"/>
    </row>
    <row r="472" customFormat="false" ht="21.75" hidden="false" customHeight="true" outlineLevel="0" collapsed="false">
      <c r="B472" s="15" t="n">
        <v>462</v>
      </c>
      <c r="C472" s="9" t="s">
        <v>47</v>
      </c>
      <c r="D472" s="9" t="s">
        <v>67</v>
      </c>
      <c r="E472" s="9" t="s">
        <v>1303</v>
      </c>
      <c r="F472" s="19" t="n">
        <f aca="false">IF('Base de Datos SACI'!U466="","",'Base de Datos SACI'!U466)</f>
        <v>35</v>
      </c>
      <c r="G472" s="15"/>
      <c r="H472" s="30"/>
      <c r="I472" s="31" t="str">
        <f aca="false">IF(OR($G472="",$G472=0),"",IFERROR(ROUND($F472*$G472*(1-IF($H472="",0,$H472)),2),""))</f>
        <v/>
      </c>
      <c r="J472" s="9"/>
    </row>
    <row r="473" customFormat="false" ht="21.75" hidden="false" customHeight="true" outlineLevel="0" collapsed="false">
      <c r="B473" s="14" t="n">
        <v>463</v>
      </c>
      <c r="C473" s="7" t="s">
        <v>47</v>
      </c>
      <c r="D473" s="7" t="s">
        <v>67</v>
      </c>
      <c r="E473" s="7" t="s">
        <v>1304</v>
      </c>
      <c r="F473" s="18" t="n">
        <f aca="false">IF('Base de Datos SACI'!U467="","",'Base de Datos SACI'!U467)</f>
        <v>55</v>
      </c>
      <c r="G473" s="14"/>
      <c r="H473" s="28"/>
      <c r="I473" s="29" t="str">
        <f aca="false">IF(OR($G473="",$G473=0),"",IFERROR(ROUND($F473*$G473*(1-IF($H473="",0,$H473)),2),""))</f>
        <v/>
      </c>
      <c r="J473" s="7"/>
    </row>
    <row r="474" customFormat="false" ht="21.75" hidden="false" customHeight="true" outlineLevel="0" collapsed="false">
      <c r="B474" s="15" t="n">
        <v>464</v>
      </c>
      <c r="C474" s="9" t="s">
        <v>47</v>
      </c>
      <c r="D474" s="9" t="s">
        <v>67</v>
      </c>
      <c r="E474" s="9" t="s">
        <v>1305</v>
      </c>
      <c r="F474" s="19" t="n">
        <f aca="false">IF('Base de Datos SACI'!U468="","",'Base de Datos SACI'!U468)</f>
        <v>80</v>
      </c>
      <c r="G474" s="15"/>
      <c r="H474" s="30"/>
      <c r="I474" s="31" t="str">
        <f aca="false">IF(OR($G474="",$G474=0),"",IFERROR(ROUND($F474*$G474*(1-IF($H474="",0,$H474)),2),""))</f>
        <v/>
      </c>
      <c r="J474" s="9"/>
    </row>
    <row r="475" customFormat="false" ht="21.75" hidden="false" customHeight="true" outlineLevel="0" collapsed="false">
      <c r="B475" s="14" t="n">
        <v>465</v>
      </c>
      <c r="C475" s="7" t="s">
        <v>47</v>
      </c>
      <c r="D475" s="7" t="s">
        <v>68</v>
      </c>
      <c r="E475" s="7" t="s">
        <v>391</v>
      </c>
      <c r="F475" s="18" t="str">
        <f aca="false">IF('Base de Datos SACI'!U469="","",'Base de Datos SACI'!U469)</f>
        <v/>
      </c>
      <c r="G475" s="14"/>
      <c r="H475" s="28"/>
      <c r="I475" s="29" t="str">
        <f aca="false">IF(OR($G475="",$G475=0),"",IFERROR(ROUND($F475*$G475*(1-IF($H475="",0,$H475)),2),""))</f>
        <v/>
      </c>
      <c r="J475" s="7"/>
    </row>
    <row r="476" customFormat="false" ht="21.75" hidden="false" customHeight="true" outlineLevel="0" collapsed="false">
      <c r="B476" s="15" t="n">
        <v>466</v>
      </c>
      <c r="C476" s="9" t="s">
        <v>47</v>
      </c>
      <c r="D476" s="9" t="s">
        <v>69</v>
      </c>
      <c r="E476" s="9" t="s">
        <v>1307</v>
      </c>
      <c r="F476" s="19" t="n">
        <f aca="false">IF('Base de Datos SACI'!U470="","",'Base de Datos SACI'!U470)</f>
        <v>30</v>
      </c>
      <c r="G476" s="15"/>
      <c r="H476" s="30"/>
      <c r="I476" s="31" t="str">
        <f aca="false">IF(OR($G476="",$G476=0),"",IFERROR(ROUND($F476*$G476*(1-IF($H476="",0,$H476)),2),""))</f>
        <v/>
      </c>
      <c r="J476" s="9"/>
    </row>
    <row r="477" customFormat="false" ht="21.75" hidden="false" customHeight="true" outlineLevel="0" collapsed="false">
      <c r="B477" s="14" t="n">
        <v>467</v>
      </c>
      <c r="C477" s="7" t="s">
        <v>47</v>
      </c>
      <c r="D477" s="7" t="s">
        <v>69</v>
      </c>
      <c r="E477" s="7" t="s">
        <v>1314</v>
      </c>
      <c r="F477" s="18" t="n">
        <f aca="false">IF('Base de Datos SACI'!U471="","",'Base de Datos SACI'!U471)</f>
        <v>45</v>
      </c>
      <c r="G477" s="14"/>
      <c r="H477" s="28"/>
      <c r="I477" s="29" t="str">
        <f aca="false">IF(OR($G477="",$G477=0),"",IFERROR(ROUND($F477*$G477*(1-IF($H477="",0,$H477)),2),""))</f>
        <v/>
      </c>
      <c r="J477" s="7"/>
    </row>
    <row r="478" customFormat="false" ht="21.75" hidden="false" customHeight="true" outlineLevel="0" collapsed="false">
      <c r="B478" s="15" t="n">
        <v>468</v>
      </c>
      <c r="C478" s="9" t="s">
        <v>47</v>
      </c>
      <c r="D478" s="9" t="s">
        <v>69</v>
      </c>
      <c r="E478" s="9" t="s">
        <v>1315</v>
      </c>
      <c r="F478" s="19" t="n">
        <f aca="false">IF('Base de Datos SACI'!U472="","",'Base de Datos SACI'!U472)</f>
        <v>60</v>
      </c>
      <c r="G478" s="15"/>
      <c r="H478" s="30"/>
      <c r="I478" s="31" t="str">
        <f aca="false">IF(OR($G478="",$G478=0),"",IFERROR(ROUND($F478*$G478*(1-IF($H478="",0,$H478)),2),""))</f>
        <v/>
      </c>
      <c r="J478" s="9"/>
    </row>
    <row r="479" customFormat="false" ht="21.75" hidden="false" customHeight="true" outlineLevel="0" collapsed="false">
      <c r="B479" s="14" t="n">
        <v>469</v>
      </c>
      <c r="C479" s="7" t="s">
        <v>47</v>
      </c>
      <c r="D479" s="7" t="s">
        <v>69</v>
      </c>
      <c r="E479" s="7" t="s">
        <v>1317</v>
      </c>
      <c r="F479" s="18" t="n">
        <f aca="false">IF('Base de Datos SACI'!U473="","",'Base de Datos SACI'!U473)</f>
        <v>90</v>
      </c>
      <c r="G479" s="14"/>
      <c r="H479" s="28"/>
      <c r="I479" s="29" t="str">
        <f aca="false">IF(OR($G479="",$G479=0),"",IFERROR(ROUND($F479*$G479*(1-IF($H479="",0,$H479)),2),""))</f>
        <v/>
      </c>
      <c r="J479" s="7"/>
    </row>
    <row r="480" customFormat="false" ht="21.75" hidden="false" customHeight="true" outlineLevel="0" collapsed="false">
      <c r="B480" s="15" t="n">
        <v>470</v>
      </c>
      <c r="C480" s="9" t="s">
        <v>47</v>
      </c>
      <c r="D480" s="9" t="s">
        <v>69</v>
      </c>
      <c r="E480" s="9" t="s">
        <v>1318</v>
      </c>
      <c r="F480" s="19" t="n">
        <f aca="false">IF('Base de Datos SACI'!U474="","",'Base de Datos SACI'!U474)</f>
        <v>135</v>
      </c>
      <c r="G480" s="15"/>
      <c r="H480" s="30"/>
      <c r="I480" s="31" t="str">
        <f aca="false">IF(OR($G480="",$G480=0),"",IFERROR(ROUND($F480*$G480*(1-IF($H480="",0,$H480)),2),""))</f>
        <v/>
      </c>
      <c r="J480" s="9"/>
    </row>
    <row r="481" customFormat="false" ht="21.75" hidden="false" customHeight="true" outlineLevel="0" collapsed="false">
      <c r="B481" s="14" t="n">
        <v>471</v>
      </c>
      <c r="C481" s="7" t="s">
        <v>47</v>
      </c>
      <c r="D481" s="7" t="s">
        <v>70</v>
      </c>
      <c r="E481" s="7" t="s">
        <v>1319</v>
      </c>
      <c r="F481" s="18" t="n">
        <f aca="false">IF('Base de Datos SACI'!U475="","",'Base de Datos SACI'!U475)</f>
        <v>17</v>
      </c>
      <c r="G481" s="14"/>
      <c r="H481" s="28"/>
      <c r="I481" s="29" t="str">
        <f aca="false">IF(OR($G481="",$G481=0),"",IFERROR(ROUND($F481*$G481*(1-IF($H481="",0,$H481)),2),""))</f>
        <v/>
      </c>
      <c r="J481" s="7"/>
    </row>
    <row r="482" customFormat="false" ht="21.75" hidden="false" customHeight="true" outlineLevel="0" collapsed="false">
      <c r="B482" s="15" t="n">
        <v>472</v>
      </c>
      <c r="C482" s="9" t="s">
        <v>47</v>
      </c>
      <c r="D482" s="9" t="s">
        <v>70</v>
      </c>
      <c r="E482" s="9" t="s">
        <v>1323</v>
      </c>
      <c r="F482" s="19" t="n">
        <f aca="false">IF('Base de Datos SACI'!U476="","",'Base de Datos SACI'!U476)</f>
        <v>25</v>
      </c>
      <c r="G482" s="15"/>
      <c r="H482" s="30"/>
      <c r="I482" s="31" t="str">
        <f aca="false">IF(OR($G482="",$G482=0),"",IFERROR(ROUND($F482*$G482*(1-IF($H482="",0,$H482)),2),""))</f>
        <v/>
      </c>
      <c r="J482" s="9"/>
    </row>
    <row r="483" customFormat="false" ht="21.75" hidden="false" customHeight="true" outlineLevel="0" collapsed="false">
      <c r="B483" s="14" t="n">
        <v>473</v>
      </c>
      <c r="C483" s="7" t="s">
        <v>47</v>
      </c>
      <c r="D483" s="7" t="s">
        <v>70</v>
      </c>
      <c r="E483" s="7" t="s">
        <v>1324</v>
      </c>
      <c r="F483" s="18" t="n">
        <f aca="false">IF('Base de Datos SACI'!U477="","",'Base de Datos SACI'!U477)</f>
        <v>30</v>
      </c>
      <c r="G483" s="14"/>
      <c r="H483" s="28"/>
      <c r="I483" s="29" t="str">
        <f aca="false">IF(OR($G483="",$G483=0),"",IFERROR(ROUND($F483*$G483*(1-IF($H483="",0,$H483)),2),""))</f>
        <v/>
      </c>
      <c r="J483" s="7"/>
    </row>
    <row r="484" customFormat="false" ht="21.75" hidden="false" customHeight="true" outlineLevel="0" collapsed="false">
      <c r="B484" s="15" t="n">
        <v>474</v>
      </c>
      <c r="C484" s="9" t="s">
        <v>47</v>
      </c>
      <c r="D484" s="9" t="s">
        <v>70</v>
      </c>
      <c r="E484" s="9" t="s">
        <v>1326</v>
      </c>
      <c r="F484" s="19" t="n">
        <f aca="false">IF('Base de Datos SACI'!U478="","",'Base de Datos SACI'!U478)</f>
        <v>50</v>
      </c>
      <c r="G484" s="15"/>
      <c r="H484" s="30"/>
      <c r="I484" s="31" t="str">
        <f aca="false">IF(OR($G484="",$G484=0),"",IFERROR(ROUND($F484*$G484*(1-IF($H484="",0,$H484)),2),""))</f>
        <v/>
      </c>
      <c r="J484" s="9"/>
    </row>
    <row r="485" customFormat="false" ht="21.75" hidden="false" customHeight="true" outlineLevel="0" collapsed="false">
      <c r="B485" s="14" t="n">
        <v>475</v>
      </c>
      <c r="C485" s="7" t="s">
        <v>47</v>
      </c>
      <c r="D485" s="7" t="s">
        <v>70</v>
      </c>
      <c r="E485" s="7" t="s">
        <v>1327</v>
      </c>
      <c r="F485" s="18" t="n">
        <f aca="false">IF('Base de Datos SACI'!U479="","",'Base de Datos SACI'!U479)</f>
        <v>70</v>
      </c>
      <c r="G485" s="14"/>
      <c r="H485" s="28"/>
      <c r="I485" s="29" t="str">
        <f aca="false">IF(OR($G485="",$G485=0),"",IFERROR(ROUND($F485*$G485*(1-IF($H485="",0,$H485)),2),""))</f>
        <v/>
      </c>
      <c r="J485" s="7"/>
    </row>
    <row r="486" customFormat="false" ht="21.75" hidden="false" customHeight="true" outlineLevel="0" collapsed="false">
      <c r="B486" s="15" t="n">
        <v>476</v>
      </c>
      <c r="C486" s="9" t="s">
        <v>47</v>
      </c>
      <c r="D486" s="9" t="s">
        <v>71</v>
      </c>
      <c r="E486" s="9" t="s">
        <v>1328</v>
      </c>
      <c r="F486" s="19" t="n">
        <f aca="false">IF('Base de Datos SACI'!U480="","",'Base de Datos SACI'!U480)</f>
        <v>40</v>
      </c>
      <c r="G486" s="15"/>
      <c r="H486" s="30"/>
      <c r="I486" s="31" t="str">
        <f aca="false">IF(OR($G486="",$G486=0),"",IFERROR(ROUND($F486*$G486*(1-IF($H486="",0,$H486)),2),""))</f>
        <v/>
      </c>
      <c r="J486" s="9"/>
    </row>
    <row r="487" customFormat="false" ht="21.75" hidden="false" customHeight="true" outlineLevel="0" collapsed="false">
      <c r="B487" s="14" t="n">
        <v>477</v>
      </c>
      <c r="C487" s="7" t="s">
        <v>47</v>
      </c>
      <c r="D487" s="7" t="s">
        <v>71</v>
      </c>
      <c r="E487" s="7" t="s">
        <v>1333</v>
      </c>
      <c r="F487" s="18" t="n">
        <f aca="false">IF('Base de Datos SACI'!U481="","",'Base de Datos SACI'!U481)</f>
        <v>65</v>
      </c>
      <c r="G487" s="14"/>
      <c r="H487" s="28"/>
      <c r="I487" s="29" t="str">
        <f aca="false">IF(OR($G487="",$G487=0),"",IFERROR(ROUND($F487*$G487*(1-IF($H487="",0,$H487)),2),""))</f>
        <v/>
      </c>
      <c r="J487" s="7"/>
    </row>
    <row r="488" customFormat="false" ht="21.75" hidden="false" customHeight="true" outlineLevel="0" collapsed="false">
      <c r="B488" s="15" t="n">
        <v>478</v>
      </c>
      <c r="C488" s="9" t="s">
        <v>47</v>
      </c>
      <c r="D488" s="9" t="s">
        <v>71</v>
      </c>
      <c r="E488" s="9" t="s">
        <v>1334</v>
      </c>
      <c r="F488" s="19" t="n">
        <f aca="false">IF('Base de Datos SACI'!U482="","",'Base de Datos SACI'!U482)</f>
        <v>85</v>
      </c>
      <c r="G488" s="15"/>
      <c r="H488" s="30"/>
      <c r="I488" s="31" t="str">
        <f aca="false">IF(OR($G488="",$G488=0),"",IFERROR(ROUND($F488*$G488*(1-IF($H488="",0,$H488)),2),""))</f>
        <v/>
      </c>
      <c r="J488" s="9"/>
    </row>
    <row r="489" customFormat="false" ht="21.75" hidden="false" customHeight="true" outlineLevel="0" collapsed="false">
      <c r="B489" s="14" t="n">
        <v>479</v>
      </c>
      <c r="C489" s="7" t="s">
        <v>47</v>
      </c>
      <c r="D489" s="7" t="s">
        <v>71</v>
      </c>
      <c r="E489" s="7" t="s">
        <v>1336</v>
      </c>
      <c r="F489" s="18" t="n">
        <f aca="false">IF('Base de Datos SACI'!U483="","",'Base de Datos SACI'!U483)</f>
        <v>130</v>
      </c>
      <c r="G489" s="14"/>
      <c r="H489" s="28"/>
      <c r="I489" s="29" t="str">
        <f aca="false">IF(OR($G489="",$G489=0),"",IFERROR(ROUND($F489*$G489*(1-IF($H489="",0,$H489)),2),""))</f>
        <v/>
      </c>
      <c r="J489" s="7"/>
    </row>
    <row r="490" customFormat="false" ht="21.75" hidden="false" customHeight="true" outlineLevel="0" collapsed="false">
      <c r="B490" s="15" t="n">
        <v>480</v>
      </c>
      <c r="C490" s="9" t="s">
        <v>47</v>
      </c>
      <c r="D490" s="9" t="s">
        <v>71</v>
      </c>
      <c r="E490" s="9" t="s">
        <v>1337</v>
      </c>
      <c r="F490" s="19" t="n">
        <f aca="false">IF('Base de Datos SACI'!U484="","",'Base de Datos SACI'!U484)</f>
        <v>190</v>
      </c>
      <c r="G490" s="15"/>
      <c r="H490" s="30"/>
      <c r="I490" s="31" t="str">
        <f aca="false">IF(OR($G490="",$G490=0),"",IFERROR(ROUND($F490*$G490*(1-IF($H490="",0,$H490)),2),""))</f>
        <v/>
      </c>
      <c r="J490" s="9"/>
    </row>
    <row r="491" customFormat="false" ht="21.75" hidden="false" customHeight="true" outlineLevel="0" collapsed="false">
      <c r="B491" s="14" t="n">
        <v>481</v>
      </c>
      <c r="C491" s="7" t="s">
        <v>47</v>
      </c>
      <c r="D491" s="7" t="s">
        <v>72</v>
      </c>
      <c r="E491" s="7" t="s">
        <v>391</v>
      </c>
      <c r="F491" s="18" t="str">
        <f aca="false">IF('Base de Datos SACI'!U485="","",'Base de Datos SACI'!U485)</f>
        <v/>
      </c>
      <c r="G491" s="14"/>
      <c r="H491" s="28"/>
      <c r="I491" s="29" t="str">
        <f aca="false">IF(OR($G491="",$G491=0),"",IFERROR(ROUND($F491*$G491*(1-IF($H491="",0,$H491)),2),""))</f>
        <v/>
      </c>
      <c r="J491" s="7"/>
    </row>
    <row r="492" customFormat="false" ht="21.75" hidden="false" customHeight="true" outlineLevel="0" collapsed="false">
      <c r="B492" s="15" t="n">
        <v>482</v>
      </c>
      <c r="C492" s="9" t="s">
        <v>47</v>
      </c>
      <c r="D492" s="9" t="s">
        <v>73</v>
      </c>
      <c r="E492" s="9" t="s">
        <v>1339</v>
      </c>
      <c r="F492" s="19" t="n">
        <f aca="false">IF('Base de Datos SACI'!U486="","",'Base de Datos SACI'!U486)</f>
        <v>35</v>
      </c>
      <c r="G492" s="15"/>
      <c r="H492" s="30"/>
      <c r="I492" s="31" t="str">
        <f aca="false">IF(OR($G492="",$G492=0),"",IFERROR(ROUND($F492*$G492*(1-IF($H492="",0,$H492)),2),""))</f>
        <v/>
      </c>
      <c r="J492" s="9"/>
    </row>
    <row r="493" customFormat="false" ht="21.75" hidden="false" customHeight="true" outlineLevel="0" collapsed="false">
      <c r="B493" s="14" t="n">
        <v>483</v>
      </c>
      <c r="C493" s="7" t="s">
        <v>47</v>
      </c>
      <c r="D493" s="7" t="s">
        <v>73</v>
      </c>
      <c r="E493" s="7" t="s">
        <v>1346</v>
      </c>
      <c r="F493" s="18" t="n">
        <f aca="false">IF('Base de Datos SACI'!U487="","",'Base de Datos SACI'!U487)</f>
        <v>55</v>
      </c>
      <c r="G493" s="14"/>
      <c r="H493" s="28"/>
      <c r="I493" s="29" t="str">
        <f aca="false">IF(OR($G493="",$G493=0),"",IFERROR(ROUND($F493*$G493*(1-IF($H493="",0,$H493)),2),""))</f>
        <v/>
      </c>
      <c r="J493" s="7"/>
    </row>
    <row r="494" customFormat="false" ht="21.75" hidden="false" customHeight="true" outlineLevel="0" collapsed="false">
      <c r="B494" s="15" t="n">
        <v>484</v>
      </c>
      <c r="C494" s="9" t="s">
        <v>47</v>
      </c>
      <c r="D494" s="9" t="s">
        <v>73</v>
      </c>
      <c r="E494" s="9" t="s">
        <v>1347</v>
      </c>
      <c r="F494" s="19" t="n">
        <f aca="false">IF('Base de Datos SACI'!U488="","",'Base de Datos SACI'!U488)</f>
        <v>75</v>
      </c>
      <c r="G494" s="15"/>
      <c r="H494" s="30"/>
      <c r="I494" s="31" t="str">
        <f aca="false">IF(OR($G494="",$G494=0),"",IFERROR(ROUND($F494*$G494*(1-IF($H494="",0,$H494)),2),""))</f>
        <v/>
      </c>
      <c r="J494" s="9"/>
    </row>
    <row r="495" customFormat="false" ht="21.75" hidden="false" customHeight="true" outlineLevel="0" collapsed="false">
      <c r="B495" s="14" t="n">
        <v>485</v>
      </c>
      <c r="C495" s="7" t="s">
        <v>47</v>
      </c>
      <c r="D495" s="7" t="s">
        <v>73</v>
      </c>
      <c r="E495" s="7" t="s">
        <v>1349</v>
      </c>
      <c r="F495" s="18" t="n">
        <f aca="false">IF('Base de Datos SACI'!U489="","",'Base de Datos SACI'!U489)</f>
        <v>115</v>
      </c>
      <c r="G495" s="14"/>
      <c r="H495" s="28"/>
      <c r="I495" s="29" t="str">
        <f aca="false">IF(OR($G495="",$G495=0),"",IFERROR(ROUND($F495*$G495*(1-IF($H495="",0,$H495)),2),""))</f>
        <v/>
      </c>
      <c r="J495" s="7"/>
    </row>
    <row r="496" customFormat="false" ht="21.75" hidden="false" customHeight="true" outlineLevel="0" collapsed="false">
      <c r="B496" s="15" t="n">
        <v>486</v>
      </c>
      <c r="C496" s="9" t="s">
        <v>47</v>
      </c>
      <c r="D496" s="9" t="s">
        <v>73</v>
      </c>
      <c r="E496" s="9" t="s">
        <v>1350</v>
      </c>
      <c r="F496" s="19" t="n">
        <f aca="false">IF('Base de Datos SACI'!U490="","",'Base de Datos SACI'!U490)</f>
        <v>170</v>
      </c>
      <c r="G496" s="15"/>
      <c r="H496" s="30"/>
      <c r="I496" s="31" t="str">
        <f aca="false">IF(OR($G496="",$G496=0),"",IFERROR(ROUND($F496*$G496*(1-IF($H496="",0,$H496)),2),""))</f>
        <v/>
      </c>
      <c r="J496" s="9"/>
    </row>
    <row r="497" customFormat="false" ht="21.75" hidden="false" customHeight="true" outlineLevel="0" collapsed="false">
      <c r="B497" s="14" t="n">
        <v>487</v>
      </c>
      <c r="C497" s="7" t="s">
        <v>47</v>
      </c>
      <c r="D497" s="7" t="s">
        <v>74</v>
      </c>
      <c r="E497" s="7" t="s">
        <v>391</v>
      </c>
      <c r="F497" s="18" t="str">
        <f aca="false">IF('Base de Datos SACI'!U491="","",'Base de Datos SACI'!U491)</f>
        <v/>
      </c>
      <c r="G497" s="14"/>
      <c r="H497" s="28"/>
      <c r="I497" s="29" t="str">
        <f aca="false">IF(OR($G497="",$G497=0),"",IFERROR(ROUND($F497*$G497*(1-IF($H497="",0,$H497)),2),""))</f>
        <v/>
      </c>
      <c r="J497" s="7"/>
    </row>
    <row r="498" customFormat="false" ht="21.75" hidden="false" customHeight="true" outlineLevel="0" collapsed="false">
      <c r="B498" s="15" t="n">
        <v>488</v>
      </c>
      <c r="C498" s="9" t="s">
        <v>47</v>
      </c>
      <c r="D498" s="9" t="s">
        <v>75</v>
      </c>
      <c r="E498" s="9" t="s">
        <v>1352</v>
      </c>
      <c r="F498" s="19" t="n">
        <f aca="false">IF('Base de Datos SACI'!U492="","",'Base de Datos SACI'!U492)</f>
        <v>18</v>
      </c>
      <c r="G498" s="15"/>
      <c r="H498" s="30"/>
      <c r="I498" s="31" t="str">
        <f aca="false">IF(OR($G498="",$G498=0),"",IFERROR(ROUND($F498*$G498*(1-IF($H498="",0,$H498)),2),""))</f>
        <v/>
      </c>
      <c r="J498" s="9"/>
    </row>
    <row r="499" customFormat="false" ht="21.75" hidden="false" customHeight="true" outlineLevel="0" collapsed="false">
      <c r="B499" s="14" t="n">
        <v>489</v>
      </c>
      <c r="C499" s="7" t="s">
        <v>47</v>
      </c>
      <c r="D499" s="7" t="s">
        <v>75</v>
      </c>
      <c r="E499" s="7" t="s">
        <v>1356</v>
      </c>
      <c r="F499" s="18" t="n">
        <f aca="false">IF('Base de Datos SACI'!U493="","",'Base de Datos SACI'!U493)</f>
        <v>25</v>
      </c>
      <c r="G499" s="14"/>
      <c r="H499" s="28"/>
      <c r="I499" s="29" t="str">
        <f aca="false">IF(OR($G499="",$G499=0),"",IFERROR(ROUND($F499*$G499*(1-IF($H499="",0,$H499)),2),""))</f>
        <v/>
      </c>
      <c r="J499" s="7"/>
    </row>
    <row r="500" customFormat="false" ht="21.75" hidden="false" customHeight="true" outlineLevel="0" collapsed="false">
      <c r="B500" s="15" t="n">
        <v>490</v>
      </c>
      <c r="C500" s="9" t="s">
        <v>47</v>
      </c>
      <c r="D500" s="9" t="s">
        <v>75</v>
      </c>
      <c r="E500" s="9" t="s">
        <v>1357</v>
      </c>
      <c r="F500" s="19" t="n">
        <f aca="false">IF('Base de Datos SACI'!U494="","",'Base de Datos SACI'!U494)</f>
        <v>35</v>
      </c>
      <c r="G500" s="15"/>
      <c r="H500" s="30"/>
      <c r="I500" s="31" t="str">
        <f aca="false">IF(OR($G500="",$G500=0),"",IFERROR(ROUND($F500*$G500*(1-IF($H500="",0,$H500)),2),""))</f>
        <v/>
      </c>
      <c r="J500" s="9"/>
    </row>
    <row r="501" customFormat="false" ht="21.75" hidden="false" customHeight="true" outlineLevel="0" collapsed="false">
      <c r="B501" s="14" t="n">
        <v>491</v>
      </c>
      <c r="C501" s="7" t="s">
        <v>47</v>
      </c>
      <c r="D501" s="7" t="s">
        <v>75</v>
      </c>
      <c r="E501" s="7" t="s">
        <v>1359</v>
      </c>
      <c r="F501" s="18" t="n">
        <f aca="false">IF('Base de Datos SACI'!U495="","",'Base de Datos SACI'!U495)</f>
        <v>50</v>
      </c>
      <c r="G501" s="14"/>
      <c r="H501" s="28"/>
      <c r="I501" s="29" t="str">
        <f aca="false">IF(OR($G501="",$G501=0),"",IFERROR(ROUND($F501*$G501*(1-IF($H501="",0,$H501)),2),""))</f>
        <v/>
      </c>
      <c r="J501" s="7"/>
    </row>
    <row r="502" customFormat="false" ht="21.75" hidden="false" customHeight="true" outlineLevel="0" collapsed="false">
      <c r="B502" s="15" t="n">
        <v>492</v>
      </c>
      <c r="C502" s="9" t="s">
        <v>47</v>
      </c>
      <c r="D502" s="9" t="s">
        <v>75</v>
      </c>
      <c r="E502" s="9" t="s">
        <v>1360</v>
      </c>
      <c r="F502" s="19" t="n">
        <f aca="false">IF('Base de Datos SACI'!U496="","",'Base de Datos SACI'!U496)</f>
        <v>75</v>
      </c>
      <c r="G502" s="15"/>
      <c r="H502" s="30"/>
      <c r="I502" s="31" t="str">
        <f aca="false">IF(OR($G502="",$G502=0),"",IFERROR(ROUND($F502*$G502*(1-IF($H502="",0,$H502)),2),""))</f>
        <v/>
      </c>
      <c r="J502" s="9"/>
    </row>
    <row r="503" customFormat="false" ht="21.75" hidden="false" customHeight="true" outlineLevel="0" collapsed="false">
      <c r="B503" s="14" t="n">
        <v>493</v>
      </c>
      <c r="C503" s="7" t="s">
        <v>48</v>
      </c>
      <c r="D503" s="7" t="s">
        <v>60</v>
      </c>
      <c r="E503" s="7" t="s">
        <v>1361</v>
      </c>
      <c r="F503" s="18" t="n">
        <f aca="false">IF('Base de Datos SACI'!U497="","",'Base de Datos SACI'!U497)</f>
        <v>155</v>
      </c>
      <c r="G503" s="14"/>
      <c r="H503" s="28"/>
      <c r="I503" s="29" t="str">
        <f aca="false">IF(OR($G503="",$G503=0),"",IFERROR(ROUND($F503*$G503*(1-IF($H503="",0,$H503)),2),""))</f>
        <v/>
      </c>
      <c r="J503" s="7"/>
    </row>
    <row r="504" customFormat="false" ht="21.75" hidden="false" customHeight="true" outlineLevel="0" collapsed="false">
      <c r="B504" s="15" t="n">
        <v>494</v>
      </c>
      <c r="C504" s="9" t="s">
        <v>48</v>
      </c>
      <c r="D504" s="9" t="s">
        <v>60</v>
      </c>
      <c r="E504" s="9" t="s">
        <v>1371</v>
      </c>
      <c r="F504" s="19" t="n">
        <f aca="false">IF('Base de Datos SACI'!U498="","",'Base de Datos SACI'!U498)</f>
        <v>235</v>
      </c>
      <c r="G504" s="15"/>
      <c r="H504" s="30"/>
      <c r="I504" s="31" t="str">
        <f aca="false">IF(OR($G504="",$G504=0),"",IFERROR(ROUND($F504*$G504*(1-IF($H504="",0,$H504)),2),""))</f>
        <v/>
      </c>
      <c r="J504" s="9"/>
    </row>
    <row r="505" customFormat="false" ht="21.75" hidden="false" customHeight="true" outlineLevel="0" collapsed="false">
      <c r="B505" s="14" t="n">
        <v>495</v>
      </c>
      <c r="C505" s="7" t="s">
        <v>48</v>
      </c>
      <c r="D505" s="7" t="s">
        <v>60</v>
      </c>
      <c r="E505" s="7" t="s">
        <v>1372</v>
      </c>
      <c r="F505" s="18" t="n">
        <f aca="false">IF('Base de Datos SACI'!U499="","",'Base de Datos SACI'!U499)</f>
        <v>315</v>
      </c>
      <c r="G505" s="14"/>
      <c r="H505" s="28"/>
      <c r="I505" s="29" t="str">
        <f aca="false">IF(OR($G505="",$G505=0),"",IFERROR(ROUND($F505*$G505*(1-IF($H505="",0,$H505)),2),""))</f>
        <v/>
      </c>
      <c r="J505" s="7"/>
    </row>
    <row r="506" customFormat="false" ht="21.75" hidden="false" customHeight="true" outlineLevel="0" collapsed="false">
      <c r="B506" s="15" t="n">
        <v>496</v>
      </c>
      <c r="C506" s="9" t="s">
        <v>48</v>
      </c>
      <c r="D506" s="9" t="s">
        <v>60</v>
      </c>
      <c r="E506" s="9" t="s">
        <v>1374</v>
      </c>
      <c r="F506" s="19" t="n">
        <f aca="false">IF('Base de Datos SACI'!U500="","",'Base de Datos SACI'!U500)</f>
        <v>470</v>
      </c>
      <c r="G506" s="15"/>
      <c r="H506" s="30"/>
      <c r="I506" s="31" t="str">
        <f aca="false">IF(OR($G506="",$G506=0),"",IFERROR(ROUND($F506*$G506*(1-IF($H506="",0,$H506)),2),""))</f>
        <v/>
      </c>
      <c r="J506" s="9"/>
    </row>
    <row r="507" customFormat="false" ht="21.75" hidden="false" customHeight="true" outlineLevel="0" collapsed="false">
      <c r="B507" s="14" t="n">
        <v>497</v>
      </c>
      <c r="C507" s="7" t="s">
        <v>48</v>
      </c>
      <c r="D507" s="7" t="s">
        <v>60</v>
      </c>
      <c r="E507" s="7" t="s">
        <v>1375</v>
      </c>
      <c r="F507" s="18" t="n">
        <f aca="false">IF('Base de Datos SACI'!U501="","",'Base de Datos SACI'!U501)</f>
        <v>690</v>
      </c>
      <c r="G507" s="14"/>
      <c r="H507" s="28"/>
      <c r="I507" s="29" t="str">
        <f aca="false">IF(OR($G507="",$G507=0),"",IFERROR(ROUND($F507*$G507*(1-IF($H507="",0,$H507)),2),""))</f>
        <v/>
      </c>
      <c r="J507" s="7"/>
    </row>
    <row r="508" customFormat="false" ht="21.75" hidden="false" customHeight="true" outlineLevel="0" collapsed="false">
      <c r="B508" s="15" t="n">
        <v>498</v>
      </c>
      <c r="C508" s="9" t="s">
        <v>48</v>
      </c>
      <c r="D508" s="9" t="s">
        <v>61</v>
      </c>
      <c r="E508" s="9" t="s">
        <v>391</v>
      </c>
      <c r="F508" s="19" t="str">
        <f aca="false">IF('Base de Datos SACI'!U502="","",'Base de Datos SACI'!U502)</f>
        <v/>
      </c>
      <c r="G508" s="15"/>
      <c r="H508" s="30"/>
      <c r="I508" s="31" t="str">
        <f aca="false">IF(OR($G508="",$G508=0),"",IFERROR(ROUND($F508*$G508*(1-IF($H508="",0,$H508)),2),""))</f>
        <v/>
      </c>
      <c r="J508" s="9"/>
    </row>
    <row r="509" customFormat="false" ht="21.75" hidden="false" customHeight="true" outlineLevel="0" collapsed="false">
      <c r="B509" s="14" t="n">
        <v>499</v>
      </c>
      <c r="C509" s="7" t="s">
        <v>48</v>
      </c>
      <c r="D509" s="7" t="s">
        <v>62</v>
      </c>
      <c r="E509" s="7" t="s">
        <v>1377</v>
      </c>
      <c r="F509" s="18" t="n">
        <f aca="false">IF('Base de Datos SACI'!U503="","",'Base de Datos SACI'!U503)</f>
        <v>115</v>
      </c>
      <c r="G509" s="14"/>
      <c r="H509" s="28"/>
      <c r="I509" s="29" t="str">
        <f aca="false">IF(OR($G509="",$G509=0),"",IFERROR(ROUND($F509*$G509*(1-IF($H509="",0,$H509)),2),""))</f>
        <v/>
      </c>
      <c r="J509" s="7"/>
    </row>
    <row r="510" customFormat="false" ht="21.75" hidden="false" customHeight="true" outlineLevel="0" collapsed="false">
      <c r="B510" s="15" t="n">
        <v>500</v>
      </c>
      <c r="C510" s="9" t="s">
        <v>48</v>
      </c>
      <c r="D510" s="9" t="s">
        <v>62</v>
      </c>
      <c r="E510" s="9" t="s">
        <v>1384</v>
      </c>
      <c r="F510" s="19" t="n">
        <f aca="false">IF('Base de Datos SACI'!U504="","",'Base de Datos SACI'!U504)</f>
        <v>175</v>
      </c>
      <c r="G510" s="15"/>
      <c r="H510" s="30"/>
      <c r="I510" s="31" t="str">
        <f aca="false">IF(OR($G510="",$G510=0),"",IFERROR(ROUND($F510*$G510*(1-IF($H510="",0,$H510)),2),""))</f>
        <v/>
      </c>
      <c r="J510" s="9"/>
    </row>
    <row r="511" customFormat="false" ht="21.75" hidden="false" customHeight="true" outlineLevel="0" collapsed="false">
      <c r="B511" s="14" t="n">
        <v>501</v>
      </c>
      <c r="C511" s="7" t="s">
        <v>48</v>
      </c>
      <c r="D511" s="7" t="s">
        <v>62</v>
      </c>
      <c r="E511" s="7" t="s">
        <v>1385</v>
      </c>
      <c r="F511" s="18" t="n">
        <f aca="false">IF('Base de Datos SACI'!U505="","",'Base de Datos SACI'!U505)</f>
        <v>235</v>
      </c>
      <c r="G511" s="14"/>
      <c r="H511" s="28"/>
      <c r="I511" s="29" t="str">
        <f aca="false">IF(OR($G511="",$G511=0),"",IFERROR(ROUND($F511*$G511*(1-IF($H511="",0,$H511)),2),""))</f>
        <v/>
      </c>
      <c r="J511" s="7"/>
    </row>
    <row r="512" customFormat="false" ht="21.75" hidden="false" customHeight="true" outlineLevel="0" collapsed="false">
      <c r="B512" s="15" t="n">
        <v>502</v>
      </c>
      <c r="C512" s="9" t="s">
        <v>48</v>
      </c>
      <c r="D512" s="9" t="s">
        <v>62</v>
      </c>
      <c r="E512" s="9" t="s">
        <v>1387</v>
      </c>
      <c r="F512" s="19" t="n">
        <f aca="false">IF('Base de Datos SACI'!U506="","",'Base de Datos SACI'!U506)</f>
        <v>350</v>
      </c>
      <c r="G512" s="15"/>
      <c r="H512" s="30"/>
      <c r="I512" s="31" t="str">
        <f aca="false">IF(OR($G512="",$G512=0),"",IFERROR(ROUND($F512*$G512*(1-IF($H512="",0,$H512)),2),""))</f>
        <v/>
      </c>
      <c r="J512" s="9"/>
    </row>
    <row r="513" customFormat="false" ht="21.75" hidden="false" customHeight="true" outlineLevel="0" collapsed="false">
      <c r="B513" s="14" t="n">
        <v>503</v>
      </c>
      <c r="C513" s="7" t="s">
        <v>48</v>
      </c>
      <c r="D513" s="7" t="s">
        <v>62</v>
      </c>
      <c r="E513" s="7" t="s">
        <v>1388</v>
      </c>
      <c r="F513" s="18" t="n">
        <f aca="false">IF('Base de Datos SACI'!U507="","",'Base de Datos SACI'!U507)</f>
        <v>515</v>
      </c>
      <c r="G513" s="14"/>
      <c r="H513" s="28"/>
      <c r="I513" s="29" t="str">
        <f aca="false">IF(OR($G513="",$G513=0),"",IFERROR(ROUND($F513*$G513*(1-IF($H513="",0,$H513)),2),""))</f>
        <v/>
      </c>
      <c r="J513" s="7"/>
    </row>
    <row r="514" customFormat="false" ht="21.75" hidden="false" customHeight="true" outlineLevel="0" collapsed="false">
      <c r="B514" s="15" t="n">
        <v>504</v>
      </c>
      <c r="C514" s="9" t="s">
        <v>48</v>
      </c>
      <c r="D514" s="9" t="s">
        <v>63</v>
      </c>
      <c r="E514" s="9" t="s">
        <v>1389</v>
      </c>
      <c r="F514" s="19" t="n">
        <f aca="false">IF('Base de Datos SACI'!U508="","",'Base de Datos SACI'!U508)</f>
        <v>40</v>
      </c>
      <c r="G514" s="15"/>
      <c r="H514" s="30"/>
      <c r="I514" s="31" t="str">
        <f aca="false">IF(OR($G514="",$G514=0),"",IFERROR(ROUND($F514*$G514*(1-IF($H514="",0,$H514)),2),""))</f>
        <v/>
      </c>
      <c r="J514" s="9"/>
    </row>
    <row r="515" customFormat="false" ht="21.75" hidden="false" customHeight="true" outlineLevel="0" collapsed="false">
      <c r="B515" s="14" t="n">
        <v>505</v>
      </c>
      <c r="C515" s="7" t="s">
        <v>48</v>
      </c>
      <c r="D515" s="7" t="s">
        <v>63</v>
      </c>
      <c r="E515" s="7" t="s">
        <v>1396</v>
      </c>
      <c r="F515" s="18" t="n">
        <f aca="false">IF('Base de Datos SACI'!U509="","",'Base de Datos SACI'!U509)</f>
        <v>60</v>
      </c>
      <c r="G515" s="14"/>
      <c r="H515" s="28"/>
      <c r="I515" s="29" t="str">
        <f aca="false">IF(OR($G515="",$G515=0),"",IFERROR(ROUND($F515*$G515*(1-IF($H515="",0,$H515)),2),""))</f>
        <v/>
      </c>
      <c r="J515" s="7"/>
    </row>
    <row r="516" customFormat="false" ht="21.75" hidden="false" customHeight="true" outlineLevel="0" collapsed="false">
      <c r="B516" s="15" t="n">
        <v>506</v>
      </c>
      <c r="C516" s="9" t="s">
        <v>48</v>
      </c>
      <c r="D516" s="9" t="s">
        <v>63</v>
      </c>
      <c r="E516" s="9" t="s">
        <v>1397</v>
      </c>
      <c r="F516" s="19" t="n">
        <f aca="false">IF('Base de Datos SACI'!U510="","",'Base de Datos SACI'!U510)</f>
        <v>85</v>
      </c>
      <c r="G516" s="15"/>
      <c r="H516" s="30"/>
      <c r="I516" s="31" t="str">
        <f aca="false">IF(OR($G516="",$G516=0),"",IFERROR(ROUND($F516*$G516*(1-IF($H516="",0,$H516)),2),""))</f>
        <v/>
      </c>
      <c r="J516" s="9"/>
    </row>
    <row r="517" customFormat="false" ht="21.75" hidden="false" customHeight="true" outlineLevel="0" collapsed="false">
      <c r="B517" s="14" t="n">
        <v>507</v>
      </c>
      <c r="C517" s="7" t="s">
        <v>48</v>
      </c>
      <c r="D517" s="7" t="s">
        <v>63</v>
      </c>
      <c r="E517" s="7" t="s">
        <v>1399</v>
      </c>
      <c r="F517" s="18" t="n">
        <f aca="false">IF('Base de Datos SACI'!U511="","",'Base de Datos SACI'!U511)</f>
        <v>125</v>
      </c>
      <c r="G517" s="14"/>
      <c r="H517" s="28"/>
      <c r="I517" s="29" t="str">
        <f aca="false">IF(OR($G517="",$G517=0),"",IFERROR(ROUND($F517*$G517*(1-IF($H517="",0,$H517)),2),""))</f>
        <v/>
      </c>
      <c r="J517" s="7"/>
    </row>
    <row r="518" customFormat="false" ht="21.75" hidden="false" customHeight="true" outlineLevel="0" collapsed="false">
      <c r="B518" s="15" t="n">
        <v>508</v>
      </c>
      <c r="C518" s="9" t="s">
        <v>48</v>
      </c>
      <c r="D518" s="9" t="s">
        <v>63</v>
      </c>
      <c r="E518" s="9" t="s">
        <v>1400</v>
      </c>
      <c r="F518" s="19" t="n">
        <f aca="false">IF('Base de Datos SACI'!U512="","",'Base de Datos SACI'!U512)</f>
        <v>185</v>
      </c>
      <c r="G518" s="15"/>
      <c r="H518" s="30"/>
      <c r="I518" s="31" t="str">
        <f aca="false">IF(OR($G518="",$G518=0),"",IFERROR(ROUND($F518*$G518*(1-IF($H518="",0,$H518)),2),""))</f>
        <v/>
      </c>
      <c r="J518" s="9"/>
    </row>
    <row r="519" customFormat="false" ht="21.75" hidden="false" customHeight="true" outlineLevel="0" collapsed="false">
      <c r="B519" s="14" t="n">
        <v>509</v>
      </c>
      <c r="C519" s="7" t="s">
        <v>48</v>
      </c>
      <c r="D519" s="7" t="s">
        <v>64</v>
      </c>
      <c r="E519" s="7" t="s">
        <v>1401</v>
      </c>
      <c r="F519" s="18" t="n">
        <f aca="false">IF('Base de Datos SACI'!U513="","",'Base de Datos SACI'!U513)</f>
        <v>17</v>
      </c>
      <c r="G519" s="14"/>
      <c r="H519" s="28"/>
      <c r="I519" s="29" t="str">
        <f aca="false">IF(OR($G519="",$G519=0),"",IFERROR(ROUND($F519*$G519*(1-IF($H519="",0,$H519)),2),""))</f>
        <v/>
      </c>
      <c r="J519" s="7"/>
    </row>
    <row r="520" customFormat="false" ht="21.75" hidden="false" customHeight="true" outlineLevel="0" collapsed="false">
      <c r="B520" s="15" t="n">
        <v>510</v>
      </c>
      <c r="C520" s="9" t="s">
        <v>48</v>
      </c>
      <c r="D520" s="9" t="s">
        <v>64</v>
      </c>
      <c r="E520" s="9" t="s">
        <v>1406</v>
      </c>
      <c r="F520" s="19" t="n">
        <f aca="false">IF('Base de Datos SACI'!U514="","",'Base de Datos SACI'!U514)</f>
        <v>25</v>
      </c>
      <c r="G520" s="15"/>
      <c r="H520" s="30"/>
      <c r="I520" s="31" t="str">
        <f aca="false">IF(OR($G520="",$G520=0),"",IFERROR(ROUND($F520*$G520*(1-IF($H520="",0,$H520)),2),""))</f>
        <v/>
      </c>
      <c r="J520" s="9"/>
    </row>
    <row r="521" customFormat="false" ht="21.75" hidden="false" customHeight="true" outlineLevel="0" collapsed="false">
      <c r="B521" s="14" t="n">
        <v>511</v>
      </c>
      <c r="C521" s="7" t="s">
        <v>48</v>
      </c>
      <c r="D521" s="7" t="s">
        <v>64</v>
      </c>
      <c r="E521" s="7" t="s">
        <v>1407</v>
      </c>
      <c r="F521" s="18" t="n">
        <f aca="false">IF('Base de Datos SACI'!U515="","",'Base de Datos SACI'!U515)</f>
        <v>30</v>
      </c>
      <c r="G521" s="14"/>
      <c r="H521" s="28"/>
      <c r="I521" s="29" t="str">
        <f aca="false">IF(OR($G521="",$G521=0),"",IFERROR(ROUND($F521*$G521*(1-IF($H521="",0,$H521)),2),""))</f>
        <v/>
      </c>
      <c r="J521" s="7"/>
    </row>
    <row r="522" customFormat="false" ht="21.75" hidden="false" customHeight="true" outlineLevel="0" collapsed="false">
      <c r="B522" s="15" t="n">
        <v>512</v>
      </c>
      <c r="C522" s="9" t="s">
        <v>48</v>
      </c>
      <c r="D522" s="9" t="s">
        <v>64</v>
      </c>
      <c r="E522" s="9" t="s">
        <v>1409</v>
      </c>
      <c r="F522" s="19" t="n">
        <f aca="false">IF('Base de Datos SACI'!U516="","",'Base de Datos SACI'!U516)</f>
        <v>50</v>
      </c>
      <c r="G522" s="15"/>
      <c r="H522" s="30"/>
      <c r="I522" s="31" t="str">
        <f aca="false">IF(OR($G522="",$G522=0),"",IFERROR(ROUND($F522*$G522*(1-IF($H522="",0,$H522)),2),""))</f>
        <v/>
      </c>
      <c r="J522" s="9"/>
    </row>
    <row r="523" customFormat="false" ht="21.75" hidden="false" customHeight="true" outlineLevel="0" collapsed="false">
      <c r="B523" s="14" t="n">
        <v>513</v>
      </c>
      <c r="C523" s="7" t="s">
        <v>48</v>
      </c>
      <c r="D523" s="7" t="s">
        <v>64</v>
      </c>
      <c r="E523" s="7" t="s">
        <v>1410</v>
      </c>
      <c r="F523" s="18" t="n">
        <f aca="false">IF('Base de Datos SACI'!U517="","",'Base de Datos SACI'!U517)</f>
        <v>70</v>
      </c>
      <c r="G523" s="14"/>
      <c r="H523" s="28"/>
      <c r="I523" s="29" t="str">
        <f aca="false">IF(OR($G523="",$G523=0),"",IFERROR(ROUND($F523*$G523*(1-IF($H523="",0,$H523)),2),""))</f>
        <v/>
      </c>
      <c r="J523" s="7"/>
    </row>
    <row r="524" customFormat="false" ht="21.75" hidden="false" customHeight="true" outlineLevel="0" collapsed="false">
      <c r="B524" s="15" t="n">
        <v>514</v>
      </c>
      <c r="C524" s="9" t="s">
        <v>48</v>
      </c>
      <c r="D524" s="9" t="s">
        <v>65</v>
      </c>
      <c r="E524" s="9" t="s">
        <v>1411</v>
      </c>
      <c r="F524" s="19" t="n">
        <f aca="false">IF('Base de Datos SACI'!U518="","",'Base de Datos SACI'!U518)</f>
        <v>20</v>
      </c>
      <c r="G524" s="15"/>
      <c r="H524" s="30"/>
      <c r="I524" s="31" t="str">
        <f aca="false">IF(OR($G524="",$G524=0),"",IFERROR(ROUND($F524*$G524*(1-IF($H524="",0,$H524)),2),""))</f>
        <v/>
      </c>
      <c r="J524" s="9"/>
    </row>
    <row r="525" customFormat="false" ht="21.75" hidden="false" customHeight="true" outlineLevel="0" collapsed="false">
      <c r="B525" s="14" t="n">
        <v>515</v>
      </c>
      <c r="C525" s="7" t="s">
        <v>48</v>
      </c>
      <c r="D525" s="7" t="s">
        <v>65</v>
      </c>
      <c r="E525" s="7" t="s">
        <v>1416</v>
      </c>
      <c r="F525" s="18" t="n">
        <f aca="false">IF('Base de Datos SACI'!U519="","",'Base de Datos SACI'!U519)</f>
        <v>30</v>
      </c>
      <c r="G525" s="14"/>
      <c r="H525" s="28"/>
      <c r="I525" s="29" t="str">
        <f aca="false">IF(OR($G525="",$G525=0),"",IFERROR(ROUND($F525*$G525*(1-IF($H525="",0,$H525)),2),""))</f>
        <v/>
      </c>
      <c r="J525" s="7"/>
    </row>
    <row r="526" customFormat="false" ht="21.75" hidden="false" customHeight="true" outlineLevel="0" collapsed="false">
      <c r="B526" s="15" t="n">
        <v>516</v>
      </c>
      <c r="C526" s="9" t="s">
        <v>48</v>
      </c>
      <c r="D526" s="9" t="s">
        <v>65</v>
      </c>
      <c r="E526" s="9" t="s">
        <v>1417</v>
      </c>
      <c r="F526" s="19" t="n">
        <f aca="false">IF('Base de Datos SACI'!U520="","",'Base de Datos SACI'!U520)</f>
        <v>45</v>
      </c>
      <c r="G526" s="15"/>
      <c r="H526" s="30"/>
      <c r="I526" s="31" t="str">
        <f aca="false">IF(OR($G526="",$G526=0),"",IFERROR(ROUND($F526*$G526*(1-IF($H526="",0,$H526)),2),""))</f>
        <v/>
      </c>
      <c r="J526" s="9"/>
    </row>
    <row r="527" customFormat="false" ht="21.75" hidden="false" customHeight="true" outlineLevel="0" collapsed="false">
      <c r="B527" s="14" t="n">
        <v>517</v>
      </c>
      <c r="C527" s="7" t="s">
        <v>48</v>
      </c>
      <c r="D527" s="7" t="s">
        <v>65</v>
      </c>
      <c r="E527" s="7" t="s">
        <v>1419</v>
      </c>
      <c r="F527" s="18" t="n">
        <f aca="false">IF('Base de Datos SACI'!U521="","",'Base de Datos SACI'!U521)</f>
        <v>65</v>
      </c>
      <c r="G527" s="14"/>
      <c r="H527" s="28"/>
      <c r="I527" s="29" t="str">
        <f aca="false">IF(OR($G527="",$G527=0),"",IFERROR(ROUND($F527*$G527*(1-IF($H527="",0,$H527)),2),""))</f>
        <v/>
      </c>
      <c r="J527" s="7"/>
    </row>
    <row r="528" customFormat="false" ht="21.75" hidden="false" customHeight="true" outlineLevel="0" collapsed="false">
      <c r="B528" s="15" t="n">
        <v>518</v>
      </c>
      <c r="C528" s="9" t="s">
        <v>48</v>
      </c>
      <c r="D528" s="9" t="s">
        <v>65</v>
      </c>
      <c r="E528" s="9" t="s">
        <v>1420</v>
      </c>
      <c r="F528" s="19" t="n">
        <f aca="false">IF('Base de Datos SACI'!U522="","",'Base de Datos SACI'!U522)</f>
        <v>100</v>
      </c>
      <c r="G528" s="15"/>
      <c r="H528" s="30"/>
      <c r="I528" s="31" t="str">
        <f aca="false">IF(OR($G528="",$G528=0),"",IFERROR(ROUND($F528*$G528*(1-IF($H528="",0,$H528)),2),""))</f>
        <v/>
      </c>
      <c r="J528" s="9"/>
    </row>
    <row r="529" customFormat="false" ht="21.75" hidden="false" customHeight="true" outlineLevel="0" collapsed="false">
      <c r="B529" s="14" t="n">
        <v>519</v>
      </c>
      <c r="C529" s="7" t="s">
        <v>48</v>
      </c>
      <c r="D529" s="7" t="s">
        <v>66</v>
      </c>
      <c r="E529" s="7" t="s">
        <v>1421</v>
      </c>
      <c r="F529" s="18" t="n">
        <f aca="false">IF('Base de Datos SACI'!U523="","",'Base de Datos SACI'!U523)</f>
        <v>55</v>
      </c>
      <c r="G529" s="14"/>
      <c r="H529" s="28"/>
      <c r="I529" s="29" t="str">
        <f aca="false">IF(OR($G529="",$G529=0),"",IFERROR(ROUND($F529*$G529*(1-IF($H529="",0,$H529)),2),""))</f>
        <v/>
      </c>
      <c r="J529" s="7"/>
    </row>
    <row r="530" customFormat="false" ht="21.75" hidden="false" customHeight="true" outlineLevel="0" collapsed="false">
      <c r="B530" s="15" t="n">
        <v>520</v>
      </c>
      <c r="C530" s="9" t="s">
        <v>48</v>
      </c>
      <c r="D530" s="9" t="s">
        <v>66</v>
      </c>
      <c r="E530" s="9" t="s">
        <v>1429</v>
      </c>
      <c r="F530" s="19" t="n">
        <f aca="false">IF('Base de Datos SACI'!U524="","",'Base de Datos SACI'!U524)</f>
        <v>85</v>
      </c>
      <c r="G530" s="15"/>
      <c r="H530" s="30"/>
      <c r="I530" s="31" t="str">
        <f aca="false">IF(OR($G530="",$G530=0),"",IFERROR(ROUND($F530*$G530*(1-IF($H530="",0,$H530)),2),""))</f>
        <v/>
      </c>
      <c r="J530" s="9"/>
    </row>
    <row r="531" customFormat="false" ht="21.75" hidden="false" customHeight="true" outlineLevel="0" collapsed="false">
      <c r="B531" s="14" t="n">
        <v>521</v>
      </c>
      <c r="C531" s="7" t="s">
        <v>48</v>
      </c>
      <c r="D531" s="7" t="s">
        <v>66</v>
      </c>
      <c r="E531" s="7" t="s">
        <v>1430</v>
      </c>
      <c r="F531" s="18" t="n">
        <f aca="false">IF('Base de Datos SACI'!U525="","",'Base de Datos SACI'!U525)</f>
        <v>115</v>
      </c>
      <c r="G531" s="14"/>
      <c r="H531" s="28"/>
      <c r="I531" s="29" t="str">
        <f aca="false">IF(OR($G531="",$G531=0),"",IFERROR(ROUND($F531*$G531*(1-IF($H531="",0,$H531)),2),""))</f>
        <v/>
      </c>
      <c r="J531" s="7"/>
    </row>
    <row r="532" customFormat="false" ht="21.75" hidden="false" customHeight="true" outlineLevel="0" collapsed="false">
      <c r="B532" s="15" t="n">
        <v>522</v>
      </c>
      <c r="C532" s="9" t="s">
        <v>48</v>
      </c>
      <c r="D532" s="9" t="s">
        <v>66</v>
      </c>
      <c r="E532" s="9" t="s">
        <v>1432</v>
      </c>
      <c r="F532" s="19" t="n">
        <f aca="false">IF('Base de Datos SACI'!U526="","",'Base de Datos SACI'!U526)</f>
        <v>170</v>
      </c>
      <c r="G532" s="15"/>
      <c r="H532" s="30"/>
      <c r="I532" s="31" t="str">
        <f aca="false">IF(OR($G532="",$G532=0),"",IFERROR(ROUND($F532*$G532*(1-IF($H532="",0,$H532)),2),""))</f>
        <v/>
      </c>
      <c r="J532" s="9"/>
    </row>
    <row r="533" customFormat="false" ht="21.75" hidden="false" customHeight="true" outlineLevel="0" collapsed="false">
      <c r="B533" s="14" t="n">
        <v>523</v>
      </c>
      <c r="C533" s="7" t="s">
        <v>48</v>
      </c>
      <c r="D533" s="7" t="s">
        <v>66</v>
      </c>
      <c r="E533" s="7" t="s">
        <v>1433</v>
      </c>
      <c r="F533" s="18" t="n">
        <f aca="false">IF('Base de Datos SACI'!U527="","",'Base de Datos SACI'!U527)</f>
        <v>250</v>
      </c>
      <c r="G533" s="14"/>
      <c r="H533" s="28"/>
      <c r="I533" s="29" t="str">
        <f aca="false">IF(OR($G533="",$G533=0),"",IFERROR(ROUND($F533*$G533*(1-IF($H533="",0,$H533)),2),""))</f>
        <v/>
      </c>
      <c r="J533" s="7"/>
    </row>
    <row r="534" customFormat="false" ht="21.75" hidden="false" customHeight="true" outlineLevel="0" collapsed="false">
      <c r="B534" s="15" t="n">
        <v>524</v>
      </c>
      <c r="C534" s="9" t="s">
        <v>48</v>
      </c>
      <c r="D534" s="9" t="s">
        <v>67</v>
      </c>
      <c r="E534" s="9" t="s">
        <v>1434</v>
      </c>
      <c r="F534" s="19" t="n">
        <f aca="false">IF('Base de Datos SACI'!U528="","",'Base de Datos SACI'!U528)</f>
        <v>19</v>
      </c>
      <c r="G534" s="15"/>
      <c r="H534" s="30"/>
      <c r="I534" s="31" t="str">
        <f aca="false">IF(OR($G534="",$G534=0),"",IFERROR(ROUND($F534*$G534*(1-IF($H534="",0,$H534)),2),""))</f>
        <v/>
      </c>
      <c r="J534" s="9"/>
    </row>
    <row r="535" customFormat="false" ht="21.75" hidden="false" customHeight="true" outlineLevel="0" collapsed="false">
      <c r="B535" s="14" t="n">
        <v>525</v>
      </c>
      <c r="C535" s="7" t="s">
        <v>48</v>
      </c>
      <c r="D535" s="7" t="s">
        <v>67</v>
      </c>
      <c r="E535" s="7" t="s">
        <v>1439</v>
      </c>
      <c r="F535" s="18" t="n">
        <f aca="false">IF('Base de Datos SACI'!U529="","",'Base de Datos SACI'!U529)</f>
        <v>25</v>
      </c>
      <c r="G535" s="14"/>
      <c r="H535" s="28"/>
      <c r="I535" s="29" t="str">
        <f aca="false">IF(OR($G535="",$G535=0),"",IFERROR(ROUND($F535*$G535*(1-IF($H535="",0,$H535)),2),""))</f>
        <v/>
      </c>
      <c r="J535" s="7"/>
    </row>
    <row r="536" customFormat="false" ht="21.75" hidden="false" customHeight="true" outlineLevel="0" collapsed="false">
      <c r="B536" s="15" t="n">
        <v>526</v>
      </c>
      <c r="C536" s="9" t="s">
        <v>48</v>
      </c>
      <c r="D536" s="9" t="s">
        <v>67</v>
      </c>
      <c r="E536" s="9" t="s">
        <v>1440</v>
      </c>
      <c r="F536" s="19" t="n">
        <f aca="false">IF('Base de Datos SACI'!U530="","",'Base de Datos SACI'!U530)</f>
        <v>35</v>
      </c>
      <c r="G536" s="15"/>
      <c r="H536" s="30"/>
      <c r="I536" s="31" t="str">
        <f aca="false">IF(OR($G536="",$G536=0),"",IFERROR(ROUND($F536*$G536*(1-IF($H536="",0,$H536)),2),""))</f>
        <v/>
      </c>
      <c r="J536" s="9"/>
    </row>
    <row r="537" customFormat="false" ht="21.75" hidden="false" customHeight="true" outlineLevel="0" collapsed="false">
      <c r="B537" s="14" t="n">
        <v>527</v>
      </c>
      <c r="C537" s="7" t="s">
        <v>48</v>
      </c>
      <c r="D537" s="7" t="s">
        <v>67</v>
      </c>
      <c r="E537" s="7" t="s">
        <v>1441</v>
      </c>
      <c r="F537" s="18" t="n">
        <f aca="false">IF('Base de Datos SACI'!U531="","",'Base de Datos SACI'!U531)</f>
        <v>55</v>
      </c>
      <c r="G537" s="14"/>
      <c r="H537" s="28"/>
      <c r="I537" s="29" t="str">
        <f aca="false">IF(OR($G537="",$G537=0),"",IFERROR(ROUND($F537*$G537*(1-IF($H537="",0,$H537)),2),""))</f>
        <v/>
      </c>
      <c r="J537" s="7"/>
    </row>
    <row r="538" customFormat="false" ht="21.75" hidden="false" customHeight="true" outlineLevel="0" collapsed="false">
      <c r="B538" s="15" t="n">
        <v>528</v>
      </c>
      <c r="C538" s="9" t="s">
        <v>48</v>
      </c>
      <c r="D538" s="9" t="s">
        <v>67</v>
      </c>
      <c r="E538" s="9" t="s">
        <v>1442</v>
      </c>
      <c r="F538" s="19" t="n">
        <f aca="false">IF('Base de Datos SACI'!U532="","",'Base de Datos SACI'!U532)</f>
        <v>80</v>
      </c>
      <c r="G538" s="15"/>
      <c r="H538" s="30"/>
      <c r="I538" s="31" t="str">
        <f aca="false">IF(OR($G538="",$G538=0),"",IFERROR(ROUND($F538*$G538*(1-IF($H538="",0,$H538)),2),""))</f>
        <v/>
      </c>
      <c r="J538" s="9"/>
    </row>
    <row r="539" customFormat="false" ht="21.75" hidden="false" customHeight="true" outlineLevel="0" collapsed="false">
      <c r="B539" s="14" t="n">
        <v>529</v>
      </c>
      <c r="C539" s="7" t="s">
        <v>48</v>
      </c>
      <c r="D539" s="7" t="s">
        <v>68</v>
      </c>
      <c r="E539" s="7" t="s">
        <v>391</v>
      </c>
      <c r="F539" s="18" t="str">
        <f aca="false">IF('Base de Datos SACI'!U533="","",'Base de Datos SACI'!U533)</f>
        <v/>
      </c>
      <c r="G539" s="14"/>
      <c r="H539" s="28"/>
      <c r="I539" s="29" t="str">
        <f aca="false">IF(OR($G539="",$G539=0),"",IFERROR(ROUND($F539*$G539*(1-IF($H539="",0,$H539)),2),""))</f>
        <v/>
      </c>
      <c r="J539" s="7"/>
    </row>
    <row r="540" customFormat="false" ht="21.75" hidden="false" customHeight="true" outlineLevel="0" collapsed="false">
      <c r="B540" s="15" t="n">
        <v>530</v>
      </c>
      <c r="C540" s="9" t="s">
        <v>48</v>
      </c>
      <c r="D540" s="9" t="s">
        <v>69</v>
      </c>
      <c r="E540" s="9" t="s">
        <v>1444</v>
      </c>
      <c r="F540" s="19" t="n">
        <f aca="false">IF('Base de Datos SACI'!U534="","",'Base de Datos SACI'!U534)</f>
        <v>25</v>
      </c>
      <c r="G540" s="15"/>
      <c r="H540" s="30"/>
      <c r="I540" s="31" t="str">
        <f aca="false">IF(OR($G540="",$G540=0),"",IFERROR(ROUND($F540*$G540*(1-IF($H540="",0,$H540)),2),""))</f>
        <v/>
      </c>
      <c r="J540" s="9"/>
    </row>
    <row r="541" customFormat="false" ht="21.75" hidden="false" customHeight="true" outlineLevel="0" collapsed="false">
      <c r="B541" s="14" t="n">
        <v>531</v>
      </c>
      <c r="C541" s="7" t="s">
        <v>48</v>
      </c>
      <c r="D541" s="7" t="s">
        <v>69</v>
      </c>
      <c r="E541" s="7" t="s">
        <v>1448</v>
      </c>
      <c r="F541" s="18" t="n">
        <f aca="false">IF('Base de Datos SACI'!U535="","",'Base de Datos SACI'!U535)</f>
        <v>40</v>
      </c>
      <c r="G541" s="14"/>
      <c r="H541" s="28"/>
      <c r="I541" s="29" t="str">
        <f aca="false">IF(OR($G541="",$G541=0),"",IFERROR(ROUND($F541*$G541*(1-IF($H541="",0,$H541)),2),""))</f>
        <v/>
      </c>
      <c r="J541" s="7"/>
    </row>
    <row r="542" customFormat="false" ht="21.75" hidden="false" customHeight="true" outlineLevel="0" collapsed="false">
      <c r="B542" s="15" t="n">
        <v>532</v>
      </c>
      <c r="C542" s="9" t="s">
        <v>48</v>
      </c>
      <c r="D542" s="9" t="s">
        <v>69</v>
      </c>
      <c r="E542" s="9" t="s">
        <v>1449</v>
      </c>
      <c r="F542" s="19" t="n">
        <f aca="false">IF('Base de Datos SACI'!U536="","",'Base de Datos SACI'!U536)</f>
        <v>55</v>
      </c>
      <c r="G542" s="15"/>
      <c r="H542" s="30"/>
      <c r="I542" s="31" t="str">
        <f aca="false">IF(OR($G542="",$G542=0),"",IFERROR(ROUND($F542*$G542*(1-IF($H542="",0,$H542)),2),""))</f>
        <v/>
      </c>
      <c r="J542" s="9"/>
    </row>
    <row r="543" customFormat="false" ht="21.75" hidden="false" customHeight="true" outlineLevel="0" collapsed="false">
      <c r="B543" s="14" t="n">
        <v>533</v>
      </c>
      <c r="C543" s="7" t="s">
        <v>48</v>
      </c>
      <c r="D543" s="7" t="s">
        <v>69</v>
      </c>
      <c r="E543" s="7" t="s">
        <v>1451</v>
      </c>
      <c r="F543" s="18" t="n">
        <f aca="false">IF('Base de Datos SACI'!U537="","",'Base de Datos SACI'!U537)</f>
        <v>80</v>
      </c>
      <c r="G543" s="14"/>
      <c r="H543" s="28"/>
      <c r="I543" s="29" t="str">
        <f aca="false">IF(OR($G543="",$G543=0),"",IFERROR(ROUND($F543*$G543*(1-IF($H543="",0,$H543)),2),""))</f>
        <v/>
      </c>
      <c r="J543" s="7"/>
    </row>
    <row r="544" customFormat="false" ht="21.75" hidden="false" customHeight="true" outlineLevel="0" collapsed="false">
      <c r="B544" s="15" t="n">
        <v>534</v>
      </c>
      <c r="C544" s="9" t="s">
        <v>48</v>
      </c>
      <c r="D544" s="9" t="s">
        <v>69</v>
      </c>
      <c r="E544" s="9" t="s">
        <v>1452</v>
      </c>
      <c r="F544" s="19" t="n">
        <f aca="false">IF('Base de Datos SACI'!U538="","",'Base de Datos SACI'!U538)</f>
        <v>120</v>
      </c>
      <c r="G544" s="15"/>
      <c r="H544" s="30"/>
      <c r="I544" s="31" t="str">
        <f aca="false">IF(OR($G544="",$G544=0),"",IFERROR(ROUND($F544*$G544*(1-IF($H544="",0,$H544)),2),""))</f>
        <v/>
      </c>
      <c r="J544" s="9"/>
    </row>
    <row r="545" customFormat="false" ht="21.75" hidden="false" customHeight="true" outlineLevel="0" collapsed="false">
      <c r="B545" s="14" t="n">
        <v>535</v>
      </c>
      <c r="C545" s="7" t="s">
        <v>48</v>
      </c>
      <c r="D545" s="7" t="s">
        <v>70</v>
      </c>
      <c r="E545" s="7" t="s">
        <v>1453</v>
      </c>
      <c r="F545" s="18" t="n">
        <f aca="false">IF('Base de Datos SACI'!U539="","",'Base de Datos SACI'!U539)</f>
        <v>15</v>
      </c>
      <c r="G545" s="14"/>
      <c r="H545" s="28"/>
      <c r="I545" s="29" t="str">
        <f aca="false">IF(OR($G545="",$G545=0),"",IFERROR(ROUND($F545*$G545*(1-IF($H545="",0,$H545)),2),""))</f>
        <v/>
      </c>
      <c r="J545" s="7"/>
    </row>
    <row r="546" customFormat="false" ht="21.75" hidden="false" customHeight="true" outlineLevel="0" collapsed="false">
      <c r="B546" s="15" t="n">
        <v>536</v>
      </c>
      <c r="C546" s="9" t="s">
        <v>48</v>
      </c>
      <c r="D546" s="9" t="s">
        <v>70</v>
      </c>
      <c r="E546" s="9" t="s">
        <v>1456</v>
      </c>
      <c r="F546" s="19" t="n">
        <f aca="false">IF('Base de Datos SACI'!U540="","",'Base de Datos SACI'!U540)</f>
        <v>20</v>
      </c>
      <c r="G546" s="15"/>
      <c r="H546" s="30"/>
      <c r="I546" s="31" t="str">
        <f aca="false">IF(OR($G546="",$G546=0),"",IFERROR(ROUND($F546*$G546*(1-IF($H546="",0,$H546)),2),""))</f>
        <v/>
      </c>
      <c r="J546" s="9"/>
    </row>
    <row r="547" customFormat="false" ht="21.75" hidden="false" customHeight="true" outlineLevel="0" collapsed="false">
      <c r="B547" s="14" t="n">
        <v>537</v>
      </c>
      <c r="C547" s="7" t="s">
        <v>48</v>
      </c>
      <c r="D547" s="7" t="s">
        <v>70</v>
      </c>
      <c r="E547" s="7" t="s">
        <v>759</v>
      </c>
      <c r="F547" s="18" t="n">
        <f aca="false">IF('Base de Datos SACI'!U541="","",'Base de Datos SACI'!U541)</f>
        <v>30</v>
      </c>
      <c r="G547" s="14"/>
      <c r="H547" s="28"/>
      <c r="I547" s="29" t="str">
        <f aca="false">IF(OR($G547="",$G547=0),"",IFERROR(ROUND($F547*$G547*(1-IF($H547="",0,$H547)),2),""))</f>
        <v/>
      </c>
      <c r="J547" s="7"/>
    </row>
    <row r="548" customFormat="false" ht="21.75" hidden="false" customHeight="true" outlineLevel="0" collapsed="false">
      <c r="B548" s="15" t="n">
        <v>538</v>
      </c>
      <c r="C548" s="9" t="s">
        <v>48</v>
      </c>
      <c r="D548" s="9" t="s">
        <v>70</v>
      </c>
      <c r="E548" s="9" t="s">
        <v>1458</v>
      </c>
      <c r="F548" s="19" t="n">
        <f aca="false">IF('Base de Datos SACI'!U542="","",'Base de Datos SACI'!U542)</f>
        <v>45</v>
      </c>
      <c r="G548" s="15"/>
      <c r="H548" s="30"/>
      <c r="I548" s="31" t="str">
        <f aca="false">IF(OR($G548="",$G548=0),"",IFERROR(ROUND($F548*$G548*(1-IF($H548="",0,$H548)),2),""))</f>
        <v/>
      </c>
      <c r="J548" s="9"/>
    </row>
    <row r="549" customFormat="false" ht="21.75" hidden="false" customHeight="true" outlineLevel="0" collapsed="false">
      <c r="B549" s="14" t="n">
        <v>539</v>
      </c>
      <c r="C549" s="7" t="s">
        <v>48</v>
      </c>
      <c r="D549" s="7" t="s">
        <v>70</v>
      </c>
      <c r="E549" s="7" t="s">
        <v>1459</v>
      </c>
      <c r="F549" s="18" t="n">
        <f aca="false">IF('Base de Datos SACI'!U543="","",'Base de Datos SACI'!U543)</f>
        <v>65</v>
      </c>
      <c r="G549" s="14"/>
      <c r="H549" s="28"/>
      <c r="I549" s="29" t="str">
        <f aca="false">IF(OR($G549="",$G549=0),"",IFERROR(ROUND($F549*$G549*(1-IF($H549="",0,$H549)),2),""))</f>
        <v/>
      </c>
      <c r="J549" s="7"/>
    </row>
    <row r="550" customFormat="false" ht="21.75" hidden="false" customHeight="true" outlineLevel="0" collapsed="false">
      <c r="B550" s="15" t="n">
        <v>540</v>
      </c>
      <c r="C550" s="9" t="s">
        <v>48</v>
      </c>
      <c r="D550" s="9" t="s">
        <v>71</v>
      </c>
      <c r="E550" s="9" t="s">
        <v>1460</v>
      </c>
      <c r="F550" s="19" t="n">
        <f aca="false">IF('Base de Datos SACI'!U544="","",'Base de Datos SACI'!U544)</f>
        <v>55</v>
      </c>
      <c r="G550" s="15"/>
      <c r="H550" s="30"/>
      <c r="I550" s="31" t="str">
        <f aca="false">IF(OR($G550="",$G550=0),"",IFERROR(ROUND($F550*$G550*(1-IF($H550="",0,$H550)),2),""))</f>
        <v/>
      </c>
      <c r="J550" s="9"/>
    </row>
    <row r="551" customFormat="false" ht="21.75" hidden="false" customHeight="true" outlineLevel="0" collapsed="false">
      <c r="B551" s="14" t="n">
        <v>541</v>
      </c>
      <c r="C551" s="7" t="s">
        <v>48</v>
      </c>
      <c r="D551" s="7" t="s">
        <v>71</v>
      </c>
      <c r="E551" s="7" t="s">
        <v>1466</v>
      </c>
      <c r="F551" s="18" t="n">
        <f aca="false">IF('Base de Datos SACI'!U545="","",'Base de Datos SACI'!U545)</f>
        <v>80</v>
      </c>
      <c r="G551" s="14"/>
      <c r="H551" s="28"/>
      <c r="I551" s="29" t="str">
        <f aca="false">IF(OR($G551="",$G551=0),"",IFERROR(ROUND($F551*$G551*(1-IF($H551="",0,$H551)),2),""))</f>
        <v/>
      </c>
      <c r="J551" s="7"/>
    </row>
    <row r="552" customFormat="false" ht="21.75" hidden="false" customHeight="true" outlineLevel="0" collapsed="false">
      <c r="B552" s="15" t="n">
        <v>542</v>
      </c>
      <c r="C552" s="9" t="s">
        <v>48</v>
      </c>
      <c r="D552" s="9" t="s">
        <v>71</v>
      </c>
      <c r="E552" s="9" t="s">
        <v>1467</v>
      </c>
      <c r="F552" s="19" t="n">
        <f aca="false">IF('Base de Datos SACI'!U546="","",'Base de Datos SACI'!U546)</f>
        <v>110</v>
      </c>
      <c r="G552" s="15"/>
      <c r="H552" s="30"/>
      <c r="I552" s="31" t="str">
        <f aca="false">IF(OR($G552="",$G552=0),"",IFERROR(ROUND($F552*$G552*(1-IF($H552="",0,$H552)),2),""))</f>
        <v/>
      </c>
      <c r="J552" s="9"/>
    </row>
    <row r="553" customFormat="false" ht="21.75" hidden="false" customHeight="true" outlineLevel="0" collapsed="false">
      <c r="B553" s="14" t="n">
        <v>543</v>
      </c>
      <c r="C553" s="7" t="s">
        <v>48</v>
      </c>
      <c r="D553" s="7" t="s">
        <v>71</v>
      </c>
      <c r="E553" s="7" t="s">
        <v>1469</v>
      </c>
      <c r="F553" s="18" t="n">
        <f aca="false">IF('Base de Datos SACI'!U547="","",'Base de Datos SACI'!U547)</f>
        <v>165</v>
      </c>
      <c r="G553" s="14"/>
      <c r="H553" s="28"/>
      <c r="I553" s="29" t="str">
        <f aca="false">IF(OR($G553="",$G553=0),"",IFERROR(ROUND($F553*$G553*(1-IF($H553="",0,$H553)),2),""))</f>
        <v/>
      </c>
      <c r="J553" s="7"/>
    </row>
    <row r="554" customFormat="false" ht="21.75" hidden="false" customHeight="true" outlineLevel="0" collapsed="false">
      <c r="B554" s="15" t="n">
        <v>544</v>
      </c>
      <c r="C554" s="9" t="s">
        <v>48</v>
      </c>
      <c r="D554" s="9" t="s">
        <v>71</v>
      </c>
      <c r="E554" s="9" t="s">
        <v>1470</v>
      </c>
      <c r="F554" s="19" t="n">
        <f aca="false">IF('Base de Datos SACI'!U548="","",'Base de Datos SACI'!U548)</f>
        <v>240</v>
      </c>
      <c r="G554" s="15"/>
      <c r="H554" s="30"/>
      <c r="I554" s="31" t="str">
        <f aca="false">IF(OR($G554="",$G554=0),"",IFERROR(ROUND($F554*$G554*(1-IF($H554="",0,$H554)),2),""))</f>
        <v/>
      </c>
      <c r="J554" s="9"/>
    </row>
    <row r="555" customFormat="false" ht="21.75" hidden="false" customHeight="true" outlineLevel="0" collapsed="false">
      <c r="B555" s="14" t="n">
        <v>545</v>
      </c>
      <c r="C555" s="7" t="s">
        <v>48</v>
      </c>
      <c r="D555" s="7" t="s">
        <v>72</v>
      </c>
      <c r="E555" s="7" t="s">
        <v>1471</v>
      </c>
      <c r="F555" s="18" t="n">
        <f aca="false">IF('Base de Datos SACI'!U549="","",'Base de Datos SACI'!U549)</f>
        <v>60</v>
      </c>
      <c r="G555" s="14"/>
      <c r="H555" s="28"/>
      <c r="I555" s="29" t="str">
        <f aca="false">IF(OR($G555="",$G555=0),"",IFERROR(ROUND($F555*$G555*(1-IF($H555="",0,$H555)),2),""))</f>
        <v/>
      </c>
      <c r="J555" s="7"/>
    </row>
    <row r="556" customFormat="false" ht="21.75" hidden="false" customHeight="true" outlineLevel="0" collapsed="false">
      <c r="B556" s="15" t="n">
        <v>546</v>
      </c>
      <c r="C556" s="9" t="s">
        <v>48</v>
      </c>
      <c r="D556" s="9" t="s">
        <v>72</v>
      </c>
      <c r="E556" s="9" t="s">
        <v>1477</v>
      </c>
      <c r="F556" s="19" t="n">
        <f aca="false">IF('Base de Datos SACI'!U550="","",'Base de Datos SACI'!U550)</f>
        <v>95</v>
      </c>
      <c r="G556" s="15"/>
      <c r="H556" s="30"/>
      <c r="I556" s="31" t="str">
        <f aca="false">IF(OR($G556="",$G556=0),"",IFERROR(ROUND($F556*$G556*(1-IF($H556="",0,$H556)),2),""))</f>
        <v/>
      </c>
      <c r="J556" s="9"/>
    </row>
    <row r="557" customFormat="false" ht="21.75" hidden="false" customHeight="true" outlineLevel="0" collapsed="false">
      <c r="B557" s="14" t="n">
        <v>547</v>
      </c>
      <c r="C557" s="7" t="s">
        <v>48</v>
      </c>
      <c r="D557" s="7" t="s">
        <v>72</v>
      </c>
      <c r="E557" s="7" t="s">
        <v>1478</v>
      </c>
      <c r="F557" s="18" t="n">
        <f aca="false">IF('Base de Datos SACI'!U551="","",'Base de Datos SACI'!U551)</f>
        <v>125</v>
      </c>
      <c r="G557" s="14"/>
      <c r="H557" s="28"/>
      <c r="I557" s="29" t="str">
        <f aca="false">IF(OR($G557="",$G557=0),"",IFERROR(ROUND($F557*$G557*(1-IF($H557="",0,$H557)),2),""))</f>
        <v/>
      </c>
      <c r="J557" s="7"/>
    </row>
    <row r="558" customFormat="false" ht="21.75" hidden="false" customHeight="true" outlineLevel="0" collapsed="false">
      <c r="B558" s="15" t="n">
        <v>548</v>
      </c>
      <c r="C558" s="9" t="s">
        <v>48</v>
      </c>
      <c r="D558" s="9" t="s">
        <v>72</v>
      </c>
      <c r="E558" s="9" t="s">
        <v>1480</v>
      </c>
      <c r="F558" s="19" t="n">
        <f aca="false">IF('Base de Datos SACI'!U552="","",'Base de Datos SACI'!U552)</f>
        <v>190</v>
      </c>
      <c r="G558" s="15"/>
      <c r="H558" s="30"/>
      <c r="I558" s="31" t="str">
        <f aca="false">IF(OR($G558="",$G558=0),"",IFERROR(ROUND($F558*$G558*(1-IF($H558="",0,$H558)),2),""))</f>
        <v/>
      </c>
      <c r="J558" s="9"/>
    </row>
    <row r="559" customFormat="false" ht="21.75" hidden="false" customHeight="true" outlineLevel="0" collapsed="false">
      <c r="B559" s="14" t="n">
        <v>549</v>
      </c>
      <c r="C559" s="7" t="s">
        <v>48</v>
      </c>
      <c r="D559" s="7" t="s">
        <v>72</v>
      </c>
      <c r="E559" s="7" t="s">
        <v>1481</v>
      </c>
      <c r="F559" s="18" t="n">
        <f aca="false">IF('Base de Datos SACI'!U553="","",'Base de Datos SACI'!U553)</f>
        <v>280</v>
      </c>
      <c r="G559" s="14"/>
      <c r="H559" s="28"/>
      <c r="I559" s="29" t="str">
        <f aca="false">IF(OR($G559="",$G559=0),"",IFERROR(ROUND($F559*$G559*(1-IF($H559="",0,$H559)),2),""))</f>
        <v/>
      </c>
      <c r="J559" s="7"/>
    </row>
    <row r="560" customFormat="false" ht="21.75" hidden="false" customHeight="true" outlineLevel="0" collapsed="false">
      <c r="B560" s="15" t="n">
        <v>550</v>
      </c>
      <c r="C560" s="9" t="s">
        <v>48</v>
      </c>
      <c r="D560" s="9" t="s">
        <v>73</v>
      </c>
      <c r="E560" s="9" t="s">
        <v>1482</v>
      </c>
      <c r="F560" s="19" t="n">
        <f aca="false">IF('Base de Datos SACI'!U554="","",'Base de Datos SACI'!U554)</f>
        <v>30</v>
      </c>
      <c r="G560" s="15"/>
      <c r="H560" s="30"/>
      <c r="I560" s="31" t="str">
        <f aca="false">IF(OR($G560="",$G560=0),"",IFERROR(ROUND($F560*$G560*(1-IF($H560="",0,$H560)),2),""))</f>
        <v/>
      </c>
      <c r="J560" s="9"/>
    </row>
    <row r="561" customFormat="false" ht="21.75" hidden="false" customHeight="true" outlineLevel="0" collapsed="false">
      <c r="B561" s="14" t="n">
        <v>551</v>
      </c>
      <c r="C561" s="7" t="s">
        <v>48</v>
      </c>
      <c r="D561" s="7" t="s">
        <v>73</v>
      </c>
      <c r="E561" s="7" t="s">
        <v>1488</v>
      </c>
      <c r="F561" s="18" t="n">
        <f aca="false">IF('Base de Datos SACI'!U555="","",'Base de Datos SACI'!U555)</f>
        <v>45</v>
      </c>
      <c r="G561" s="14"/>
      <c r="H561" s="28"/>
      <c r="I561" s="29" t="str">
        <f aca="false">IF(OR($G561="",$G561=0),"",IFERROR(ROUND($F561*$G561*(1-IF($H561="",0,$H561)),2),""))</f>
        <v/>
      </c>
      <c r="J561" s="7"/>
    </row>
    <row r="562" customFormat="false" ht="21.75" hidden="false" customHeight="true" outlineLevel="0" collapsed="false">
      <c r="B562" s="15" t="n">
        <v>552</v>
      </c>
      <c r="C562" s="9" t="s">
        <v>48</v>
      </c>
      <c r="D562" s="9" t="s">
        <v>73</v>
      </c>
      <c r="E562" s="9" t="s">
        <v>1489</v>
      </c>
      <c r="F562" s="19" t="n">
        <f aca="false">IF('Base de Datos SACI'!U556="","",'Base de Datos SACI'!U556)</f>
        <v>65</v>
      </c>
      <c r="G562" s="15"/>
      <c r="H562" s="30"/>
      <c r="I562" s="31" t="str">
        <f aca="false">IF(OR($G562="",$G562=0),"",IFERROR(ROUND($F562*$G562*(1-IF($H562="",0,$H562)),2),""))</f>
        <v/>
      </c>
      <c r="J562" s="9"/>
    </row>
    <row r="563" customFormat="false" ht="21.75" hidden="false" customHeight="true" outlineLevel="0" collapsed="false">
      <c r="B563" s="14" t="n">
        <v>553</v>
      </c>
      <c r="C563" s="7" t="s">
        <v>48</v>
      </c>
      <c r="D563" s="7" t="s">
        <v>73</v>
      </c>
      <c r="E563" s="7" t="s">
        <v>1491</v>
      </c>
      <c r="F563" s="18" t="n">
        <f aca="false">IF('Base de Datos SACI'!U557="","",'Base de Datos SACI'!U557)</f>
        <v>95</v>
      </c>
      <c r="G563" s="14"/>
      <c r="H563" s="28"/>
      <c r="I563" s="29" t="str">
        <f aca="false">IF(OR($G563="",$G563=0),"",IFERROR(ROUND($F563*$G563*(1-IF($H563="",0,$H563)),2),""))</f>
        <v/>
      </c>
      <c r="J563" s="7"/>
    </row>
    <row r="564" customFormat="false" ht="21.75" hidden="false" customHeight="true" outlineLevel="0" collapsed="false">
      <c r="B564" s="15" t="n">
        <v>554</v>
      </c>
      <c r="C564" s="9" t="s">
        <v>48</v>
      </c>
      <c r="D564" s="9" t="s">
        <v>73</v>
      </c>
      <c r="E564" s="9" t="s">
        <v>1492</v>
      </c>
      <c r="F564" s="19" t="n">
        <f aca="false">IF('Base de Datos SACI'!U558="","",'Base de Datos SACI'!U558)</f>
        <v>140</v>
      </c>
      <c r="G564" s="15"/>
      <c r="H564" s="30"/>
      <c r="I564" s="31" t="str">
        <f aca="false">IF(OR($G564="",$G564=0),"",IFERROR(ROUND($F564*$G564*(1-IF($H564="",0,$H564)),2),""))</f>
        <v/>
      </c>
      <c r="J564" s="9"/>
    </row>
    <row r="565" customFormat="false" ht="21.75" hidden="false" customHeight="true" outlineLevel="0" collapsed="false">
      <c r="B565" s="14" t="n">
        <v>555</v>
      </c>
      <c r="C565" s="7" t="s">
        <v>48</v>
      </c>
      <c r="D565" s="7" t="s">
        <v>74</v>
      </c>
      <c r="E565" s="7" t="s">
        <v>391</v>
      </c>
      <c r="F565" s="18" t="str">
        <f aca="false">IF('Base de Datos SACI'!U559="","",'Base de Datos SACI'!U559)</f>
        <v/>
      </c>
      <c r="G565" s="14"/>
      <c r="H565" s="28"/>
      <c r="I565" s="29" t="str">
        <f aca="false">IF(OR($G565="",$G565=0),"",IFERROR(ROUND($F565*$G565*(1-IF($H565="",0,$H565)),2),""))</f>
        <v/>
      </c>
      <c r="J565" s="7"/>
    </row>
    <row r="566" customFormat="false" ht="21.75" hidden="false" customHeight="true" outlineLevel="0" collapsed="false">
      <c r="B566" s="15" t="n">
        <v>556</v>
      </c>
      <c r="C566" s="9" t="s">
        <v>48</v>
      </c>
      <c r="D566" s="9" t="s">
        <v>75</v>
      </c>
      <c r="E566" s="9" t="s">
        <v>391</v>
      </c>
      <c r="F566" s="19" t="str">
        <f aca="false">IF('Base de Datos SACI'!U560="","",'Base de Datos SACI'!U560)</f>
        <v/>
      </c>
      <c r="G566" s="15"/>
      <c r="H566" s="30"/>
      <c r="I566" s="31" t="str">
        <f aca="false">IF(OR($G566="",$G566=0),"",IFERROR(ROUND($F566*$G566*(1-IF($H566="",0,$H566)),2),""))</f>
        <v/>
      </c>
      <c r="J566" s="9"/>
    </row>
    <row r="567" customFormat="false" ht="21.75" hidden="false" customHeight="true" outlineLevel="0" collapsed="false">
      <c r="B567" s="14" t="n">
        <v>557</v>
      </c>
      <c r="C567" s="7" t="s">
        <v>49</v>
      </c>
      <c r="D567" s="7" t="s">
        <v>60</v>
      </c>
      <c r="E567" s="7" t="s">
        <v>1495</v>
      </c>
      <c r="F567" s="18" t="n">
        <f aca="false">IF('Base de Datos SACI'!U561="","",'Base de Datos SACI'!U561)</f>
        <v>75</v>
      </c>
      <c r="G567" s="14"/>
      <c r="H567" s="28"/>
      <c r="I567" s="29" t="str">
        <f aca="false">IF(OR($G567="",$G567=0),"",IFERROR(ROUND($F567*$G567*(1-IF($H567="",0,$H567)),2),""))</f>
        <v/>
      </c>
      <c r="J567" s="7"/>
    </row>
    <row r="568" customFormat="false" ht="21.75" hidden="false" customHeight="true" outlineLevel="0" collapsed="false">
      <c r="B568" s="15" t="n">
        <v>558</v>
      </c>
      <c r="C568" s="9" t="s">
        <v>49</v>
      </c>
      <c r="D568" s="9" t="s">
        <v>60</v>
      </c>
      <c r="E568" s="9" t="s">
        <v>1503</v>
      </c>
      <c r="F568" s="19" t="n">
        <f aca="false">IF('Base de Datos SACI'!U562="","",'Base de Datos SACI'!U562)</f>
        <v>115</v>
      </c>
      <c r="G568" s="15"/>
      <c r="H568" s="30"/>
      <c r="I568" s="31" t="str">
        <f aca="false">IF(OR($G568="",$G568=0),"",IFERROR(ROUND($F568*$G568*(1-IF($H568="",0,$H568)),2),""))</f>
        <v/>
      </c>
      <c r="J568" s="9"/>
    </row>
    <row r="569" customFormat="false" ht="21.75" hidden="false" customHeight="true" outlineLevel="0" collapsed="false">
      <c r="B569" s="14" t="n">
        <v>559</v>
      </c>
      <c r="C569" s="7" t="s">
        <v>49</v>
      </c>
      <c r="D569" s="7" t="s">
        <v>60</v>
      </c>
      <c r="E569" s="7" t="s">
        <v>1504</v>
      </c>
      <c r="F569" s="18" t="n">
        <f aca="false">IF('Base de Datos SACI'!U563="","",'Base de Datos SACI'!U563)</f>
        <v>155</v>
      </c>
      <c r="G569" s="14"/>
      <c r="H569" s="28"/>
      <c r="I569" s="29" t="str">
        <f aca="false">IF(OR($G569="",$G569=0),"",IFERROR(ROUND($F569*$G569*(1-IF($H569="",0,$H569)),2),""))</f>
        <v/>
      </c>
      <c r="J569" s="7"/>
    </row>
    <row r="570" customFormat="false" ht="21.75" hidden="false" customHeight="true" outlineLevel="0" collapsed="false">
      <c r="B570" s="15" t="n">
        <v>560</v>
      </c>
      <c r="C570" s="9" t="s">
        <v>49</v>
      </c>
      <c r="D570" s="9" t="s">
        <v>60</v>
      </c>
      <c r="E570" s="9" t="s">
        <v>1506</v>
      </c>
      <c r="F570" s="19" t="n">
        <f aca="false">IF('Base de Datos SACI'!U564="","",'Base de Datos SACI'!U564)</f>
        <v>235</v>
      </c>
      <c r="G570" s="15"/>
      <c r="H570" s="30"/>
      <c r="I570" s="31" t="str">
        <f aca="false">IF(OR($G570="",$G570=0),"",IFERROR(ROUND($F570*$G570*(1-IF($H570="",0,$H570)),2),""))</f>
        <v/>
      </c>
      <c r="J570" s="9"/>
    </row>
    <row r="571" customFormat="false" ht="21.75" hidden="false" customHeight="true" outlineLevel="0" collapsed="false">
      <c r="B571" s="14" t="n">
        <v>561</v>
      </c>
      <c r="C571" s="7" t="s">
        <v>49</v>
      </c>
      <c r="D571" s="7" t="s">
        <v>60</v>
      </c>
      <c r="E571" s="7" t="s">
        <v>1507</v>
      </c>
      <c r="F571" s="18" t="n">
        <f aca="false">IF('Base de Datos SACI'!U565="","",'Base de Datos SACI'!U565)</f>
        <v>345</v>
      </c>
      <c r="G571" s="14"/>
      <c r="H571" s="28"/>
      <c r="I571" s="29" t="str">
        <f aca="false">IF(OR($G571="",$G571=0),"",IFERROR(ROUND($F571*$G571*(1-IF($H571="",0,$H571)),2),""))</f>
        <v/>
      </c>
      <c r="J571" s="7"/>
    </row>
    <row r="572" customFormat="false" ht="21.75" hidden="false" customHeight="true" outlineLevel="0" collapsed="false">
      <c r="B572" s="15" t="n">
        <v>562</v>
      </c>
      <c r="C572" s="9" t="s">
        <v>49</v>
      </c>
      <c r="D572" s="9" t="s">
        <v>61</v>
      </c>
      <c r="E572" s="9" t="s">
        <v>1495</v>
      </c>
      <c r="F572" s="19" t="n">
        <f aca="false">IF('Base de Datos SACI'!U566="","",'Base de Datos SACI'!U566)</f>
        <v>50</v>
      </c>
      <c r="G572" s="15"/>
      <c r="H572" s="30"/>
      <c r="I572" s="31" t="str">
        <f aca="false">IF(OR($G572="",$G572=0),"",IFERROR(ROUND($F572*$G572*(1-IF($H572="",0,$H572)),2),""))</f>
        <v/>
      </c>
      <c r="J572" s="9"/>
    </row>
    <row r="573" customFormat="false" ht="21.75" hidden="false" customHeight="true" outlineLevel="0" collapsed="false">
      <c r="B573" s="14" t="n">
        <v>563</v>
      </c>
      <c r="C573" s="7" t="s">
        <v>49</v>
      </c>
      <c r="D573" s="7" t="s">
        <v>61</v>
      </c>
      <c r="E573" s="7" t="s">
        <v>1503</v>
      </c>
      <c r="F573" s="18" t="n">
        <f aca="false">IF('Base de Datos SACI'!U567="","",'Base de Datos SACI'!U567)</f>
        <v>75</v>
      </c>
      <c r="G573" s="14"/>
      <c r="H573" s="28"/>
      <c r="I573" s="29" t="str">
        <f aca="false">IF(OR($G573="",$G573=0),"",IFERROR(ROUND($F573*$G573*(1-IF($H573="",0,$H573)),2),""))</f>
        <v/>
      </c>
      <c r="J573" s="7"/>
    </row>
    <row r="574" customFormat="false" ht="21.75" hidden="false" customHeight="true" outlineLevel="0" collapsed="false">
      <c r="B574" s="15" t="n">
        <v>564</v>
      </c>
      <c r="C574" s="9" t="s">
        <v>49</v>
      </c>
      <c r="D574" s="9" t="s">
        <v>61</v>
      </c>
      <c r="E574" s="9" t="s">
        <v>1504</v>
      </c>
      <c r="F574" s="19" t="n">
        <f aca="false">IF('Base de Datos SACI'!U568="","",'Base de Datos SACI'!U568)</f>
        <v>105</v>
      </c>
      <c r="G574" s="15"/>
      <c r="H574" s="30"/>
      <c r="I574" s="31" t="str">
        <f aca="false">IF(OR($G574="",$G574=0),"",IFERROR(ROUND($F574*$G574*(1-IF($H574="",0,$H574)),2),""))</f>
        <v/>
      </c>
      <c r="J574" s="9"/>
    </row>
    <row r="575" customFormat="false" ht="21.75" hidden="false" customHeight="true" outlineLevel="0" collapsed="false">
      <c r="B575" s="14" t="n">
        <v>565</v>
      </c>
      <c r="C575" s="7" t="s">
        <v>49</v>
      </c>
      <c r="D575" s="7" t="s">
        <v>61</v>
      </c>
      <c r="E575" s="7" t="s">
        <v>1506</v>
      </c>
      <c r="F575" s="18" t="n">
        <f aca="false">IF('Base de Datos SACI'!U569="","",'Base de Datos SACI'!U569)</f>
        <v>155</v>
      </c>
      <c r="G575" s="14"/>
      <c r="H575" s="28"/>
      <c r="I575" s="29" t="str">
        <f aca="false">IF(OR($G575="",$G575=0),"",IFERROR(ROUND($F575*$G575*(1-IF($H575="",0,$H575)),2),""))</f>
        <v/>
      </c>
      <c r="J575" s="7"/>
    </row>
    <row r="576" customFormat="false" ht="21.75" hidden="false" customHeight="true" outlineLevel="0" collapsed="false">
      <c r="B576" s="15" t="n">
        <v>566</v>
      </c>
      <c r="C576" s="9" t="s">
        <v>49</v>
      </c>
      <c r="D576" s="9" t="s">
        <v>61</v>
      </c>
      <c r="E576" s="9" t="s">
        <v>1507</v>
      </c>
      <c r="F576" s="19" t="n">
        <f aca="false">IF('Base de Datos SACI'!U570="","",'Base de Datos SACI'!U570)</f>
        <v>230</v>
      </c>
      <c r="G576" s="15"/>
      <c r="H576" s="30"/>
      <c r="I576" s="31" t="str">
        <f aca="false">IF(OR($G576="",$G576=0),"",IFERROR(ROUND($F576*$G576*(1-IF($H576="",0,$H576)),2),""))</f>
        <v/>
      </c>
      <c r="J576" s="9"/>
    </row>
    <row r="577" customFormat="false" ht="21.75" hidden="false" customHeight="true" outlineLevel="0" collapsed="false">
      <c r="B577" s="14" t="n">
        <v>567</v>
      </c>
      <c r="C577" s="7" t="s">
        <v>49</v>
      </c>
      <c r="D577" s="7" t="s">
        <v>62</v>
      </c>
      <c r="E577" s="7" t="s">
        <v>1513</v>
      </c>
      <c r="F577" s="18" t="n">
        <f aca="false">IF('Base de Datos SACI'!U571="","",'Base de Datos SACI'!U571)</f>
        <v>60</v>
      </c>
      <c r="G577" s="14"/>
      <c r="H577" s="28"/>
      <c r="I577" s="29" t="str">
        <f aca="false">IF(OR($G577="",$G577=0),"",IFERROR(ROUND($F577*$G577*(1-IF($H577="",0,$H577)),2),""))</f>
        <v/>
      </c>
      <c r="J577" s="7"/>
    </row>
    <row r="578" customFormat="false" ht="21.75" hidden="false" customHeight="true" outlineLevel="0" collapsed="false">
      <c r="B578" s="15" t="n">
        <v>568</v>
      </c>
      <c r="C578" s="9" t="s">
        <v>49</v>
      </c>
      <c r="D578" s="9" t="s">
        <v>62</v>
      </c>
      <c r="E578" s="9" t="s">
        <v>1520</v>
      </c>
      <c r="F578" s="19" t="n">
        <f aca="false">IF('Base de Datos SACI'!U572="","",'Base de Datos SACI'!U572)</f>
        <v>95</v>
      </c>
      <c r="G578" s="15"/>
      <c r="H578" s="30"/>
      <c r="I578" s="31" t="str">
        <f aca="false">IF(OR($G578="",$G578=0),"",IFERROR(ROUND($F578*$G578*(1-IF($H578="",0,$H578)),2),""))</f>
        <v/>
      </c>
      <c r="J578" s="9"/>
    </row>
    <row r="579" customFormat="false" ht="21.75" hidden="false" customHeight="true" outlineLevel="0" collapsed="false">
      <c r="B579" s="14" t="n">
        <v>569</v>
      </c>
      <c r="C579" s="7" t="s">
        <v>49</v>
      </c>
      <c r="D579" s="7" t="s">
        <v>62</v>
      </c>
      <c r="E579" s="7" t="s">
        <v>1521</v>
      </c>
      <c r="F579" s="18" t="n">
        <f aca="false">IF('Base de Datos SACI'!U573="","",'Base de Datos SACI'!U573)</f>
        <v>125</v>
      </c>
      <c r="G579" s="14"/>
      <c r="H579" s="28"/>
      <c r="I579" s="29" t="str">
        <f aca="false">IF(OR($G579="",$G579=0),"",IFERROR(ROUND($F579*$G579*(1-IF($H579="",0,$H579)),2),""))</f>
        <v/>
      </c>
      <c r="J579" s="7"/>
    </row>
    <row r="580" customFormat="false" ht="21.75" hidden="false" customHeight="true" outlineLevel="0" collapsed="false">
      <c r="B580" s="15" t="n">
        <v>570</v>
      </c>
      <c r="C580" s="9" t="s">
        <v>49</v>
      </c>
      <c r="D580" s="9" t="s">
        <v>62</v>
      </c>
      <c r="E580" s="9" t="s">
        <v>1523</v>
      </c>
      <c r="F580" s="19" t="n">
        <f aca="false">IF('Base de Datos SACI'!U574="","",'Base de Datos SACI'!U574)</f>
        <v>190</v>
      </c>
      <c r="G580" s="15"/>
      <c r="H580" s="30"/>
      <c r="I580" s="31" t="str">
        <f aca="false">IF(OR($G580="",$G580=0),"",IFERROR(ROUND($F580*$G580*(1-IF($H580="",0,$H580)),2),""))</f>
        <v/>
      </c>
      <c r="J580" s="9"/>
    </row>
    <row r="581" customFormat="false" ht="21.75" hidden="false" customHeight="true" outlineLevel="0" collapsed="false">
      <c r="B581" s="14" t="n">
        <v>571</v>
      </c>
      <c r="C581" s="7" t="s">
        <v>49</v>
      </c>
      <c r="D581" s="7" t="s">
        <v>62</v>
      </c>
      <c r="E581" s="7" t="s">
        <v>1524</v>
      </c>
      <c r="F581" s="18" t="n">
        <f aca="false">IF('Base de Datos SACI'!U575="","",'Base de Datos SACI'!U575)</f>
        <v>280</v>
      </c>
      <c r="G581" s="14"/>
      <c r="H581" s="28"/>
      <c r="I581" s="29" t="str">
        <f aca="false">IF(OR($G581="",$G581=0),"",IFERROR(ROUND($F581*$G581*(1-IF($H581="",0,$H581)),2),""))</f>
        <v/>
      </c>
      <c r="J581" s="7"/>
    </row>
    <row r="582" customFormat="false" ht="21.75" hidden="false" customHeight="true" outlineLevel="0" collapsed="false">
      <c r="B582" s="15" t="n">
        <v>572</v>
      </c>
      <c r="C582" s="9" t="s">
        <v>49</v>
      </c>
      <c r="D582" s="9" t="s">
        <v>63</v>
      </c>
      <c r="E582" s="9" t="s">
        <v>1525</v>
      </c>
      <c r="F582" s="19" t="n">
        <f aca="false">IF('Base de Datos SACI'!U576="","",'Base de Datos SACI'!U576)</f>
        <v>20</v>
      </c>
      <c r="G582" s="15"/>
      <c r="H582" s="30"/>
      <c r="I582" s="31" t="str">
        <f aca="false">IF(OR($G582="",$G582=0),"",IFERROR(ROUND($F582*$G582*(1-IF($H582="",0,$H582)),2),""))</f>
        <v/>
      </c>
      <c r="J582" s="9"/>
    </row>
    <row r="583" customFormat="false" ht="21.75" hidden="false" customHeight="true" outlineLevel="0" collapsed="false">
      <c r="B583" s="14" t="n">
        <v>573</v>
      </c>
      <c r="C583" s="7" t="s">
        <v>49</v>
      </c>
      <c r="D583" s="7" t="s">
        <v>63</v>
      </c>
      <c r="E583" s="7" t="s">
        <v>1529</v>
      </c>
      <c r="F583" s="18" t="n">
        <f aca="false">IF('Base de Datos SACI'!U577="","",'Base de Datos SACI'!U577)</f>
        <v>35</v>
      </c>
      <c r="G583" s="14"/>
      <c r="H583" s="28"/>
      <c r="I583" s="29" t="str">
        <f aca="false">IF(OR($G583="",$G583=0),"",IFERROR(ROUND($F583*$G583*(1-IF($H583="",0,$H583)),2),""))</f>
        <v/>
      </c>
      <c r="J583" s="7"/>
    </row>
    <row r="584" customFormat="false" ht="21.75" hidden="false" customHeight="true" outlineLevel="0" collapsed="false">
      <c r="B584" s="15" t="n">
        <v>574</v>
      </c>
      <c r="C584" s="9" t="s">
        <v>49</v>
      </c>
      <c r="D584" s="9" t="s">
        <v>63</v>
      </c>
      <c r="E584" s="9" t="s">
        <v>1530</v>
      </c>
      <c r="F584" s="19" t="n">
        <f aca="false">IF('Base de Datos SACI'!U578="","",'Base de Datos SACI'!U578)</f>
        <v>45</v>
      </c>
      <c r="G584" s="15"/>
      <c r="H584" s="30"/>
      <c r="I584" s="31" t="str">
        <f aca="false">IF(OR($G584="",$G584=0),"",IFERROR(ROUND($F584*$G584*(1-IF($H584="",0,$H584)),2),""))</f>
        <v/>
      </c>
      <c r="J584" s="9"/>
    </row>
    <row r="585" customFormat="false" ht="21.75" hidden="false" customHeight="true" outlineLevel="0" collapsed="false">
      <c r="B585" s="14" t="n">
        <v>575</v>
      </c>
      <c r="C585" s="7" t="s">
        <v>49</v>
      </c>
      <c r="D585" s="7" t="s">
        <v>63</v>
      </c>
      <c r="E585" s="7" t="s">
        <v>1532</v>
      </c>
      <c r="F585" s="18" t="n">
        <f aca="false">IF('Base de Datos SACI'!U579="","",'Base de Datos SACI'!U579)</f>
        <v>70</v>
      </c>
      <c r="G585" s="14"/>
      <c r="H585" s="28"/>
      <c r="I585" s="29" t="str">
        <f aca="false">IF(OR($G585="",$G585=0),"",IFERROR(ROUND($F585*$G585*(1-IF($H585="",0,$H585)),2),""))</f>
        <v/>
      </c>
      <c r="J585" s="7"/>
    </row>
    <row r="586" customFormat="false" ht="21.75" hidden="false" customHeight="true" outlineLevel="0" collapsed="false">
      <c r="B586" s="15" t="n">
        <v>576</v>
      </c>
      <c r="C586" s="9" t="s">
        <v>49</v>
      </c>
      <c r="D586" s="9" t="s">
        <v>63</v>
      </c>
      <c r="E586" s="9" t="s">
        <v>1533</v>
      </c>
      <c r="F586" s="19" t="n">
        <f aca="false">IF('Base de Datos SACI'!U580="","",'Base de Datos SACI'!U580)</f>
        <v>105</v>
      </c>
      <c r="G586" s="15"/>
      <c r="H586" s="30"/>
      <c r="I586" s="31" t="str">
        <f aca="false">IF(OR($G586="",$G586=0),"",IFERROR(ROUND($F586*$G586*(1-IF($H586="",0,$H586)),2),""))</f>
        <v/>
      </c>
      <c r="J586" s="9"/>
    </row>
    <row r="587" customFormat="false" ht="21.75" hidden="false" customHeight="true" outlineLevel="0" collapsed="false">
      <c r="B587" s="14" t="n">
        <v>577</v>
      </c>
      <c r="C587" s="7" t="s">
        <v>49</v>
      </c>
      <c r="D587" s="7" t="s">
        <v>64</v>
      </c>
      <c r="E587" s="7" t="s">
        <v>1534</v>
      </c>
      <c r="F587" s="18" t="n">
        <f aca="false">IF('Base de Datos SACI'!U581="","",'Base de Datos SACI'!U581)</f>
        <v>11</v>
      </c>
      <c r="G587" s="14"/>
      <c r="H587" s="28"/>
      <c r="I587" s="29" t="str">
        <f aca="false">IF(OR($G587="",$G587=0),"",IFERROR(ROUND($F587*$G587*(1-IF($H587="",0,$H587)),2),""))</f>
        <v/>
      </c>
      <c r="J587" s="7"/>
    </row>
    <row r="588" customFormat="false" ht="21.75" hidden="false" customHeight="true" outlineLevel="0" collapsed="false">
      <c r="B588" s="15" t="n">
        <v>578</v>
      </c>
      <c r="C588" s="9" t="s">
        <v>49</v>
      </c>
      <c r="D588" s="9" t="s">
        <v>64</v>
      </c>
      <c r="E588" s="9" t="s">
        <v>1540</v>
      </c>
      <c r="F588" s="19" t="n">
        <f aca="false">IF('Base de Datos SACI'!U582="","",'Base de Datos SACI'!U582)</f>
        <v>16</v>
      </c>
      <c r="G588" s="15"/>
      <c r="H588" s="30"/>
      <c r="I588" s="31" t="str">
        <f aca="false">IF(OR($G588="",$G588=0),"",IFERROR(ROUND($F588*$G588*(1-IF($H588="",0,$H588)),2),""))</f>
        <v/>
      </c>
      <c r="J588" s="9"/>
    </row>
    <row r="589" customFormat="false" ht="21.75" hidden="false" customHeight="true" outlineLevel="0" collapsed="false">
      <c r="B589" s="14" t="n">
        <v>579</v>
      </c>
      <c r="C589" s="7" t="s">
        <v>49</v>
      </c>
      <c r="D589" s="7" t="s">
        <v>64</v>
      </c>
      <c r="E589" s="7" t="s">
        <v>1541</v>
      </c>
      <c r="F589" s="18" t="n">
        <f aca="false">IF('Base de Datos SACI'!U583="","",'Base de Datos SACI'!U583)</f>
        <v>20</v>
      </c>
      <c r="G589" s="14"/>
      <c r="H589" s="28"/>
      <c r="I589" s="29" t="str">
        <f aca="false">IF(OR($G589="",$G589=0),"",IFERROR(ROUND($F589*$G589*(1-IF($H589="",0,$H589)),2),""))</f>
        <v/>
      </c>
      <c r="J589" s="7"/>
    </row>
    <row r="590" customFormat="false" ht="21.75" hidden="false" customHeight="true" outlineLevel="0" collapsed="false">
      <c r="B590" s="15" t="n">
        <v>580</v>
      </c>
      <c r="C590" s="9" t="s">
        <v>49</v>
      </c>
      <c r="D590" s="9" t="s">
        <v>64</v>
      </c>
      <c r="E590" s="9" t="s">
        <v>1543</v>
      </c>
      <c r="F590" s="19" t="n">
        <f aca="false">IF('Base de Datos SACI'!U584="","",'Base de Datos SACI'!U584)</f>
        <v>30</v>
      </c>
      <c r="G590" s="15"/>
      <c r="H590" s="30"/>
      <c r="I590" s="31" t="str">
        <f aca="false">IF(OR($G590="",$G590=0),"",IFERROR(ROUND($F590*$G590*(1-IF($H590="",0,$H590)),2),""))</f>
        <v/>
      </c>
      <c r="J590" s="9"/>
    </row>
    <row r="591" customFormat="false" ht="21.75" hidden="false" customHeight="true" outlineLevel="0" collapsed="false">
      <c r="B591" s="14" t="n">
        <v>581</v>
      </c>
      <c r="C591" s="7" t="s">
        <v>49</v>
      </c>
      <c r="D591" s="7" t="s">
        <v>64</v>
      </c>
      <c r="E591" s="7" t="s">
        <v>1544</v>
      </c>
      <c r="F591" s="18" t="n">
        <f aca="false">IF('Base de Datos SACI'!U585="","",'Base de Datos SACI'!U585)</f>
        <v>45</v>
      </c>
      <c r="G591" s="14"/>
      <c r="H591" s="28"/>
      <c r="I591" s="29" t="str">
        <f aca="false">IF(OR($G591="",$G591=0),"",IFERROR(ROUND($F591*$G591*(1-IF($H591="",0,$H591)),2),""))</f>
        <v/>
      </c>
      <c r="J591" s="7"/>
    </row>
    <row r="592" customFormat="false" ht="21.75" hidden="false" customHeight="true" outlineLevel="0" collapsed="false">
      <c r="B592" s="15" t="n">
        <v>582</v>
      </c>
      <c r="C592" s="9" t="s">
        <v>49</v>
      </c>
      <c r="D592" s="9" t="s">
        <v>65</v>
      </c>
      <c r="E592" s="9" t="s">
        <v>1545</v>
      </c>
      <c r="F592" s="19" t="n">
        <f aca="false">IF('Base de Datos SACI'!U586="","",'Base de Datos SACI'!U586)</f>
        <v>17</v>
      </c>
      <c r="G592" s="15"/>
      <c r="H592" s="30"/>
      <c r="I592" s="31" t="str">
        <f aca="false">IF(OR($G592="",$G592=0),"",IFERROR(ROUND($F592*$G592*(1-IF($H592="",0,$H592)),2),""))</f>
        <v/>
      </c>
      <c r="J592" s="9"/>
    </row>
    <row r="593" customFormat="false" ht="21.75" hidden="false" customHeight="true" outlineLevel="0" collapsed="false">
      <c r="B593" s="14" t="n">
        <v>583</v>
      </c>
      <c r="C593" s="7" t="s">
        <v>49</v>
      </c>
      <c r="D593" s="7" t="s">
        <v>65</v>
      </c>
      <c r="E593" s="7" t="s">
        <v>1549</v>
      </c>
      <c r="F593" s="18" t="n">
        <f aca="false">IF('Base de Datos SACI'!U587="","",'Base de Datos SACI'!U587)</f>
        <v>25</v>
      </c>
      <c r="G593" s="14"/>
      <c r="H593" s="28"/>
      <c r="I593" s="29" t="str">
        <f aca="false">IF(OR($G593="",$G593=0),"",IFERROR(ROUND($F593*$G593*(1-IF($H593="",0,$H593)),2),""))</f>
        <v/>
      </c>
      <c r="J593" s="7"/>
    </row>
    <row r="594" customFormat="false" ht="21.75" hidden="false" customHeight="true" outlineLevel="0" collapsed="false">
      <c r="B594" s="15" t="n">
        <v>584</v>
      </c>
      <c r="C594" s="9" t="s">
        <v>49</v>
      </c>
      <c r="D594" s="9" t="s">
        <v>65</v>
      </c>
      <c r="E594" s="9" t="s">
        <v>1550</v>
      </c>
      <c r="F594" s="19" t="n">
        <f aca="false">IF('Base de Datos SACI'!U588="","",'Base de Datos SACI'!U588)</f>
        <v>30</v>
      </c>
      <c r="G594" s="15"/>
      <c r="H594" s="30"/>
      <c r="I594" s="31" t="str">
        <f aca="false">IF(OR($G594="",$G594=0),"",IFERROR(ROUND($F594*$G594*(1-IF($H594="",0,$H594)),2),""))</f>
        <v/>
      </c>
      <c r="J594" s="9"/>
    </row>
    <row r="595" customFormat="false" ht="21.75" hidden="false" customHeight="true" outlineLevel="0" collapsed="false">
      <c r="B595" s="14" t="n">
        <v>585</v>
      </c>
      <c r="C595" s="7" t="s">
        <v>49</v>
      </c>
      <c r="D595" s="7" t="s">
        <v>65</v>
      </c>
      <c r="E595" s="7" t="s">
        <v>1552</v>
      </c>
      <c r="F595" s="18" t="n">
        <f aca="false">IF('Base de Datos SACI'!U589="","",'Base de Datos SACI'!U589)</f>
        <v>50</v>
      </c>
      <c r="G595" s="14"/>
      <c r="H595" s="28"/>
      <c r="I595" s="29" t="str">
        <f aca="false">IF(OR($G595="",$G595=0),"",IFERROR(ROUND($F595*$G595*(1-IF($H595="",0,$H595)),2),""))</f>
        <v/>
      </c>
      <c r="J595" s="7"/>
    </row>
    <row r="596" customFormat="false" ht="21.75" hidden="false" customHeight="true" outlineLevel="0" collapsed="false">
      <c r="B596" s="15" t="n">
        <v>586</v>
      </c>
      <c r="C596" s="9" t="s">
        <v>49</v>
      </c>
      <c r="D596" s="9" t="s">
        <v>65</v>
      </c>
      <c r="E596" s="9" t="s">
        <v>1553</v>
      </c>
      <c r="F596" s="19" t="n">
        <f aca="false">IF('Base de Datos SACI'!U590="","",'Base de Datos SACI'!U590)</f>
        <v>70</v>
      </c>
      <c r="G596" s="15"/>
      <c r="H596" s="30"/>
      <c r="I596" s="31" t="str">
        <f aca="false">IF(OR($G596="",$G596=0),"",IFERROR(ROUND($F596*$G596*(1-IF($H596="",0,$H596)),2),""))</f>
        <v/>
      </c>
      <c r="J596" s="9"/>
    </row>
    <row r="597" customFormat="false" ht="21.75" hidden="false" customHeight="true" outlineLevel="0" collapsed="false">
      <c r="B597" s="14" t="n">
        <v>587</v>
      </c>
      <c r="C597" s="7" t="s">
        <v>49</v>
      </c>
      <c r="D597" s="7" t="s">
        <v>66</v>
      </c>
      <c r="E597" s="7" t="s">
        <v>1554</v>
      </c>
      <c r="F597" s="18" t="n">
        <f aca="false">IF('Base de Datos SACI'!U591="","",'Base de Datos SACI'!U591)</f>
        <v>25</v>
      </c>
      <c r="G597" s="14"/>
      <c r="H597" s="28"/>
      <c r="I597" s="29" t="str">
        <f aca="false">IF(OR($G597="",$G597=0),"",IFERROR(ROUND($F597*$G597*(1-IF($H597="",0,$H597)),2),""))</f>
        <v/>
      </c>
      <c r="J597" s="7"/>
    </row>
    <row r="598" customFormat="false" ht="21.75" hidden="false" customHeight="true" outlineLevel="0" collapsed="false">
      <c r="B598" s="15" t="n">
        <v>588</v>
      </c>
      <c r="C598" s="9" t="s">
        <v>49</v>
      </c>
      <c r="D598" s="9" t="s">
        <v>66</v>
      </c>
      <c r="E598" s="9" t="s">
        <v>1558</v>
      </c>
      <c r="F598" s="19" t="n">
        <f aca="false">IF('Base de Datos SACI'!U592="","",'Base de Datos SACI'!U592)</f>
        <v>40</v>
      </c>
      <c r="G598" s="15"/>
      <c r="H598" s="30"/>
      <c r="I598" s="31" t="str">
        <f aca="false">IF(OR($G598="",$G598=0),"",IFERROR(ROUND($F598*$G598*(1-IF($H598="",0,$H598)),2),""))</f>
        <v/>
      </c>
      <c r="J598" s="9"/>
    </row>
    <row r="599" customFormat="false" ht="21.75" hidden="false" customHeight="true" outlineLevel="0" collapsed="false">
      <c r="B599" s="14" t="n">
        <v>589</v>
      </c>
      <c r="C599" s="7" t="s">
        <v>49</v>
      </c>
      <c r="D599" s="7" t="s">
        <v>66</v>
      </c>
      <c r="E599" s="7" t="s">
        <v>1559</v>
      </c>
      <c r="F599" s="18" t="n">
        <f aca="false">IF('Base de Datos SACI'!U593="","",'Base de Datos SACI'!U593)</f>
        <v>55</v>
      </c>
      <c r="G599" s="14"/>
      <c r="H599" s="28"/>
      <c r="I599" s="29" t="str">
        <f aca="false">IF(OR($G599="",$G599=0),"",IFERROR(ROUND($F599*$G599*(1-IF($H599="",0,$H599)),2),""))</f>
        <v/>
      </c>
      <c r="J599" s="7"/>
    </row>
    <row r="600" customFormat="false" ht="21.75" hidden="false" customHeight="true" outlineLevel="0" collapsed="false">
      <c r="B600" s="15" t="n">
        <v>590</v>
      </c>
      <c r="C600" s="9" t="s">
        <v>49</v>
      </c>
      <c r="D600" s="9" t="s">
        <v>66</v>
      </c>
      <c r="E600" s="9" t="s">
        <v>1561</v>
      </c>
      <c r="F600" s="19" t="n">
        <f aca="false">IF('Base de Datos SACI'!U594="","",'Base de Datos SACI'!U594)</f>
        <v>85</v>
      </c>
      <c r="G600" s="15"/>
      <c r="H600" s="30"/>
      <c r="I600" s="31" t="str">
        <f aca="false">IF(OR($G600="",$G600=0),"",IFERROR(ROUND($F600*$G600*(1-IF($H600="",0,$H600)),2),""))</f>
        <v/>
      </c>
      <c r="J600" s="9"/>
    </row>
    <row r="601" customFormat="false" ht="21.75" hidden="false" customHeight="true" outlineLevel="0" collapsed="false">
      <c r="B601" s="14" t="n">
        <v>591</v>
      </c>
      <c r="C601" s="7" t="s">
        <v>49</v>
      </c>
      <c r="D601" s="7" t="s">
        <v>66</v>
      </c>
      <c r="E601" s="7" t="s">
        <v>1562</v>
      </c>
      <c r="F601" s="18" t="n">
        <f aca="false">IF('Base de Datos SACI'!U595="","",'Base de Datos SACI'!U595)</f>
        <v>125</v>
      </c>
      <c r="G601" s="14"/>
      <c r="H601" s="28"/>
      <c r="I601" s="29" t="str">
        <f aca="false">IF(OR($G601="",$G601=0),"",IFERROR(ROUND($F601*$G601*(1-IF($H601="",0,$H601)),2),""))</f>
        <v/>
      </c>
      <c r="J601" s="7"/>
    </row>
    <row r="602" customFormat="false" ht="21.75" hidden="false" customHeight="true" outlineLevel="0" collapsed="false">
      <c r="B602" s="15" t="n">
        <v>592</v>
      </c>
      <c r="C602" s="9" t="s">
        <v>49</v>
      </c>
      <c r="D602" s="9" t="s">
        <v>67</v>
      </c>
      <c r="E602" s="9" t="s">
        <v>1563</v>
      </c>
      <c r="F602" s="19" t="n">
        <f aca="false">IF('Base de Datos SACI'!U596="","",'Base de Datos SACI'!U596)</f>
        <v>8</v>
      </c>
      <c r="G602" s="15"/>
      <c r="H602" s="30"/>
      <c r="I602" s="31" t="str">
        <f aca="false">IF(OR($G602="",$G602=0),"",IFERROR(ROUND($F602*$G602*(1-IF($H602="",0,$H602)),2),""))</f>
        <v/>
      </c>
      <c r="J602" s="9"/>
    </row>
    <row r="603" customFormat="false" ht="21.75" hidden="false" customHeight="true" outlineLevel="0" collapsed="false">
      <c r="B603" s="14" t="n">
        <v>593</v>
      </c>
      <c r="C603" s="7" t="s">
        <v>49</v>
      </c>
      <c r="D603" s="7" t="s">
        <v>67</v>
      </c>
      <c r="E603" s="7" t="s">
        <v>1568</v>
      </c>
      <c r="F603" s="18" t="n">
        <f aca="false">IF('Base de Datos SACI'!U597="","",'Base de Datos SACI'!U597)</f>
        <v>8</v>
      </c>
      <c r="G603" s="14"/>
      <c r="H603" s="28"/>
      <c r="I603" s="29" t="str">
        <f aca="false">IF(OR($G603="",$G603=0),"",IFERROR(ROUND($F603*$G603*(1-IF($H603="",0,$H603)),2),""))</f>
        <v/>
      </c>
      <c r="J603" s="7"/>
    </row>
    <row r="604" customFormat="false" ht="21.75" hidden="false" customHeight="true" outlineLevel="0" collapsed="false">
      <c r="B604" s="15" t="n">
        <v>594</v>
      </c>
      <c r="C604" s="9" t="s">
        <v>49</v>
      </c>
      <c r="D604" s="9" t="s">
        <v>67</v>
      </c>
      <c r="E604" s="9" t="s">
        <v>1569</v>
      </c>
      <c r="F604" s="19" t="n">
        <f aca="false">IF('Base de Datos SACI'!U598="","",'Base de Datos SACI'!U598)</f>
        <v>9</v>
      </c>
      <c r="G604" s="15"/>
      <c r="H604" s="30"/>
      <c r="I604" s="31" t="str">
        <f aca="false">IF(OR($G604="",$G604=0),"",IFERROR(ROUND($F604*$G604*(1-IF($H604="",0,$H604)),2),""))</f>
        <v/>
      </c>
      <c r="J604" s="9"/>
    </row>
    <row r="605" customFormat="false" ht="21.75" hidden="false" customHeight="true" outlineLevel="0" collapsed="false">
      <c r="B605" s="14" t="n">
        <v>595</v>
      </c>
      <c r="C605" s="7" t="s">
        <v>49</v>
      </c>
      <c r="D605" s="7" t="s">
        <v>67</v>
      </c>
      <c r="E605" s="7" t="s">
        <v>1571</v>
      </c>
      <c r="F605" s="18" t="n">
        <f aca="false">IF('Base de Datos SACI'!U599="","",'Base de Datos SACI'!U599)</f>
        <v>14</v>
      </c>
      <c r="G605" s="14"/>
      <c r="H605" s="28"/>
      <c r="I605" s="29" t="str">
        <f aca="false">IF(OR($G605="",$G605=0),"",IFERROR(ROUND($F605*$G605*(1-IF($H605="",0,$H605)),2),""))</f>
        <v/>
      </c>
      <c r="J605" s="7"/>
    </row>
    <row r="606" customFormat="false" ht="21.75" hidden="false" customHeight="true" outlineLevel="0" collapsed="false">
      <c r="B606" s="15" t="n">
        <v>596</v>
      </c>
      <c r="C606" s="9" t="s">
        <v>49</v>
      </c>
      <c r="D606" s="9" t="s">
        <v>67</v>
      </c>
      <c r="E606" s="9" t="s">
        <v>1572</v>
      </c>
      <c r="F606" s="19" t="n">
        <f aca="false">IF('Base de Datos SACI'!U600="","",'Base de Datos SACI'!U600)</f>
        <v>20</v>
      </c>
      <c r="G606" s="15"/>
      <c r="H606" s="30"/>
      <c r="I606" s="31" t="str">
        <f aca="false">IF(OR($G606="",$G606=0),"",IFERROR(ROUND($F606*$G606*(1-IF($H606="",0,$H606)),2),""))</f>
        <v/>
      </c>
      <c r="J606" s="9"/>
    </row>
    <row r="607" customFormat="false" ht="21.75" hidden="false" customHeight="true" outlineLevel="0" collapsed="false">
      <c r="B607" s="14" t="n">
        <v>597</v>
      </c>
      <c r="C607" s="7" t="s">
        <v>49</v>
      </c>
      <c r="D607" s="7" t="s">
        <v>68</v>
      </c>
      <c r="E607" s="7" t="s">
        <v>391</v>
      </c>
      <c r="F607" s="18" t="str">
        <f aca="false">IF('Base de Datos SACI'!U601="","",'Base de Datos SACI'!U601)</f>
        <v/>
      </c>
      <c r="G607" s="14"/>
      <c r="H607" s="28"/>
      <c r="I607" s="29" t="str">
        <f aca="false">IF(OR($G607="",$G607=0),"",IFERROR(ROUND($F607*$G607*(1-IF($H607="",0,$H607)),2),""))</f>
        <v/>
      </c>
      <c r="J607" s="7"/>
    </row>
    <row r="608" customFormat="false" ht="21.75" hidden="false" customHeight="true" outlineLevel="0" collapsed="false">
      <c r="B608" s="15" t="n">
        <v>598</v>
      </c>
      <c r="C608" s="9" t="s">
        <v>49</v>
      </c>
      <c r="D608" s="9" t="s">
        <v>69</v>
      </c>
      <c r="E608" s="9" t="s">
        <v>1574</v>
      </c>
      <c r="F608" s="19" t="n">
        <f aca="false">IF('Base de Datos SACI'!U602="","",'Base de Datos SACI'!U602)</f>
        <v>20</v>
      </c>
      <c r="G608" s="15"/>
      <c r="H608" s="30"/>
      <c r="I608" s="31" t="str">
        <f aca="false">IF(OR($G608="",$G608=0),"",IFERROR(ROUND($F608*$G608*(1-IF($H608="",0,$H608)),2),""))</f>
        <v/>
      </c>
      <c r="J608" s="9"/>
    </row>
    <row r="609" customFormat="false" ht="21.75" hidden="false" customHeight="true" outlineLevel="0" collapsed="false">
      <c r="B609" s="14" t="n">
        <v>599</v>
      </c>
      <c r="C609" s="7" t="s">
        <v>49</v>
      </c>
      <c r="D609" s="7" t="s">
        <v>69</v>
      </c>
      <c r="E609" s="7" t="s">
        <v>1576</v>
      </c>
      <c r="F609" s="18" t="n">
        <f aca="false">IF('Base de Datos SACI'!U603="","",'Base de Datos SACI'!U603)</f>
        <v>30</v>
      </c>
      <c r="G609" s="14"/>
      <c r="H609" s="28"/>
      <c r="I609" s="29" t="str">
        <f aca="false">IF(OR($G609="",$G609=0),"",IFERROR(ROUND($F609*$G609*(1-IF($H609="",0,$H609)),2),""))</f>
        <v/>
      </c>
      <c r="J609" s="7"/>
    </row>
    <row r="610" customFormat="false" ht="21.75" hidden="false" customHeight="true" outlineLevel="0" collapsed="false">
      <c r="B610" s="15" t="n">
        <v>600</v>
      </c>
      <c r="C610" s="9" t="s">
        <v>49</v>
      </c>
      <c r="D610" s="9" t="s">
        <v>69</v>
      </c>
      <c r="E610" s="9" t="s">
        <v>1577</v>
      </c>
      <c r="F610" s="19" t="n">
        <f aca="false">IF('Base de Datos SACI'!U604="","",'Base de Datos SACI'!U604)</f>
        <v>40</v>
      </c>
      <c r="G610" s="15"/>
      <c r="H610" s="30"/>
      <c r="I610" s="31" t="str">
        <f aca="false">IF(OR($G610="",$G610=0),"",IFERROR(ROUND($F610*$G610*(1-IF($H610="",0,$H610)),2),""))</f>
        <v/>
      </c>
      <c r="J610" s="9"/>
    </row>
    <row r="611" customFormat="false" ht="21.75" hidden="false" customHeight="true" outlineLevel="0" collapsed="false">
      <c r="B611" s="14" t="n">
        <v>601</v>
      </c>
      <c r="C611" s="7" t="s">
        <v>49</v>
      </c>
      <c r="D611" s="7" t="s">
        <v>69</v>
      </c>
      <c r="E611" s="7" t="s">
        <v>1579</v>
      </c>
      <c r="F611" s="18" t="n">
        <f aca="false">IF('Base de Datos SACI'!U605="","",'Base de Datos SACI'!U605)</f>
        <v>60</v>
      </c>
      <c r="G611" s="14"/>
      <c r="H611" s="28"/>
      <c r="I611" s="29" t="str">
        <f aca="false">IF(OR($G611="",$G611=0),"",IFERROR(ROUND($F611*$G611*(1-IF($H611="",0,$H611)),2),""))</f>
        <v/>
      </c>
      <c r="J611" s="7"/>
    </row>
    <row r="612" customFormat="false" ht="21.75" hidden="false" customHeight="true" outlineLevel="0" collapsed="false">
      <c r="B612" s="15" t="n">
        <v>602</v>
      </c>
      <c r="C612" s="9" t="s">
        <v>49</v>
      </c>
      <c r="D612" s="9" t="s">
        <v>69</v>
      </c>
      <c r="E612" s="9" t="s">
        <v>1580</v>
      </c>
      <c r="F612" s="19" t="n">
        <f aca="false">IF('Base de Datos SACI'!U606="","",'Base de Datos SACI'!U606)</f>
        <v>90</v>
      </c>
      <c r="G612" s="15"/>
      <c r="H612" s="30"/>
      <c r="I612" s="31" t="str">
        <f aca="false">IF(OR($G612="",$G612=0),"",IFERROR(ROUND($F612*$G612*(1-IF($H612="",0,$H612)),2),""))</f>
        <v/>
      </c>
      <c r="J612" s="9"/>
    </row>
    <row r="613" customFormat="false" ht="21.75" hidden="false" customHeight="true" outlineLevel="0" collapsed="false">
      <c r="B613" s="14" t="n">
        <v>603</v>
      </c>
      <c r="C613" s="7" t="s">
        <v>49</v>
      </c>
      <c r="D613" s="7" t="s">
        <v>70</v>
      </c>
      <c r="E613" s="7" t="s">
        <v>1581</v>
      </c>
      <c r="F613" s="18" t="n">
        <f aca="false">IF('Base de Datos SACI'!U607="","",'Base de Datos SACI'!U607)</f>
        <v>12</v>
      </c>
      <c r="G613" s="14"/>
      <c r="H613" s="28"/>
      <c r="I613" s="29" t="str">
        <f aca="false">IF(OR($G613="",$G613=0),"",IFERROR(ROUND($F613*$G613*(1-IF($H613="",0,$H613)),2),""))</f>
        <v/>
      </c>
      <c r="J613" s="7"/>
    </row>
    <row r="614" customFormat="false" ht="21.75" hidden="false" customHeight="true" outlineLevel="0" collapsed="false">
      <c r="B614" s="15" t="n">
        <v>604</v>
      </c>
      <c r="C614" s="9" t="s">
        <v>49</v>
      </c>
      <c r="D614" s="9" t="s">
        <v>70</v>
      </c>
      <c r="E614" s="9" t="s">
        <v>1583</v>
      </c>
      <c r="F614" s="19" t="n">
        <f aca="false">IF('Base de Datos SACI'!U608="","",'Base de Datos SACI'!U608)</f>
        <v>18</v>
      </c>
      <c r="G614" s="15"/>
      <c r="H614" s="30"/>
      <c r="I614" s="31" t="str">
        <f aca="false">IF(OR($G614="",$G614=0),"",IFERROR(ROUND($F614*$G614*(1-IF($H614="",0,$H614)),2),""))</f>
        <v/>
      </c>
      <c r="J614" s="9"/>
    </row>
    <row r="615" customFormat="false" ht="21.75" hidden="false" customHeight="true" outlineLevel="0" collapsed="false">
      <c r="B615" s="14" t="n">
        <v>605</v>
      </c>
      <c r="C615" s="7" t="s">
        <v>49</v>
      </c>
      <c r="D615" s="7" t="s">
        <v>70</v>
      </c>
      <c r="E615" s="7" t="s">
        <v>1584</v>
      </c>
      <c r="F615" s="18" t="n">
        <f aca="false">IF('Base de Datos SACI'!U609="","",'Base de Datos SACI'!U609)</f>
        <v>20</v>
      </c>
      <c r="G615" s="14"/>
      <c r="H615" s="28"/>
      <c r="I615" s="29" t="str">
        <f aca="false">IF(OR($G615="",$G615=0),"",IFERROR(ROUND($F615*$G615*(1-IF($H615="",0,$H615)),2),""))</f>
        <v/>
      </c>
      <c r="J615" s="7"/>
    </row>
    <row r="616" customFormat="false" ht="21.75" hidden="false" customHeight="true" outlineLevel="0" collapsed="false">
      <c r="B616" s="15" t="n">
        <v>606</v>
      </c>
      <c r="C616" s="9" t="s">
        <v>49</v>
      </c>
      <c r="D616" s="9" t="s">
        <v>70</v>
      </c>
      <c r="E616" s="9" t="s">
        <v>1585</v>
      </c>
      <c r="F616" s="19" t="n">
        <f aca="false">IF('Base de Datos SACI'!U610="","",'Base de Datos SACI'!U610)</f>
        <v>35</v>
      </c>
      <c r="G616" s="15"/>
      <c r="H616" s="30"/>
      <c r="I616" s="31" t="str">
        <f aca="false">IF(OR($G616="",$G616=0),"",IFERROR(ROUND($F616*$G616*(1-IF($H616="",0,$H616)),2),""))</f>
        <v/>
      </c>
      <c r="J616" s="9"/>
    </row>
    <row r="617" customFormat="false" ht="21.75" hidden="false" customHeight="true" outlineLevel="0" collapsed="false">
      <c r="B617" s="14" t="n">
        <v>607</v>
      </c>
      <c r="C617" s="7" t="s">
        <v>49</v>
      </c>
      <c r="D617" s="7" t="s">
        <v>70</v>
      </c>
      <c r="E617" s="7" t="s">
        <v>1586</v>
      </c>
      <c r="F617" s="18" t="n">
        <f aca="false">IF('Base de Datos SACI'!U611="","",'Base de Datos SACI'!U611)</f>
        <v>50</v>
      </c>
      <c r="G617" s="14"/>
      <c r="H617" s="28"/>
      <c r="I617" s="29" t="str">
        <f aca="false">IF(OR($G617="",$G617=0),"",IFERROR(ROUND($F617*$G617*(1-IF($H617="",0,$H617)),2),""))</f>
        <v/>
      </c>
      <c r="J617" s="7"/>
    </row>
    <row r="618" customFormat="false" ht="21.75" hidden="false" customHeight="true" outlineLevel="0" collapsed="false">
      <c r="B618" s="15" t="n">
        <v>608</v>
      </c>
      <c r="C618" s="9" t="s">
        <v>49</v>
      </c>
      <c r="D618" s="9" t="s">
        <v>71</v>
      </c>
      <c r="E618" s="9" t="s">
        <v>1587</v>
      </c>
      <c r="F618" s="19" t="n">
        <f aca="false">IF('Base de Datos SACI'!U612="","",'Base de Datos SACI'!U612)</f>
        <v>40</v>
      </c>
      <c r="G618" s="15"/>
      <c r="H618" s="30"/>
      <c r="I618" s="31" t="str">
        <f aca="false">IF(OR($G618="",$G618=0),"",IFERROR(ROUND($F618*$G618*(1-IF($H618="",0,$H618)),2),""))</f>
        <v/>
      </c>
      <c r="J618" s="9"/>
    </row>
    <row r="619" customFormat="false" ht="21.75" hidden="false" customHeight="true" outlineLevel="0" collapsed="false">
      <c r="B619" s="14" t="n">
        <v>609</v>
      </c>
      <c r="C619" s="7" t="s">
        <v>49</v>
      </c>
      <c r="D619" s="7" t="s">
        <v>71</v>
      </c>
      <c r="E619" s="7" t="s">
        <v>1595</v>
      </c>
      <c r="F619" s="18" t="n">
        <f aca="false">IF('Base de Datos SACI'!U613="","",'Base de Datos SACI'!U613)</f>
        <v>65</v>
      </c>
      <c r="G619" s="14"/>
      <c r="H619" s="28"/>
      <c r="I619" s="29" t="str">
        <f aca="false">IF(OR($G619="",$G619=0),"",IFERROR(ROUND($F619*$G619*(1-IF($H619="",0,$H619)),2),""))</f>
        <v/>
      </c>
      <c r="J619" s="7"/>
    </row>
    <row r="620" customFormat="false" ht="21.75" hidden="false" customHeight="true" outlineLevel="0" collapsed="false">
      <c r="B620" s="15" t="n">
        <v>610</v>
      </c>
      <c r="C620" s="9" t="s">
        <v>49</v>
      </c>
      <c r="D620" s="9" t="s">
        <v>71</v>
      </c>
      <c r="E620" s="9" t="s">
        <v>1596</v>
      </c>
      <c r="F620" s="19" t="n">
        <f aca="false">IF('Base de Datos SACI'!U614="","",'Base de Datos SACI'!U614)</f>
        <v>85</v>
      </c>
      <c r="G620" s="15"/>
      <c r="H620" s="30"/>
      <c r="I620" s="31" t="str">
        <f aca="false">IF(OR($G620="",$G620=0),"",IFERROR(ROUND($F620*$G620*(1-IF($H620="",0,$H620)),2),""))</f>
        <v/>
      </c>
      <c r="J620" s="9"/>
    </row>
    <row r="621" customFormat="false" ht="21.75" hidden="false" customHeight="true" outlineLevel="0" collapsed="false">
      <c r="B621" s="14" t="n">
        <v>611</v>
      </c>
      <c r="C621" s="7" t="s">
        <v>49</v>
      </c>
      <c r="D621" s="7" t="s">
        <v>71</v>
      </c>
      <c r="E621" s="7" t="s">
        <v>1598</v>
      </c>
      <c r="F621" s="18" t="n">
        <f aca="false">IF('Base de Datos SACI'!U615="","",'Base de Datos SACI'!U615)</f>
        <v>130</v>
      </c>
      <c r="G621" s="14"/>
      <c r="H621" s="28"/>
      <c r="I621" s="29" t="str">
        <f aca="false">IF(OR($G621="",$G621=0),"",IFERROR(ROUND($F621*$G621*(1-IF($H621="",0,$H621)),2),""))</f>
        <v/>
      </c>
      <c r="J621" s="7"/>
    </row>
    <row r="622" customFormat="false" ht="21.75" hidden="false" customHeight="true" outlineLevel="0" collapsed="false">
      <c r="B622" s="15" t="n">
        <v>612</v>
      </c>
      <c r="C622" s="9" t="s">
        <v>49</v>
      </c>
      <c r="D622" s="9" t="s">
        <v>71</v>
      </c>
      <c r="E622" s="9" t="s">
        <v>1599</v>
      </c>
      <c r="F622" s="19" t="n">
        <f aca="false">IF('Base de Datos SACI'!U616="","",'Base de Datos SACI'!U616)</f>
        <v>190</v>
      </c>
      <c r="G622" s="15"/>
      <c r="H622" s="30"/>
      <c r="I622" s="31" t="str">
        <f aca="false">IF(OR($G622="",$G622=0),"",IFERROR(ROUND($F622*$G622*(1-IF($H622="",0,$H622)),2),""))</f>
        <v/>
      </c>
      <c r="J622" s="9"/>
    </row>
    <row r="623" customFormat="false" ht="21.75" hidden="false" customHeight="true" outlineLevel="0" collapsed="false">
      <c r="B623" s="14" t="n">
        <v>613</v>
      </c>
      <c r="C623" s="7" t="s">
        <v>49</v>
      </c>
      <c r="D623" s="7" t="s">
        <v>72</v>
      </c>
      <c r="E623" s="7" t="s">
        <v>391</v>
      </c>
      <c r="F623" s="18" t="str">
        <f aca="false">IF('Base de Datos SACI'!U617="","",'Base de Datos SACI'!U617)</f>
        <v/>
      </c>
      <c r="G623" s="14"/>
      <c r="H623" s="28"/>
      <c r="I623" s="29" t="str">
        <f aca="false">IF(OR($G623="",$G623=0),"",IFERROR(ROUND($F623*$G623*(1-IF($H623="",0,$H623)),2),""))</f>
        <v/>
      </c>
      <c r="J623" s="7"/>
    </row>
    <row r="624" customFormat="false" ht="21.75" hidden="false" customHeight="true" outlineLevel="0" collapsed="false">
      <c r="B624" s="15" t="n">
        <v>614</v>
      </c>
      <c r="C624" s="9" t="s">
        <v>49</v>
      </c>
      <c r="D624" s="9" t="s">
        <v>73</v>
      </c>
      <c r="E624" s="9" t="s">
        <v>1601</v>
      </c>
      <c r="F624" s="19" t="n">
        <f aca="false">IF('Base de Datos SACI'!U618="","",'Base de Datos SACI'!U618)</f>
        <v>20</v>
      </c>
      <c r="G624" s="15"/>
      <c r="H624" s="30"/>
      <c r="I624" s="31" t="str">
        <f aca="false">IF(OR($G624="",$G624=0),"",IFERROR(ROUND($F624*$G624*(1-IF($H624="",0,$H624)),2),""))</f>
        <v/>
      </c>
      <c r="J624" s="9"/>
    </row>
    <row r="625" customFormat="false" ht="21.75" hidden="false" customHeight="true" outlineLevel="0" collapsed="false">
      <c r="B625" s="14" t="n">
        <v>615</v>
      </c>
      <c r="C625" s="7" t="s">
        <v>49</v>
      </c>
      <c r="D625" s="7" t="s">
        <v>73</v>
      </c>
      <c r="E625" s="7" t="s">
        <v>1606</v>
      </c>
      <c r="F625" s="18" t="n">
        <f aca="false">IF('Base de Datos SACI'!U619="","",'Base de Datos SACI'!U619)</f>
        <v>30</v>
      </c>
      <c r="G625" s="14"/>
      <c r="H625" s="28"/>
      <c r="I625" s="29" t="str">
        <f aca="false">IF(OR($G625="",$G625=0),"",IFERROR(ROUND($F625*$G625*(1-IF($H625="",0,$H625)),2),""))</f>
        <v/>
      </c>
      <c r="J625" s="7"/>
    </row>
    <row r="626" customFormat="false" ht="21.75" hidden="false" customHeight="true" outlineLevel="0" collapsed="false">
      <c r="B626" s="15" t="n">
        <v>616</v>
      </c>
      <c r="C626" s="9" t="s">
        <v>49</v>
      </c>
      <c r="D626" s="9" t="s">
        <v>73</v>
      </c>
      <c r="E626" s="9" t="s">
        <v>1607</v>
      </c>
      <c r="F626" s="19" t="n">
        <f aca="false">IF('Base de Datos SACI'!U620="","",'Base de Datos SACI'!U620)</f>
        <v>45</v>
      </c>
      <c r="G626" s="15"/>
      <c r="H626" s="30"/>
      <c r="I626" s="31" t="str">
        <f aca="false">IF(OR($G626="",$G626=0),"",IFERROR(ROUND($F626*$G626*(1-IF($H626="",0,$H626)),2),""))</f>
        <v/>
      </c>
      <c r="J626" s="9"/>
    </row>
    <row r="627" customFormat="false" ht="21.75" hidden="false" customHeight="true" outlineLevel="0" collapsed="false">
      <c r="B627" s="14" t="n">
        <v>617</v>
      </c>
      <c r="C627" s="7" t="s">
        <v>49</v>
      </c>
      <c r="D627" s="7" t="s">
        <v>73</v>
      </c>
      <c r="E627" s="7" t="s">
        <v>1609</v>
      </c>
      <c r="F627" s="18" t="n">
        <f aca="false">IF('Base de Datos SACI'!U621="","",'Base de Datos SACI'!U621)</f>
        <v>65</v>
      </c>
      <c r="G627" s="14"/>
      <c r="H627" s="28"/>
      <c r="I627" s="29" t="str">
        <f aca="false">IF(OR($G627="",$G627=0),"",IFERROR(ROUND($F627*$G627*(1-IF($H627="",0,$H627)),2),""))</f>
        <v/>
      </c>
      <c r="J627" s="7"/>
    </row>
    <row r="628" customFormat="false" ht="21.75" hidden="false" customHeight="true" outlineLevel="0" collapsed="false">
      <c r="B628" s="15" t="n">
        <v>618</v>
      </c>
      <c r="C628" s="9" t="s">
        <v>49</v>
      </c>
      <c r="D628" s="9" t="s">
        <v>73</v>
      </c>
      <c r="E628" s="9" t="s">
        <v>1610</v>
      </c>
      <c r="F628" s="19" t="n">
        <f aca="false">IF('Base de Datos SACI'!U622="","",'Base de Datos SACI'!U622)</f>
        <v>95</v>
      </c>
      <c r="G628" s="15"/>
      <c r="H628" s="30"/>
      <c r="I628" s="31" t="str">
        <f aca="false">IF(OR($G628="",$G628=0),"",IFERROR(ROUND($F628*$G628*(1-IF($H628="",0,$H628)),2),""))</f>
        <v/>
      </c>
      <c r="J628" s="9"/>
    </row>
    <row r="629" customFormat="false" ht="21.75" hidden="false" customHeight="true" outlineLevel="0" collapsed="false">
      <c r="B629" s="14" t="n">
        <v>619</v>
      </c>
      <c r="C629" s="7" t="s">
        <v>49</v>
      </c>
      <c r="D629" s="7" t="s">
        <v>74</v>
      </c>
      <c r="E629" s="7" t="s">
        <v>391</v>
      </c>
      <c r="F629" s="18" t="str">
        <f aca="false">IF('Base de Datos SACI'!U623="","",'Base de Datos SACI'!U623)</f>
        <v/>
      </c>
      <c r="G629" s="14"/>
      <c r="H629" s="28"/>
      <c r="I629" s="29" t="str">
        <f aca="false">IF(OR($G629="",$G629=0),"",IFERROR(ROUND($F629*$G629*(1-IF($H629="",0,$H629)),2),""))</f>
        <v/>
      </c>
      <c r="J629" s="7"/>
    </row>
    <row r="630" customFormat="false" ht="21.75" hidden="false" customHeight="true" outlineLevel="0" collapsed="false">
      <c r="B630" s="15" t="n">
        <v>620</v>
      </c>
      <c r="C630" s="9" t="s">
        <v>49</v>
      </c>
      <c r="D630" s="9" t="s">
        <v>75</v>
      </c>
      <c r="E630" s="9" t="s">
        <v>391</v>
      </c>
      <c r="F630" s="19" t="str">
        <f aca="false">IF('Base de Datos SACI'!U624="","",'Base de Datos SACI'!U624)</f>
        <v/>
      </c>
      <c r="G630" s="15"/>
      <c r="H630" s="30"/>
      <c r="I630" s="31" t="str">
        <f aca="false">IF(OR($G630="",$G630=0),"",IFERROR(ROUND($F630*$G630*(1-IF($H630="",0,$H630)),2),""))</f>
        <v/>
      </c>
      <c r="J630" s="9"/>
    </row>
    <row r="631" customFormat="false" ht="21.75" hidden="false" customHeight="true" outlineLevel="0" collapsed="false">
      <c r="B631" s="14" t="n">
        <v>621</v>
      </c>
      <c r="C631" s="7" t="s">
        <v>50</v>
      </c>
      <c r="D631" s="7" t="s">
        <v>60</v>
      </c>
      <c r="E631" s="7" t="s">
        <v>1613</v>
      </c>
      <c r="F631" s="18" t="n">
        <f aca="false">IF('Base de Datos SACI'!U625="","",'Base de Datos SACI'!U625)</f>
        <v>105</v>
      </c>
      <c r="G631" s="14"/>
      <c r="H631" s="28"/>
      <c r="I631" s="29" t="str">
        <f aca="false">IF(OR($G631="",$G631=0),"",IFERROR(ROUND($F631*$G631*(1-IF($H631="",0,$H631)),2),""))</f>
        <v/>
      </c>
      <c r="J631" s="7"/>
    </row>
    <row r="632" customFormat="false" ht="21.75" hidden="false" customHeight="true" outlineLevel="0" collapsed="false">
      <c r="B632" s="15" t="n">
        <v>622</v>
      </c>
      <c r="C632" s="9" t="s">
        <v>50</v>
      </c>
      <c r="D632" s="9" t="s">
        <v>60</v>
      </c>
      <c r="E632" s="9" t="s">
        <v>1622</v>
      </c>
      <c r="F632" s="19" t="n">
        <f aca="false">IF('Base de Datos SACI'!U626="","",'Base de Datos SACI'!U626)</f>
        <v>160</v>
      </c>
      <c r="G632" s="15"/>
      <c r="H632" s="30"/>
      <c r="I632" s="31" t="str">
        <f aca="false">IF(OR($G632="",$G632=0),"",IFERROR(ROUND($F632*$G632*(1-IF($H632="",0,$H632)),2),""))</f>
        <v/>
      </c>
      <c r="J632" s="9"/>
    </row>
    <row r="633" customFormat="false" ht="21.75" hidden="false" customHeight="true" outlineLevel="0" collapsed="false">
      <c r="B633" s="14" t="n">
        <v>623</v>
      </c>
      <c r="C633" s="7" t="s">
        <v>50</v>
      </c>
      <c r="D633" s="7" t="s">
        <v>60</v>
      </c>
      <c r="E633" s="7" t="s">
        <v>1623</v>
      </c>
      <c r="F633" s="18" t="n">
        <f aca="false">IF('Base de Datos SACI'!U627="","",'Base de Datos SACI'!U627)</f>
        <v>215</v>
      </c>
      <c r="G633" s="14"/>
      <c r="H633" s="28"/>
      <c r="I633" s="29" t="str">
        <f aca="false">IF(OR($G633="",$G633=0),"",IFERROR(ROUND($F633*$G633*(1-IF($H633="",0,$H633)),2),""))</f>
        <v/>
      </c>
      <c r="J633" s="7"/>
    </row>
    <row r="634" customFormat="false" ht="21.75" hidden="false" customHeight="true" outlineLevel="0" collapsed="false">
      <c r="B634" s="15" t="n">
        <v>624</v>
      </c>
      <c r="C634" s="9" t="s">
        <v>50</v>
      </c>
      <c r="D634" s="9" t="s">
        <v>60</v>
      </c>
      <c r="E634" s="9" t="s">
        <v>1625</v>
      </c>
      <c r="F634" s="19" t="n">
        <f aca="false">IF('Base de Datos SACI'!U628="","",'Base de Datos SACI'!U628)</f>
        <v>320</v>
      </c>
      <c r="G634" s="15"/>
      <c r="H634" s="30"/>
      <c r="I634" s="31" t="str">
        <f aca="false">IF(OR($G634="",$G634=0),"",IFERROR(ROUND($F634*$G634*(1-IF($H634="",0,$H634)),2),""))</f>
        <v/>
      </c>
      <c r="J634" s="9"/>
    </row>
    <row r="635" customFormat="false" ht="21.75" hidden="false" customHeight="true" outlineLevel="0" collapsed="false">
      <c r="B635" s="14" t="n">
        <v>625</v>
      </c>
      <c r="C635" s="7" t="s">
        <v>50</v>
      </c>
      <c r="D635" s="7" t="s">
        <v>60</v>
      </c>
      <c r="E635" s="7" t="s">
        <v>1626</v>
      </c>
      <c r="F635" s="18" t="n">
        <f aca="false">IF('Base de Datos SACI'!U629="","",'Base de Datos SACI'!U629)</f>
        <v>470</v>
      </c>
      <c r="G635" s="14"/>
      <c r="H635" s="28"/>
      <c r="I635" s="29" t="str">
        <f aca="false">IF(OR($G635="",$G635=0),"",IFERROR(ROUND($F635*$G635*(1-IF($H635="",0,$H635)),2),""))</f>
        <v/>
      </c>
      <c r="J635" s="7"/>
    </row>
    <row r="636" customFormat="false" ht="21.75" hidden="false" customHeight="true" outlineLevel="0" collapsed="false">
      <c r="B636" s="15" t="n">
        <v>626</v>
      </c>
      <c r="C636" s="9" t="s">
        <v>50</v>
      </c>
      <c r="D636" s="9" t="s">
        <v>61</v>
      </c>
      <c r="E636" s="9" t="s">
        <v>1613</v>
      </c>
      <c r="F636" s="19" t="n">
        <f aca="false">IF('Base de Datos SACI'!U630="","",'Base de Datos SACI'!U630)</f>
        <v>65</v>
      </c>
      <c r="G636" s="15"/>
      <c r="H636" s="30"/>
      <c r="I636" s="31" t="str">
        <f aca="false">IF(OR($G636="",$G636=0),"",IFERROR(ROUND($F636*$G636*(1-IF($H636="",0,$H636)),2),""))</f>
        <v/>
      </c>
      <c r="J636" s="9"/>
    </row>
    <row r="637" customFormat="false" ht="21.75" hidden="false" customHeight="true" outlineLevel="0" collapsed="false">
      <c r="B637" s="14" t="n">
        <v>627</v>
      </c>
      <c r="C637" s="7" t="s">
        <v>50</v>
      </c>
      <c r="D637" s="7" t="s">
        <v>61</v>
      </c>
      <c r="E637" s="7" t="s">
        <v>1634</v>
      </c>
      <c r="F637" s="18" t="n">
        <f aca="false">IF('Base de Datos SACI'!U631="","",'Base de Datos SACI'!U631)</f>
        <v>100</v>
      </c>
      <c r="G637" s="14"/>
      <c r="H637" s="28"/>
      <c r="I637" s="29" t="str">
        <f aca="false">IF(OR($G637="",$G637=0),"",IFERROR(ROUND($F637*$G637*(1-IF($H637="",0,$H637)),2),""))</f>
        <v/>
      </c>
      <c r="J637" s="7"/>
    </row>
    <row r="638" customFormat="false" ht="21.75" hidden="false" customHeight="true" outlineLevel="0" collapsed="false">
      <c r="B638" s="15" t="n">
        <v>628</v>
      </c>
      <c r="C638" s="9" t="s">
        <v>50</v>
      </c>
      <c r="D638" s="9" t="s">
        <v>61</v>
      </c>
      <c r="E638" s="9" t="s">
        <v>1622</v>
      </c>
      <c r="F638" s="19" t="n">
        <f aca="false">IF('Base de Datos SACI'!U632="","",'Base de Datos SACI'!U632)</f>
        <v>135</v>
      </c>
      <c r="G638" s="15"/>
      <c r="H638" s="30"/>
      <c r="I638" s="31" t="str">
        <f aca="false">IF(OR($G638="",$G638=0),"",IFERROR(ROUND($F638*$G638*(1-IF($H638="",0,$H638)),2),""))</f>
        <v/>
      </c>
      <c r="J638" s="9"/>
    </row>
    <row r="639" customFormat="false" ht="21.75" hidden="false" customHeight="true" outlineLevel="0" collapsed="false">
      <c r="B639" s="14" t="n">
        <v>629</v>
      </c>
      <c r="C639" s="7" t="s">
        <v>50</v>
      </c>
      <c r="D639" s="7" t="s">
        <v>61</v>
      </c>
      <c r="E639" s="7" t="s">
        <v>1623</v>
      </c>
      <c r="F639" s="18" t="n">
        <f aca="false">IF('Base de Datos SACI'!U633="","",'Base de Datos SACI'!U633)</f>
        <v>200</v>
      </c>
      <c r="G639" s="14"/>
      <c r="H639" s="28"/>
      <c r="I639" s="29" t="str">
        <f aca="false">IF(OR($G639="",$G639=0),"",IFERROR(ROUND($F639*$G639*(1-IF($H639="",0,$H639)),2),""))</f>
        <v/>
      </c>
      <c r="J639" s="7"/>
    </row>
    <row r="640" customFormat="false" ht="21.75" hidden="false" customHeight="true" outlineLevel="0" collapsed="false">
      <c r="B640" s="15" t="n">
        <v>630</v>
      </c>
      <c r="C640" s="9" t="s">
        <v>50</v>
      </c>
      <c r="D640" s="9" t="s">
        <v>61</v>
      </c>
      <c r="E640" s="9" t="s">
        <v>1625</v>
      </c>
      <c r="F640" s="19" t="n">
        <f aca="false">IF('Base de Datos SACI'!U634="","",'Base de Datos SACI'!U634)</f>
        <v>295</v>
      </c>
      <c r="G640" s="15"/>
      <c r="H640" s="30"/>
      <c r="I640" s="31" t="str">
        <f aca="false">IF(OR($G640="",$G640=0),"",IFERROR(ROUND($F640*$G640*(1-IF($H640="",0,$H640)),2),""))</f>
        <v/>
      </c>
      <c r="J640" s="9"/>
    </row>
    <row r="641" customFormat="false" ht="21.75" hidden="false" customHeight="true" outlineLevel="0" collapsed="false">
      <c r="B641" s="14" t="n">
        <v>631</v>
      </c>
      <c r="C641" s="7" t="s">
        <v>50</v>
      </c>
      <c r="D641" s="7" t="s">
        <v>62</v>
      </c>
      <c r="E641" s="7" t="s">
        <v>391</v>
      </c>
      <c r="F641" s="18" t="str">
        <f aca="false">IF('Base de Datos SACI'!U635="","",'Base de Datos SACI'!U635)</f>
        <v/>
      </c>
      <c r="G641" s="14"/>
      <c r="H641" s="28"/>
      <c r="I641" s="29" t="str">
        <f aca="false">IF(OR($G641="",$G641=0),"",IFERROR(ROUND($F641*$G641*(1-IF($H641="",0,$H641)),2),""))</f>
        <v/>
      </c>
      <c r="J641" s="7"/>
    </row>
    <row r="642" customFormat="false" ht="21.75" hidden="false" customHeight="true" outlineLevel="0" collapsed="false">
      <c r="B642" s="15" t="n">
        <v>632</v>
      </c>
      <c r="C642" s="9" t="s">
        <v>50</v>
      </c>
      <c r="D642" s="9" t="s">
        <v>63</v>
      </c>
      <c r="E642" s="9" t="s">
        <v>1637</v>
      </c>
      <c r="F642" s="19" t="n">
        <f aca="false">IF('Base de Datos SACI'!U636="","",'Base de Datos SACI'!U636)</f>
        <v>40</v>
      </c>
      <c r="G642" s="15"/>
      <c r="H642" s="30"/>
      <c r="I642" s="31" t="str">
        <f aca="false">IF(OR($G642="",$G642=0),"",IFERROR(ROUND($F642*$G642*(1-IF($H642="",0,$H642)),2),""))</f>
        <v/>
      </c>
      <c r="J642" s="9"/>
    </row>
    <row r="643" customFormat="false" ht="21.75" hidden="false" customHeight="true" outlineLevel="0" collapsed="false">
      <c r="B643" s="14" t="n">
        <v>633</v>
      </c>
      <c r="C643" s="7" t="s">
        <v>50</v>
      </c>
      <c r="D643" s="7" t="s">
        <v>63</v>
      </c>
      <c r="E643" s="7" t="s">
        <v>1645</v>
      </c>
      <c r="F643" s="18" t="n">
        <f aca="false">IF('Base de Datos SACI'!U637="","",'Base de Datos SACI'!U637)</f>
        <v>65</v>
      </c>
      <c r="G643" s="14"/>
      <c r="H643" s="28"/>
      <c r="I643" s="29" t="str">
        <f aca="false">IF(OR($G643="",$G643=0),"",IFERROR(ROUND($F643*$G643*(1-IF($H643="",0,$H643)),2),""))</f>
        <v/>
      </c>
      <c r="J643" s="7"/>
    </row>
    <row r="644" customFormat="false" ht="21.75" hidden="false" customHeight="true" outlineLevel="0" collapsed="false">
      <c r="B644" s="15" t="n">
        <v>634</v>
      </c>
      <c r="C644" s="9" t="s">
        <v>50</v>
      </c>
      <c r="D644" s="9" t="s">
        <v>63</v>
      </c>
      <c r="E644" s="9" t="s">
        <v>1646</v>
      </c>
      <c r="F644" s="19" t="n">
        <f aca="false">IF('Base de Datos SACI'!U638="","",'Base de Datos SACI'!U638)</f>
        <v>85</v>
      </c>
      <c r="G644" s="15"/>
      <c r="H644" s="30"/>
      <c r="I644" s="31" t="str">
        <f aca="false">IF(OR($G644="",$G644=0),"",IFERROR(ROUND($F644*$G644*(1-IF($H644="",0,$H644)),2),""))</f>
        <v/>
      </c>
      <c r="J644" s="9"/>
    </row>
    <row r="645" customFormat="false" ht="21.75" hidden="false" customHeight="true" outlineLevel="0" collapsed="false">
      <c r="B645" s="14" t="n">
        <v>635</v>
      </c>
      <c r="C645" s="7" t="s">
        <v>50</v>
      </c>
      <c r="D645" s="7" t="s">
        <v>63</v>
      </c>
      <c r="E645" s="7" t="s">
        <v>1648</v>
      </c>
      <c r="F645" s="18" t="n">
        <f aca="false">IF('Base de Datos SACI'!U639="","",'Base de Datos SACI'!U639)</f>
        <v>130</v>
      </c>
      <c r="G645" s="14"/>
      <c r="H645" s="28"/>
      <c r="I645" s="29" t="str">
        <f aca="false">IF(OR($G645="",$G645=0),"",IFERROR(ROUND($F645*$G645*(1-IF($H645="",0,$H645)),2),""))</f>
        <v/>
      </c>
      <c r="J645" s="7"/>
    </row>
    <row r="646" customFormat="false" ht="21.75" hidden="false" customHeight="true" outlineLevel="0" collapsed="false">
      <c r="B646" s="15" t="n">
        <v>636</v>
      </c>
      <c r="C646" s="9" t="s">
        <v>50</v>
      </c>
      <c r="D646" s="9" t="s">
        <v>63</v>
      </c>
      <c r="E646" s="9" t="s">
        <v>1649</v>
      </c>
      <c r="F646" s="19" t="n">
        <f aca="false">IF('Base de Datos SACI'!U640="","",'Base de Datos SACI'!U640)</f>
        <v>190</v>
      </c>
      <c r="G646" s="15"/>
      <c r="H646" s="30"/>
      <c r="I646" s="31" t="str">
        <f aca="false">IF(OR($G646="",$G646=0),"",IFERROR(ROUND($F646*$G646*(1-IF($H646="",0,$H646)),2),""))</f>
        <v/>
      </c>
      <c r="J646" s="9"/>
    </row>
    <row r="647" customFormat="false" ht="21.75" hidden="false" customHeight="true" outlineLevel="0" collapsed="false">
      <c r="B647" s="14" t="n">
        <v>637</v>
      </c>
      <c r="C647" s="7" t="s">
        <v>50</v>
      </c>
      <c r="D647" s="7" t="s">
        <v>64</v>
      </c>
      <c r="E647" s="7" t="s">
        <v>1650</v>
      </c>
      <c r="F647" s="18" t="n">
        <f aca="false">IF('Base de Datos SACI'!U641="","",'Base de Datos SACI'!U641)</f>
        <v>20</v>
      </c>
      <c r="G647" s="14"/>
      <c r="H647" s="28"/>
      <c r="I647" s="29" t="str">
        <f aca="false">IF(OR($G647="",$G647=0),"",IFERROR(ROUND($F647*$G647*(1-IF($H647="",0,$H647)),2),""))</f>
        <v/>
      </c>
      <c r="J647" s="7"/>
    </row>
    <row r="648" customFormat="false" ht="21.75" hidden="false" customHeight="true" outlineLevel="0" collapsed="false">
      <c r="B648" s="15" t="n">
        <v>638</v>
      </c>
      <c r="C648" s="9" t="s">
        <v>50</v>
      </c>
      <c r="D648" s="9" t="s">
        <v>64</v>
      </c>
      <c r="E648" s="9" t="s">
        <v>1656</v>
      </c>
      <c r="F648" s="19" t="n">
        <f aca="false">IF('Base de Datos SACI'!U642="","",'Base de Datos SACI'!U642)</f>
        <v>30</v>
      </c>
      <c r="G648" s="15"/>
      <c r="H648" s="30"/>
      <c r="I648" s="31" t="str">
        <f aca="false">IF(OR($G648="",$G648=0),"",IFERROR(ROUND($F648*$G648*(1-IF($H648="",0,$H648)),2),""))</f>
        <v/>
      </c>
      <c r="J648" s="9"/>
    </row>
    <row r="649" customFormat="false" ht="21.75" hidden="false" customHeight="true" outlineLevel="0" collapsed="false">
      <c r="B649" s="14" t="n">
        <v>639</v>
      </c>
      <c r="C649" s="7" t="s">
        <v>50</v>
      </c>
      <c r="D649" s="7" t="s">
        <v>64</v>
      </c>
      <c r="E649" s="7" t="s">
        <v>1657</v>
      </c>
      <c r="F649" s="18" t="n">
        <f aca="false">IF('Base de Datos SACI'!U643="","",'Base de Datos SACI'!U643)</f>
        <v>40</v>
      </c>
      <c r="G649" s="14"/>
      <c r="H649" s="28"/>
      <c r="I649" s="29" t="str">
        <f aca="false">IF(OR($G649="",$G649=0),"",IFERROR(ROUND($F649*$G649*(1-IF($H649="",0,$H649)),2),""))</f>
        <v/>
      </c>
      <c r="J649" s="7"/>
    </row>
    <row r="650" customFormat="false" ht="21.75" hidden="false" customHeight="true" outlineLevel="0" collapsed="false">
      <c r="B650" s="15" t="n">
        <v>640</v>
      </c>
      <c r="C650" s="9" t="s">
        <v>50</v>
      </c>
      <c r="D650" s="9" t="s">
        <v>64</v>
      </c>
      <c r="E650" s="9" t="s">
        <v>1659</v>
      </c>
      <c r="F650" s="19" t="n">
        <f aca="false">IF('Base de Datos SACI'!U644="","",'Base de Datos SACI'!U644)</f>
        <v>60</v>
      </c>
      <c r="G650" s="15"/>
      <c r="H650" s="30"/>
      <c r="I650" s="31" t="str">
        <f aca="false">IF(OR($G650="",$G650=0),"",IFERROR(ROUND($F650*$G650*(1-IF($H650="",0,$H650)),2),""))</f>
        <v/>
      </c>
      <c r="J650" s="9"/>
    </row>
    <row r="651" customFormat="false" ht="21.75" hidden="false" customHeight="true" outlineLevel="0" collapsed="false">
      <c r="B651" s="14" t="n">
        <v>641</v>
      </c>
      <c r="C651" s="7" t="s">
        <v>50</v>
      </c>
      <c r="D651" s="7" t="s">
        <v>64</v>
      </c>
      <c r="E651" s="7" t="s">
        <v>1660</v>
      </c>
      <c r="F651" s="18" t="n">
        <f aca="false">IF('Base de Datos SACI'!U645="","",'Base de Datos SACI'!U645)</f>
        <v>90</v>
      </c>
      <c r="G651" s="14"/>
      <c r="H651" s="28"/>
      <c r="I651" s="29" t="str">
        <f aca="false">IF(OR($G651="",$G651=0),"",IFERROR(ROUND($F651*$G651*(1-IF($H651="",0,$H651)),2),""))</f>
        <v/>
      </c>
      <c r="J651" s="7"/>
    </row>
    <row r="652" customFormat="false" ht="21.75" hidden="false" customHeight="true" outlineLevel="0" collapsed="false">
      <c r="B652" s="15" t="n">
        <v>642</v>
      </c>
      <c r="C652" s="9" t="s">
        <v>50</v>
      </c>
      <c r="D652" s="9" t="s">
        <v>65</v>
      </c>
      <c r="E652" s="9" t="s">
        <v>1650</v>
      </c>
      <c r="F652" s="19" t="n">
        <f aca="false">IF('Base de Datos SACI'!U646="","",'Base de Datos SACI'!U646)</f>
        <v>30</v>
      </c>
      <c r="G652" s="15"/>
      <c r="H652" s="30"/>
      <c r="I652" s="31" t="str">
        <f aca="false">IF(OR($G652="",$G652=0),"",IFERROR(ROUND($F652*$G652*(1-IF($H652="",0,$H652)),2),""))</f>
        <v/>
      </c>
      <c r="J652" s="9"/>
    </row>
    <row r="653" customFormat="false" ht="21.75" hidden="false" customHeight="true" outlineLevel="0" collapsed="false">
      <c r="B653" s="14" t="n">
        <v>643</v>
      </c>
      <c r="C653" s="7" t="s">
        <v>50</v>
      </c>
      <c r="D653" s="7" t="s">
        <v>65</v>
      </c>
      <c r="E653" s="7" t="s">
        <v>1657</v>
      </c>
      <c r="F653" s="18" t="n">
        <f aca="false">IF('Base de Datos SACI'!U647="","",'Base de Datos SACI'!U647)</f>
        <v>50</v>
      </c>
      <c r="G653" s="14"/>
      <c r="H653" s="28"/>
      <c r="I653" s="29" t="str">
        <f aca="false">IF(OR($G653="",$G653=0),"",IFERROR(ROUND($F653*$G653*(1-IF($H653="",0,$H653)),2),""))</f>
        <v/>
      </c>
      <c r="J653" s="7"/>
    </row>
    <row r="654" customFormat="false" ht="21.75" hidden="false" customHeight="true" outlineLevel="0" collapsed="false">
      <c r="B654" s="15" t="n">
        <v>644</v>
      </c>
      <c r="C654" s="9" t="s">
        <v>50</v>
      </c>
      <c r="D654" s="9" t="s">
        <v>65</v>
      </c>
      <c r="E654" s="9" t="s">
        <v>1659</v>
      </c>
      <c r="F654" s="19" t="n">
        <f aca="false">IF('Base de Datos SACI'!U648="","",'Base de Datos SACI'!U648)</f>
        <v>65</v>
      </c>
      <c r="G654" s="15"/>
      <c r="H654" s="30"/>
      <c r="I654" s="31" t="str">
        <f aca="false">IF(OR($G654="",$G654=0),"",IFERROR(ROUND($F654*$G654*(1-IF($H654="",0,$H654)),2),""))</f>
        <v/>
      </c>
      <c r="J654" s="9"/>
    </row>
    <row r="655" customFormat="false" ht="21.75" hidden="false" customHeight="true" outlineLevel="0" collapsed="false">
      <c r="B655" s="14" t="n">
        <v>645</v>
      </c>
      <c r="C655" s="7" t="s">
        <v>50</v>
      </c>
      <c r="D655" s="7" t="s">
        <v>65</v>
      </c>
      <c r="E655" s="7" t="s">
        <v>1660</v>
      </c>
      <c r="F655" s="18" t="n">
        <f aca="false">IF('Base de Datos SACI'!U649="","",'Base de Datos SACI'!U649)</f>
        <v>100</v>
      </c>
      <c r="G655" s="14"/>
      <c r="H655" s="28"/>
      <c r="I655" s="29" t="str">
        <f aca="false">IF(OR($G655="",$G655=0),"",IFERROR(ROUND($F655*$G655*(1-IF($H655="",0,$H655)),2),""))</f>
        <v/>
      </c>
      <c r="J655" s="7"/>
    </row>
    <row r="656" customFormat="false" ht="21.75" hidden="false" customHeight="true" outlineLevel="0" collapsed="false">
      <c r="B656" s="15" t="n">
        <v>646</v>
      </c>
      <c r="C656" s="9" t="s">
        <v>50</v>
      </c>
      <c r="D656" s="9" t="s">
        <v>65</v>
      </c>
      <c r="E656" s="9" t="s">
        <v>1667</v>
      </c>
      <c r="F656" s="19" t="n">
        <f aca="false">IF('Base de Datos SACI'!U650="","",'Base de Datos SACI'!U650)</f>
        <v>145</v>
      </c>
      <c r="G656" s="15"/>
      <c r="H656" s="30"/>
      <c r="I656" s="31" t="str">
        <f aca="false">IF(OR($G656="",$G656=0),"",IFERROR(ROUND($F656*$G656*(1-IF($H656="",0,$H656)),2),""))</f>
        <v/>
      </c>
      <c r="J656" s="9"/>
    </row>
    <row r="657" customFormat="false" ht="21.75" hidden="false" customHeight="true" outlineLevel="0" collapsed="false">
      <c r="B657" s="14" t="n">
        <v>647</v>
      </c>
      <c r="C657" s="7" t="s">
        <v>50</v>
      </c>
      <c r="D657" s="7" t="s">
        <v>66</v>
      </c>
      <c r="E657" s="7" t="s">
        <v>1668</v>
      </c>
      <c r="F657" s="18" t="n">
        <f aca="false">IF('Base de Datos SACI'!U651="","",'Base de Datos SACI'!U651)</f>
        <v>35</v>
      </c>
      <c r="G657" s="14"/>
      <c r="H657" s="28"/>
      <c r="I657" s="29" t="str">
        <f aca="false">IF(OR($G657="",$G657=0),"",IFERROR(ROUND($F657*$G657*(1-IF($H657="",0,$H657)),2),""))</f>
        <v/>
      </c>
      <c r="J657" s="7"/>
    </row>
    <row r="658" customFormat="false" ht="21.75" hidden="false" customHeight="true" outlineLevel="0" collapsed="false">
      <c r="B658" s="15" t="n">
        <v>648</v>
      </c>
      <c r="C658" s="9" t="s">
        <v>50</v>
      </c>
      <c r="D658" s="9" t="s">
        <v>66</v>
      </c>
      <c r="E658" s="9" t="s">
        <v>1674</v>
      </c>
      <c r="F658" s="19" t="n">
        <f aca="false">IF('Base de Datos SACI'!U652="","",'Base de Datos SACI'!U652)</f>
        <v>55</v>
      </c>
      <c r="G658" s="15"/>
      <c r="H658" s="30"/>
      <c r="I658" s="31" t="str">
        <f aca="false">IF(OR($G658="",$G658=0),"",IFERROR(ROUND($F658*$G658*(1-IF($H658="",0,$H658)),2),""))</f>
        <v/>
      </c>
      <c r="J658" s="9"/>
    </row>
    <row r="659" customFormat="false" ht="21.75" hidden="false" customHeight="true" outlineLevel="0" collapsed="false">
      <c r="B659" s="14" t="n">
        <v>649</v>
      </c>
      <c r="C659" s="7" t="s">
        <v>50</v>
      </c>
      <c r="D659" s="7" t="s">
        <v>66</v>
      </c>
      <c r="E659" s="7" t="s">
        <v>1675</v>
      </c>
      <c r="F659" s="18" t="n">
        <f aca="false">IF('Base de Datos SACI'!U653="","",'Base de Datos SACI'!U653)</f>
        <v>75</v>
      </c>
      <c r="G659" s="14"/>
      <c r="H659" s="28"/>
      <c r="I659" s="29" t="str">
        <f aca="false">IF(OR($G659="",$G659=0),"",IFERROR(ROUND($F659*$G659*(1-IF($H659="",0,$H659)),2),""))</f>
        <v/>
      </c>
      <c r="J659" s="7"/>
    </row>
    <row r="660" customFormat="false" ht="21.75" hidden="false" customHeight="true" outlineLevel="0" collapsed="false">
      <c r="B660" s="15" t="n">
        <v>650</v>
      </c>
      <c r="C660" s="9" t="s">
        <v>50</v>
      </c>
      <c r="D660" s="9" t="s">
        <v>66</v>
      </c>
      <c r="E660" s="9" t="s">
        <v>1677</v>
      </c>
      <c r="F660" s="19" t="n">
        <f aca="false">IF('Base de Datos SACI'!U654="","",'Base de Datos SACI'!U654)</f>
        <v>110</v>
      </c>
      <c r="G660" s="15"/>
      <c r="H660" s="30"/>
      <c r="I660" s="31" t="str">
        <f aca="false">IF(OR($G660="",$G660=0),"",IFERROR(ROUND($F660*$G660*(1-IF($H660="",0,$H660)),2),""))</f>
        <v/>
      </c>
      <c r="J660" s="9"/>
    </row>
    <row r="661" customFormat="false" ht="21.75" hidden="false" customHeight="true" outlineLevel="0" collapsed="false">
      <c r="B661" s="14" t="n">
        <v>651</v>
      </c>
      <c r="C661" s="7" t="s">
        <v>50</v>
      </c>
      <c r="D661" s="7" t="s">
        <v>66</v>
      </c>
      <c r="E661" s="7" t="s">
        <v>1678</v>
      </c>
      <c r="F661" s="18" t="n">
        <f aca="false">IF('Base de Datos SACI'!U655="","",'Base de Datos SACI'!U655)</f>
        <v>165</v>
      </c>
      <c r="G661" s="14"/>
      <c r="H661" s="28"/>
      <c r="I661" s="29" t="str">
        <f aca="false">IF(OR($G661="",$G661=0),"",IFERROR(ROUND($F661*$G661*(1-IF($H661="",0,$H661)),2),""))</f>
        <v/>
      </c>
      <c r="J661" s="7"/>
    </row>
    <row r="662" customFormat="false" ht="21.75" hidden="false" customHeight="true" outlineLevel="0" collapsed="false">
      <c r="B662" s="15" t="n">
        <v>652</v>
      </c>
      <c r="C662" s="9" t="s">
        <v>50</v>
      </c>
      <c r="D662" s="9" t="s">
        <v>67</v>
      </c>
      <c r="E662" s="9" t="s">
        <v>1679</v>
      </c>
      <c r="F662" s="19" t="n">
        <f aca="false">IF('Base de Datos SACI'!U656="","",'Base de Datos SACI'!U656)</f>
        <v>16</v>
      </c>
      <c r="G662" s="15"/>
      <c r="H662" s="30"/>
      <c r="I662" s="31" t="str">
        <f aca="false">IF(OR($G662="",$G662=0),"",IFERROR(ROUND($F662*$G662*(1-IF($H662="",0,$H662)),2),""))</f>
        <v/>
      </c>
      <c r="J662" s="9"/>
    </row>
    <row r="663" customFormat="false" ht="21.75" hidden="false" customHeight="true" outlineLevel="0" collapsed="false">
      <c r="B663" s="14" t="n">
        <v>653</v>
      </c>
      <c r="C663" s="7" t="s">
        <v>50</v>
      </c>
      <c r="D663" s="7" t="s">
        <v>67</v>
      </c>
      <c r="E663" s="7" t="s">
        <v>1684</v>
      </c>
      <c r="F663" s="18" t="n">
        <f aca="false">IF('Base de Datos SACI'!U657="","",'Base de Datos SACI'!U657)</f>
        <v>20</v>
      </c>
      <c r="G663" s="14"/>
      <c r="H663" s="28"/>
      <c r="I663" s="29" t="str">
        <f aca="false">IF(OR($G663="",$G663=0),"",IFERROR(ROUND($F663*$G663*(1-IF($H663="",0,$H663)),2),""))</f>
        <v/>
      </c>
      <c r="J663" s="7"/>
    </row>
    <row r="664" customFormat="false" ht="21.75" hidden="false" customHeight="true" outlineLevel="0" collapsed="false">
      <c r="B664" s="15" t="n">
        <v>654</v>
      </c>
      <c r="C664" s="9" t="s">
        <v>50</v>
      </c>
      <c r="D664" s="9" t="s">
        <v>67</v>
      </c>
      <c r="E664" s="9" t="s">
        <v>1685</v>
      </c>
      <c r="F664" s="19" t="n">
        <f aca="false">IF('Base de Datos SACI'!U658="","",'Base de Datos SACI'!U658)</f>
        <v>30</v>
      </c>
      <c r="G664" s="15"/>
      <c r="H664" s="30"/>
      <c r="I664" s="31" t="str">
        <f aca="false">IF(OR($G664="",$G664=0),"",IFERROR(ROUND($F664*$G664*(1-IF($H664="",0,$H664)),2),""))</f>
        <v/>
      </c>
      <c r="J664" s="9"/>
    </row>
    <row r="665" customFormat="false" ht="21.75" hidden="false" customHeight="true" outlineLevel="0" collapsed="false">
      <c r="B665" s="14" t="n">
        <v>655</v>
      </c>
      <c r="C665" s="7" t="s">
        <v>50</v>
      </c>
      <c r="D665" s="7" t="s">
        <v>67</v>
      </c>
      <c r="E665" s="7" t="s">
        <v>1686</v>
      </c>
      <c r="F665" s="18" t="n">
        <f aca="false">IF('Base de Datos SACI'!U659="","",'Base de Datos SACI'!U659)</f>
        <v>45</v>
      </c>
      <c r="G665" s="14"/>
      <c r="H665" s="28"/>
      <c r="I665" s="29" t="str">
        <f aca="false">IF(OR($G665="",$G665=0),"",IFERROR(ROUND($F665*$G665*(1-IF($H665="",0,$H665)),2),""))</f>
        <v/>
      </c>
      <c r="J665" s="7"/>
    </row>
    <row r="666" customFormat="false" ht="21.75" hidden="false" customHeight="true" outlineLevel="0" collapsed="false">
      <c r="B666" s="15" t="n">
        <v>656</v>
      </c>
      <c r="C666" s="9" t="s">
        <v>50</v>
      </c>
      <c r="D666" s="9" t="s">
        <v>67</v>
      </c>
      <c r="E666" s="9" t="s">
        <v>1687</v>
      </c>
      <c r="F666" s="19" t="n">
        <f aca="false">IF('Base de Datos SACI'!U660="","",'Base de Datos SACI'!U660)</f>
        <v>70</v>
      </c>
      <c r="G666" s="15"/>
      <c r="H666" s="30"/>
      <c r="I666" s="31" t="str">
        <f aca="false">IF(OR($G666="",$G666=0),"",IFERROR(ROUND($F666*$G666*(1-IF($H666="",0,$H666)),2),""))</f>
        <v/>
      </c>
      <c r="J666" s="9"/>
    </row>
    <row r="667" customFormat="false" ht="21.75" hidden="false" customHeight="true" outlineLevel="0" collapsed="false">
      <c r="B667" s="14" t="n">
        <v>657</v>
      </c>
      <c r="C667" s="7" t="s">
        <v>50</v>
      </c>
      <c r="D667" s="7" t="s">
        <v>68</v>
      </c>
      <c r="E667" s="7" t="s">
        <v>391</v>
      </c>
      <c r="F667" s="18" t="str">
        <f aca="false">IF('Base de Datos SACI'!U661="","",'Base de Datos SACI'!U661)</f>
        <v/>
      </c>
      <c r="G667" s="14"/>
      <c r="H667" s="28"/>
      <c r="I667" s="29" t="str">
        <f aca="false">IF(OR($G667="",$G667=0),"",IFERROR(ROUND($F667*$G667*(1-IF($H667="",0,$H667)),2),""))</f>
        <v/>
      </c>
      <c r="J667" s="7"/>
    </row>
    <row r="668" customFormat="false" ht="21.75" hidden="false" customHeight="true" outlineLevel="0" collapsed="false">
      <c r="B668" s="15" t="n">
        <v>658</v>
      </c>
      <c r="C668" s="9" t="s">
        <v>50</v>
      </c>
      <c r="D668" s="9" t="s">
        <v>69</v>
      </c>
      <c r="E668" s="9" t="s">
        <v>1689</v>
      </c>
      <c r="F668" s="19" t="n">
        <f aca="false">IF('Base de Datos SACI'!U662="","",'Base de Datos SACI'!U662)</f>
        <v>35</v>
      </c>
      <c r="G668" s="15"/>
      <c r="H668" s="30"/>
      <c r="I668" s="31" t="str">
        <f aca="false">IF(OR($G668="",$G668=0),"",IFERROR(ROUND($F668*$G668*(1-IF($H668="",0,$H668)),2),""))</f>
        <v/>
      </c>
      <c r="J668" s="9"/>
    </row>
    <row r="669" customFormat="false" ht="21.75" hidden="false" customHeight="true" outlineLevel="0" collapsed="false">
      <c r="B669" s="14" t="n">
        <v>659</v>
      </c>
      <c r="C669" s="7" t="s">
        <v>50</v>
      </c>
      <c r="D669" s="7" t="s">
        <v>69</v>
      </c>
      <c r="E669" s="7" t="s">
        <v>1694</v>
      </c>
      <c r="F669" s="18" t="n">
        <f aca="false">IF('Base de Datos SACI'!U663="","",'Base de Datos SACI'!U663)</f>
        <v>55</v>
      </c>
      <c r="G669" s="14"/>
      <c r="H669" s="28"/>
      <c r="I669" s="29" t="str">
        <f aca="false">IF(OR($G669="",$G669=0),"",IFERROR(ROUND($F669*$G669*(1-IF($H669="",0,$H669)),2),""))</f>
        <v/>
      </c>
      <c r="J669" s="7"/>
    </row>
    <row r="670" customFormat="false" ht="21.75" hidden="false" customHeight="true" outlineLevel="0" collapsed="false">
      <c r="B670" s="15" t="n">
        <v>660</v>
      </c>
      <c r="C670" s="9" t="s">
        <v>50</v>
      </c>
      <c r="D670" s="9" t="s">
        <v>69</v>
      </c>
      <c r="E670" s="9" t="s">
        <v>1695</v>
      </c>
      <c r="F670" s="19" t="n">
        <f aca="false">IF('Base de Datos SACI'!U664="","",'Base de Datos SACI'!U664)</f>
        <v>75</v>
      </c>
      <c r="G670" s="15"/>
      <c r="H670" s="30"/>
      <c r="I670" s="31" t="str">
        <f aca="false">IF(OR($G670="",$G670=0),"",IFERROR(ROUND($F670*$G670*(1-IF($H670="",0,$H670)),2),""))</f>
        <v/>
      </c>
      <c r="J670" s="9"/>
    </row>
    <row r="671" customFormat="false" ht="21.75" hidden="false" customHeight="true" outlineLevel="0" collapsed="false">
      <c r="B671" s="14" t="n">
        <v>661</v>
      </c>
      <c r="C671" s="7" t="s">
        <v>50</v>
      </c>
      <c r="D671" s="7" t="s">
        <v>69</v>
      </c>
      <c r="E671" s="7" t="s">
        <v>1697</v>
      </c>
      <c r="F671" s="18" t="n">
        <f aca="false">IF('Base de Datos SACI'!U665="","",'Base de Datos SACI'!U665)</f>
        <v>115</v>
      </c>
      <c r="G671" s="14"/>
      <c r="H671" s="28"/>
      <c r="I671" s="29" t="str">
        <f aca="false">IF(OR($G671="",$G671=0),"",IFERROR(ROUND($F671*$G671*(1-IF($H671="",0,$H671)),2),""))</f>
        <v/>
      </c>
      <c r="J671" s="7"/>
    </row>
    <row r="672" customFormat="false" ht="21.75" hidden="false" customHeight="true" outlineLevel="0" collapsed="false">
      <c r="B672" s="15" t="n">
        <v>662</v>
      </c>
      <c r="C672" s="9" t="s">
        <v>50</v>
      </c>
      <c r="D672" s="9" t="s">
        <v>69</v>
      </c>
      <c r="E672" s="9" t="s">
        <v>1698</v>
      </c>
      <c r="F672" s="19" t="n">
        <f aca="false">IF('Base de Datos SACI'!U666="","",'Base de Datos SACI'!U666)</f>
        <v>170</v>
      </c>
      <c r="G672" s="15"/>
      <c r="H672" s="30"/>
      <c r="I672" s="31" t="str">
        <f aca="false">IF(OR($G672="",$G672=0),"",IFERROR(ROUND($F672*$G672*(1-IF($H672="",0,$H672)),2),""))</f>
        <v/>
      </c>
      <c r="J672" s="9"/>
    </row>
    <row r="673" customFormat="false" ht="21.75" hidden="false" customHeight="true" outlineLevel="0" collapsed="false">
      <c r="B673" s="14" t="n">
        <v>663</v>
      </c>
      <c r="C673" s="7" t="s">
        <v>50</v>
      </c>
      <c r="D673" s="7" t="s">
        <v>70</v>
      </c>
      <c r="E673" s="7" t="s">
        <v>1699</v>
      </c>
      <c r="F673" s="18" t="n">
        <f aca="false">IF('Base de Datos SACI'!U667="","",'Base de Datos SACI'!U667)</f>
        <v>18</v>
      </c>
      <c r="G673" s="14"/>
      <c r="H673" s="28"/>
      <c r="I673" s="29" t="str">
        <f aca="false">IF(OR($G673="",$G673=0),"",IFERROR(ROUND($F673*$G673*(1-IF($H673="",0,$H673)),2),""))</f>
        <v/>
      </c>
      <c r="J673" s="7"/>
    </row>
    <row r="674" customFormat="false" ht="21.75" hidden="false" customHeight="true" outlineLevel="0" collapsed="false">
      <c r="B674" s="15" t="n">
        <v>664</v>
      </c>
      <c r="C674" s="9" t="s">
        <v>50</v>
      </c>
      <c r="D674" s="9" t="s">
        <v>70</v>
      </c>
      <c r="E674" s="9" t="s">
        <v>1700</v>
      </c>
      <c r="F674" s="19" t="n">
        <f aca="false">IF('Base de Datos SACI'!U668="","",'Base de Datos SACI'!U668)</f>
        <v>25</v>
      </c>
      <c r="G674" s="15"/>
      <c r="H674" s="30"/>
      <c r="I674" s="31" t="str">
        <f aca="false">IF(OR($G674="",$G674=0),"",IFERROR(ROUND($F674*$G674*(1-IF($H674="",0,$H674)),2),""))</f>
        <v/>
      </c>
      <c r="J674" s="9"/>
    </row>
    <row r="675" customFormat="false" ht="21.75" hidden="false" customHeight="true" outlineLevel="0" collapsed="false">
      <c r="B675" s="14" t="n">
        <v>665</v>
      </c>
      <c r="C675" s="7" t="s">
        <v>50</v>
      </c>
      <c r="D675" s="7" t="s">
        <v>70</v>
      </c>
      <c r="E675" s="7" t="s">
        <v>1694</v>
      </c>
      <c r="F675" s="18" t="n">
        <f aca="false">IF('Base de Datos SACI'!U669="","",'Base de Datos SACI'!U669)</f>
        <v>35</v>
      </c>
      <c r="G675" s="14"/>
      <c r="H675" s="28"/>
      <c r="I675" s="29" t="str">
        <f aca="false">IF(OR($G675="",$G675=0),"",IFERROR(ROUND($F675*$G675*(1-IF($H675="",0,$H675)),2),""))</f>
        <v/>
      </c>
      <c r="J675" s="7"/>
    </row>
    <row r="676" customFormat="false" ht="21.75" hidden="false" customHeight="true" outlineLevel="0" collapsed="false">
      <c r="B676" s="15" t="n">
        <v>666</v>
      </c>
      <c r="C676" s="9" t="s">
        <v>50</v>
      </c>
      <c r="D676" s="9" t="s">
        <v>70</v>
      </c>
      <c r="E676" s="9" t="s">
        <v>1701</v>
      </c>
      <c r="F676" s="19" t="n">
        <f aca="false">IF('Base de Datos SACI'!U670="","",'Base de Datos SACI'!U670)</f>
        <v>50</v>
      </c>
      <c r="G676" s="15"/>
      <c r="H676" s="30"/>
      <c r="I676" s="31" t="str">
        <f aca="false">IF(OR($G676="",$G676=0),"",IFERROR(ROUND($F676*$G676*(1-IF($H676="",0,$H676)),2),""))</f>
        <v/>
      </c>
      <c r="J676" s="9"/>
    </row>
    <row r="677" customFormat="false" ht="21.75" hidden="false" customHeight="true" outlineLevel="0" collapsed="false">
      <c r="B677" s="14" t="n">
        <v>667</v>
      </c>
      <c r="C677" s="7" t="s">
        <v>50</v>
      </c>
      <c r="D677" s="7" t="s">
        <v>70</v>
      </c>
      <c r="E677" s="7" t="s">
        <v>1702</v>
      </c>
      <c r="F677" s="18" t="n">
        <f aca="false">IF('Base de Datos SACI'!U671="","",'Base de Datos SACI'!U671)</f>
        <v>75</v>
      </c>
      <c r="G677" s="14"/>
      <c r="H677" s="28"/>
      <c r="I677" s="29" t="str">
        <f aca="false">IF(OR($G677="",$G677=0),"",IFERROR(ROUND($F677*$G677*(1-IF($H677="",0,$H677)),2),""))</f>
        <v/>
      </c>
      <c r="J677" s="7"/>
    </row>
    <row r="678" customFormat="false" ht="21.75" hidden="false" customHeight="true" outlineLevel="0" collapsed="false">
      <c r="B678" s="15" t="n">
        <v>668</v>
      </c>
      <c r="C678" s="9" t="s">
        <v>50</v>
      </c>
      <c r="D678" s="9" t="s">
        <v>71</v>
      </c>
      <c r="E678" s="9" t="s">
        <v>1703</v>
      </c>
      <c r="F678" s="19" t="n">
        <f aca="false">IF('Base de Datos SACI'!U672="","",'Base de Datos SACI'!U672)</f>
        <v>45</v>
      </c>
      <c r="G678" s="15"/>
      <c r="H678" s="30"/>
      <c r="I678" s="31" t="str">
        <f aca="false">IF(OR($G678="",$G678=0),"",IFERROR(ROUND($F678*$G678*(1-IF($H678="",0,$H678)),2),""))</f>
        <v/>
      </c>
      <c r="J678" s="9"/>
    </row>
    <row r="679" customFormat="false" ht="21.75" hidden="false" customHeight="true" outlineLevel="0" collapsed="false">
      <c r="B679" s="14" t="n">
        <v>669</v>
      </c>
      <c r="C679" s="7" t="s">
        <v>50</v>
      </c>
      <c r="D679" s="7" t="s">
        <v>71</v>
      </c>
      <c r="E679" s="7" t="s">
        <v>1709</v>
      </c>
      <c r="F679" s="18" t="n">
        <f aca="false">IF('Base de Datos SACI'!U673="","",'Base de Datos SACI'!U673)</f>
        <v>70</v>
      </c>
      <c r="G679" s="14"/>
      <c r="H679" s="28"/>
      <c r="I679" s="29" t="str">
        <f aca="false">IF(OR($G679="",$G679=0),"",IFERROR(ROUND($F679*$G679*(1-IF($H679="",0,$H679)),2),""))</f>
        <v/>
      </c>
      <c r="J679" s="7"/>
    </row>
    <row r="680" customFormat="false" ht="21.75" hidden="false" customHeight="true" outlineLevel="0" collapsed="false">
      <c r="B680" s="15" t="n">
        <v>670</v>
      </c>
      <c r="C680" s="9" t="s">
        <v>50</v>
      </c>
      <c r="D680" s="9" t="s">
        <v>71</v>
      </c>
      <c r="E680" s="9" t="s">
        <v>1710</v>
      </c>
      <c r="F680" s="19" t="n">
        <f aca="false">IF('Base de Datos SACI'!U674="","",'Base de Datos SACI'!U674)</f>
        <v>95</v>
      </c>
      <c r="G680" s="15"/>
      <c r="H680" s="30"/>
      <c r="I680" s="31" t="str">
        <f aca="false">IF(OR($G680="",$G680=0),"",IFERROR(ROUND($F680*$G680*(1-IF($H680="",0,$H680)),2),""))</f>
        <v/>
      </c>
      <c r="J680" s="9"/>
    </row>
    <row r="681" customFormat="false" ht="21.75" hidden="false" customHeight="true" outlineLevel="0" collapsed="false">
      <c r="B681" s="14" t="n">
        <v>671</v>
      </c>
      <c r="C681" s="7" t="s">
        <v>50</v>
      </c>
      <c r="D681" s="7" t="s">
        <v>71</v>
      </c>
      <c r="E681" s="7" t="s">
        <v>1712</v>
      </c>
      <c r="F681" s="18" t="n">
        <f aca="false">IF('Base de Datos SACI'!U675="","",'Base de Datos SACI'!U675)</f>
        <v>145</v>
      </c>
      <c r="G681" s="14"/>
      <c r="H681" s="28"/>
      <c r="I681" s="29" t="str">
        <f aca="false">IF(OR($G681="",$G681=0),"",IFERROR(ROUND($F681*$G681*(1-IF($H681="",0,$H681)),2),""))</f>
        <v/>
      </c>
      <c r="J681" s="7"/>
    </row>
    <row r="682" customFormat="false" ht="21.75" hidden="false" customHeight="true" outlineLevel="0" collapsed="false">
      <c r="B682" s="15" t="n">
        <v>672</v>
      </c>
      <c r="C682" s="9" t="s">
        <v>50</v>
      </c>
      <c r="D682" s="9" t="s">
        <v>71</v>
      </c>
      <c r="E682" s="9" t="s">
        <v>1713</v>
      </c>
      <c r="F682" s="19" t="n">
        <f aca="false">IF('Base de Datos SACI'!U676="","",'Base de Datos SACI'!U676)</f>
        <v>215</v>
      </c>
      <c r="G682" s="15"/>
      <c r="H682" s="30"/>
      <c r="I682" s="31" t="str">
        <f aca="false">IF(OR($G682="",$G682=0),"",IFERROR(ROUND($F682*$G682*(1-IF($H682="",0,$H682)),2),""))</f>
        <v/>
      </c>
      <c r="J682" s="9"/>
    </row>
    <row r="683" customFormat="false" ht="21.75" hidden="false" customHeight="true" outlineLevel="0" collapsed="false">
      <c r="B683" s="14" t="n">
        <v>673</v>
      </c>
      <c r="C683" s="7" t="s">
        <v>50</v>
      </c>
      <c r="D683" s="7" t="s">
        <v>72</v>
      </c>
      <c r="E683" s="7" t="s">
        <v>391</v>
      </c>
      <c r="F683" s="18" t="str">
        <f aca="false">IF('Base de Datos SACI'!U677="","",'Base de Datos SACI'!U677)</f>
        <v/>
      </c>
      <c r="G683" s="14"/>
      <c r="H683" s="28"/>
      <c r="I683" s="29" t="str">
        <f aca="false">IF(OR($G683="",$G683=0),"",IFERROR(ROUND($F683*$G683*(1-IF($H683="",0,$H683)),2),""))</f>
        <v/>
      </c>
      <c r="J683" s="7"/>
    </row>
    <row r="684" customFormat="false" ht="21.75" hidden="false" customHeight="true" outlineLevel="0" collapsed="false">
      <c r="B684" s="15" t="n">
        <v>674</v>
      </c>
      <c r="C684" s="9" t="s">
        <v>50</v>
      </c>
      <c r="D684" s="9" t="s">
        <v>73</v>
      </c>
      <c r="E684" s="9" t="s">
        <v>1715</v>
      </c>
      <c r="F684" s="19" t="n">
        <f aca="false">IF('Base de Datos SACI'!U678="","",'Base de Datos SACI'!U678)</f>
        <v>25</v>
      </c>
      <c r="G684" s="15"/>
      <c r="H684" s="30"/>
      <c r="I684" s="31" t="str">
        <f aca="false">IF(OR($G684="",$G684=0),"",IFERROR(ROUND($F684*$G684*(1-IF($H684="",0,$H684)),2),""))</f>
        <v/>
      </c>
      <c r="J684" s="9"/>
    </row>
    <row r="685" customFormat="false" ht="21.75" hidden="false" customHeight="true" outlineLevel="0" collapsed="false">
      <c r="B685" s="14" t="n">
        <v>675</v>
      </c>
      <c r="C685" s="7" t="s">
        <v>50</v>
      </c>
      <c r="D685" s="7" t="s">
        <v>73</v>
      </c>
      <c r="E685" s="7" t="s">
        <v>1720</v>
      </c>
      <c r="F685" s="18" t="n">
        <f aca="false">IF('Base de Datos SACI'!U679="","",'Base de Datos SACI'!U679)</f>
        <v>40</v>
      </c>
      <c r="G685" s="14"/>
      <c r="H685" s="28"/>
      <c r="I685" s="29" t="str">
        <f aca="false">IF(OR($G685="",$G685=0),"",IFERROR(ROUND($F685*$G685*(1-IF($H685="",0,$H685)),2),""))</f>
        <v/>
      </c>
      <c r="J685" s="7"/>
    </row>
    <row r="686" customFormat="false" ht="21.75" hidden="false" customHeight="true" outlineLevel="0" collapsed="false">
      <c r="B686" s="15" t="n">
        <v>676</v>
      </c>
      <c r="C686" s="9" t="s">
        <v>50</v>
      </c>
      <c r="D686" s="9" t="s">
        <v>73</v>
      </c>
      <c r="E686" s="9" t="s">
        <v>1721</v>
      </c>
      <c r="F686" s="19" t="n">
        <f aca="false">IF('Base de Datos SACI'!U680="","",'Base de Datos SACI'!U680)</f>
        <v>55</v>
      </c>
      <c r="G686" s="15"/>
      <c r="H686" s="30"/>
      <c r="I686" s="31" t="str">
        <f aca="false">IF(OR($G686="",$G686=0),"",IFERROR(ROUND($F686*$G686*(1-IF($H686="",0,$H686)),2),""))</f>
        <v/>
      </c>
      <c r="J686" s="9"/>
    </row>
    <row r="687" customFormat="false" ht="21.75" hidden="false" customHeight="true" outlineLevel="0" collapsed="false">
      <c r="B687" s="14" t="n">
        <v>677</v>
      </c>
      <c r="C687" s="7" t="s">
        <v>50</v>
      </c>
      <c r="D687" s="7" t="s">
        <v>73</v>
      </c>
      <c r="E687" s="7" t="s">
        <v>1723</v>
      </c>
      <c r="F687" s="18" t="n">
        <f aca="false">IF('Base de Datos SACI'!U681="","",'Base de Datos SACI'!U681)</f>
        <v>85</v>
      </c>
      <c r="G687" s="14"/>
      <c r="H687" s="28"/>
      <c r="I687" s="29" t="str">
        <f aca="false">IF(OR($G687="",$G687=0),"",IFERROR(ROUND($F687*$G687*(1-IF($H687="",0,$H687)),2),""))</f>
        <v/>
      </c>
      <c r="J687" s="7"/>
    </row>
    <row r="688" customFormat="false" ht="21.75" hidden="false" customHeight="true" outlineLevel="0" collapsed="false">
      <c r="B688" s="15" t="n">
        <v>678</v>
      </c>
      <c r="C688" s="9" t="s">
        <v>50</v>
      </c>
      <c r="D688" s="9" t="s">
        <v>73</v>
      </c>
      <c r="E688" s="9" t="s">
        <v>1724</v>
      </c>
      <c r="F688" s="19" t="n">
        <f aca="false">IF('Base de Datos SACI'!U682="","",'Base de Datos SACI'!U682)</f>
        <v>125</v>
      </c>
      <c r="G688" s="15"/>
      <c r="H688" s="30"/>
      <c r="I688" s="31" t="str">
        <f aca="false">IF(OR($G688="",$G688=0),"",IFERROR(ROUND($F688*$G688*(1-IF($H688="",0,$H688)),2),""))</f>
        <v/>
      </c>
      <c r="J688" s="9"/>
    </row>
    <row r="689" customFormat="false" ht="21.75" hidden="false" customHeight="true" outlineLevel="0" collapsed="false">
      <c r="B689" s="14" t="n">
        <v>679</v>
      </c>
      <c r="C689" s="7" t="s">
        <v>50</v>
      </c>
      <c r="D689" s="7" t="s">
        <v>74</v>
      </c>
      <c r="E689" s="7" t="s">
        <v>391</v>
      </c>
      <c r="F689" s="18" t="str">
        <f aca="false">IF('Base de Datos SACI'!U683="","",'Base de Datos SACI'!U683)</f>
        <v/>
      </c>
      <c r="G689" s="14"/>
      <c r="H689" s="28"/>
      <c r="I689" s="29" t="str">
        <f aca="false">IF(OR($G689="",$G689=0),"",IFERROR(ROUND($F689*$G689*(1-IF($H689="",0,$H689)),2),""))</f>
        <v/>
      </c>
      <c r="J689" s="7"/>
    </row>
    <row r="690" customFormat="false" ht="21.75" hidden="false" customHeight="true" outlineLevel="0" collapsed="false">
      <c r="B690" s="15" t="n">
        <v>680</v>
      </c>
      <c r="C690" s="9" t="s">
        <v>50</v>
      </c>
      <c r="D690" s="9" t="s">
        <v>75</v>
      </c>
      <c r="E690" s="9" t="s">
        <v>1726</v>
      </c>
      <c r="F690" s="19" t="n">
        <f aca="false">IF('Base de Datos SACI'!U684="","",'Base de Datos SACI'!U684)</f>
        <v>13</v>
      </c>
      <c r="G690" s="15"/>
      <c r="H690" s="30"/>
      <c r="I690" s="31" t="str">
        <f aca="false">IF(OR($G690="",$G690=0),"",IFERROR(ROUND($F690*$G690*(1-IF($H690="",0,$H690)),2),""))</f>
        <v/>
      </c>
      <c r="J690" s="9"/>
    </row>
    <row r="691" customFormat="false" ht="21.75" hidden="false" customHeight="true" outlineLevel="0" collapsed="false">
      <c r="B691" s="14" t="n">
        <v>681</v>
      </c>
      <c r="C691" s="7" t="s">
        <v>50</v>
      </c>
      <c r="D691" s="7" t="s">
        <v>75</v>
      </c>
      <c r="E691" s="7" t="s">
        <v>1731</v>
      </c>
      <c r="F691" s="18" t="n">
        <f aca="false">IF('Base de Datos SACI'!U685="","",'Base de Datos SACI'!U685)</f>
        <v>20</v>
      </c>
      <c r="G691" s="14"/>
      <c r="H691" s="28"/>
      <c r="I691" s="29" t="str">
        <f aca="false">IF(OR($G691="",$G691=0),"",IFERROR(ROUND($F691*$G691*(1-IF($H691="",0,$H691)),2),""))</f>
        <v/>
      </c>
      <c r="J691" s="7"/>
    </row>
    <row r="692" customFormat="false" ht="21.75" hidden="false" customHeight="true" outlineLevel="0" collapsed="false">
      <c r="B692" s="15" t="n">
        <v>682</v>
      </c>
      <c r="C692" s="9" t="s">
        <v>50</v>
      </c>
      <c r="D692" s="9" t="s">
        <v>75</v>
      </c>
      <c r="E692" s="9" t="s">
        <v>1732</v>
      </c>
      <c r="F692" s="19" t="n">
        <f aca="false">IF('Base de Datos SACI'!U686="","",'Base de Datos SACI'!U686)</f>
        <v>25</v>
      </c>
      <c r="G692" s="15"/>
      <c r="H692" s="30"/>
      <c r="I692" s="31" t="str">
        <f aca="false">IF(OR($G692="",$G692=0),"",IFERROR(ROUND($F692*$G692*(1-IF($H692="",0,$H692)),2),""))</f>
        <v/>
      </c>
      <c r="J692" s="9"/>
    </row>
    <row r="693" customFormat="false" ht="21.75" hidden="false" customHeight="true" outlineLevel="0" collapsed="false">
      <c r="B693" s="14" t="n">
        <v>683</v>
      </c>
      <c r="C693" s="7" t="s">
        <v>50</v>
      </c>
      <c r="D693" s="7" t="s">
        <v>75</v>
      </c>
      <c r="E693" s="7" t="s">
        <v>1734</v>
      </c>
      <c r="F693" s="18" t="n">
        <f aca="false">IF('Base de Datos SACI'!U687="","",'Base de Datos SACI'!U687)</f>
        <v>35</v>
      </c>
      <c r="G693" s="14"/>
      <c r="H693" s="28"/>
      <c r="I693" s="29" t="str">
        <f aca="false">IF(OR($G693="",$G693=0),"",IFERROR(ROUND($F693*$G693*(1-IF($H693="",0,$H693)),2),""))</f>
        <v/>
      </c>
      <c r="J693" s="7"/>
    </row>
    <row r="694" customFormat="false" ht="21.75" hidden="false" customHeight="true" outlineLevel="0" collapsed="false">
      <c r="B694" s="15" t="n">
        <v>684</v>
      </c>
      <c r="C694" s="9" t="s">
        <v>50</v>
      </c>
      <c r="D694" s="9" t="s">
        <v>75</v>
      </c>
      <c r="E694" s="9" t="s">
        <v>1735</v>
      </c>
      <c r="F694" s="19" t="n">
        <f aca="false">IF('Base de Datos SACI'!U688="","",'Base de Datos SACI'!U688)</f>
        <v>55</v>
      </c>
      <c r="G694" s="15"/>
      <c r="H694" s="30"/>
      <c r="I694" s="31" t="str">
        <f aca="false">IF(OR($G694="",$G694=0),"",IFERROR(ROUND($F694*$G694*(1-IF($H694="",0,$H694)),2),""))</f>
        <v/>
      </c>
      <c r="J694" s="9"/>
    </row>
    <row r="695" customFormat="false" ht="21.75" hidden="false" customHeight="true" outlineLevel="0" collapsed="false">
      <c r="B695" s="14" t="n">
        <v>685</v>
      </c>
      <c r="C695" s="7" t="s">
        <v>51</v>
      </c>
      <c r="D695" s="7" t="s">
        <v>60</v>
      </c>
      <c r="E695" s="7" t="s">
        <v>1736</v>
      </c>
      <c r="F695" s="18" t="n">
        <f aca="false">IF('Base de Datos SACI'!U689="","",'Base de Datos SACI'!U689)</f>
        <v>160</v>
      </c>
      <c r="G695" s="14"/>
      <c r="H695" s="28"/>
      <c r="I695" s="29" t="str">
        <f aca="false">IF(OR($G695="",$G695=0),"",IFERROR(ROUND($F695*$G695*(1-IF($H695="",0,$H695)),2),""))</f>
        <v/>
      </c>
      <c r="J695" s="7"/>
    </row>
    <row r="696" customFormat="false" ht="21.75" hidden="false" customHeight="true" outlineLevel="0" collapsed="false">
      <c r="B696" s="15" t="n">
        <v>686</v>
      </c>
      <c r="C696" s="9" t="s">
        <v>51</v>
      </c>
      <c r="D696" s="9" t="s">
        <v>60</v>
      </c>
      <c r="E696" s="9" t="s">
        <v>1749</v>
      </c>
      <c r="F696" s="19" t="n">
        <f aca="false">IF('Base de Datos SACI'!U690="","",'Base de Datos SACI'!U690)</f>
        <v>240</v>
      </c>
      <c r="G696" s="15"/>
      <c r="H696" s="30"/>
      <c r="I696" s="31" t="str">
        <f aca="false">IF(OR($G696="",$G696=0),"",IFERROR(ROUND($F696*$G696*(1-IF($H696="",0,$H696)),2),""))</f>
        <v/>
      </c>
      <c r="J696" s="9"/>
    </row>
    <row r="697" customFormat="false" ht="21.75" hidden="false" customHeight="true" outlineLevel="0" collapsed="false">
      <c r="B697" s="14" t="n">
        <v>687</v>
      </c>
      <c r="C697" s="7" t="s">
        <v>51</v>
      </c>
      <c r="D697" s="7" t="s">
        <v>60</v>
      </c>
      <c r="E697" s="7" t="s">
        <v>1750</v>
      </c>
      <c r="F697" s="18" t="n">
        <f aca="false">IF('Base de Datos SACI'!U691="","",'Base de Datos SACI'!U691)</f>
        <v>325</v>
      </c>
      <c r="G697" s="14"/>
      <c r="H697" s="28"/>
      <c r="I697" s="29" t="str">
        <f aca="false">IF(OR($G697="",$G697=0),"",IFERROR(ROUND($F697*$G697*(1-IF($H697="",0,$H697)),2),""))</f>
        <v/>
      </c>
      <c r="J697" s="7"/>
    </row>
    <row r="698" customFormat="false" ht="21.75" hidden="false" customHeight="true" outlineLevel="0" collapsed="false">
      <c r="B698" s="15" t="n">
        <v>688</v>
      </c>
      <c r="C698" s="9" t="s">
        <v>51</v>
      </c>
      <c r="D698" s="9" t="s">
        <v>60</v>
      </c>
      <c r="E698" s="9" t="s">
        <v>1752</v>
      </c>
      <c r="F698" s="19" t="n">
        <f aca="false">IF('Base de Datos SACI'!U692="","",'Base de Datos SACI'!U692)</f>
        <v>485</v>
      </c>
      <c r="G698" s="15"/>
      <c r="H698" s="30"/>
      <c r="I698" s="31" t="str">
        <f aca="false">IF(OR($G698="",$G698=0),"",IFERROR(ROUND($F698*$G698*(1-IF($H698="",0,$H698)),2),""))</f>
        <v/>
      </c>
      <c r="J698" s="9"/>
    </row>
    <row r="699" customFormat="false" ht="21.75" hidden="false" customHeight="true" outlineLevel="0" collapsed="false">
      <c r="B699" s="14" t="n">
        <v>689</v>
      </c>
      <c r="C699" s="7" t="s">
        <v>51</v>
      </c>
      <c r="D699" s="7" t="s">
        <v>60</v>
      </c>
      <c r="E699" s="7" t="s">
        <v>1753</v>
      </c>
      <c r="F699" s="18" t="n">
        <f aca="false">IF('Base de Datos SACI'!U693="","",'Base de Datos SACI'!U693)</f>
        <v>715</v>
      </c>
      <c r="G699" s="14"/>
      <c r="H699" s="28"/>
      <c r="I699" s="29" t="str">
        <f aca="false">IF(OR($G699="",$G699=0),"",IFERROR(ROUND($F699*$G699*(1-IF($H699="",0,$H699)),2),""))</f>
        <v/>
      </c>
      <c r="J699" s="7"/>
    </row>
    <row r="700" customFormat="false" ht="21.75" hidden="false" customHeight="true" outlineLevel="0" collapsed="false">
      <c r="B700" s="15" t="n">
        <v>690</v>
      </c>
      <c r="C700" s="9" t="s">
        <v>51</v>
      </c>
      <c r="D700" s="9" t="s">
        <v>61</v>
      </c>
      <c r="E700" s="9" t="s">
        <v>1750</v>
      </c>
      <c r="F700" s="19" t="n">
        <f aca="false">IF('Base de Datos SACI'!U694="","",'Base de Datos SACI'!U694)</f>
        <v>110</v>
      </c>
      <c r="G700" s="15"/>
      <c r="H700" s="30"/>
      <c r="I700" s="31" t="str">
        <f aca="false">IF(OR($G700="",$G700=0),"",IFERROR(ROUND($F700*$G700*(1-IF($H700="",0,$H700)),2),""))</f>
        <v/>
      </c>
      <c r="J700" s="9"/>
    </row>
    <row r="701" customFormat="false" ht="21.75" hidden="false" customHeight="true" outlineLevel="0" collapsed="false">
      <c r="B701" s="14" t="n">
        <v>691</v>
      </c>
      <c r="C701" s="7" t="s">
        <v>51</v>
      </c>
      <c r="D701" s="7" t="s">
        <v>61</v>
      </c>
      <c r="E701" s="7" t="s">
        <v>1752</v>
      </c>
      <c r="F701" s="18" t="n">
        <f aca="false">IF('Base de Datos SACI'!U695="","",'Base de Datos SACI'!U695)</f>
        <v>170</v>
      </c>
      <c r="G701" s="14"/>
      <c r="H701" s="28"/>
      <c r="I701" s="29" t="str">
        <f aca="false">IF(OR($G701="",$G701=0),"",IFERROR(ROUND($F701*$G701*(1-IF($H701="",0,$H701)),2),""))</f>
        <v/>
      </c>
      <c r="J701" s="7"/>
    </row>
    <row r="702" customFormat="false" ht="21.75" hidden="false" customHeight="true" outlineLevel="0" collapsed="false">
      <c r="B702" s="15" t="n">
        <v>692</v>
      </c>
      <c r="C702" s="9" t="s">
        <v>51</v>
      </c>
      <c r="D702" s="9" t="s">
        <v>61</v>
      </c>
      <c r="E702" s="9" t="s">
        <v>1759</v>
      </c>
      <c r="F702" s="19" t="n">
        <f aca="false">IF('Base de Datos SACI'!U696="","",'Base de Datos SACI'!U696)</f>
        <v>225</v>
      </c>
      <c r="G702" s="15"/>
      <c r="H702" s="30"/>
      <c r="I702" s="31" t="str">
        <f aca="false">IF(OR($G702="",$G702=0),"",IFERROR(ROUND($F702*$G702*(1-IF($H702="",0,$H702)),2),""))</f>
        <v/>
      </c>
      <c r="J702" s="9"/>
    </row>
    <row r="703" customFormat="false" ht="21.75" hidden="false" customHeight="true" outlineLevel="0" collapsed="false">
      <c r="B703" s="14" t="n">
        <v>693</v>
      </c>
      <c r="C703" s="7" t="s">
        <v>51</v>
      </c>
      <c r="D703" s="7" t="s">
        <v>61</v>
      </c>
      <c r="E703" s="7" t="s">
        <v>1761</v>
      </c>
      <c r="F703" s="18" t="n">
        <f aca="false">IF('Base de Datos SACI'!U697="","",'Base de Datos SACI'!U697)</f>
        <v>340</v>
      </c>
      <c r="G703" s="14"/>
      <c r="H703" s="28"/>
      <c r="I703" s="29" t="str">
        <f aca="false">IF(OR($G703="",$G703=0),"",IFERROR(ROUND($F703*$G703*(1-IF($H703="",0,$H703)),2),""))</f>
        <v/>
      </c>
      <c r="J703" s="7"/>
    </row>
    <row r="704" customFormat="false" ht="21.75" hidden="false" customHeight="true" outlineLevel="0" collapsed="false">
      <c r="B704" s="15" t="n">
        <v>694</v>
      </c>
      <c r="C704" s="9" t="s">
        <v>51</v>
      </c>
      <c r="D704" s="9" t="s">
        <v>61</v>
      </c>
      <c r="E704" s="9" t="s">
        <v>1762</v>
      </c>
      <c r="F704" s="19" t="n">
        <f aca="false">IF('Base de Datos SACI'!U698="","",'Base de Datos SACI'!U698)</f>
        <v>500</v>
      </c>
      <c r="G704" s="15"/>
      <c r="H704" s="30"/>
      <c r="I704" s="31" t="str">
        <f aca="false">IF(OR($G704="",$G704=0),"",IFERROR(ROUND($F704*$G704*(1-IF($H704="",0,$H704)),2),""))</f>
        <v/>
      </c>
      <c r="J704" s="9"/>
    </row>
    <row r="705" customFormat="false" ht="21.75" hidden="false" customHeight="true" outlineLevel="0" collapsed="false">
      <c r="B705" s="14" t="n">
        <v>695</v>
      </c>
      <c r="C705" s="7" t="s">
        <v>51</v>
      </c>
      <c r="D705" s="7" t="s">
        <v>62</v>
      </c>
      <c r="E705" s="7" t="s">
        <v>1763</v>
      </c>
      <c r="F705" s="18" t="n">
        <f aca="false">IF('Base de Datos SACI'!U699="","",'Base de Datos SACI'!U699)</f>
        <v>90</v>
      </c>
      <c r="G705" s="14"/>
      <c r="H705" s="28"/>
      <c r="I705" s="29" t="str">
        <f aca="false">IF(OR($G705="",$G705=0),"",IFERROR(ROUND($F705*$G705*(1-IF($H705="",0,$H705)),2),""))</f>
        <v/>
      </c>
      <c r="J705" s="7"/>
    </row>
    <row r="706" customFormat="false" ht="21.75" hidden="false" customHeight="true" outlineLevel="0" collapsed="false">
      <c r="B706" s="15" t="n">
        <v>696</v>
      </c>
      <c r="C706" s="9" t="s">
        <v>51</v>
      </c>
      <c r="D706" s="9" t="s">
        <v>62</v>
      </c>
      <c r="E706" s="9" t="s">
        <v>1770</v>
      </c>
      <c r="F706" s="19" t="n">
        <f aca="false">IF('Base de Datos SACI'!U700="","",'Base de Datos SACI'!U700)</f>
        <v>135</v>
      </c>
      <c r="G706" s="15"/>
      <c r="H706" s="30"/>
      <c r="I706" s="31" t="str">
        <f aca="false">IF(OR($G706="",$G706=0),"",IFERROR(ROUND($F706*$G706*(1-IF($H706="",0,$H706)),2),""))</f>
        <v/>
      </c>
      <c r="J706" s="9"/>
    </row>
    <row r="707" customFormat="false" ht="21.75" hidden="false" customHeight="true" outlineLevel="0" collapsed="false">
      <c r="B707" s="14" t="n">
        <v>697</v>
      </c>
      <c r="C707" s="7" t="s">
        <v>51</v>
      </c>
      <c r="D707" s="7" t="s">
        <v>62</v>
      </c>
      <c r="E707" s="7" t="s">
        <v>1771</v>
      </c>
      <c r="F707" s="18" t="n">
        <f aca="false">IF('Base de Datos SACI'!U701="","",'Base de Datos SACI'!U701)</f>
        <v>180</v>
      </c>
      <c r="G707" s="14"/>
      <c r="H707" s="28"/>
      <c r="I707" s="29" t="str">
        <f aca="false">IF(OR($G707="",$G707=0),"",IFERROR(ROUND($F707*$G707*(1-IF($H707="",0,$H707)),2),""))</f>
        <v/>
      </c>
      <c r="J707" s="7"/>
    </row>
    <row r="708" customFormat="false" ht="21.75" hidden="false" customHeight="true" outlineLevel="0" collapsed="false">
      <c r="B708" s="15" t="n">
        <v>698</v>
      </c>
      <c r="C708" s="9" t="s">
        <v>51</v>
      </c>
      <c r="D708" s="9" t="s">
        <v>62</v>
      </c>
      <c r="E708" s="9" t="s">
        <v>1773</v>
      </c>
      <c r="F708" s="19" t="n">
        <f aca="false">IF('Base de Datos SACI'!U702="","",'Base de Datos SACI'!U702)</f>
        <v>270</v>
      </c>
      <c r="G708" s="15"/>
      <c r="H708" s="30"/>
      <c r="I708" s="31" t="str">
        <f aca="false">IF(OR($G708="",$G708=0),"",IFERROR(ROUND($F708*$G708*(1-IF($H708="",0,$H708)),2),""))</f>
        <v/>
      </c>
      <c r="J708" s="9"/>
    </row>
    <row r="709" customFormat="false" ht="21.75" hidden="false" customHeight="true" outlineLevel="0" collapsed="false">
      <c r="B709" s="14" t="n">
        <v>699</v>
      </c>
      <c r="C709" s="7" t="s">
        <v>51</v>
      </c>
      <c r="D709" s="7" t="s">
        <v>62</v>
      </c>
      <c r="E709" s="7" t="s">
        <v>1774</v>
      </c>
      <c r="F709" s="18" t="n">
        <f aca="false">IF('Base de Datos SACI'!U703="","",'Base de Datos SACI'!U703)</f>
        <v>400</v>
      </c>
      <c r="G709" s="14"/>
      <c r="H709" s="28"/>
      <c r="I709" s="29" t="str">
        <f aca="false">IF(OR($G709="",$G709=0),"",IFERROR(ROUND($F709*$G709*(1-IF($H709="",0,$H709)),2),""))</f>
        <v/>
      </c>
      <c r="J709" s="7"/>
    </row>
    <row r="710" customFormat="false" ht="21.75" hidden="false" customHeight="true" outlineLevel="0" collapsed="false">
      <c r="B710" s="15" t="n">
        <v>700</v>
      </c>
      <c r="C710" s="9" t="s">
        <v>51</v>
      </c>
      <c r="D710" s="9" t="s">
        <v>63</v>
      </c>
      <c r="E710" s="9" t="s">
        <v>1775</v>
      </c>
      <c r="F710" s="19" t="n">
        <f aca="false">IF('Base de Datos SACI'!U704="","",'Base de Datos SACI'!U704)</f>
        <v>30</v>
      </c>
      <c r="G710" s="15"/>
      <c r="H710" s="30"/>
      <c r="I710" s="31" t="str">
        <f aca="false">IF(OR($G710="",$G710=0),"",IFERROR(ROUND($F710*$G710*(1-IF($H710="",0,$H710)),2),""))</f>
        <v/>
      </c>
      <c r="J710" s="9"/>
    </row>
    <row r="711" customFormat="false" ht="21.75" hidden="false" customHeight="true" outlineLevel="0" collapsed="false">
      <c r="B711" s="14" t="n">
        <v>701</v>
      </c>
      <c r="C711" s="7" t="s">
        <v>51</v>
      </c>
      <c r="D711" s="7" t="s">
        <v>63</v>
      </c>
      <c r="E711" s="7" t="s">
        <v>1781</v>
      </c>
      <c r="F711" s="18" t="n">
        <f aca="false">IF('Base de Datos SACI'!U705="","",'Base de Datos SACI'!U705)</f>
        <v>50</v>
      </c>
      <c r="G711" s="14"/>
      <c r="H711" s="28"/>
      <c r="I711" s="29" t="str">
        <f aca="false">IF(OR($G711="",$G711=0),"",IFERROR(ROUND($F711*$G711*(1-IF($H711="",0,$H711)),2),""))</f>
        <v/>
      </c>
      <c r="J711" s="7"/>
    </row>
    <row r="712" customFormat="false" ht="21.75" hidden="false" customHeight="true" outlineLevel="0" collapsed="false">
      <c r="B712" s="15" t="n">
        <v>702</v>
      </c>
      <c r="C712" s="9" t="s">
        <v>51</v>
      </c>
      <c r="D712" s="9" t="s">
        <v>63</v>
      </c>
      <c r="E712" s="9" t="s">
        <v>1782</v>
      </c>
      <c r="F712" s="19" t="n">
        <f aca="false">IF('Base de Datos SACI'!U706="","",'Base de Datos SACI'!U706)</f>
        <v>65</v>
      </c>
      <c r="G712" s="15"/>
      <c r="H712" s="30"/>
      <c r="I712" s="31" t="str">
        <f aca="false">IF(OR($G712="",$G712=0),"",IFERROR(ROUND($F712*$G712*(1-IF($H712="",0,$H712)),2),""))</f>
        <v/>
      </c>
      <c r="J712" s="9"/>
    </row>
    <row r="713" customFormat="false" ht="21.75" hidden="false" customHeight="true" outlineLevel="0" collapsed="false">
      <c r="B713" s="14" t="n">
        <v>703</v>
      </c>
      <c r="C713" s="7" t="s">
        <v>51</v>
      </c>
      <c r="D713" s="7" t="s">
        <v>63</v>
      </c>
      <c r="E713" s="7" t="s">
        <v>1784</v>
      </c>
      <c r="F713" s="18" t="n">
        <f aca="false">IF('Base de Datos SACI'!U707="","",'Base de Datos SACI'!U707)</f>
        <v>100</v>
      </c>
      <c r="G713" s="14"/>
      <c r="H713" s="28"/>
      <c r="I713" s="29" t="str">
        <f aca="false">IF(OR($G713="",$G713=0),"",IFERROR(ROUND($F713*$G713*(1-IF($H713="",0,$H713)),2),""))</f>
        <v/>
      </c>
      <c r="J713" s="7"/>
    </row>
    <row r="714" customFormat="false" ht="21.75" hidden="false" customHeight="true" outlineLevel="0" collapsed="false">
      <c r="B714" s="15" t="n">
        <v>704</v>
      </c>
      <c r="C714" s="9" t="s">
        <v>51</v>
      </c>
      <c r="D714" s="9" t="s">
        <v>63</v>
      </c>
      <c r="E714" s="9" t="s">
        <v>1785</v>
      </c>
      <c r="F714" s="19" t="n">
        <f aca="false">IF('Base de Datos SACI'!U708="","",'Base de Datos SACI'!U708)</f>
        <v>145</v>
      </c>
      <c r="G714" s="15"/>
      <c r="H714" s="30"/>
      <c r="I714" s="31" t="str">
        <f aca="false">IF(OR($G714="",$G714=0),"",IFERROR(ROUND($F714*$G714*(1-IF($H714="",0,$H714)),2),""))</f>
        <v/>
      </c>
      <c r="J714" s="9"/>
    </row>
    <row r="715" customFormat="false" ht="21.75" hidden="false" customHeight="true" outlineLevel="0" collapsed="false">
      <c r="B715" s="14" t="n">
        <v>705</v>
      </c>
      <c r="C715" s="7" t="s">
        <v>51</v>
      </c>
      <c r="D715" s="7" t="s">
        <v>64</v>
      </c>
      <c r="E715" s="7" t="s">
        <v>1786</v>
      </c>
      <c r="F715" s="18" t="n">
        <f aca="false">IF('Base de Datos SACI'!U709="","",'Base de Datos SACI'!U709)</f>
        <v>12</v>
      </c>
      <c r="G715" s="14"/>
      <c r="H715" s="28"/>
      <c r="I715" s="29" t="str">
        <f aca="false">IF(OR($G715="",$G715=0),"",IFERROR(ROUND($F715*$G715*(1-IF($H715="",0,$H715)),2),""))</f>
        <v/>
      </c>
      <c r="J715" s="7"/>
    </row>
    <row r="716" customFormat="false" ht="21.75" hidden="false" customHeight="true" outlineLevel="0" collapsed="false">
      <c r="B716" s="15" t="n">
        <v>706</v>
      </c>
      <c r="C716" s="9" t="s">
        <v>51</v>
      </c>
      <c r="D716" s="9" t="s">
        <v>64</v>
      </c>
      <c r="E716" s="9" t="s">
        <v>1792</v>
      </c>
      <c r="F716" s="19" t="n">
        <f aca="false">IF('Base de Datos SACI'!U710="","",'Base de Datos SACI'!U710)</f>
        <v>18</v>
      </c>
      <c r="G716" s="15"/>
      <c r="H716" s="30"/>
      <c r="I716" s="31" t="str">
        <f aca="false">IF(OR($G716="",$G716=0),"",IFERROR(ROUND($F716*$G716*(1-IF($H716="",0,$H716)),2),""))</f>
        <v/>
      </c>
      <c r="J716" s="9"/>
    </row>
    <row r="717" customFormat="false" ht="21.75" hidden="false" customHeight="true" outlineLevel="0" collapsed="false">
      <c r="B717" s="14" t="n">
        <v>707</v>
      </c>
      <c r="C717" s="7" t="s">
        <v>51</v>
      </c>
      <c r="D717" s="7" t="s">
        <v>64</v>
      </c>
      <c r="E717" s="7" t="s">
        <v>1793</v>
      </c>
      <c r="F717" s="18" t="n">
        <f aca="false">IF('Base de Datos SACI'!U711="","",'Base de Datos SACI'!U711)</f>
        <v>20</v>
      </c>
      <c r="G717" s="14"/>
      <c r="H717" s="28"/>
      <c r="I717" s="29" t="str">
        <f aca="false">IF(OR($G717="",$G717=0),"",IFERROR(ROUND($F717*$G717*(1-IF($H717="",0,$H717)),2),""))</f>
        <v/>
      </c>
      <c r="J717" s="7"/>
    </row>
    <row r="718" customFormat="false" ht="21.75" hidden="false" customHeight="true" outlineLevel="0" collapsed="false">
      <c r="B718" s="15" t="n">
        <v>708</v>
      </c>
      <c r="C718" s="9" t="s">
        <v>51</v>
      </c>
      <c r="D718" s="9" t="s">
        <v>64</v>
      </c>
      <c r="E718" s="9" t="s">
        <v>1795</v>
      </c>
      <c r="F718" s="19" t="n">
        <f aca="false">IF('Base de Datos SACI'!U712="","",'Base de Datos SACI'!U712)</f>
        <v>35</v>
      </c>
      <c r="G718" s="15"/>
      <c r="H718" s="30"/>
      <c r="I718" s="31" t="str">
        <f aca="false">IF(OR($G718="",$G718=0),"",IFERROR(ROUND($F718*$G718*(1-IF($H718="",0,$H718)),2),""))</f>
        <v/>
      </c>
      <c r="J718" s="9"/>
    </row>
    <row r="719" customFormat="false" ht="21.75" hidden="false" customHeight="true" outlineLevel="0" collapsed="false">
      <c r="B719" s="14" t="n">
        <v>709</v>
      </c>
      <c r="C719" s="7" t="s">
        <v>51</v>
      </c>
      <c r="D719" s="7" t="s">
        <v>64</v>
      </c>
      <c r="E719" s="7" t="s">
        <v>1796</v>
      </c>
      <c r="F719" s="18" t="n">
        <f aca="false">IF('Base de Datos SACI'!U713="","",'Base de Datos SACI'!U713)</f>
        <v>50</v>
      </c>
      <c r="G719" s="14"/>
      <c r="H719" s="28"/>
      <c r="I719" s="29" t="str">
        <f aca="false">IF(OR($G719="",$G719=0),"",IFERROR(ROUND($F719*$G719*(1-IF($H719="",0,$H719)),2),""))</f>
        <v/>
      </c>
      <c r="J719" s="7"/>
    </row>
    <row r="720" customFormat="false" ht="21.75" hidden="false" customHeight="true" outlineLevel="0" collapsed="false">
      <c r="B720" s="15" t="n">
        <v>710</v>
      </c>
      <c r="C720" s="9" t="s">
        <v>51</v>
      </c>
      <c r="D720" s="9" t="s">
        <v>65</v>
      </c>
      <c r="E720" s="9" t="s">
        <v>1797</v>
      </c>
      <c r="F720" s="19" t="n">
        <f aca="false">IF('Base de Datos SACI'!U714="","",'Base de Datos SACI'!U714)</f>
        <v>19</v>
      </c>
      <c r="G720" s="15"/>
      <c r="H720" s="30"/>
      <c r="I720" s="31" t="str">
        <f aca="false">IF(OR($G720="",$G720=0),"",IFERROR(ROUND($F720*$G720*(1-IF($H720="",0,$H720)),2),""))</f>
        <v/>
      </c>
      <c r="J720" s="9"/>
    </row>
    <row r="721" customFormat="false" ht="21.75" hidden="false" customHeight="true" outlineLevel="0" collapsed="false">
      <c r="B721" s="14" t="n">
        <v>711</v>
      </c>
      <c r="C721" s="7" t="s">
        <v>51</v>
      </c>
      <c r="D721" s="7" t="s">
        <v>65</v>
      </c>
      <c r="E721" s="7" t="s">
        <v>1802</v>
      </c>
      <c r="F721" s="18" t="n">
        <f aca="false">IF('Base de Datos SACI'!U715="","",'Base de Datos SACI'!U715)</f>
        <v>25</v>
      </c>
      <c r="G721" s="14"/>
      <c r="H721" s="28"/>
      <c r="I721" s="29" t="str">
        <f aca="false">IF(OR($G721="",$G721=0),"",IFERROR(ROUND($F721*$G721*(1-IF($H721="",0,$H721)),2),""))</f>
        <v/>
      </c>
      <c r="J721" s="7"/>
    </row>
    <row r="722" customFormat="false" ht="21.75" hidden="false" customHeight="true" outlineLevel="0" collapsed="false">
      <c r="B722" s="15" t="n">
        <v>712</v>
      </c>
      <c r="C722" s="9" t="s">
        <v>51</v>
      </c>
      <c r="D722" s="9" t="s">
        <v>65</v>
      </c>
      <c r="E722" s="9" t="s">
        <v>1803</v>
      </c>
      <c r="F722" s="19" t="n">
        <f aca="false">IF('Base de Datos SACI'!U716="","",'Base de Datos SACI'!U716)</f>
        <v>35</v>
      </c>
      <c r="G722" s="15"/>
      <c r="H722" s="30"/>
      <c r="I722" s="31" t="str">
        <f aca="false">IF(OR($G722="",$G722=0),"",IFERROR(ROUND($F722*$G722*(1-IF($H722="",0,$H722)),2),""))</f>
        <v/>
      </c>
      <c r="J722" s="9"/>
    </row>
    <row r="723" customFormat="false" ht="21.75" hidden="false" customHeight="true" outlineLevel="0" collapsed="false">
      <c r="B723" s="14" t="n">
        <v>713</v>
      </c>
      <c r="C723" s="7" t="s">
        <v>51</v>
      </c>
      <c r="D723" s="7" t="s">
        <v>65</v>
      </c>
      <c r="E723" s="7" t="s">
        <v>1805</v>
      </c>
      <c r="F723" s="18" t="n">
        <f aca="false">IF('Base de Datos SACI'!U717="","",'Base de Datos SACI'!U717)</f>
        <v>55</v>
      </c>
      <c r="G723" s="14"/>
      <c r="H723" s="28"/>
      <c r="I723" s="29" t="str">
        <f aca="false">IF(OR($G723="",$G723=0),"",IFERROR(ROUND($F723*$G723*(1-IF($H723="",0,$H723)),2),""))</f>
        <v/>
      </c>
      <c r="J723" s="7"/>
    </row>
    <row r="724" customFormat="false" ht="21.75" hidden="false" customHeight="true" outlineLevel="0" collapsed="false">
      <c r="B724" s="15" t="n">
        <v>714</v>
      </c>
      <c r="C724" s="9" t="s">
        <v>51</v>
      </c>
      <c r="D724" s="9" t="s">
        <v>65</v>
      </c>
      <c r="E724" s="9" t="s">
        <v>1806</v>
      </c>
      <c r="F724" s="19" t="n">
        <f aca="false">IF('Base de Datos SACI'!U718="","",'Base de Datos SACI'!U718)</f>
        <v>80</v>
      </c>
      <c r="G724" s="15"/>
      <c r="H724" s="30"/>
      <c r="I724" s="31" t="str">
        <f aca="false">IF(OR($G724="",$G724=0),"",IFERROR(ROUND($F724*$G724*(1-IF($H724="",0,$H724)),2),""))</f>
        <v/>
      </c>
      <c r="J724" s="9"/>
    </row>
    <row r="725" customFormat="false" ht="21.75" hidden="false" customHeight="true" outlineLevel="0" collapsed="false">
      <c r="B725" s="14" t="n">
        <v>715</v>
      </c>
      <c r="C725" s="7" t="s">
        <v>51</v>
      </c>
      <c r="D725" s="7" t="s">
        <v>66</v>
      </c>
      <c r="E725" s="7" t="s">
        <v>1807</v>
      </c>
      <c r="F725" s="18" t="n">
        <f aca="false">IF('Base de Datos SACI'!U719="","",'Base de Datos SACI'!U719)</f>
        <v>30</v>
      </c>
      <c r="G725" s="14"/>
      <c r="H725" s="28"/>
      <c r="I725" s="29" t="str">
        <f aca="false">IF(OR($G725="",$G725=0),"",IFERROR(ROUND($F725*$G725*(1-IF($H725="",0,$H725)),2),""))</f>
        <v/>
      </c>
      <c r="J725" s="7"/>
    </row>
    <row r="726" customFormat="false" ht="21.75" hidden="false" customHeight="true" outlineLevel="0" collapsed="false">
      <c r="B726" s="15" t="n">
        <v>716</v>
      </c>
      <c r="C726" s="9" t="s">
        <v>51</v>
      </c>
      <c r="D726" s="9" t="s">
        <v>66</v>
      </c>
      <c r="E726" s="9" t="s">
        <v>1806</v>
      </c>
      <c r="F726" s="19" t="n">
        <f aca="false">IF('Base de Datos SACI'!U720="","",'Base de Datos SACI'!U720)</f>
        <v>45</v>
      </c>
      <c r="G726" s="15"/>
      <c r="H726" s="30"/>
      <c r="I726" s="31" t="str">
        <f aca="false">IF(OR($G726="",$G726=0),"",IFERROR(ROUND($F726*$G726*(1-IF($H726="",0,$H726)),2),""))</f>
        <v/>
      </c>
      <c r="J726" s="9"/>
    </row>
    <row r="727" customFormat="false" ht="21.75" hidden="false" customHeight="true" outlineLevel="0" collapsed="false">
      <c r="B727" s="14" t="n">
        <v>717</v>
      </c>
      <c r="C727" s="7" t="s">
        <v>51</v>
      </c>
      <c r="D727" s="7" t="s">
        <v>66</v>
      </c>
      <c r="E727" s="7" t="s">
        <v>1809</v>
      </c>
      <c r="F727" s="18" t="n">
        <f aca="false">IF('Base de Datos SACI'!U721="","",'Base de Datos SACI'!U721)</f>
        <v>60</v>
      </c>
      <c r="G727" s="14"/>
      <c r="H727" s="28"/>
      <c r="I727" s="29" t="str">
        <f aca="false">IF(OR($G727="",$G727=0),"",IFERROR(ROUND($F727*$G727*(1-IF($H727="",0,$H727)),2),""))</f>
        <v/>
      </c>
      <c r="J727" s="7"/>
    </row>
    <row r="728" customFormat="false" ht="21.75" hidden="false" customHeight="true" outlineLevel="0" collapsed="false">
      <c r="B728" s="15" t="n">
        <v>718</v>
      </c>
      <c r="C728" s="9" t="s">
        <v>51</v>
      </c>
      <c r="D728" s="9" t="s">
        <v>66</v>
      </c>
      <c r="E728" s="9" t="s">
        <v>1811</v>
      </c>
      <c r="F728" s="19" t="n">
        <f aca="false">IF('Base de Datos SACI'!U722="","",'Base de Datos SACI'!U722)</f>
        <v>90</v>
      </c>
      <c r="G728" s="15"/>
      <c r="H728" s="30"/>
      <c r="I728" s="31" t="str">
        <f aca="false">IF(OR($G728="",$G728=0),"",IFERROR(ROUND($F728*$G728*(1-IF($H728="",0,$H728)),2),""))</f>
        <v/>
      </c>
      <c r="J728" s="9"/>
    </row>
    <row r="729" customFormat="false" ht="21.75" hidden="false" customHeight="true" outlineLevel="0" collapsed="false">
      <c r="B729" s="14" t="n">
        <v>719</v>
      </c>
      <c r="C729" s="7" t="s">
        <v>51</v>
      </c>
      <c r="D729" s="7" t="s">
        <v>66</v>
      </c>
      <c r="E729" s="7" t="s">
        <v>1812</v>
      </c>
      <c r="F729" s="18" t="n">
        <f aca="false">IF('Base de Datos SACI'!U723="","",'Base de Datos SACI'!U723)</f>
        <v>135</v>
      </c>
      <c r="G729" s="14"/>
      <c r="H729" s="28"/>
      <c r="I729" s="29" t="str">
        <f aca="false">IF(OR($G729="",$G729=0),"",IFERROR(ROUND($F729*$G729*(1-IF($H729="",0,$H729)),2),""))</f>
        <v/>
      </c>
      <c r="J729" s="7"/>
    </row>
    <row r="730" customFormat="false" ht="21.75" hidden="false" customHeight="true" outlineLevel="0" collapsed="false">
      <c r="B730" s="15" t="n">
        <v>720</v>
      </c>
      <c r="C730" s="9" t="s">
        <v>51</v>
      </c>
      <c r="D730" s="9" t="s">
        <v>67</v>
      </c>
      <c r="E730" s="9" t="s">
        <v>1813</v>
      </c>
      <c r="F730" s="19" t="n">
        <f aca="false">IF('Base de Datos SACI'!U724="","",'Base de Datos SACI'!U724)</f>
        <v>15</v>
      </c>
      <c r="G730" s="15"/>
      <c r="H730" s="30"/>
      <c r="I730" s="31" t="str">
        <f aca="false">IF(OR($G730="",$G730=0),"",IFERROR(ROUND($F730*$G730*(1-IF($H730="",0,$H730)),2),""))</f>
        <v/>
      </c>
      <c r="J730" s="9"/>
    </row>
    <row r="731" customFormat="false" ht="21.75" hidden="false" customHeight="true" outlineLevel="0" collapsed="false">
      <c r="B731" s="14" t="n">
        <v>721</v>
      </c>
      <c r="C731" s="7" t="s">
        <v>51</v>
      </c>
      <c r="D731" s="7" t="s">
        <v>67</v>
      </c>
      <c r="E731" s="7" t="s">
        <v>1817</v>
      </c>
      <c r="F731" s="18" t="n">
        <f aca="false">IF('Base de Datos SACI'!U725="","",'Base de Datos SACI'!U725)</f>
        <v>20</v>
      </c>
      <c r="G731" s="14"/>
      <c r="H731" s="28"/>
      <c r="I731" s="29" t="str">
        <f aca="false">IF(OR($G731="",$G731=0),"",IFERROR(ROUND($F731*$G731*(1-IF($H731="",0,$H731)),2),""))</f>
        <v/>
      </c>
      <c r="J731" s="7"/>
    </row>
    <row r="732" customFormat="false" ht="21.75" hidden="false" customHeight="true" outlineLevel="0" collapsed="false">
      <c r="B732" s="15" t="n">
        <v>722</v>
      </c>
      <c r="C732" s="9" t="s">
        <v>51</v>
      </c>
      <c r="D732" s="9" t="s">
        <v>67</v>
      </c>
      <c r="E732" s="9" t="s">
        <v>1818</v>
      </c>
      <c r="F732" s="19" t="n">
        <f aca="false">IF('Base de Datos SACI'!U726="","",'Base de Datos SACI'!U726)</f>
        <v>30</v>
      </c>
      <c r="G732" s="15"/>
      <c r="H732" s="30"/>
      <c r="I732" s="31" t="str">
        <f aca="false">IF(OR($G732="",$G732=0),"",IFERROR(ROUND($F732*$G732*(1-IF($H732="",0,$H732)),2),""))</f>
        <v/>
      </c>
      <c r="J732" s="9"/>
    </row>
    <row r="733" customFormat="false" ht="21.75" hidden="false" customHeight="true" outlineLevel="0" collapsed="false">
      <c r="B733" s="14" t="n">
        <v>723</v>
      </c>
      <c r="C733" s="7" t="s">
        <v>51</v>
      </c>
      <c r="D733" s="7" t="s">
        <v>67</v>
      </c>
      <c r="E733" s="7" t="s">
        <v>1819</v>
      </c>
      <c r="F733" s="18" t="n">
        <f aca="false">IF('Base de Datos SACI'!U727="","",'Base de Datos SACI'!U727)</f>
        <v>45</v>
      </c>
      <c r="G733" s="14"/>
      <c r="H733" s="28"/>
      <c r="I733" s="29" t="str">
        <f aca="false">IF(OR($G733="",$G733=0),"",IFERROR(ROUND($F733*$G733*(1-IF($H733="",0,$H733)),2),""))</f>
        <v/>
      </c>
      <c r="J733" s="7"/>
    </row>
    <row r="734" customFormat="false" ht="21.75" hidden="false" customHeight="true" outlineLevel="0" collapsed="false">
      <c r="B734" s="15" t="n">
        <v>724</v>
      </c>
      <c r="C734" s="9" t="s">
        <v>51</v>
      </c>
      <c r="D734" s="9" t="s">
        <v>67</v>
      </c>
      <c r="E734" s="9" t="s">
        <v>1820</v>
      </c>
      <c r="F734" s="19" t="n">
        <f aca="false">IF('Base de Datos SACI'!U728="","",'Base de Datos SACI'!U728)</f>
        <v>65</v>
      </c>
      <c r="G734" s="15"/>
      <c r="H734" s="30"/>
      <c r="I734" s="31" t="str">
        <f aca="false">IF(OR($G734="",$G734=0),"",IFERROR(ROUND($F734*$G734*(1-IF($H734="",0,$H734)),2),""))</f>
        <v/>
      </c>
      <c r="J734" s="9"/>
    </row>
    <row r="735" customFormat="false" ht="21.75" hidden="false" customHeight="true" outlineLevel="0" collapsed="false">
      <c r="B735" s="14" t="n">
        <v>725</v>
      </c>
      <c r="C735" s="7" t="s">
        <v>51</v>
      </c>
      <c r="D735" s="7" t="s">
        <v>68</v>
      </c>
      <c r="E735" s="7" t="s">
        <v>391</v>
      </c>
      <c r="F735" s="18" t="str">
        <f aca="false">IF('Base de Datos SACI'!U729="","",'Base de Datos SACI'!U729)</f>
        <v/>
      </c>
      <c r="G735" s="14"/>
      <c r="H735" s="28"/>
      <c r="I735" s="29" t="str">
        <f aca="false">IF(OR($G735="",$G735=0),"",IFERROR(ROUND($F735*$G735*(1-IF($H735="",0,$H735)),2),""))</f>
        <v/>
      </c>
      <c r="J735" s="7"/>
    </row>
    <row r="736" customFormat="false" ht="21.75" hidden="false" customHeight="true" outlineLevel="0" collapsed="false">
      <c r="B736" s="15" t="n">
        <v>726</v>
      </c>
      <c r="C736" s="9" t="s">
        <v>51</v>
      </c>
      <c r="D736" s="9" t="s">
        <v>69</v>
      </c>
      <c r="E736" s="9" t="s">
        <v>1822</v>
      </c>
      <c r="F736" s="19" t="n">
        <f aca="false">IF('Base de Datos SACI'!U730="","",'Base de Datos SACI'!U730)</f>
        <v>25</v>
      </c>
      <c r="G736" s="15"/>
      <c r="H736" s="30"/>
      <c r="I736" s="31" t="str">
        <f aca="false">IF(OR($G736="",$G736=0),"",IFERROR(ROUND($F736*$G736*(1-IF($H736="",0,$H736)),2),""))</f>
        <v/>
      </c>
      <c r="J736" s="9"/>
    </row>
    <row r="737" customFormat="false" ht="21.75" hidden="false" customHeight="true" outlineLevel="0" collapsed="false">
      <c r="B737" s="14" t="n">
        <v>727</v>
      </c>
      <c r="C737" s="7" t="s">
        <v>51</v>
      </c>
      <c r="D737" s="7" t="s">
        <v>69</v>
      </c>
      <c r="E737" s="7" t="s">
        <v>1827</v>
      </c>
      <c r="F737" s="18" t="n">
        <f aca="false">IF('Base de Datos SACI'!U731="","",'Base de Datos SACI'!U731)</f>
        <v>40</v>
      </c>
      <c r="G737" s="14"/>
      <c r="H737" s="28"/>
      <c r="I737" s="29" t="str">
        <f aca="false">IF(OR($G737="",$G737=0),"",IFERROR(ROUND($F737*$G737*(1-IF($H737="",0,$H737)),2),""))</f>
        <v/>
      </c>
      <c r="J737" s="7"/>
    </row>
    <row r="738" customFormat="false" ht="21.75" hidden="false" customHeight="true" outlineLevel="0" collapsed="false">
      <c r="B738" s="15" t="n">
        <v>728</v>
      </c>
      <c r="C738" s="9" t="s">
        <v>51</v>
      </c>
      <c r="D738" s="9" t="s">
        <v>69</v>
      </c>
      <c r="E738" s="9" t="s">
        <v>1828</v>
      </c>
      <c r="F738" s="19" t="n">
        <f aca="false">IF('Base de Datos SACI'!U732="","",'Base de Datos SACI'!U732)</f>
        <v>55</v>
      </c>
      <c r="G738" s="15"/>
      <c r="H738" s="30"/>
      <c r="I738" s="31" t="str">
        <f aca="false">IF(OR($G738="",$G738=0),"",IFERROR(ROUND($F738*$G738*(1-IF($H738="",0,$H738)),2),""))</f>
        <v/>
      </c>
      <c r="J738" s="9"/>
    </row>
    <row r="739" customFormat="false" ht="21.75" hidden="false" customHeight="true" outlineLevel="0" collapsed="false">
      <c r="B739" s="14" t="n">
        <v>729</v>
      </c>
      <c r="C739" s="7" t="s">
        <v>51</v>
      </c>
      <c r="D739" s="7" t="s">
        <v>69</v>
      </c>
      <c r="E739" s="7" t="s">
        <v>1830</v>
      </c>
      <c r="F739" s="18" t="n">
        <f aca="false">IF('Base de Datos SACI'!U733="","",'Base de Datos SACI'!U733)</f>
        <v>85</v>
      </c>
      <c r="G739" s="14"/>
      <c r="H739" s="28"/>
      <c r="I739" s="29" t="str">
        <f aca="false">IF(OR($G739="",$G739=0),"",IFERROR(ROUND($F739*$G739*(1-IF($H739="",0,$H739)),2),""))</f>
        <v/>
      </c>
      <c r="J739" s="7"/>
    </row>
    <row r="740" customFormat="false" ht="21.75" hidden="false" customHeight="true" outlineLevel="0" collapsed="false">
      <c r="B740" s="15" t="n">
        <v>730</v>
      </c>
      <c r="C740" s="9" t="s">
        <v>51</v>
      </c>
      <c r="D740" s="9" t="s">
        <v>69</v>
      </c>
      <c r="E740" s="9" t="s">
        <v>1831</v>
      </c>
      <c r="F740" s="19" t="n">
        <f aca="false">IF('Base de Datos SACI'!U734="","",'Base de Datos SACI'!U734)</f>
        <v>125</v>
      </c>
      <c r="G740" s="15"/>
      <c r="H740" s="30"/>
      <c r="I740" s="31" t="str">
        <f aca="false">IF(OR($G740="",$G740=0),"",IFERROR(ROUND($F740*$G740*(1-IF($H740="",0,$H740)),2),""))</f>
        <v/>
      </c>
      <c r="J740" s="9"/>
    </row>
    <row r="741" customFormat="false" ht="21.75" hidden="false" customHeight="true" outlineLevel="0" collapsed="false">
      <c r="B741" s="14" t="n">
        <v>731</v>
      </c>
      <c r="C741" s="7" t="s">
        <v>51</v>
      </c>
      <c r="D741" s="7" t="s">
        <v>70</v>
      </c>
      <c r="E741" s="7" t="s">
        <v>1832</v>
      </c>
      <c r="F741" s="18" t="n">
        <f aca="false">IF('Base de Datos SACI'!U735="","",'Base de Datos SACI'!U735)</f>
        <v>14</v>
      </c>
      <c r="G741" s="14"/>
      <c r="H741" s="28"/>
      <c r="I741" s="29" t="str">
        <f aca="false">IF(OR($G741="",$G741=0),"",IFERROR(ROUND($F741*$G741*(1-IF($H741="",0,$H741)),2),""))</f>
        <v/>
      </c>
      <c r="J741" s="7"/>
    </row>
    <row r="742" customFormat="false" ht="21.75" hidden="false" customHeight="true" outlineLevel="0" collapsed="false">
      <c r="B742" s="15" t="n">
        <v>732</v>
      </c>
      <c r="C742" s="9" t="s">
        <v>51</v>
      </c>
      <c r="D742" s="9" t="s">
        <v>70</v>
      </c>
      <c r="E742" s="9" t="s">
        <v>1835</v>
      </c>
      <c r="F742" s="19" t="n">
        <f aca="false">IF('Base de Datos SACI'!U736="","",'Base de Datos SACI'!U736)</f>
        <v>20</v>
      </c>
      <c r="G742" s="15"/>
      <c r="H742" s="30"/>
      <c r="I742" s="31" t="str">
        <f aca="false">IF(OR($G742="",$G742=0),"",IFERROR(ROUND($F742*$G742*(1-IF($H742="",0,$H742)),2),""))</f>
        <v/>
      </c>
      <c r="J742" s="9"/>
    </row>
    <row r="743" customFormat="false" ht="21.75" hidden="false" customHeight="true" outlineLevel="0" collapsed="false">
      <c r="B743" s="14" t="n">
        <v>733</v>
      </c>
      <c r="C743" s="7" t="s">
        <v>51</v>
      </c>
      <c r="D743" s="7" t="s">
        <v>70</v>
      </c>
      <c r="E743" s="7" t="s">
        <v>1836</v>
      </c>
      <c r="F743" s="18" t="n">
        <f aca="false">IF('Base de Datos SACI'!U737="","",'Base de Datos SACI'!U737)</f>
        <v>25</v>
      </c>
      <c r="G743" s="14"/>
      <c r="H743" s="28"/>
      <c r="I743" s="29" t="str">
        <f aca="false">IF(OR($G743="",$G743=0),"",IFERROR(ROUND($F743*$G743*(1-IF($H743="",0,$H743)),2),""))</f>
        <v/>
      </c>
      <c r="J743" s="7"/>
    </row>
    <row r="744" customFormat="false" ht="21.75" hidden="false" customHeight="true" outlineLevel="0" collapsed="false">
      <c r="B744" s="15" t="n">
        <v>734</v>
      </c>
      <c r="C744" s="9" t="s">
        <v>51</v>
      </c>
      <c r="D744" s="9" t="s">
        <v>70</v>
      </c>
      <c r="E744" s="9" t="s">
        <v>1837</v>
      </c>
      <c r="F744" s="19" t="n">
        <f aca="false">IF('Base de Datos SACI'!U738="","",'Base de Datos SACI'!U738)</f>
        <v>40</v>
      </c>
      <c r="G744" s="15"/>
      <c r="H744" s="30"/>
      <c r="I744" s="31" t="str">
        <f aca="false">IF(OR($G744="",$G744=0),"",IFERROR(ROUND($F744*$G744*(1-IF($H744="",0,$H744)),2),""))</f>
        <v/>
      </c>
      <c r="J744" s="9"/>
    </row>
    <row r="745" customFormat="false" ht="21.75" hidden="false" customHeight="true" outlineLevel="0" collapsed="false">
      <c r="B745" s="14" t="n">
        <v>735</v>
      </c>
      <c r="C745" s="7" t="s">
        <v>51</v>
      </c>
      <c r="D745" s="7" t="s">
        <v>70</v>
      </c>
      <c r="E745" s="7" t="s">
        <v>1838</v>
      </c>
      <c r="F745" s="18" t="n">
        <f aca="false">IF('Base de Datos SACI'!U739="","",'Base de Datos SACI'!U739)</f>
        <v>60</v>
      </c>
      <c r="G745" s="14"/>
      <c r="H745" s="28"/>
      <c r="I745" s="29" t="str">
        <f aca="false">IF(OR($G745="",$G745=0),"",IFERROR(ROUND($F745*$G745*(1-IF($H745="",0,$H745)),2),""))</f>
        <v/>
      </c>
      <c r="J745" s="7"/>
    </row>
    <row r="746" customFormat="false" ht="21.75" hidden="false" customHeight="true" outlineLevel="0" collapsed="false">
      <c r="B746" s="15" t="n">
        <v>736</v>
      </c>
      <c r="C746" s="9" t="s">
        <v>51</v>
      </c>
      <c r="D746" s="9" t="s">
        <v>71</v>
      </c>
      <c r="E746" s="9" t="s">
        <v>1839</v>
      </c>
      <c r="F746" s="19" t="n">
        <f aca="false">IF('Base de Datos SACI'!U740="","",'Base de Datos SACI'!U740)</f>
        <v>50</v>
      </c>
      <c r="G746" s="15"/>
      <c r="H746" s="30"/>
      <c r="I746" s="31" t="str">
        <f aca="false">IF(OR($G746="",$G746=0),"",IFERROR(ROUND($F746*$G746*(1-IF($H746="",0,$H746)),2),""))</f>
        <v/>
      </c>
      <c r="J746" s="9"/>
    </row>
    <row r="747" customFormat="false" ht="21.75" hidden="false" customHeight="true" outlineLevel="0" collapsed="false">
      <c r="B747" s="14" t="n">
        <v>737</v>
      </c>
      <c r="C747" s="7" t="s">
        <v>51</v>
      </c>
      <c r="D747" s="7" t="s">
        <v>71</v>
      </c>
      <c r="E747" s="7" t="s">
        <v>1843</v>
      </c>
      <c r="F747" s="18" t="n">
        <f aca="false">IF('Base de Datos SACI'!U741="","",'Base de Datos SACI'!U741)</f>
        <v>80</v>
      </c>
      <c r="G747" s="14"/>
      <c r="H747" s="28"/>
      <c r="I747" s="29" t="str">
        <f aca="false">IF(OR($G747="",$G747=0),"",IFERROR(ROUND($F747*$G747*(1-IF($H747="",0,$H747)),2),""))</f>
        <v/>
      </c>
      <c r="J747" s="7"/>
    </row>
    <row r="748" customFormat="false" ht="21.75" hidden="false" customHeight="true" outlineLevel="0" collapsed="false">
      <c r="B748" s="15" t="n">
        <v>738</v>
      </c>
      <c r="C748" s="9" t="s">
        <v>51</v>
      </c>
      <c r="D748" s="9" t="s">
        <v>71</v>
      </c>
      <c r="E748" s="9" t="s">
        <v>1844</v>
      </c>
      <c r="F748" s="19" t="n">
        <f aca="false">IF('Base de Datos SACI'!U742="","",'Base de Datos SACI'!U742)</f>
        <v>105</v>
      </c>
      <c r="G748" s="15"/>
      <c r="H748" s="30"/>
      <c r="I748" s="31" t="str">
        <f aca="false">IF(OR($G748="",$G748=0),"",IFERROR(ROUND($F748*$G748*(1-IF($H748="",0,$H748)),2),""))</f>
        <v/>
      </c>
      <c r="J748" s="9"/>
    </row>
    <row r="749" customFormat="false" ht="21.75" hidden="false" customHeight="true" outlineLevel="0" collapsed="false">
      <c r="B749" s="14" t="n">
        <v>739</v>
      </c>
      <c r="C749" s="7" t="s">
        <v>51</v>
      </c>
      <c r="D749" s="7" t="s">
        <v>71</v>
      </c>
      <c r="E749" s="7" t="s">
        <v>1845</v>
      </c>
      <c r="F749" s="18" t="n">
        <f aca="false">IF('Base de Datos SACI'!U743="","",'Base de Datos SACI'!U743)</f>
        <v>160</v>
      </c>
      <c r="G749" s="14"/>
      <c r="H749" s="28"/>
      <c r="I749" s="29" t="str">
        <f aca="false">IF(OR($G749="",$G749=0),"",IFERROR(ROUND($F749*$G749*(1-IF($H749="",0,$H749)),2),""))</f>
        <v/>
      </c>
      <c r="J749" s="7"/>
    </row>
    <row r="750" customFormat="false" ht="21.75" hidden="false" customHeight="true" outlineLevel="0" collapsed="false">
      <c r="B750" s="15" t="n">
        <v>740</v>
      </c>
      <c r="C750" s="9" t="s">
        <v>51</v>
      </c>
      <c r="D750" s="9" t="s">
        <v>71</v>
      </c>
      <c r="E750" s="9" t="s">
        <v>1846</v>
      </c>
      <c r="F750" s="19" t="n">
        <f aca="false">IF('Base de Datos SACI'!U744="","",'Base de Datos SACI'!U744)</f>
        <v>235</v>
      </c>
      <c r="G750" s="15"/>
      <c r="H750" s="30"/>
      <c r="I750" s="31" t="str">
        <f aca="false">IF(OR($G750="",$G750=0),"",IFERROR(ROUND($F750*$G750*(1-IF($H750="",0,$H750)),2),""))</f>
        <v/>
      </c>
      <c r="J750" s="9"/>
    </row>
    <row r="751" customFormat="false" ht="21.75" hidden="false" customHeight="true" outlineLevel="0" collapsed="false">
      <c r="B751" s="14" t="n">
        <v>741</v>
      </c>
      <c r="C751" s="7" t="s">
        <v>51</v>
      </c>
      <c r="D751" s="7" t="s">
        <v>72</v>
      </c>
      <c r="E751" s="7" t="s">
        <v>391</v>
      </c>
      <c r="F751" s="18" t="str">
        <f aca="false">IF('Base de Datos SACI'!U745="","",'Base de Datos SACI'!U745)</f>
        <v/>
      </c>
      <c r="G751" s="14"/>
      <c r="H751" s="28"/>
      <c r="I751" s="29" t="str">
        <f aca="false">IF(OR($G751="",$G751=0),"",IFERROR(ROUND($F751*$G751*(1-IF($H751="",0,$H751)),2),""))</f>
        <v/>
      </c>
      <c r="J751" s="7"/>
    </row>
    <row r="752" customFormat="false" ht="21.75" hidden="false" customHeight="true" outlineLevel="0" collapsed="false">
      <c r="B752" s="15" t="n">
        <v>742</v>
      </c>
      <c r="C752" s="9" t="s">
        <v>51</v>
      </c>
      <c r="D752" s="9" t="s">
        <v>73</v>
      </c>
      <c r="E752" s="9" t="s">
        <v>1848</v>
      </c>
      <c r="F752" s="19" t="n">
        <f aca="false">IF('Base de Datos SACI'!U746="","",'Base de Datos SACI'!U746)</f>
        <v>35</v>
      </c>
      <c r="G752" s="15"/>
      <c r="H752" s="30"/>
      <c r="I752" s="31" t="str">
        <f aca="false">IF(OR($G752="",$G752=0),"",IFERROR(ROUND($F752*$G752*(1-IF($H752="",0,$H752)),2),""))</f>
        <v/>
      </c>
      <c r="J752" s="9"/>
    </row>
    <row r="753" customFormat="false" ht="21.75" hidden="false" customHeight="true" outlineLevel="0" collapsed="false">
      <c r="B753" s="14" t="n">
        <v>743</v>
      </c>
      <c r="C753" s="7" t="s">
        <v>51</v>
      </c>
      <c r="D753" s="7" t="s">
        <v>73</v>
      </c>
      <c r="E753" s="7" t="s">
        <v>1855</v>
      </c>
      <c r="F753" s="18" t="n">
        <f aca="false">IF('Base de Datos SACI'!U747="","",'Base de Datos SACI'!U747)</f>
        <v>50</v>
      </c>
      <c r="G753" s="14"/>
      <c r="H753" s="28"/>
      <c r="I753" s="29" t="str">
        <f aca="false">IF(OR($G753="",$G753=0),"",IFERROR(ROUND($F753*$G753*(1-IF($H753="",0,$H753)),2),""))</f>
        <v/>
      </c>
      <c r="J753" s="7"/>
    </row>
    <row r="754" customFormat="false" ht="21.75" hidden="false" customHeight="true" outlineLevel="0" collapsed="false">
      <c r="B754" s="15" t="n">
        <v>744</v>
      </c>
      <c r="C754" s="9" t="s">
        <v>51</v>
      </c>
      <c r="D754" s="9" t="s">
        <v>73</v>
      </c>
      <c r="E754" s="9" t="s">
        <v>1856</v>
      </c>
      <c r="F754" s="19" t="n">
        <f aca="false">IF('Base de Datos SACI'!U748="","",'Base de Datos SACI'!U748)</f>
        <v>70</v>
      </c>
      <c r="G754" s="15"/>
      <c r="H754" s="30"/>
      <c r="I754" s="31" t="str">
        <f aca="false">IF(OR($G754="",$G754=0),"",IFERROR(ROUND($F754*$G754*(1-IF($H754="",0,$H754)),2),""))</f>
        <v/>
      </c>
      <c r="J754" s="9"/>
    </row>
    <row r="755" customFormat="false" ht="21.75" hidden="false" customHeight="true" outlineLevel="0" collapsed="false">
      <c r="B755" s="14" t="n">
        <v>745</v>
      </c>
      <c r="C755" s="7" t="s">
        <v>51</v>
      </c>
      <c r="D755" s="7" t="s">
        <v>73</v>
      </c>
      <c r="E755" s="7" t="s">
        <v>1858</v>
      </c>
      <c r="F755" s="18" t="n">
        <f aca="false">IF('Base de Datos SACI'!U749="","",'Base de Datos SACI'!U749)</f>
        <v>105</v>
      </c>
      <c r="G755" s="14"/>
      <c r="H755" s="28"/>
      <c r="I755" s="29" t="str">
        <f aca="false">IF(OR($G755="",$G755=0),"",IFERROR(ROUND($F755*$G755*(1-IF($H755="",0,$H755)),2),""))</f>
        <v/>
      </c>
      <c r="J755" s="7"/>
    </row>
    <row r="756" customFormat="false" ht="21.75" hidden="false" customHeight="true" outlineLevel="0" collapsed="false">
      <c r="B756" s="15" t="n">
        <v>746</v>
      </c>
      <c r="C756" s="9" t="s">
        <v>51</v>
      </c>
      <c r="D756" s="9" t="s">
        <v>73</v>
      </c>
      <c r="E756" s="9" t="s">
        <v>1859</v>
      </c>
      <c r="F756" s="19" t="n">
        <f aca="false">IF('Base de Datos SACI'!U750="","",'Base de Datos SACI'!U750)</f>
        <v>155</v>
      </c>
      <c r="G756" s="15"/>
      <c r="H756" s="30"/>
      <c r="I756" s="31" t="str">
        <f aca="false">IF(OR($G756="",$G756=0),"",IFERROR(ROUND($F756*$G756*(1-IF($H756="",0,$H756)),2),""))</f>
        <v/>
      </c>
      <c r="J756" s="9"/>
    </row>
    <row r="757" customFormat="false" ht="21.75" hidden="false" customHeight="true" outlineLevel="0" collapsed="false">
      <c r="B757" s="14" t="n">
        <v>747</v>
      </c>
      <c r="C757" s="7" t="s">
        <v>51</v>
      </c>
      <c r="D757" s="7" t="s">
        <v>74</v>
      </c>
      <c r="E757" s="7" t="s">
        <v>391</v>
      </c>
      <c r="F757" s="18" t="str">
        <f aca="false">IF('Base de Datos SACI'!U751="","",'Base de Datos SACI'!U751)</f>
        <v/>
      </c>
      <c r="G757" s="14"/>
      <c r="H757" s="28"/>
      <c r="I757" s="29" t="str">
        <f aca="false">IF(OR($G757="",$G757=0),"",IFERROR(ROUND($F757*$G757*(1-IF($H757="",0,$H757)),2),""))</f>
        <v/>
      </c>
      <c r="J757" s="7"/>
    </row>
    <row r="758" customFormat="false" ht="21.75" hidden="false" customHeight="true" outlineLevel="0" collapsed="false">
      <c r="B758" s="15" t="n">
        <v>748</v>
      </c>
      <c r="C758" s="9" t="s">
        <v>51</v>
      </c>
      <c r="D758" s="9" t="s">
        <v>75</v>
      </c>
      <c r="E758" s="9" t="s">
        <v>1861</v>
      </c>
      <c r="F758" s="19" t="n">
        <f aca="false">IF('Base de Datos SACI'!U752="","",'Base de Datos SACI'!U752)</f>
        <v>12</v>
      </c>
      <c r="G758" s="15"/>
      <c r="H758" s="30"/>
      <c r="I758" s="31" t="str">
        <f aca="false">IF(OR($G758="",$G758=0),"",IFERROR(ROUND($F758*$G758*(1-IF($H758="",0,$H758)),2),""))</f>
        <v/>
      </c>
      <c r="J758" s="9"/>
    </row>
    <row r="759" customFormat="false" ht="21.75" hidden="false" customHeight="true" outlineLevel="0" collapsed="false">
      <c r="B759" s="14" t="n">
        <v>749</v>
      </c>
      <c r="C759" s="7" t="s">
        <v>51</v>
      </c>
      <c r="D759" s="7" t="s">
        <v>75</v>
      </c>
      <c r="E759" s="7" t="s">
        <v>1865</v>
      </c>
      <c r="F759" s="18" t="n">
        <f aca="false">IF('Base de Datos SACI'!U753="","",'Base de Datos SACI'!U753)</f>
        <v>18</v>
      </c>
      <c r="G759" s="14"/>
      <c r="H759" s="28"/>
      <c r="I759" s="29" t="str">
        <f aca="false">IF(OR($G759="",$G759=0),"",IFERROR(ROUND($F759*$G759*(1-IF($H759="",0,$H759)),2),""))</f>
        <v/>
      </c>
      <c r="J759" s="7"/>
    </row>
    <row r="760" customFormat="false" ht="21.75" hidden="false" customHeight="true" outlineLevel="0" collapsed="false">
      <c r="B760" s="15" t="n">
        <v>750</v>
      </c>
      <c r="C760" s="9" t="s">
        <v>51</v>
      </c>
      <c r="D760" s="9" t="s">
        <v>75</v>
      </c>
      <c r="E760" s="9" t="s">
        <v>1866</v>
      </c>
      <c r="F760" s="19" t="n">
        <f aca="false">IF('Base de Datos SACI'!U754="","",'Base de Datos SACI'!U754)</f>
        <v>20</v>
      </c>
      <c r="G760" s="15"/>
      <c r="H760" s="30"/>
      <c r="I760" s="31" t="str">
        <f aca="false">IF(OR($G760="",$G760=0),"",IFERROR(ROUND($F760*$G760*(1-IF($H760="",0,$H760)),2),""))</f>
        <v/>
      </c>
      <c r="J760" s="9"/>
    </row>
    <row r="761" customFormat="false" ht="21.75" hidden="false" customHeight="true" outlineLevel="0" collapsed="false">
      <c r="B761" s="14" t="n">
        <v>751</v>
      </c>
      <c r="C761" s="7" t="s">
        <v>51</v>
      </c>
      <c r="D761" s="7" t="s">
        <v>75</v>
      </c>
      <c r="E761" s="7" t="s">
        <v>1868</v>
      </c>
      <c r="F761" s="18" t="n">
        <f aca="false">IF('Base de Datos SACI'!U755="","",'Base de Datos SACI'!U755)</f>
        <v>35</v>
      </c>
      <c r="G761" s="14"/>
      <c r="H761" s="28"/>
      <c r="I761" s="29" t="str">
        <f aca="false">IF(OR($G761="",$G761=0),"",IFERROR(ROUND($F761*$G761*(1-IF($H761="",0,$H761)),2),""))</f>
        <v/>
      </c>
      <c r="J761" s="7"/>
    </row>
    <row r="762" customFormat="false" ht="21.75" hidden="false" customHeight="true" outlineLevel="0" collapsed="false">
      <c r="B762" s="15" t="n">
        <v>752</v>
      </c>
      <c r="C762" s="9" t="s">
        <v>51</v>
      </c>
      <c r="D762" s="9" t="s">
        <v>75</v>
      </c>
      <c r="E762" s="9" t="s">
        <v>1869</v>
      </c>
      <c r="F762" s="19" t="n">
        <f aca="false">IF('Base de Datos SACI'!U756="","",'Base de Datos SACI'!U756)</f>
        <v>50</v>
      </c>
      <c r="G762" s="15"/>
      <c r="H762" s="30"/>
      <c r="I762" s="31" t="str">
        <f aca="false">IF(OR($G762="",$G762=0),"",IFERROR(ROUND($F762*$G762*(1-IF($H762="",0,$H762)),2),""))</f>
        <v/>
      </c>
      <c r="J762" s="9"/>
    </row>
    <row r="763" customFormat="false" ht="21.75" hidden="false" customHeight="true" outlineLevel="0" collapsed="false">
      <c r="B763" s="14" t="n">
        <v>753</v>
      </c>
      <c r="C763" s="7" t="s">
        <v>52</v>
      </c>
      <c r="D763" s="7" t="s">
        <v>60</v>
      </c>
      <c r="E763" s="7" t="s">
        <v>1870</v>
      </c>
      <c r="F763" s="18" t="n">
        <f aca="false">IF('Base de Datos SACI'!U757="","",'Base de Datos SACI'!U757)</f>
        <v>95</v>
      </c>
      <c r="G763" s="14"/>
      <c r="H763" s="28"/>
      <c r="I763" s="29" t="str">
        <f aca="false">IF(OR($G763="",$G763=0),"",IFERROR(ROUND($F763*$G763*(1-IF($H763="",0,$H763)),2),""))</f>
        <v/>
      </c>
      <c r="J763" s="7"/>
    </row>
    <row r="764" customFormat="false" ht="21.75" hidden="false" customHeight="true" outlineLevel="0" collapsed="false">
      <c r="B764" s="15" t="n">
        <v>754</v>
      </c>
      <c r="C764" s="9" t="s">
        <v>52</v>
      </c>
      <c r="D764" s="9" t="s">
        <v>60</v>
      </c>
      <c r="E764" s="9" t="s">
        <v>1877</v>
      </c>
      <c r="F764" s="19" t="n">
        <f aca="false">IF('Base de Datos SACI'!U758="","",'Base de Datos SACI'!U758)</f>
        <v>145</v>
      </c>
      <c r="G764" s="15"/>
      <c r="H764" s="30"/>
      <c r="I764" s="31" t="str">
        <f aca="false">IF(OR($G764="",$G764=0),"",IFERROR(ROUND($F764*$G764*(1-IF($H764="",0,$H764)),2),""))</f>
        <v/>
      </c>
      <c r="J764" s="9"/>
    </row>
    <row r="765" customFormat="false" ht="21.75" hidden="false" customHeight="true" outlineLevel="0" collapsed="false">
      <c r="B765" s="14" t="n">
        <v>755</v>
      </c>
      <c r="C765" s="7" t="s">
        <v>52</v>
      </c>
      <c r="D765" s="7" t="s">
        <v>60</v>
      </c>
      <c r="E765" s="7" t="s">
        <v>1878</v>
      </c>
      <c r="F765" s="18" t="n">
        <f aca="false">IF('Base de Datos SACI'!U759="","",'Base de Datos SACI'!U759)</f>
        <v>195</v>
      </c>
      <c r="G765" s="14"/>
      <c r="H765" s="28"/>
      <c r="I765" s="29" t="str">
        <f aca="false">IF(OR($G765="",$G765=0),"",IFERROR(ROUND($F765*$G765*(1-IF($H765="",0,$H765)),2),""))</f>
        <v/>
      </c>
      <c r="J765" s="7"/>
    </row>
    <row r="766" customFormat="false" ht="21.75" hidden="false" customHeight="true" outlineLevel="0" collapsed="false">
      <c r="B766" s="15" t="n">
        <v>756</v>
      </c>
      <c r="C766" s="9" t="s">
        <v>52</v>
      </c>
      <c r="D766" s="9" t="s">
        <v>60</v>
      </c>
      <c r="E766" s="9" t="s">
        <v>1880</v>
      </c>
      <c r="F766" s="19" t="n">
        <f aca="false">IF('Base de Datos SACI'!U760="","",'Base de Datos SACI'!U760)</f>
        <v>290</v>
      </c>
      <c r="G766" s="15"/>
      <c r="H766" s="30"/>
      <c r="I766" s="31" t="str">
        <f aca="false">IF(OR($G766="",$G766=0),"",IFERROR(ROUND($F766*$G766*(1-IF($H766="",0,$H766)),2),""))</f>
        <v/>
      </c>
      <c r="J766" s="9"/>
    </row>
    <row r="767" customFormat="false" ht="21.75" hidden="false" customHeight="true" outlineLevel="0" collapsed="false">
      <c r="B767" s="14" t="n">
        <v>757</v>
      </c>
      <c r="C767" s="7" t="s">
        <v>52</v>
      </c>
      <c r="D767" s="7" t="s">
        <v>60</v>
      </c>
      <c r="E767" s="7" t="s">
        <v>1881</v>
      </c>
      <c r="F767" s="18" t="n">
        <f aca="false">IF('Base de Datos SACI'!U761="","",'Base de Datos SACI'!U761)</f>
        <v>425</v>
      </c>
      <c r="G767" s="14"/>
      <c r="H767" s="28"/>
      <c r="I767" s="29" t="str">
        <f aca="false">IF(OR($G767="",$G767=0),"",IFERROR(ROUND($F767*$G767*(1-IF($H767="",0,$H767)),2),""))</f>
        <v/>
      </c>
      <c r="J767" s="7"/>
    </row>
    <row r="768" customFormat="false" ht="21.75" hidden="false" customHeight="true" outlineLevel="0" collapsed="false">
      <c r="B768" s="15" t="n">
        <v>758</v>
      </c>
      <c r="C768" s="9" t="s">
        <v>52</v>
      </c>
      <c r="D768" s="9" t="s">
        <v>61</v>
      </c>
      <c r="E768" s="9" t="s">
        <v>391</v>
      </c>
      <c r="F768" s="19" t="str">
        <f aca="false">IF('Base de Datos SACI'!U762="","",'Base de Datos SACI'!U762)</f>
        <v/>
      </c>
      <c r="G768" s="15"/>
      <c r="H768" s="30"/>
      <c r="I768" s="31" t="str">
        <f aca="false">IF(OR($G768="",$G768=0),"",IFERROR(ROUND($F768*$G768*(1-IF($H768="",0,$H768)),2),""))</f>
        <v/>
      </c>
      <c r="J768" s="9"/>
    </row>
    <row r="769" customFormat="false" ht="21.75" hidden="false" customHeight="true" outlineLevel="0" collapsed="false">
      <c r="B769" s="14" t="n">
        <v>759</v>
      </c>
      <c r="C769" s="7" t="s">
        <v>52</v>
      </c>
      <c r="D769" s="7" t="s">
        <v>62</v>
      </c>
      <c r="E769" s="7" t="s">
        <v>1883</v>
      </c>
      <c r="F769" s="18" t="n">
        <f aca="false">IF('Base de Datos SACI'!U763="","",'Base de Datos SACI'!U763)</f>
        <v>80</v>
      </c>
      <c r="G769" s="14"/>
      <c r="H769" s="28"/>
      <c r="I769" s="29" t="str">
        <f aca="false">IF(OR($G769="",$G769=0),"",IFERROR(ROUND($F769*$G769*(1-IF($H769="",0,$H769)),2),""))</f>
        <v/>
      </c>
      <c r="J769" s="7"/>
    </row>
    <row r="770" customFormat="false" ht="21.75" hidden="false" customHeight="true" outlineLevel="0" collapsed="false">
      <c r="B770" s="15" t="n">
        <v>760</v>
      </c>
      <c r="C770" s="9" t="s">
        <v>52</v>
      </c>
      <c r="D770" s="9" t="s">
        <v>62</v>
      </c>
      <c r="E770" s="9" t="s">
        <v>1889</v>
      </c>
      <c r="F770" s="19" t="n">
        <f aca="false">IF('Base de Datos SACI'!U764="","",'Base de Datos SACI'!U764)</f>
        <v>125</v>
      </c>
      <c r="G770" s="15"/>
      <c r="H770" s="30"/>
      <c r="I770" s="31" t="str">
        <f aca="false">IF(OR($G770="",$G770=0),"",IFERROR(ROUND($F770*$G770*(1-IF($H770="",0,$H770)),2),""))</f>
        <v/>
      </c>
      <c r="J770" s="9"/>
    </row>
    <row r="771" customFormat="false" ht="21.75" hidden="false" customHeight="true" outlineLevel="0" collapsed="false">
      <c r="B771" s="14" t="n">
        <v>761</v>
      </c>
      <c r="C771" s="7" t="s">
        <v>52</v>
      </c>
      <c r="D771" s="7" t="s">
        <v>62</v>
      </c>
      <c r="E771" s="7" t="s">
        <v>1881</v>
      </c>
      <c r="F771" s="18" t="n">
        <f aca="false">IF('Base de Datos SACI'!U765="","",'Base de Datos SACI'!U765)</f>
        <v>165</v>
      </c>
      <c r="G771" s="14"/>
      <c r="H771" s="28"/>
      <c r="I771" s="29" t="str">
        <f aca="false">IF(OR($G771="",$G771=0),"",IFERROR(ROUND($F771*$G771*(1-IF($H771="",0,$H771)),2),""))</f>
        <v/>
      </c>
      <c r="J771" s="7"/>
    </row>
    <row r="772" customFormat="false" ht="21.75" hidden="false" customHeight="true" outlineLevel="0" collapsed="false">
      <c r="B772" s="15" t="n">
        <v>762</v>
      </c>
      <c r="C772" s="9" t="s">
        <v>52</v>
      </c>
      <c r="D772" s="9" t="s">
        <v>62</v>
      </c>
      <c r="E772" s="9" t="s">
        <v>1891</v>
      </c>
      <c r="F772" s="19" t="n">
        <f aca="false">IF('Base de Datos SACI'!U766="","",'Base de Datos SACI'!U766)</f>
        <v>250</v>
      </c>
      <c r="G772" s="15"/>
      <c r="H772" s="30"/>
      <c r="I772" s="31" t="str">
        <f aca="false">IF(OR($G772="",$G772=0),"",IFERROR(ROUND($F772*$G772*(1-IF($H772="",0,$H772)),2),""))</f>
        <v/>
      </c>
      <c r="J772" s="9"/>
    </row>
    <row r="773" customFormat="false" ht="21.75" hidden="false" customHeight="true" outlineLevel="0" collapsed="false">
      <c r="B773" s="14" t="n">
        <v>763</v>
      </c>
      <c r="C773" s="7" t="s">
        <v>52</v>
      </c>
      <c r="D773" s="7" t="s">
        <v>62</v>
      </c>
      <c r="E773" s="7" t="s">
        <v>1892</v>
      </c>
      <c r="F773" s="18" t="n">
        <f aca="false">IF('Base de Datos SACI'!U767="","",'Base de Datos SACI'!U767)</f>
        <v>365</v>
      </c>
      <c r="G773" s="14"/>
      <c r="H773" s="28"/>
      <c r="I773" s="29" t="str">
        <f aca="false">IF(OR($G773="",$G773=0),"",IFERROR(ROUND($F773*$G773*(1-IF($H773="",0,$H773)),2),""))</f>
        <v/>
      </c>
      <c r="J773" s="7"/>
    </row>
    <row r="774" customFormat="false" ht="21.75" hidden="false" customHeight="true" outlineLevel="0" collapsed="false">
      <c r="B774" s="15" t="n">
        <v>764</v>
      </c>
      <c r="C774" s="9" t="s">
        <v>52</v>
      </c>
      <c r="D774" s="9" t="s">
        <v>63</v>
      </c>
      <c r="E774" s="9" t="s">
        <v>1893</v>
      </c>
      <c r="F774" s="19" t="n">
        <f aca="false">IF('Base de Datos SACI'!U768="","",'Base de Datos SACI'!U768)</f>
        <v>35</v>
      </c>
      <c r="G774" s="15"/>
      <c r="H774" s="30"/>
      <c r="I774" s="31" t="str">
        <f aca="false">IF(OR($G774="",$G774=0),"",IFERROR(ROUND($F774*$G774*(1-IF($H774="",0,$H774)),2),""))</f>
        <v/>
      </c>
      <c r="J774" s="9"/>
    </row>
    <row r="775" customFormat="false" ht="21.75" hidden="false" customHeight="true" outlineLevel="0" collapsed="false">
      <c r="B775" s="14" t="n">
        <v>765</v>
      </c>
      <c r="C775" s="7" t="s">
        <v>52</v>
      </c>
      <c r="D775" s="7" t="s">
        <v>63</v>
      </c>
      <c r="E775" s="7" t="s">
        <v>1897</v>
      </c>
      <c r="F775" s="18" t="n">
        <f aca="false">IF('Base de Datos SACI'!U769="","",'Base de Datos SACI'!U769)</f>
        <v>50</v>
      </c>
      <c r="G775" s="14"/>
      <c r="H775" s="28"/>
      <c r="I775" s="29" t="str">
        <f aca="false">IF(OR($G775="",$G775=0),"",IFERROR(ROUND($F775*$G775*(1-IF($H775="",0,$H775)),2),""))</f>
        <v/>
      </c>
      <c r="J775" s="7"/>
    </row>
    <row r="776" customFormat="false" ht="21.75" hidden="false" customHeight="true" outlineLevel="0" collapsed="false">
      <c r="B776" s="15" t="n">
        <v>766</v>
      </c>
      <c r="C776" s="9" t="s">
        <v>52</v>
      </c>
      <c r="D776" s="9" t="s">
        <v>63</v>
      </c>
      <c r="E776" s="9" t="s">
        <v>1898</v>
      </c>
      <c r="F776" s="19" t="n">
        <f aca="false">IF('Base de Datos SACI'!U770="","",'Base de Datos SACI'!U770)</f>
        <v>70</v>
      </c>
      <c r="G776" s="15"/>
      <c r="H776" s="30"/>
      <c r="I776" s="31" t="str">
        <f aca="false">IF(OR($G776="",$G776=0),"",IFERROR(ROUND($F776*$G776*(1-IF($H776="",0,$H776)),2),""))</f>
        <v/>
      </c>
      <c r="J776" s="9"/>
    </row>
    <row r="777" customFormat="false" ht="21.75" hidden="false" customHeight="true" outlineLevel="0" collapsed="false">
      <c r="B777" s="14" t="n">
        <v>767</v>
      </c>
      <c r="C777" s="7" t="s">
        <v>52</v>
      </c>
      <c r="D777" s="7" t="s">
        <v>63</v>
      </c>
      <c r="E777" s="7" t="s">
        <v>1900</v>
      </c>
      <c r="F777" s="18" t="n">
        <f aca="false">IF('Base de Datos SACI'!U771="","",'Base de Datos SACI'!U771)</f>
        <v>105</v>
      </c>
      <c r="G777" s="14"/>
      <c r="H777" s="28"/>
      <c r="I777" s="29" t="str">
        <f aca="false">IF(OR($G777="",$G777=0),"",IFERROR(ROUND($F777*$G777*(1-IF($H777="",0,$H777)),2),""))</f>
        <v/>
      </c>
      <c r="J777" s="7"/>
    </row>
    <row r="778" customFormat="false" ht="21.75" hidden="false" customHeight="true" outlineLevel="0" collapsed="false">
      <c r="B778" s="15" t="n">
        <v>768</v>
      </c>
      <c r="C778" s="9" t="s">
        <v>52</v>
      </c>
      <c r="D778" s="9" t="s">
        <v>63</v>
      </c>
      <c r="E778" s="9" t="s">
        <v>1901</v>
      </c>
      <c r="F778" s="19" t="n">
        <f aca="false">IF('Base de Datos SACI'!U772="","",'Base de Datos SACI'!U772)</f>
        <v>155</v>
      </c>
      <c r="G778" s="15"/>
      <c r="H778" s="30"/>
      <c r="I778" s="31" t="str">
        <f aca="false">IF(OR($G778="",$G778=0),"",IFERROR(ROUND($F778*$G778*(1-IF($H778="",0,$H778)),2),""))</f>
        <v/>
      </c>
      <c r="J778" s="9"/>
    </row>
    <row r="779" customFormat="false" ht="21.75" hidden="false" customHeight="true" outlineLevel="0" collapsed="false">
      <c r="B779" s="14" t="n">
        <v>769</v>
      </c>
      <c r="C779" s="7" t="s">
        <v>52</v>
      </c>
      <c r="D779" s="7" t="s">
        <v>64</v>
      </c>
      <c r="E779" s="7" t="s">
        <v>1902</v>
      </c>
      <c r="F779" s="18" t="n">
        <f aca="false">IF('Base de Datos SACI'!U773="","",'Base de Datos SACI'!U773)</f>
        <v>14</v>
      </c>
      <c r="G779" s="14"/>
      <c r="H779" s="28"/>
      <c r="I779" s="29" t="str">
        <f aca="false">IF(OR($G779="",$G779=0),"",IFERROR(ROUND($F779*$G779*(1-IF($H779="",0,$H779)),2),""))</f>
        <v/>
      </c>
      <c r="J779" s="7"/>
    </row>
    <row r="780" customFormat="false" ht="21.75" hidden="false" customHeight="true" outlineLevel="0" collapsed="false">
      <c r="B780" s="15" t="n">
        <v>770</v>
      </c>
      <c r="C780" s="9" t="s">
        <v>52</v>
      </c>
      <c r="D780" s="9" t="s">
        <v>64</v>
      </c>
      <c r="E780" s="9" t="s">
        <v>1906</v>
      </c>
      <c r="F780" s="19" t="n">
        <f aca="false">IF('Base de Datos SACI'!U774="","",'Base de Datos SACI'!U774)</f>
        <v>20</v>
      </c>
      <c r="G780" s="15"/>
      <c r="H780" s="30"/>
      <c r="I780" s="31" t="str">
        <f aca="false">IF(OR($G780="",$G780=0),"",IFERROR(ROUND($F780*$G780*(1-IF($H780="",0,$H780)),2),""))</f>
        <v/>
      </c>
      <c r="J780" s="9"/>
    </row>
    <row r="781" customFormat="false" ht="21.75" hidden="false" customHeight="true" outlineLevel="0" collapsed="false">
      <c r="B781" s="14" t="n">
        <v>771</v>
      </c>
      <c r="C781" s="7" t="s">
        <v>52</v>
      </c>
      <c r="D781" s="7" t="s">
        <v>64</v>
      </c>
      <c r="E781" s="7" t="s">
        <v>1907</v>
      </c>
      <c r="F781" s="18" t="n">
        <f aca="false">IF('Base de Datos SACI'!U775="","",'Base de Datos SACI'!U775)</f>
        <v>25</v>
      </c>
      <c r="G781" s="14"/>
      <c r="H781" s="28"/>
      <c r="I781" s="29" t="str">
        <f aca="false">IF(OR($G781="",$G781=0),"",IFERROR(ROUND($F781*$G781*(1-IF($H781="",0,$H781)),2),""))</f>
        <v/>
      </c>
      <c r="J781" s="7"/>
    </row>
    <row r="782" customFormat="false" ht="21.75" hidden="false" customHeight="true" outlineLevel="0" collapsed="false">
      <c r="B782" s="15" t="n">
        <v>772</v>
      </c>
      <c r="C782" s="9" t="s">
        <v>52</v>
      </c>
      <c r="D782" s="9" t="s">
        <v>64</v>
      </c>
      <c r="E782" s="9" t="s">
        <v>1909</v>
      </c>
      <c r="F782" s="19" t="n">
        <f aca="false">IF('Base de Datos SACI'!U776="","",'Base de Datos SACI'!U776)</f>
        <v>40</v>
      </c>
      <c r="G782" s="15"/>
      <c r="H782" s="30"/>
      <c r="I782" s="31" t="str">
        <f aca="false">IF(OR($G782="",$G782=0),"",IFERROR(ROUND($F782*$G782*(1-IF($H782="",0,$H782)),2),""))</f>
        <v/>
      </c>
      <c r="J782" s="9"/>
    </row>
    <row r="783" customFormat="false" ht="21.75" hidden="false" customHeight="true" outlineLevel="0" collapsed="false">
      <c r="B783" s="14" t="n">
        <v>773</v>
      </c>
      <c r="C783" s="7" t="s">
        <v>52</v>
      </c>
      <c r="D783" s="7" t="s">
        <v>64</v>
      </c>
      <c r="E783" s="7" t="s">
        <v>1910</v>
      </c>
      <c r="F783" s="18" t="n">
        <f aca="false">IF('Base de Datos SACI'!U777="","",'Base de Datos SACI'!U777)</f>
        <v>60</v>
      </c>
      <c r="G783" s="14"/>
      <c r="H783" s="28"/>
      <c r="I783" s="29" t="str">
        <f aca="false">IF(OR($G783="",$G783=0),"",IFERROR(ROUND($F783*$G783*(1-IF($H783="",0,$H783)),2),""))</f>
        <v/>
      </c>
      <c r="J783" s="7"/>
    </row>
    <row r="784" customFormat="false" ht="21.75" hidden="false" customHeight="true" outlineLevel="0" collapsed="false">
      <c r="B784" s="15" t="n">
        <v>774</v>
      </c>
      <c r="C784" s="9" t="s">
        <v>52</v>
      </c>
      <c r="D784" s="9" t="s">
        <v>65</v>
      </c>
      <c r="E784" s="9" t="s">
        <v>1911</v>
      </c>
      <c r="F784" s="19" t="n">
        <f aca="false">IF('Base de Datos SACI'!U778="","",'Base de Datos SACI'!U778)</f>
        <v>20</v>
      </c>
      <c r="G784" s="15"/>
      <c r="H784" s="30"/>
      <c r="I784" s="31" t="str">
        <f aca="false">IF(OR($G784="",$G784=0),"",IFERROR(ROUND($F784*$G784*(1-IF($H784="",0,$H784)),2),""))</f>
        <v/>
      </c>
      <c r="J784" s="9"/>
    </row>
    <row r="785" customFormat="false" ht="21.75" hidden="false" customHeight="true" outlineLevel="0" collapsed="false">
      <c r="B785" s="14" t="n">
        <v>775</v>
      </c>
      <c r="C785" s="7" t="s">
        <v>52</v>
      </c>
      <c r="D785" s="7" t="s">
        <v>65</v>
      </c>
      <c r="E785" s="7" t="s">
        <v>1917</v>
      </c>
      <c r="F785" s="18" t="n">
        <f aca="false">IF('Base de Datos SACI'!U779="","",'Base de Datos SACI'!U779)</f>
        <v>30</v>
      </c>
      <c r="G785" s="14"/>
      <c r="H785" s="28"/>
      <c r="I785" s="29" t="str">
        <f aca="false">IF(OR($G785="",$G785=0),"",IFERROR(ROUND($F785*$G785*(1-IF($H785="",0,$H785)),2),""))</f>
        <v/>
      </c>
      <c r="J785" s="7"/>
    </row>
    <row r="786" customFormat="false" ht="21.75" hidden="false" customHeight="true" outlineLevel="0" collapsed="false">
      <c r="B786" s="15" t="n">
        <v>776</v>
      </c>
      <c r="C786" s="9" t="s">
        <v>52</v>
      </c>
      <c r="D786" s="9" t="s">
        <v>65</v>
      </c>
      <c r="E786" s="9" t="s">
        <v>1918</v>
      </c>
      <c r="F786" s="19" t="n">
        <f aca="false">IF('Base de Datos SACI'!U780="","",'Base de Datos SACI'!U780)</f>
        <v>45</v>
      </c>
      <c r="G786" s="15"/>
      <c r="H786" s="30"/>
      <c r="I786" s="31" t="str">
        <f aca="false">IF(OR($G786="",$G786=0),"",IFERROR(ROUND($F786*$G786*(1-IF($H786="",0,$H786)),2),""))</f>
        <v/>
      </c>
      <c r="J786" s="9"/>
    </row>
    <row r="787" customFormat="false" ht="21.75" hidden="false" customHeight="true" outlineLevel="0" collapsed="false">
      <c r="B787" s="14" t="n">
        <v>777</v>
      </c>
      <c r="C787" s="7" t="s">
        <v>52</v>
      </c>
      <c r="D787" s="7" t="s">
        <v>65</v>
      </c>
      <c r="E787" s="7" t="s">
        <v>1920</v>
      </c>
      <c r="F787" s="18" t="n">
        <f aca="false">IF('Base de Datos SACI'!U781="","",'Base de Datos SACI'!U781)</f>
        <v>65</v>
      </c>
      <c r="G787" s="14"/>
      <c r="H787" s="28"/>
      <c r="I787" s="29" t="str">
        <f aca="false">IF(OR($G787="",$G787=0),"",IFERROR(ROUND($F787*$G787*(1-IF($H787="",0,$H787)),2),""))</f>
        <v/>
      </c>
      <c r="J787" s="7"/>
    </row>
    <row r="788" customFormat="false" ht="21.75" hidden="false" customHeight="true" outlineLevel="0" collapsed="false">
      <c r="B788" s="15" t="n">
        <v>778</v>
      </c>
      <c r="C788" s="9" t="s">
        <v>52</v>
      </c>
      <c r="D788" s="9" t="s">
        <v>65</v>
      </c>
      <c r="E788" s="9" t="s">
        <v>1921</v>
      </c>
      <c r="F788" s="19" t="n">
        <f aca="false">IF('Base de Datos SACI'!U782="","",'Base de Datos SACI'!U782)</f>
        <v>100</v>
      </c>
      <c r="G788" s="15"/>
      <c r="H788" s="30"/>
      <c r="I788" s="31" t="str">
        <f aca="false">IF(OR($G788="",$G788=0),"",IFERROR(ROUND($F788*$G788*(1-IF($H788="",0,$H788)),2),""))</f>
        <v/>
      </c>
      <c r="J788" s="9"/>
    </row>
    <row r="789" customFormat="false" ht="21.75" hidden="false" customHeight="true" outlineLevel="0" collapsed="false">
      <c r="B789" s="14" t="n">
        <v>779</v>
      </c>
      <c r="C789" s="7" t="s">
        <v>52</v>
      </c>
      <c r="D789" s="7" t="s">
        <v>66</v>
      </c>
      <c r="E789" s="7" t="s">
        <v>1922</v>
      </c>
      <c r="F789" s="18" t="n">
        <f aca="false">IF('Base de Datos SACI'!U783="","",'Base de Datos SACI'!U783)</f>
        <v>25</v>
      </c>
      <c r="G789" s="14"/>
      <c r="H789" s="28"/>
      <c r="I789" s="29" t="str">
        <f aca="false">IF(OR($G789="",$G789=0),"",IFERROR(ROUND($F789*$G789*(1-IF($H789="",0,$H789)),2),""))</f>
        <v/>
      </c>
      <c r="J789" s="7"/>
    </row>
    <row r="790" customFormat="false" ht="21.75" hidden="false" customHeight="true" outlineLevel="0" collapsed="false">
      <c r="B790" s="15" t="n">
        <v>780</v>
      </c>
      <c r="C790" s="9" t="s">
        <v>52</v>
      </c>
      <c r="D790" s="9" t="s">
        <v>66</v>
      </c>
      <c r="E790" s="9" t="s">
        <v>1924</v>
      </c>
      <c r="F790" s="19" t="n">
        <f aca="false">IF('Base de Datos SACI'!U784="","",'Base de Datos SACI'!U784)</f>
        <v>40</v>
      </c>
      <c r="G790" s="15"/>
      <c r="H790" s="30"/>
      <c r="I790" s="31" t="str">
        <f aca="false">IF(OR($G790="",$G790=0),"",IFERROR(ROUND($F790*$G790*(1-IF($H790="",0,$H790)),2),""))</f>
        <v/>
      </c>
      <c r="J790" s="9"/>
    </row>
    <row r="791" customFormat="false" ht="21.75" hidden="false" customHeight="true" outlineLevel="0" collapsed="false">
      <c r="B791" s="14" t="n">
        <v>781</v>
      </c>
      <c r="C791" s="7" t="s">
        <v>52</v>
      </c>
      <c r="D791" s="7" t="s">
        <v>66</v>
      </c>
      <c r="E791" s="7" t="s">
        <v>1925</v>
      </c>
      <c r="F791" s="18" t="n">
        <f aca="false">IF('Base de Datos SACI'!U785="","",'Base de Datos SACI'!U785)</f>
        <v>55</v>
      </c>
      <c r="G791" s="14"/>
      <c r="H791" s="28"/>
      <c r="I791" s="29" t="str">
        <f aca="false">IF(OR($G791="",$G791=0),"",IFERROR(ROUND($F791*$G791*(1-IF($H791="",0,$H791)),2),""))</f>
        <v/>
      </c>
      <c r="J791" s="7"/>
    </row>
    <row r="792" customFormat="false" ht="21.75" hidden="false" customHeight="true" outlineLevel="0" collapsed="false">
      <c r="B792" s="15" t="n">
        <v>782</v>
      </c>
      <c r="C792" s="9" t="s">
        <v>52</v>
      </c>
      <c r="D792" s="9" t="s">
        <v>66</v>
      </c>
      <c r="E792" s="9" t="s">
        <v>1927</v>
      </c>
      <c r="F792" s="19" t="n">
        <f aca="false">IF('Base de Datos SACI'!U786="","",'Base de Datos SACI'!U786)</f>
        <v>85</v>
      </c>
      <c r="G792" s="15"/>
      <c r="H792" s="30"/>
      <c r="I792" s="31" t="str">
        <f aca="false">IF(OR($G792="",$G792=0),"",IFERROR(ROUND($F792*$G792*(1-IF($H792="",0,$H792)),2),""))</f>
        <v/>
      </c>
      <c r="J792" s="9"/>
    </row>
    <row r="793" customFormat="false" ht="21.75" hidden="false" customHeight="true" outlineLevel="0" collapsed="false">
      <c r="B793" s="14" t="n">
        <v>783</v>
      </c>
      <c r="C793" s="7" t="s">
        <v>52</v>
      </c>
      <c r="D793" s="7" t="s">
        <v>66</v>
      </c>
      <c r="E793" s="7" t="s">
        <v>1928</v>
      </c>
      <c r="F793" s="18" t="n">
        <f aca="false">IF('Base de Datos SACI'!U787="","",'Base de Datos SACI'!U787)</f>
        <v>125</v>
      </c>
      <c r="G793" s="14"/>
      <c r="H793" s="28"/>
      <c r="I793" s="29" t="str">
        <f aca="false">IF(OR($G793="",$G793=0),"",IFERROR(ROUND($F793*$G793*(1-IF($H793="",0,$H793)),2),""))</f>
        <v/>
      </c>
      <c r="J793" s="7"/>
    </row>
    <row r="794" customFormat="false" ht="21.75" hidden="false" customHeight="true" outlineLevel="0" collapsed="false">
      <c r="B794" s="15" t="n">
        <v>784</v>
      </c>
      <c r="C794" s="9" t="s">
        <v>52</v>
      </c>
      <c r="D794" s="9" t="s">
        <v>67</v>
      </c>
      <c r="E794" s="9" t="s">
        <v>1929</v>
      </c>
      <c r="F794" s="19" t="n">
        <f aca="false">IF('Base de Datos SACI'!U788="","",'Base de Datos SACI'!U788)</f>
        <v>17</v>
      </c>
      <c r="G794" s="15"/>
      <c r="H794" s="30"/>
      <c r="I794" s="31" t="str">
        <f aca="false">IF(OR($G794="",$G794=0),"",IFERROR(ROUND($F794*$G794*(1-IF($H794="",0,$H794)),2),""))</f>
        <v/>
      </c>
      <c r="J794" s="9"/>
    </row>
    <row r="795" customFormat="false" ht="21.75" hidden="false" customHeight="true" outlineLevel="0" collapsed="false">
      <c r="B795" s="14" t="n">
        <v>785</v>
      </c>
      <c r="C795" s="7" t="s">
        <v>52</v>
      </c>
      <c r="D795" s="7" t="s">
        <v>67</v>
      </c>
      <c r="E795" s="7" t="s">
        <v>1932</v>
      </c>
      <c r="F795" s="18" t="n">
        <f aca="false">IF('Base de Datos SACI'!U789="","",'Base de Datos SACI'!U789)</f>
        <v>25</v>
      </c>
      <c r="G795" s="14"/>
      <c r="H795" s="28"/>
      <c r="I795" s="29" t="str">
        <f aca="false">IF(OR($G795="",$G795=0),"",IFERROR(ROUND($F795*$G795*(1-IF($H795="",0,$H795)),2),""))</f>
        <v/>
      </c>
      <c r="J795" s="7"/>
    </row>
    <row r="796" customFormat="false" ht="21.75" hidden="false" customHeight="true" outlineLevel="0" collapsed="false">
      <c r="B796" s="15" t="n">
        <v>786</v>
      </c>
      <c r="C796" s="9" t="s">
        <v>52</v>
      </c>
      <c r="D796" s="9" t="s">
        <v>67</v>
      </c>
      <c r="E796" s="9" t="s">
        <v>1933</v>
      </c>
      <c r="F796" s="19" t="n">
        <f aca="false">IF('Base de Datos SACI'!U790="","",'Base de Datos SACI'!U790)</f>
        <v>30</v>
      </c>
      <c r="G796" s="15"/>
      <c r="H796" s="30"/>
      <c r="I796" s="31" t="str">
        <f aca="false">IF(OR($G796="",$G796=0),"",IFERROR(ROUND($F796*$G796*(1-IF($H796="",0,$H796)),2),""))</f>
        <v/>
      </c>
      <c r="J796" s="9"/>
    </row>
    <row r="797" customFormat="false" ht="21.75" hidden="false" customHeight="true" outlineLevel="0" collapsed="false">
      <c r="B797" s="14" t="n">
        <v>787</v>
      </c>
      <c r="C797" s="7" t="s">
        <v>52</v>
      </c>
      <c r="D797" s="7" t="s">
        <v>67</v>
      </c>
      <c r="E797" s="7" t="s">
        <v>1934</v>
      </c>
      <c r="F797" s="18" t="n">
        <f aca="false">IF('Base de Datos SACI'!U791="","",'Base de Datos SACI'!U791)</f>
        <v>50</v>
      </c>
      <c r="G797" s="14"/>
      <c r="H797" s="28"/>
      <c r="I797" s="29" t="str">
        <f aca="false">IF(OR($G797="",$G797=0),"",IFERROR(ROUND($F797*$G797*(1-IF($H797="",0,$H797)),2),""))</f>
        <v/>
      </c>
      <c r="J797" s="7"/>
    </row>
    <row r="798" customFormat="false" ht="21.75" hidden="false" customHeight="true" outlineLevel="0" collapsed="false">
      <c r="B798" s="15" t="n">
        <v>788</v>
      </c>
      <c r="C798" s="9" t="s">
        <v>52</v>
      </c>
      <c r="D798" s="9" t="s">
        <v>67</v>
      </c>
      <c r="E798" s="9" t="s">
        <v>1935</v>
      </c>
      <c r="F798" s="19" t="n">
        <f aca="false">IF('Base de Datos SACI'!U792="","",'Base de Datos SACI'!U792)</f>
        <v>70</v>
      </c>
      <c r="G798" s="15"/>
      <c r="H798" s="30"/>
      <c r="I798" s="31" t="str">
        <f aca="false">IF(OR($G798="",$G798=0),"",IFERROR(ROUND($F798*$G798*(1-IF($H798="",0,$H798)),2),""))</f>
        <v/>
      </c>
      <c r="J798" s="9"/>
    </row>
    <row r="799" customFormat="false" ht="21.75" hidden="false" customHeight="true" outlineLevel="0" collapsed="false">
      <c r="B799" s="14" t="n">
        <v>789</v>
      </c>
      <c r="C799" s="7" t="s">
        <v>52</v>
      </c>
      <c r="D799" s="7" t="s">
        <v>68</v>
      </c>
      <c r="E799" s="7" t="s">
        <v>391</v>
      </c>
      <c r="F799" s="18" t="str">
        <f aca="false">IF('Base de Datos SACI'!U793="","",'Base de Datos SACI'!U793)</f>
        <v/>
      </c>
      <c r="G799" s="14"/>
      <c r="H799" s="28"/>
      <c r="I799" s="29" t="str">
        <f aca="false">IF(OR($G799="",$G799=0),"",IFERROR(ROUND($F799*$G799*(1-IF($H799="",0,$H799)),2),""))</f>
        <v/>
      </c>
      <c r="J799" s="7"/>
    </row>
    <row r="800" customFormat="false" ht="21.75" hidden="false" customHeight="true" outlineLevel="0" collapsed="false">
      <c r="B800" s="15" t="n">
        <v>790</v>
      </c>
      <c r="C800" s="9" t="s">
        <v>52</v>
      </c>
      <c r="D800" s="9" t="s">
        <v>69</v>
      </c>
      <c r="E800" s="9" t="s">
        <v>1937</v>
      </c>
      <c r="F800" s="19" t="n">
        <f aca="false">IF('Base de Datos SACI'!U794="","",'Base de Datos SACI'!U794)</f>
        <v>25</v>
      </c>
      <c r="G800" s="15"/>
      <c r="H800" s="30"/>
      <c r="I800" s="31" t="str">
        <f aca="false">IF(OR($G800="",$G800=0),"",IFERROR(ROUND($F800*$G800*(1-IF($H800="",0,$H800)),2),""))</f>
        <v/>
      </c>
      <c r="J800" s="9"/>
    </row>
    <row r="801" customFormat="false" ht="21.75" hidden="false" customHeight="true" outlineLevel="0" collapsed="false">
      <c r="B801" s="14" t="n">
        <v>791</v>
      </c>
      <c r="C801" s="7" t="s">
        <v>52</v>
      </c>
      <c r="D801" s="7" t="s">
        <v>69</v>
      </c>
      <c r="E801" s="7" t="s">
        <v>1940</v>
      </c>
      <c r="F801" s="18" t="n">
        <f aca="false">IF('Base de Datos SACI'!U795="","",'Base de Datos SACI'!U795)</f>
        <v>40</v>
      </c>
      <c r="G801" s="14"/>
      <c r="H801" s="28"/>
      <c r="I801" s="29" t="str">
        <f aca="false">IF(OR($G801="",$G801=0),"",IFERROR(ROUND($F801*$G801*(1-IF($H801="",0,$H801)),2),""))</f>
        <v/>
      </c>
      <c r="J801" s="7"/>
    </row>
    <row r="802" customFormat="false" ht="21.75" hidden="false" customHeight="true" outlineLevel="0" collapsed="false">
      <c r="B802" s="15" t="n">
        <v>792</v>
      </c>
      <c r="C802" s="9" t="s">
        <v>52</v>
      </c>
      <c r="D802" s="9" t="s">
        <v>69</v>
      </c>
      <c r="E802" s="9" t="s">
        <v>1941</v>
      </c>
      <c r="F802" s="19" t="n">
        <f aca="false">IF('Base de Datos SACI'!U796="","",'Base de Datos SACI'!U796)</f>
        <v>55</v>
      </c>
      <c r="G802" s="15"/>
      <c r="H802" s="30"/>
      <c r="I802" s="31" t="str">
        <f aca="false">IF(OR($G802="",$G802=0),"",IFERROR(ROUND($F802*$G802*(1-IF($H802="",0,$H802)),2),""))</f>
        <v/>
      </c>
      <c r="J802" s="9"/>
    </row>
    <row r="803" customFormat="false" ht="21.75" hidden="false" customHeight="true" outlineLevel="0" collapsed="false">
      <c r="B803" s="14" t="n">
        <v>793</v>
      </c>
      <c r="C803" s="7" t="s">
        <v>52</v>
      </c>
      <c r="D803" s="7" t="s">
        <v>69</v>
      </c>
      <c r="E803" s="7" t="s">
        <v>1943</v>
      </c>
      <c r="F803" s="18" t="n">
        <f aca="false">IF('Base de Datos SACI'!U797="","",'Base de Datos SACI'!U797)</f>
        <v>80</v>
      </c>
      <c r="G803" s="14"/>
      <c r="H803" s="28"/>
      <c r="I803" s="29" t="str">
        <f aca="false">IF(OR($G803="",$G803=0),"",IFERROR(ROUND($F803*$G803*(1-IF($H803="",0,$H803)),2),""))</f>
        <v/>
      </c>
      <c r="J803" s="7"/>
    </row>
    <row r="804" customFormat="false" ht="21.75" hidden="false" customHeight="true" outlineLevel="0" collapsed="false">
      <c r="B804" s="15" t="n">
        <v>794</v>
      </c>
      <c r="C804" s="9" t="s">
        <v>52</v>
      </c>
      <c r="D804" s="9" t="s">
        <v>69</v>
      </c>
      <c r="E804" s="9" t="s">
        <v>1944</v>
      </c>
      <c r="F804" s="19" t="n">
        <f aca="false">IF('Base de Datos SACI'!U798="","",'Base de Datos SACI'!U798)</f>
        <v>120</v>
      </c>
      <c r="G804" s="15"/>
      <c r="H804" s="30"/>
      <c r="I804" s="31" t="str">
        <f aca="false">IF(OR($G804="",$G804=0),"",IFERROR(ROUND($F804*$G804*(1-IF($H804="",0,$H804)),2),""))</f>
        <v/>
      </c>
      <c r="J804" s="9"/>
    </row>
    <row r="805" customFormat="false" ht="21.75" hidden="false" customHeight="true" outlineLevel="0" collapsed="false">
      <c r="B805" s="14" t="n">
        <v>795</v>
      </c>
      <c r="C805" s="7" t="s">
        <v>52</v>
      </c>
      <c r="D805" s="7" t="s">
        <v>70</v>
      </c>
      <c r="E805" s="7" t="s">
        <v>391</v>
      </c>
      <c r="F805" s="18" t="str">
        <f aca="false">IF('Base de Datos SACI'!U799="","",'Base de Datos SACI'!U799)</f>
        <v/>
      </c>
      <c r="G805" s="14"/>
      <c r="H805" s="28"/>
      <c r="I805" s="29" t="str">
        <f aca="false">IF(OR($G805="",$G805=0),"",IFERROR(ROUND($F805*$G805*(1-IF($H805="",0,$H805)),2),""))</f>
        <v/>
      </c>
      <c r="J805" s="7"/>
    </row>
    <row r="806" customFormat="false" ht="21.75" hidden="false" customHeight="true" outlineLevel="0" collapsed="false">
      <c r="B806" s="15" t="n">
        <v>796</v>
      </c>
      <c r="C806" s="9" t="s">
        <v>52</v>
      </c>
      <c r="D806" s="9" t="s">
        <v>71</v>
      </c>
      <c r="E806" s="9" t="s">
        <v>1946</v>
      </c>
      <c r="F806" s="19" t="n">
        <f aca="false">IF('Base de Datos SACI'!U800="","",'Base de Datos SACI'!U800)</f>
        <v>45</v>
      </c>
      <c r="G806" s="15"/>
      <c r="H806" s="30"/>
      <c r="I806" s="31" t="str">
        <f aca="false">IF(OR($G806="",$G806=0),"",IFERROR(ROUND($F806*$G806*(1-IF($H806="",0,$H806)),2),""))</f>
        <v/>
      </c>
      <c r="J806" s="9"/>
    </row>
    <row r="807" customFormat="false" ht="21.75" hidden="false" customHeight="true" outlineLevel="0" collapsed="false">
      <c r="B807" s="14" t="n">
        <v>797</v>
      </c>
      <c r="C807" s="7" t="s">
        <v>52</v>
      </c>
      <c r="D807" s="7" t="s">
        <v>71</v>
      </c>
      <c r="E807" s="7" t="s">
        <v>1951</v>
      </c>
      <c r="F807" s="18" t="n">
        <f aca="false">IF('Base de Datos SACI'!U801="","",'Base de Datos SACI'!U801)</f>
        <v>70</v>
      </c>
      <c r="G807" s="14"/>
      <c r="H807" s="28"/>
      <c r="I807" s="29" t="str">
        <f aca="false">IF(OR($G807="",$G807=0),"",IFERROR(ROUND($F807*$G807*(1-IF($H807="",0,$H807)),2),""))</f>
        <v/>
      </c>
      <c r="J807" s="7"/>
    </row>
    <row r="808" customFormat="false" ht="21.75" hidden="false" customHeight="true" outlineLevel="0" collapsed="false">
      <c r="B808" s="15" t="n">
        <v>798</v>
      </c>
      <c r="C808" s="9" t="s">
        <v>52</v>
      </c>
      <c r="D808" s="9" t="s">
        <v>71</v>
      </c>
      <c r="E808" s="9" t="s">
        <v>1952</v>
      </c>
      <c r="F808" s="19" t="n">
        <f aca="false">IF('Base de Datos SACI'!U802="","",'Base de Datos SACI'!U802)</f>
        <v>95</v>
      </c>
      <c r="G808" s="15"/>
      <c r="H808" s="30"/>
      <c r="I808" s="31" t="str">
        <f aca="false">IF(OR($G808="",$G808=0),"",IFERROR(ROUND($F808*$G808*(1-IF($H808="",0,$H808)),2),""))</f>
        <v/>
      </c>
      <c r="J808" s="9"/>
    </row>
    <row r="809" customFormat="false" ht="21.75" hidden="false" customHeight="true" outlineLevel="0" collapsed="false">
      <c r="B809" s="14" t="n">
        <v>799</v>
      </c>
      <c r="C809" s="7" t="s">
        <v>52</v>
      </c>
      <c r="D809" s="7" t="s">
        <v>71</v>
      </c>
      <c r="E809" s="7" t="s">
        <v>1954</v>
      </c>
      <c r="F809" s="18" t="n">
        <f aca="false">IF('Base de Datos SACI'!U803="","",'Base de Datos SACI'!U803)</f>
        <v>145</v>
      </c>
      <c r="G809" s="14"/>
      <c r="H809" s="28"/>
      <c r="I809" s="29" t="str">
        <f aca="false">IF(OR($G809="",$G809=0),"",IFERROR(ROUND($F809*$G809*(1-IF($H809="",0,$H809)),2),""))</f>
        <v/>
      </c>
      <c r="J809" s="7"/>
    </row>
    <row r="810" customFormat="false" ht="21.75" hidden="false" customHeight="true" outlineLevel="0" collapsed="false">
      <c r="B810" s="15" t="n">
        <v>800</v>
      </c>
      <c r="C810" s="9" t="s">
        <v>52</v>
      </c>
      <c r="D810" s="9" t="s">
        <v>71</v>
      </c>
      <c r="E810" s="9" t="s">
        <v>1955</v>
      </c>
      <c r="F810" s="19" t="n">
        <f aca="false">IF('Base de Datos SACI'!U804="","",'Base de Datos SACI'!U804)</f>
        <v>215</v>
      </c>
      <c r="G810" s="15"/>
      <c r="H810" s="30"/>
      <c r="I810" s="31" t="str">
        <f aca="false">IF(OR($G810="",$G810=0),"",IFERROR(ROUND($F810*$G810*(1-IF($H810="",0,$H810)),2),""))</f>
        <v/>
      </c>
      <c r="J810" s="9"/>
    </row>
    <row r="811" customFormat="false" ht="21.75" hidden="false" customHeight="true" outlineLevel="0" collapsed="false">
      <c r="B811" s="14" t="n">
        <v>801</v>
      </c>
      <c r="C811" s="7" t="s">
        <v>52</v>
      </c>
      <c r="D811" s="7" t="s">
        <v>72</v>
      </c>
      <c r="E811" s="7" t="s">
        <v>391</v>
      </c>
      <c r="F811" s="18" t="str">
        <f aca="false">IF('Base de Datos SACI'!U805="","",'Base de Datos SACI'!U805)</f>
        <v/>
      </c>
      <c r="G811" s="14"/>
      <c r="H811" s="28"/>
      <c r="I811" s="29" t="str">
        <f aca="false">IF(OR($G811="",$G811=0),"",IFERROR(ROUND($F811*$G811*(1-IF($H811="",0,$H811)),2),""))</f>
        <v/>
      </c>
      <c r="J811" s="7"/>
    </row>
    <row r="812" customFormat="false" ht="21.75" hidden="false" customHeight="true" outlineLevel="0" collapsed="false">
      <c r="B812" s="15" t="n">
        <v>802</v>
      </c>
      <c r="C812" s="9" t="s">
        <v>52</v>
      </c>
      <c r="D812" s="9" t="s">
        <v>73</v>
      </c>
      <c r="E812" s="9" t="s">
        <v>1957</v>
      </c>
      <c r="F812" s="19" t="n">
        <f aca="false">IF('Base de Datos SACI'!U806="","",'Base de Datos SACI'!U806)</f>
        <v>25</v>
      </c>
      <c r="G812" s="15"/>
      <c r="H812" s="30"/>
      <c r="I812" s="31" t="str">
        <f aca="false">IF(OR($G812="",$G812=0),"",IFERROR(ROUND($F812*$G812*(1-IF($H812="",0,$H812)),2),""))</f>
        <v/>
      </c>
      <c r="J812" s="9"/>
    </row>
    <row r="813" customFormat="false" ht="21.75" hidden="false" customHeight="true" outlineLevel="0" collapsed="false">
      <c r="B813" s="14" t="n">
        <v>803</v>
      </c>
      <c r="C813" s="7" t="s">
        <v>52</v>
      </c>
      <c r="D813" s="7" t="s">
        <v>73</v>
      </c>
      <c r="E813" s="7" t="s">
        <v>1962</v>
      </c>
      <c r="F813" s="18" t="n">
        <f aca="false">IF('Base de Datos SACI'!U807="","",'Base de Datos SACI'!U807)</f>
        <v>35</v>
      </c>
      <c r="G813" s="14"/>
      <c r="H813" s="28"/>
      <c r="I813" s="29" t="str">
        <f aca="false">IF(OR($G813="",$G813=0),"",IFERROR(ROUND($F813*$G813*(1-IF($H813="",0,$H813)),2),""))</f>
        <v/>
      </c>
      <c r="J813" s="7"/>
    </row>
    <row r="814" customFormat="false" ht="21.75" hidden="false" customHeight="true" outlineLevel="0" collapsed="false">
      <c r="B814" s="15" t="n">
        <v>804</v>
      </c>
      <c r="C814" s="9" t="s">
        <v>52</v>
      </c>
      <c r="D814" s="9" t="s">
        <v>73</v>
      </c>
      <c r="E814" s="9" t="s">
        <v>1963</v>
      </c>
      <c r="F814" s="19" t="n">
        <f aca="false">IF('Base de Datos SACI'!U808="","",'Base de Datos SACI'!U808)</f>
        <v>50</v>
      </c>
      <c r="G814" s="15"/>
      <c r="H814" s="30"/>
      <c r="I814" s="31" t="str">
        <f aca="false">IF(OR($G814="",$G814=0),"",IFERROR(ROUND($F814*$G814*(1-IF($H814="",0,$H814)),2),""))</f>
        <v/>
      </c>
      <c r="J814" s="9"/>
    </row>
    <row r="815" customFormat="false" ht="21.75" hidden="false" customHeight="true" outlineLevel="0" collapsed="false">
      <c r="B815" s="14" t="n">
        <v>805</v>
      </c>
      <c r="C815" s="7" t="s">
        <v>52</v>
      </c>
      <c r="D815" s="7" t="s">
        <v>73</v>
      </c>
      <c r="E815" s="7" t="s">
        <v>1964</v>
      </c>
      <c r="F815" s="18" t="n">
        <f aca="false">IF('Base de Datos SACI'!U809="","",'Base de Datos SACI'!U809)</f>
        <v>75</v>
      </c>
      <c r="G815" s="14"/>
      <c r="H815" s="28"/>
      <c r="I815" s="29" t="str">
        <f aca="false">IF(OR($G815="",$G815=0),"",IFERROR(ROUND($F815*$G815*(1-IF($H815="",0,$H815)),2),""))</f>
        <v/>
      </c>
      <c r="J815" s="7"/>
    </row>
    <row r="816" customFormat="false" ht="21.75" hidden="false" customHeight="true" outlineLevel="0" collapsed="false">
      <c r="B816" s="15" t="n">
        <v>806</v>
      </c>
      <c r="C816" s="9" t="s">
        <v>52</v>
      </c>
      <c r="D816" s="9" t="s">
        <v>73</v>
      </c>
      <c r="E816" s="9" t="s">
        <v>1965</v>
      </c>
      <c r="F816" s="19" t="n">
        <f aca="false">IF('Base de Datos SACI'!U810="","",'Base de Datos SACI'!U810)</f>
        <v>110</v>
      </c>
      <c r="G816" s="15"/>
      <c r="H816" s="30"/>
      <c r="I816" s="31" t="str">
        <f aca="false">IF(OR($G816="",$G816=0),"",IFERROR(ROUND($F816*$G816*(1-IF($H816="",0,$H816)),2),""))</f>
        <v/>
      </c>
      <c r="J816" s="9"/>
    </row>
    <row r="817" customFormat="false" ht="21.75" hidden="false" customHeight="true" outlineLevel="0" collapsed="false">
      <c r="B817" s="14" t="n">
        <v>807</v>
      </c>
      <c r="C817" s="7" t="s">
        <v>52</v>
      </c>
      <c r="D817" s="7" t="s">
        <v>74</v>
      </c>
      <c r="E817" s="7" t="s">
        <v>391</v>
      </c>
      <c r="F817" s="18" t="str">
        <f aca="false">IF('Base de Datos SACI'!U811="","",'Base de Datos SACI'!U811)</f>
        <v/>
      </c>
      <c r="G817" s="14"/>
      <c r="H817" s="28"/>
      <c r="I817" s="29" t="str">
        <f aca="false">IF(OR($G817="",$G817=0),"",IFERROR(ROUND($F817*$G817*(1-IF($H817="",0,$H817)),2),""))</f>
        <v/>
      </c>
      <c r="J817" s="7"/>
    </row>
    <row r="818" customFormat="false" ht="21.75" hidden="false" customHeight="true" outlineLevel="0" collapsed="false">
      <c r="B818" s="15" t="n">
        <v>808</v>
      </c>
      <c r="C818" s="9" t="s">
        <v>52</v>
      </c>
      <c r="D818" s="9" t="s">
        <v>75</v>
      </c>
      <c r="E818" s="9" t="s">
        <v>1967</v>
      </c>
      <c r="F818" s="19" t="n">
        <f aca="false">IF('Base de Datos SACI'!U812="","",'Base de Datos SACI'!U812)</f>
        <v>15</v>
      </c>
      <c r="G818" s="15"/>
      <c r="H818" s="30"/>
      <c r="I818" s="31" t="str">
        <f aca="false">IF(OR($G818="",$G818=0),"",IFERROR(ROUND($F818*$G818*(1-IF($H818="",0,$H818)),2),""))</f>
        <v/>
      </c>
      <c r="J818" s="9"/>
    </row>
    <row r="819" customFormat="false" ht="21.75" hidden="false" customHeight="true" outlineLevel="0" collapsed="false">
      <c r="B819" s="14" t="n">
        <v>809</v>
      </c>
      <c r="C819" s="7" t="s">
        <v>52</v>
      </c>
      <c r="D819" s="7" t="s">
        <v>75</v>
      </c>
      <c r="E819" s="7" t="s">
        <v>1971</v>
      </c>
      <c r="F819" s="18" t="n">
        <f aca="false">IF('Base de Datos SACI'!U813="","",'Base de Datos SACI'!U813)</f>
        <v>20</v>
      </c>
      <c r="G819" s="14"/>
      <c r="H819" s="28"/>
      <c r="I819" s="29" t="str">
        <f aca="false">IF(OR($G819="",$G819=0),"",IFERROR(ROUND($F819*$G819*(1-IF($H819="",0,$H819)),2),""))</f>
        <v/>
      </c>
      <c r="J819" s="7"/>
    </row>
    <row r="820" customFormat="false" ht="21.75" hidden="false" customHeight="true" outlineLevel="0" collapsed="false">
      <c r="B820" s="15" t="n">
        <v>810</v>
      </c>
      <c r="C820" s="9" t="s">
        <v>52</v>
      </c>
      <c r="D820" s="9" t="s">
        <v>75</v>
      </c>
      <c r="E820" s="9" t="s">
        <v>1972</v>
      </c>
      <c r="F820" s="19" t="n">
        <f aca="false">IF('Base de Datos SACI'!U814="","",'Base de Datos SACI'!U814)</f>
        <v>30</v>
      </c>
      <c r="G820" s="15"/>
      <c r="H820" s="30"/>
      <c r="I820" s="31" t="str">
        <f aca="false">IF(OR($G820="",$G820=0),"",IFERROR(ROUND($F820*$G820*(1-IF($H820="",0,$H820)),2),""))</f>
        <v/>
      </c>
      <c r="J820" s="9"/>
    </row>
    <row r="821" customFormat="false" ht="21.75" hidden="false" customHeight="true" outlineLevel="0" collapsed="false">
      <c r="B821" s="14" t="n">
        <v>811</v>
      </c>
      <c r="C821" s="7" t="s">
        <v>52</v>
      </c>
      <c r="D821" s="7" t="s">
        <v>75</v>
      </c>
      <c r="E821" s="7" t="s">
        <v>1974</v>
      </c>
      <c r="F821" s="18" t="n">
        <f aca="false">IF('Base de Datos SACI'!U815="","",'Base de Datos SACI'!U815)</f>
        <v>45</v>
      </c>
      <c r="G821" s="14"/>
      <c r="H821" s="28"/>
      <c r="I821" s="29" t="str">
        <f aca="false">IF(OR($G821="",$G821=0),"",IFERROR(ROUND($F821*$G821*(1-IF($H821="",0,$H821)),2),""))</f>
        <v/>
      </c>
      <c r="J821" s="7"/>
    </row>
    <row r="822" customFormat="false" ht="21.75" hidden="false" customHeight="true" outlineLevel="0" collapsed="false">
      <c r="B822" s="15" t="n">
        <v>812</v>
      </c>
      <c r="C822" s="9" t="s">
        <v>52</v>
      </c>
      <c r="D822" s="9" t="s">
        <v>75</v>
      </c>
      <c r="E822" s="9" t="s">
        <v>1975</v>
      </c>
      <c r="F822" s="19" t="n">
        <f aca="false">IF('Base de Datos SACI'!U816="","",'Base de Datos SACI'!U816)</f>
        <v>65</v>
      </c>
      <c r="G822" s="15"/>
      <c r="H822" s="30"/>
      <c r="I822" s="31" t="str">
        <f aca="false">IF(OR($G822="",$G822=0),"",IFERROR(ROUND($F822*$G822*(1-IF($H822="",0,$H822)),2),""))</f>
        <v/>
      </c>
      <c r="J822" s="9"/>
    </row>
    <row r="823" customFormat="false" ht="21.75" hidden="false" customHeight="true" outlineLevel="0" collapsed="false">
      <c r="B823" s="14" t="n">
        <v>813</v>
      </c>
      <c r="C823" s="7" t="s">
        <v>53</v>
      </c>
      <c r="D823" s="7" t="s">
        <v>60</v>
      </c>
      <c r="E823" s="7" t="s">
        <v>391</v>
      </c>
      <c r="F823" s="18" t="str">
        <f aca="false">IF('Base de Datos SACI'!U817="","",'Base de Datos SACI'!U817)</f>
        <v/>
      </c>
      <c r="G823" s="14"/>
      <c r="H823" s="28"/>
      <c r="I823" s="29" t="str">
        <f aca="false">IF(OR($G823="",$G823=0),"",IFERROR(ROUND($F823*$G823*(1-IF($H823="",0,$H823)),2),""))</f>
        <v/>
      </c>
      <c r="J823" s="7"/>
    </row>
    <row r="824" customFormat="false" ht="21.75" hidden="false" customHeight="true" outlineLevel="0" collapsed="false">
      <c r="B824" s="15" t="n">
        <v>814</v>
      </c>
      <c r="C824" s="9" t="s">
        <v>53</v>
      </c>
      <c r="D824" s="9" t="s">
        <v>61</v>
      </c>
      <c r="E824" s="9" t="s">
        <v>391</v>
      </c>
      <c r="F824" s="19" t="str">
        <f aca="false">IF('Base de Datos SACI'!U818="","",'Base de Datos SACI'!U818)</f>
        <v/>
      </c>
      <c r="G824" s="15"/>
      <c r="H824" s="30"/>
      <c r="I824" s="31" t="str">
        <f aca="false">IF(OR($G824="",$G824=0),"",IFERROR(ROUND($F824*$G824*(1-IF($H824="",0,$H824)),2),""))</f>
        <v/>
      </c>
      <c r="J824" s="9"/>
    </row>
    <row r="825" customFormat="false" ht="21.75" hidden="false" customHeight="true" outlineLevel="0" collapsed="false">
      <c r="B825" s="14" t="n">
        <v>815</v>
      </c>
      <c r="C825" s="7" t="s">
        <v>53</v>
      </c>
      <c r="D825" s="7" t="s">
        <v>62</v>
      </c>
      <c r="E825" s="7" t="s">
        <v>1978</v>
      </c>
      <c r="F825" s="18" t="n">
        <f aca="false">IF('Base de Datos SACI'!U819="","",'Base de Datos SACI'!U819)</f>
        <v>110</v>
      </c>
      <c r="G825" s="14"/>
      <c r="H825" s="28"/>
      <c r="I825" s="29" t="str">
        <f aca="false">IF(OR($G825="",$G825=0),"",IFERROR(ROUND($F825*$G825*(1-IF($H825="",0,$H825)),2),""))</f>
        <v/>
      </c>
      <c r="J825" s="7"/>
    </row>
    <row r="826" customFormat="false" ht="21.75" hidden="false" customHeight="true" outlineLevel="0" collapsed="false">
      <c r="B826" s="15" t="n">
        <v>816</v>
      </c>
      <c r="C826" s="9" t="s">
        <v>53</v>
      </c>
      <c r="D826" s="9" t="s">
        <v>62</v>
      </c>
      <c r="E826" s="9" t="s">
        <v>1990</v>
      </c>
      <c r="F826" s="19" t="n">
        <f aca="false">IF('Base de Datos SACI'!U820="","",'Base de Datos SACI'!U820)</f>
        <v>165</v>
      </c>
      <c r="G826" s="15"/>
      <c r="H826" s="30"/>
      <c r="I826" s="31" t="str">
        <f aca="false">IF(OR($G826="",$G826=0),"",IFERROR(ROUND($F826*$G826*(1-IF($H826="",0,$H826)),2),""))</f>
        <v/>
      </c>
      <c r="J826" s="9"/>
    </row>
    <row r="827" customFormat="false" ht="21.75" hidden="false" customHeight="true" outlineLevel="0" collapsed="false">
      <c r="B827" s="14" t="n">
        <v>817</v>
      </c>
      <c r="C827" s="7" t="s">
        <v>53</v>
      </c>
      <c r="D827" s="7" t="s">
        <v>62</v>
      </c>
      <c r="E827" s="7" t="s">
        <v>1991</v>
      </c>
      <c r="F827" s="18" t="n">
        <f aca="false">IF('Base de Datos SACI'!U821="","",'Base de Datos SACI'!U821)</f>
        <v>225</v>
      </c>
      <c r="G827" s="14"/>
      <c r="H827" s="28"/>
      <c r="I827" s="29" t="str">
        <f aca="false">IF(OR($G827="",$G827=0),"",IFERROR(ROUND($F827*$G827*(1-IF($H827="",0,$H827)),2),""))</f>
        <v/>
      </c>
      <c r="J827" s="7"/>
    </row>
    <row r="828" customFormat="false" ht="21.75" hidden="false" customHeight="true" outlineLevel="0" collapsed="false">
      <c r="B828" s="15" t="n">
        <v>818</v>
      </c>
      <c r="C828" s="9" t="s">
        <v>53</v>
      </c>
      <c r="D828" s="9" t="s">
        <v>62</v>
      </c>
      <c r="E828" s="9" t="s">
        <v>1993</v>
      </c>
      <c r="F828" s="19" t="n">
        <f aca="false">IF('Base de Datos SACI'!U822="","",'Base de Datos SACI'!U822)</f>
        <v>335</v>
      </c>
      <c r="G828" s="15"/>
      <c r="H828" s="30"/>
      <c r="I828" s="31" t="str">
        <f aca="false">IF(OR($G828="",$G828=0),"",IFERROR(ROUND($F828*$G828*(1-IF($H828="",0,$H828)),2),""))</f>
        <v/>
      </c>
      <c r="J828" s="9"/>
    </row>
    <row r="829" customFormat="false" ht="21.75" hidden="false" customHeight="true" outlineLevel="0" collapsed="false">
      <c r="B829" s="14" t="n">
        <v>819</v>
      </c>
      <c r="C829" s="7" t="s">
        <v>53</v>
      </c>
      <c r="D829" s="7" t="s">
        <v>62</v>
      </c>
      <c r="E829" s="7" t="s">
        <v>1994</v>
      </c>
      <c r="F829" s="18" t="n">
        <f aca="false">IF('Base de Datos SACI'!U823="","",'Base de Datos SACI'!U823)</f>
        <v>495</v>
      </c>
      <c r="G829" s="14"/>
      <c r="H829" s="28"/>
      <c r="I829" s="29" t="str">
        <f aca="false">IF(OR($G829="",$G829=0),"",IFERROR(ROUND($F829*$G829*(1-IF($H829="",0,$H829)),2),""))</f>
        <v/>
      </c>
      <c r="J829" s="7"/>
    </row>
    <row r="830" customFormat="false" ht="21.75" hidden="false" customHeight="true" outlineLevel="0" collapsed="false">
      <c r="B830" s="15" t="n">
        <v>820</v>
      </c>
      <c r="C830" s="9" t="s">
        <v>53</v>
      </c>
      <c r="D830" s="9" t="s">
        <v>63</v>
      </c>
      <c r="E830" s="9" t="s">
        <v>1995</v>
      </c>
      <c r="F830" s="19" t="n">
        <f aca="false">IF('Base de Datos SACI'!U824="","",'Base de Datos SACI'!U824)</f>
        <v>25</v>
      </c>
      <c r="G830" s="15"/>
      <c r="H830" s="30"/>
      <c r="I830" s="31" t="str">
        <f aca="false">IF(OR($G830="",$G830=0),"",IFERROR(ROUND($F830*$G830*(1-IF($H830="",0,$H830)),2),""))</f>
        <v/>
      </c>
      <c r="J830" s="9"/>
    </row>
    <row r="831" customFormat="false" ht="21.75" hidden="false" customHeight="true" outlineLevel="0" collapsed="false">
      <c r="B831" s="14" t="n">
        <v>821</v>
      </c>
      <c r="C831" s="7" t="s">
        <v>53</v>
      </c>
      <c r="D831" s="7" t="s">
        <v>63</v>
      </c>
      <c r="E831" s="7" t="s">
        <v>2003</v>
      </c>
      <c r="F831" s="18" t="n">
        <f aca="false">IF('Base de Datos SACI'!U825="","",'Base de Datos SACI'!U825)</f>
        <v>40</v>
      </c>
      <c r="G831" s="14"/>
      <c r="H831" s="28"/>
      <c r="I831" s="29" t="str">
        <f aca="false">IF(OR($G831="",$G831=0),"",IFERROR(ROUND($F831*$G831*(1-IF($H831="",0,$H831)),2),""))</f>
        <v/>
      </c>
      <c r="J831" s="7"/>
    </row>
    <row r="832" customFormat="false" ht="21.75" hidden="false" customHeight="true" outlineLevel="0" collapsed="false">
      <c r="B832" s="15" t="n">
        <v>822</v>
      </c>
      <c r="C832" s="9" t="s">
        <v>53</v>
      </c>
      <c r="D832" s="9" t="s">
        <v>63</v>
      </c>
      <c r="E832" s="9" t="s">
        <v>2004</v>
      </c>
      <c r="F832" s="19" t="n">
        <f aca="false">IF('Base de Datos SACI'!U826="","",'Base de Datos SACI'!U826)</f>
        <v>55</v>
      </c>
      <c r="G832" s="15"/>
      <c r="H832" s="30"/>
      <c r="I832" s="31" t="str">
        <f aca="false">IF(OR($G832="",$G832=0),"",IFERROR(ROUND($F832*$G832*(1-IF($H832="",0,$H832)),2),""))</f>
        <v/>
      </c>
      <c r="J832" s="9"/>
    </row>
    <row r="833" customFormat="false" ht="21.75" hidden="false" customHeight="true" outlineLevel="0" collapsed="false">
      <c r="B833" s="14" t="n">
        <v>823</v>
      </c>
      <c r="C833" s="7" t="s">
        <v>53</v>
      </c>
      <c r="D833" s="7" t="s">
        <v>63</v>
      </c>
      <c r="E833" s="7" t="s">
        <v>2006</v>
      </c>
      <c r="F833" s="18" t="n">
        <f aca="false">IF('Base de Datos SACI'!U827="","",'Base de Datos SACI'!U827)</f>
        <v>85</v>
      </c>
      <c r="G833" s="14"/>
      <c r="H833" s="28"/>
      <c r="I833" s="29" t="str">
        <f aca="false">IF(OR($G833="",$G833=0),"",IFERROR(ROUND($F833*$G833*(1-IF($H833="",0,$H833)),2),""))</f>
        <v/>
      </c>
      <c r="J833" s="7"/>
    </row>
    <row r="834" customFormat="false" ht="21.75" hidden="false" customHeight="true" outlineLevel="0" collapsed="false">
      <c r="B834" s="15" t="n">
        <v>824</v>
      </c>
      <c r="C834" s="9" t="s">
        <v>53</v>
      </c>
      <c r="D834" s="9" t="s">
        <v>63</v>
      </c>
      <c r="E834" s="9" t="s">
        <v>2007</v>
      </c>
      <c r="F834" s="19" t="n">
        <f aca="false">IF('Base de Datos SACI'!U828="","",'Base de Datos SACI'!U828)</f>
        <v>125</v>
      </c>
      <c r="G834" s="15"/>
      <c r="H834" s="30"/>
      <c r="I834" s="31" t="str">
        <f aca="false">IF(OR($G834="",$G834=0),"",IFERROR(ROUND($F834*$G834*(1-IF($H834="",0,$H834)),2),""))</f>
        <v/>
      </c>
      <c r="J834" s="9"/>
    </row>
    <row r="835" customFormat="false" ht="21.75" hidden="false" customHeight="true" outlineLevel="0" collapsed="false">
      <c r="B835" s="14" t="n">
        <v>825</v>
      </c>
      <c r="C835" s="7" t="s">
        <v>53</v>
      </c>
      <c r="D835" s="7" t="s">
        <v>64</v>
      </c>
      <c r="E835" s="7" t="s">
        <v>2008</v>
      </c>
      <c r="F835" s="18" t="n">
        <f aca="false">IF('Base de Datos SACI'!U829="","",'Base de Datos SACI'!U829)</f>
        <v>17</v>
      </c>
      <c r="G835" s="14"/>
      <c r="H835" s="28"/>
      <c r="I835" s="29" t="str">
        <f aca="false">IF(OR($G835="",$G835=0),"",IFERROR(ROUND($F835*$G835*(1-IF($H835="",0,$H835)),2),""))</f>
        <v/>
      </c>
      <c r="J835" s="7"/>
    </row>
    <row r="836" customFormat="false" ht="21.75" hidden="false" customHeight="true" outlineLevel="0" collapsed="false">
      <c r="B836" s="15" t="n">
        <v>826</v>
      </c>
      <c r="C836" s="9" t="s">
        <v>53</v>
      </c>
      <c r="D836" s="9" t="s">
        <v>64</v>
      </c>
      <c r="E836" s="9" t="s">
        <v>2013</v>
      </c>
      <c r="F836" s="19" t="n">
        <f aca="false">IF('Base de Datos SACI'!U830="","",'Base de Datos SACI'!U830)</f>
        <v>25</v>
      </c>
      <c r="G836" s="15"/>
      <c r="H836" s="30"/>
      <c r="I836" s="31" t="str">
        <f aca="false">IF(OR($G836="",$G836=0),"",IFERROR(ROUND($F836*$G836*(1-IF($H836="",0,$H836)),2),""))</f>
        <v/>
      </c>
      <c r="J836" s="9"/>
    </row>
    <row r="837" customFormat="false" ht="21.75" hidden="false" customHeight="true" outlineLevel="0" collapsed="false">
      <c r="B837" s="14" t="n">
        <v>827</v>
      </c>
      <c r="C837" s="7" t="s">
        <v>53</v>
      </c>
      <c r="D837" s="7" t="s">
        <v>64</v>
      </c>
      <c r="E837" s="7" t="s">
        <v>2014</v>
      </c>
      <c r="F837" s="18" t="n">
        <f aca="false">IF('Base de Datos SACI'!U831="","",'Base de Datos SACI'!U831)</f>
        <v>30</v>
      </c>
      <c r="G837" s="14"/>
      <c r="H837" s="28"/>
      <c r="I837" s="29" t="str">
        <f aca="false">IF(OR($G837="",$G837=0),"",IFERROR(ROUND($F837*$G837*(1-IF($H837="",0,$H837)),2),""))</f>
        <v/>
      </c>
      <c r="J837" s="7"/>
    </row>
    <row r="838" customFormat="false" ht="21.75" hidden="false" customHeight="true" outlineLevel="0" collapsed="false">
      <c r="B838" s="15" t="n">
        <v>828</v>
      </c>
      <c r="C838" s="9" t="s">
        <v>53</v>
      </c>
      <c r="D838" s="9" t="s">
        <v>64</v>
      </c>
      <c r="E838" s="9" t="s">
        <v>2016</v>
      </c>
      <c r="F838" s="19" t="n">
        <f aca="false">IF('Base de Datos SACI'!U832="","",'Base de Datos SACI'!U832)</f>
        <v>50</v>
      </c>
      <c r="G838" s="15"/>
      <c r="H838" s="30"/>
      <c r="I838" s="31" t="str">
        <f aca="false">IF(OR($G838="",$G838=0),"",IFERROR(ROUND($F838*$G838*(1-IF($H838="",0,$H838)),2),""))</f>
        <v/>
      </c>
      <c r="J838" s="9"/>
    </row>
    <row r="839" customFormat="false" ht="21.75" hidden="false" customHeight="true" outlineLevel="0" collapsed="false">
      <c r="B839" s="14" t="n">
        <v>829</v>
      </c>
      <c r="C839" s="7" t="s">
        <v>53</v>
      </c>
      <c r="D839" s="7" t="s">
        <v>64</v>
      </c>
      <c r="E839" s="7" t="s">
        <v>2017</v>
      </c>
      <c r="F839" s="18" t="n">
        <f aca="false">IF('Base de Datos SACI'!U833="","",'Base de Datos SACI'!U833)</f>
        <v>70</v>
      </c>
      <c r="G839" s="14"/>
      <c r="H839" s="28"/>
      <c r="I839" s="29" t="str">
        <f aca="false">IF(OR($G839="",$G839=0),"",IFERROR(ROUND($F839*$G839*(1-IF($H839="",0,$H839)),2),""))</f>
        <v/>
      </c>
      <c r="J839" s="7"/>
    </row>
    <row r="840" customFormat="false" ht="21.75" hidden="false" customHeight="true" outlineLevel="0" collapsed="false">
      <c r="B840" s="15" t="n">
        <v>830</v>
      </c>
      <c r="C840" s="9" t="s">
        <v>53</v>
      </c>
      <c r="D840" s="9" t="s">
        <v>65</v>
      </c>
      <c r="E840" s="9" t="s">
        <v>2018</v>
      </c>
      <c r="F840" s="19" t="n">
        <f aca="false">IF('Base de Datos SACI'!U834="","",'Base de Datos SACI'!U834)</f>
        <v>19</v>
      </c>
      <c r="G840" s="15"/>
      <c r="H840" s="30"/>
      <c r="I840" s="31" t="str">
        <f aca="false">IF(OR($G840="",$G840=0),"",IFERROR(ROUND($F840*$G840*(1-IF($H840="",0,$H840)),2),""))</f>
        <v/>
      </c>
      <c r="J840" s="9"/>
    </row>
    <row r="841" customFormat="false" ht="21.75" hidden="false" customHeight="true" outlineLevel="0" collapsed="false">
      <c r="B841" s="14" t="n">
        <v>831</v>
      </c>
      <c r="C841" s="7" t="s">
        <v>53</v>
      </c>
      <c r="D841" s="7" t="s">
        <v>65</v>
      </c>
      <c r="E841" s="7" t="s">
        <v>2023</v>
      </c>
      <c r="F841" s="18" t="n">
        <f aca="false">IF('Base de Datos SACI'!U835="","",'Base de Datos SACI'!U835)</f>
        <v>25</v>
      </c>
      <c r="G841" s="14"/>
      <c r="H841" s="28"/>
      <c r="I841" s="29" t="str">
        <f aca="false">IF(OR($G841="",$G841=0),"",IFERROR(ROUND($F841*$G841*(1-IF($H841="",0,$H841)),2),""))</f>
        <v/>
      </c>
      <c r="J841" s="7"/>
    </row>
    <row r="842" customFormat="false" ht="21.75" hidden="false" customHeight="true" outlineLevel="0" collapsed="false">
      <c r="B842" s="15" t="n">
        <v>832</v>
      </c>
      <c r="C842" s="9" t="s">
        <v>53</v>
      </c>
      <c r="D842" s="9" t="s">
        <v>65</v>
      </c>
      <c r="E842" s="9" t="s">
        <v>2024</v>
      </c>
      <c r="F842" s="19" t="n">
        <f aca="false">IF('Base de Datos SACI'!U836="","",'Base de Datos SACI'!U836)</f>
        <v>35</v>
      </c>
      <c r="G842" s="15"/>
      <c r="H842" s="30"/>
      <c r="I842" s="31" t="str">
        <f aca="false">IF(OR($G842="",$G842=0),"",IFERROR(ROUND($F842*$G842*(1-IF($H842="",0,$H842)),2),""))</f>
        <v/>
      </c>
      <c r="J842" s="9"/>
    </row>
    <row r="843" customFormat="false" ht="21.75" hidden="false" customHeight="true" outlineLevel="0" collapsed="false">
      <c r="B843" s="14" t="n">
        <v>833</v>
      </c>
      <c r="C843" s="7" t="s">
        <v>53</v>
      </c>
      <c r="D843" s="7" t="s">
        <v>65</v>
      </c>
      <c r="E843" s="7" t="s">
        <v>2026</v>
      </c>
      <c r="F843" s="18" t="n">
        <f aca="false">IF('Base de Datos SACI'!U837="","",'Base de Datos SACI'!U837)</f>
        <v>55</v>
      </c>
      <c r="G843" s="14"/>
      <c r="H843" s="28"/>
      <c r="I843" s="29" t="str">
        <f aca="false">IF(OR($G843="",$G843=0),"",IFERROR(ROUND($F843*$G843*(1-IF($H843="",0,$H843)),2),""))</f>
        <v/>
      </c>
      <c r="J843" s="7"/>
    </row>
    <row r="844" customFormat="false" ht="21.75" hidden="false" customHeight="true" outlineLevel="0" collapsed="false">
      <c r="B844" s="15" t="n">
        <v>834</v>
      </c>
      <c r="C844" s="9" t="s">
        <v>53</v>
      </c>
      <c r="D844" s="9" t="s">
        <v>65</v>
      </c>
      <c r="E844" s="9" t="s">
        <v>2027</v>
      </c>
      <c r="F844" s="19" t="n">
        <f aca="false">IF('Base de Datos SACI'!U838="","",'Base de Datos SACI'!U838)</f>
        <v>80</v>
      </c>
      <c r="G844" s="15"/>
      <c r="H844" s="30"/>
      <c r="I844" s="31" t="str">
        <f aca="false">IF(OR($G844="",$G844=0),"",IFERROR(ROUND($F844*$G844*(1-IF($H844="",0,$H844)),2),""))</f>
        <v/>
      </c>
      <c r="J844" s="9"/>
    </row>
    <row r="845" customFormat="false" ht="21.75" hidden="false" customHeight="true" outlineLevel="0" collapsed="false">
      <c r="B845" s="14" t="n">
        <v>835</v>
      </c>
      <c r="C845" s="7" t="s">
        <v>53</v>
      </c>
      <c r="D845" s="7" t="s">
        <v>66</v>
      </c>
      <c r="E845" s="7" t="s">
        <v>2028</v>
      </c>
      <c r="F845" s="18" t="n">
        <f aca="false">IF('Base de Datos SACI'!U839="","",'Base de Datos SACI'!U839)</f>
        <v>25</v>
      </c>
      <c r="G845" s="14"/>
      <c r="H845" s="28"/>
      <c r="I845" s="29" t="str">
        <f aca="false">IF(OR($G845="",$G845=0),"",IFERROR(ROUND($F845*$G845*(1-IF($H845="",0,$H845)),2),""))</f>
        <v/>
      </c>
      <c r="J845" s="7"/>
    </row>
    <row r="846" customFormat="false" ht="21.75" hidden="false" customHeight="true" outlineLevel="0" collapsed="false">
      <c r="B846" s="15" t="n">
        <v>836</v>
      </c>
      <c r="C846" s="9" t="s">
        <v>53</v>
      </c>
      <c r="D846" s="9" t="s">
        <v>66</v>
      </c>
      <c r="E846" s="9" t="s">
        <v>2034</v>
      </c>
      <c r="F846" s="19" t="n">
        <f aca="false">IF('Base de Datos SACI'!U840="","",'Base de Datos SACI'!U840)</f>
        <v>35</v>
      </c>
      <c r="G846" s="15"/>
      <c r="H846" s="30"/>
      <c r="I846" s="31" t="str">
        <f aca="false">IF(OR($G846="",$G846=0),"",IFERROR(ROUND($F846*$G846*(1-IF($H846="",0,$H846)),2),""))</f>
        <v/>
      </c>
      <c r="J846" s="9"/>
    </row>
    <row r="847" customFormat="false" ht="21.75" hidden="false" customHeight="true" outlineLevel="0" collapsed="false">
      <c r="B847" s="14" t="n">
        <v>837</v>
      </c>
      <c r="C847" s="7" t="s">
        <v>53</v>
      </c>
      <c r="D847" s="7" t="s">
        <v>66</v>
      </c>
      <c r="E847" s="7" t="s">
        <v>2035</v>
      </c>
      <c r="F847" s="18" t="n">
        <f aca="false">IF('Base de Datos SACI'!U841="","",'Base de Datos SACI'!U841)</f>
        <v>50</v>
      </c>
      <c r="G847" s="14"/>
      <c r="H847" s="28"/>
      <c r="I847" s="29" t="str">
        <f aca="false">IF(OR($G847="",$G847=0),"",IFERROR(ROUND($F847*$G847*(1-IF($H847="",0,$H847)),2),""))</f>
        <v/>
      </c>
      <c r="J847" s="7"/>
    </row>
    <row r="848" customFormat="false" ht="21.75" hidden="false" customHeight="true" outlineLevel="0" collapsed="false">
      <c r="B848" s="15" t="n">
        <v>838</v>
      </c>
      <c r="C848" s="9" t="s">
        <v>53</v>
      </c>
      <c r="D848" s="9" t="s">
        <v>66</v>
      </c>
      <c r="E848" s="9" t="s">
        <v>2037</v>
      </c>
      <c r="F848" s="19" t="n">
        <f aca="false">IF('Base de Datos SACI'!U842="","",'Base de Datos SACI'!U842)</f>
        <v>75</v>
      </c>
      <c r="G848" s="15"/>
      <c r="H848" s="30"/>
      <c r="I848" s="31" t="str">
        <f aca="false">IF(OR($G848="",$G848=0),"",IFERROR(ROUND($F848*$G848*(1-IF($H848="",0,$H848)),2),""))</f>
        <v/>
      </c>
      <c r="J848" s="9"/>
    </row>
    <row r="849" customFormat="false" ht="21.75" hidden="false" customHeight="true" outlineLevel="0" collapsed="false">
      <c r="B849" s="14" t="n">
        <v>839</v>
      </c>
      <c r="C849" s="7" t="s">
        <v>53</v>
      </c>
      <c r="D849" s="7" t="s">
        <v>66</v>
      </c>
      <c r="E849" s="7" t="s">
        <v>2038</v>
      </c>
      <c r="F849" s="18" t="n">
        <f aca="false">IF('Base de Datos SACI'!U843="","",'Base de Datos SACI'!U843)</f>
        <v>110</v>
      </c>
      <c r="G849" s="14"/>
      <c r="H849" s="28"/>
      <c r="I849" s="29" t="str">
        <f aca="false">IF(OR($G849="",$G849=0),"",IFERROR(ROUND($F849*$G849*(1-IF($H849="",0,$H849)),2),""))</f>
        <v/>
      </c>
      <c r="J849" s="7"/>
    </row>
    <row r="850" customFormat="false" ht="21.75" hidden="false" customHeight="true" outlineLevel="0" collapsed="false">
      <c r="B850" s="15" t="n">
        <v>840</v>
      </c>
      <c r="C850" s="9" t="s">
        <v>53</v>
      </c>
      <c r="D850" s="9" t="s">
        <v>67</v>
      </c>
      <c r="E850" s="9" t="s">
        <v>2039</v>
      </c>
      <c r="F850" s="19" t="n">
        <f aca="false">IF('Base de Datos SACI'!U844="","",'Base de Datos SACI'!U844)</f>
        <v>12</v>
      </c>
      <c r="G850" s="15"/>
      <c r="H850" s="30"/>
      <c r="I850" s="31" t="str">
        <f aca="false">IF(OR($G850="",$G850=0),"",IFERROR(ROUND($F850*$G850*(1-IF($H850="",0,$H850)),2),""))</f>
        <v/>
      </c>
      <c r="J850" s="9"/>
    </row>
    <row r="851" customFormat="false" ht="21.75" hidden="false" customHeight="true" outlineLevel="0" collapsed="false">
      <c r="B851" s="14" t="n">
        <v>841</v>
      </c>
      <c r="C851" s="7" t="s">
        <v>53</v>
      </c>
      <c r="D851" s="7" t="s">
        <v>67</v>
      </c>
      <c r="E851" s="7" t="s">
        <v>2044</v>
      </c>
      <c r="F851" s="18" t="n">
        <f aca="false">IF('Base de Datos SACI'!U845="","",'Base de Datos SACI'!U845)</f>
        <v>18</v>
      </c>
      <c r="G851" s="14"/>
      <c r="H851" s="28"/>
      <c r="I851" s="29" t="str">
        <f aca="false">IF(OR($G851="",$G851=0),"",IFERROR(ROUND($F851*$G851*(1-IF($H851="",0,$H851)),2),""))</f>
        <v/>
      </c>
      <c r="J851" s="7"/>
    </row>
    <row r="852" customFormat="false" ht="21.75" hidden="false" customHeight="true" outlineLevel="0" collapsed="false">
      <c r="B852" s="15" t="n">
        <v>842</v>
      </c>
      <c r="C852" s="9" t="s">
        <v>53</v>
      </c>
      <c r="D852" s="9" t="s">
        <v>67</v>
      </c>
      <c r="E852" s="9" t="s">
        <v>2017</v>
      </c>
      <c r="F852" s="19" t="n">
        <f aca="false">IF('Base de Datos SACI'!U846="","",'Base de Datos SACI'!U846)</f>
        <v>20</v>
      </c>
      <c r="G852" s="15"/>
      <c r="H852" s="30"/>
      <c r="I852" s="31" t="str">
        <f aca="false">IF(OR($G852="",$G852=0),"",IFERROR(ROUND($F852*$G852*(1-IF($H852="",0,$H852)),2),""))</f>
        <v/>
      </c>
      <c r="J852" s="9"/>
    </row>
    <row r="853" customFormat="false" ht="21.75" hidden="false" customHeight="true" outlineLevel="0" collapsed="false">
      <c r="B853" s="14" t="n">
        <v>843</v>
      </c>
      <c r="C853" s="7" t="s">
        <v>53</v>
      </c>
      <c r="D853" s="7" t="s">
        <v>67</v>
      </c>
      <c r="E853" s="7" t="s">
        <v>2045</v>
      </c>
      <c r="F853" s="18" t="n">
        <f aca="false">IF('Base de Datos SACI'!U847="","",'Base de Datos SACI'!U847)</f>
        <v>35</v>
      </c>
      <c r="G853" s="14"/>
      <c r="H853" s="28"/>
      <c r="I853" s="29" t="str">
        <f aca="false">IF(OR($G853="",$G853=0),"",IFERROR(ROUND($F853*$G853*(1-IF($H853="",0,$H853)),2),""))</f>
        <v/>
      </c>
      <c r="J853" s="7"/>
    </row>
    <row r="854" customFormat="false" ht="21.75" hidden="false" customHeight="true" outlineLevel="0" collapsed="false">
      <c r="B854" s="15" t="n">
        <v>844</v>
      </c>
      <c r="C854" s="9" t="s">
        <v>53</v>
      </c>
      <c r="D854" s="9" t="s">
        <v>67</v>
      </c>
      <c r="E854" s="9" t="s">
        <v>2046</v>
      </c>
      <c r="F854" s="19" t="n">
        <f aca="false">IF('Base de Datos SACI'!U848="","",'Base de Datos SACI'!U848)</f>
        <v>50</v>
      </c>
      <c r="G854" s="15"/>
      <c r="H854" s="30"/>
      <c r="I854" s="31" t="str">
        <f aca="false">IF(OR($G854="",$G854=0),"",IFERROR(ROUND($F854*$G854*(1-IF($H854="",0,$H854)),2),""))</f>
        <v/>
      </c>
      <c r="J854" s="9"/>
    </row>
    <row r="855" customFormat="false" ht="21.75" hidden="false" customHeight="true" outlineLevel="0" collapsed="false">
      <c r="B855" s="14" t="n">
        <v>845</v>
      </c>
      <c r="C855" s="7" t="s">
        <v>53</v>
      </c>
      <c r="D855" s="7" t="s">
        <v>68</v>
      </c>
      <c r="E855" s="7" t="s">
        <v>391</v>
      </c>
      <c r="F855" s="18" t="str">
        <f aca="false">IF('Base de Datos SACI'!U849="","",'Base de Datos SACI'!U849)</f>
        <v/>
      </c>
      <c r="G855" s="14"/>
      <c r="H855" s="28"/>
      <c r="I855" s="29" t="str">
        <f aca="false">IF(OR($G855="",$G855=0),"",IFERROR(ROUND($F855*$G855*(1-IF($H855="",0,$H855)),2),""))</f>
        <v/>
      </c>
      <c r="J855" s="7"/>
    </row>
    <row r="856" customFormat="false" ht="21.75" hidden="false" customHeight="true" outlineLevel="0" collapsed="false">
      <c r="B856" s="15" t="n">
        <v>846</v>
      </c>
      <c r="C856" s="9" t="s">
        <v>53</v>
      </c>
      <c r="D856" s="9" t="s">
        <v>69</v>
      </c>
      <c r="E856" s="9" t="s">
        <v>2048</v>
      </c>
      <c r="F856" s="19" t="n">
        <f aca="false">IF('Base de Datos SACI'!U850="","",'Base de Datos SACI'!U850)</f>
        <v>30</v>
      </c>
      <c r="G856" s="15"/>
      <c r="H856" s="30"/>
      <c r="I856" s="31" t="str">
        <f aca="false">IF(OR($G856="",$G856=0),"",IFERROR(ROUND($F856*$G856*(1-IF($H856="",0,$H856)),2),""))</f>
        <v/>
      </c>
      <c r="J856" s="9"/>
    </row>
    <row r="857" customFormat="false" ht="21.75" hidden="false" customHeight="true" outlineLevel="0" collapsed="false">
      <c r="B857" s="14" t="n">
        <v>847</v>
      </c>
      <c r="C857" s="7" t="s">
        <v>53</v>
      </c>
      <c r="D857" s="7" t="s">
        <v>69</v>
      </c>
      <c r="E857" s="7" t="s">
        <v>2052</v>
      </c>
      <c r="F857" s="18" t="n">
        <f aca="false">IF('Base de Datos SACI'!U851="","",'Base de Datos SACI'!U851)</f>
        <v>45</v>
      </c>
      <c r="G857" s="14"/>
      <c r="H857" s="28"/>
      <c r="I857" s="29" t="str">
        <f aca="false">IF(OR($G857="",$G857=0),"",IFERROR(ROUND($F857*$G857*(1-IF($H857="",0,$H857)),2),""))</f>
        <v/>
      </c>
      <c r="J857" s="7"/>
    </row>
    <row r="858" customFormat="false" ht="21.75" hidden="false" customHeight="true" outlineLevel="0" collapsed="false">
      <c r="B858" s="15" t="n">
        <v>848</v>
      </c>
      <c r="C858" s="9" t="s">
        <v>53</v>
      </c>
      <c r="D858" s="9" t="s">
        <v>69</v>
      </c>
      <c r="E858" s="9" t="s">
        <v>2053</v>
      </c>
      <c r="F858" s="19" t="n">
        <f aca="false">IF('Base de Datos SACI'!U852="","",'Base de Datos SACI'!U852)</f>
        <v>60</v>
      </c>
      <c r="G858" s="15"/>
      <c r="H858" s="30"/>
      <c r="I858" s="31" t="str">
        <f aca="false">IF(OR($G858="",$G858=0),"",IFERROR(ROUND($F858*$G858*(1-IF($H858="",0,$H858)),2),""))</f>
        <v/>
      </c>
      <c r="J858" s="9"/>
    </row>
    <row r="859" customFormat="false" ht="21.75" hidden="false" customHeight="true" outlineLevel="0" collapsed="false">
      <c r="B859" s="14" t="n">
        <v>849</v>
      </c>
      <c r="C859" s="7" t="s">
        <v>53</v>
      </c>
      <c r="D859" s="7" t="s">
        <v>69</v>
      </c>
      <c r="E859" s="7" t="s">
        <v>2054</v>
      </c>
      <c r="F859" s="18" t="n">
        <f aca="false">IF('Base de Datos SACI'!U853="","",'Base de Datos SACI'!U853)</f>
        <v>90</v>
      </c>
      <c r="G859" s="14"/>
      <c r="H859" s="28"/>
      <c r="I859" s="29" t="str">
        <f aca="false">IF(OR($G859="",$G859=0),"",IFERROR(ROUND($F859*$G859*(1-IF($H859="",0,$H859)),2),""))</f>
        <v/>
      </c>
      <c r="J859" s="7"/>
    </row>
    <row r="860" customFormat="false" ht="21.75" hidden="false" customHeight="true" outlineLevel="0" collapsed="false">
      <c r="B860" s="15" t="n">
        <v>850</v>
      </c>
      <c r="C860" s="9" t="s">
        <v>53</v>
      </c>
      <c r="D860" s="9" t="s">
        <v>69</v>
      </c>
      <c r="E860" s="9" t="s">
        <v>2055</v>
      </c>
      <c r="F860" s="19" t="n">
        <f aca="false">IF('Base de Datos SACI'!U854="","",'Base de Datos SACI'!U854)</f>
        <v>135</v>
      </c>
      <c r="G860" s="15"/>
      <c r="H860" s="30"/>
      <c r="I860" s="31" t="str">
        <f aca="false">IF(OR($G860="",$G860=0),"",IFERROR(ROUND($F860*$G860*(1-IF($H860="",0,$H860)),2),""))</f>
        <v/>
      </c>
      <c r="J860" s="9"/>
    </row>
    <row r="861" customFormat="false" ht="21.75" hidden="false" customHeight="true" outlineLevel="0" collapsed="false">
      <c r="B861" s="14" t="n">
        <v>851</v>
      </c>
      <c r="C861" s="7" t="s">
        <v>53</v>
      </c>
      <c r="D861" s="7" t="s">
        <v>70</v>
      </c>
      <c r="E861" s="7" t="s">
        <v>391</v>
      </c>
      <c r="F861" s="18" t="str">
        <f aca="false">IF('Base de Datos SACI'!U855="","",'Base de Datos SACI'!U855)</f>
        <v/>
      </c>
      <c r="G861" s="14"/>
      <c r="H861" s="28"/>
      <c r="I861" s="29" t="str">
        <f aca="false">IF(OR($G861="",$G861=0),"",IFERROR(ROUND($F861*$G861*(1-IF($H861="",0,$H861)),2),""))</f>
        <v/>
      </c>
      <c r="J861" s="7"/>
    </row>
    <row r="862" customFormat="false" ht="21.75" hidden="false" customHeight="true" outlineLevel="0" collapsed="false">
      <c r="B862" s="15" t="n">
        <v>852</v>
      </c>
      <c r="C862" s="9" t="s">
        <v>53</v>
      </c>
      <c r="D862" s="9" t="s">
        <v>71</v>
      </c>
      <c r="E862" s="9" t="s">
        <v>391</v>
      </c>
      <c r="F862" s="19" t="str">
        <f aca="false">IF('Base de Datos SACI'!U856="","",'Base de Datos SACI'!U856)</f>
        <v/>
      </c>
      <c r="G862" s="15"/>
      <c r="H862" s="30"/>
      <c r="I862" s="31" t="str">
        <f aca="false">IF(OR($G862="",$G862=0),"",IFERROR(ROUND($F862*$G862*(1-IF($H862="",0,$H862)),2),""))</f>
        <v/>
      </c>
      <c r="J862" s="9"/>
    </row>
    <row r="863" customFormat="false" ht="21.75" hidden="false" customHeight="true" outlineLevel="0" collapsed="false">
      <c r="B863" s="14" t="n">
        <v>853</v>
      </c>
      <c r="C863" s="7" t="s">
        <v>53</v>
      </c>
      <c r="D863" s="7" t="s">
        <v>72</v>
      </c>
      <c r="E863" s="7" t="s">
        <v>391</v>
      </c>
      <c r="F863" s="18" t="str">
        <f aca="false">IF('Base de Datos SACI'!U857="","",'Base de Datos SACI'!U857)</f>
        <v/>
      </c>
      <c r="G863" s="14"/>
      <c r="H863" s="28"/>
      <c r="I863" s="29" t="str">
        <f aca="false">IF(OR($G863="",$G863=0),"",IFERROR(ROUND($F863*$G863*(1-IF($H863="",0,$H863)),2),""))</f>
        <v/>
      </c>
      <c r="J863" s="7"/>
    </row>
    <row r="864" customFormat="false" ht="21.75" hidden="false" customHeight="true" outlineLevel="0" collapsed="false">
      <c r="B864" s="15" t="n">
        <v>854</v>
      </c>
      <c r="C864" s="9" t="s">
        <v>53</v>
      </c>
      <c r="D864" s="9" t="s">
        <v>73</v>
      </c>
      <c r="E864" s="9" t="s">
        <v>2059</v>
      </c>
      <c r="F864" s="19" t="n">
        <f aca="false">IF('Base de Datos SACI'!U858="","",'Base de Datos SACI'!U858)</f>
        <v>20</v>
      </c>
      <c r="G864" s="15"/>
      <c r="H864" s="30"/>
      <c r="I864" s="31" t="str">
        <f aca="false">IF(OR($G864="",$G864=0),"",IFERROR(ROUND($F864*$G864*(1-IF($H864="",0,$H864)),2),""))</f>
        <v/>
      </c>
      <c r="J864" s="9"/>
    </row>
    <row r="865" customFormat="false" ht="21.75" hidden="false" customHeight="true" outlineLevel="0" collapsed="false">
      <c r="B865" s="14" t="n">
        <v>855</v>
      </c>
      <c r="C865" s="7" t="s">
        <v>53</v>
      </c>
      <c r="D865" s="7" t="s">
        <v>73</v>
      </c>
      <c r="E865" s="7" t="s">
        <v>2066</v>
      </c>
      <c r="F865" s="18" t="n">
        <f aca="false">IF('Base de Datos SACI'!U859="","",'Base de Datos SACI'!U859)</f>
        <v>35</v>
      </c>
      <c r="G865" s="14"/>
      <c r="H865" s="28"/>
      <c r="I865" s="29" t="str">
        <f aca="false">IF(OR($G865="",$G865=0),"",IFERROR(ROUND($F865*$G865*(1-IF($H865="",0,$H865)),2),""))</f>
        <v/>
      </c>
      <c r="J865" s="7"/>
    </row>
    <row r="866" customFormat="false" ht="21.75" hidden="false" customHeight="true" outlineLevel="0" collapsed="false">
      <c r="B866" s="15" t="n">
        <v>856</v>
      </c>
      <c r="C866" s="9" t="s">
        <v>53</v>
      </c>
      <c r="D866" s="9" t="s">
        <v>73</v>
      </c>
      <c r="E866" s="9" t="s">
        <v>2067</v>
      </c>
      <c r="F866" s="19" t="n">
        <f aca="false">IF('Base de Datos SACI'!U860="","",'Base de Datos SACI'!U860)</f>
        <v>45</v>
      </c>
      <c r="G866" s="15"/>
      <c r="H866" s="30"/>
      <c r="I866" s="31" t="str">
        <f aca="false">IF(OR($G866="",$G866=0),"",IFERROR(ROUND($F866*$G866*(1-IF($H866="",0,$H866)),2),""))</f>
        <v/>
      </c>
      <c r="J866" s="9"/>
    </row>
    <row r="867" customFormat="false" ht="21.75" hidden="false" customHeight="true" outlineLevel="0" collapsed="false">
      <c r="B867" s="14" t="n">
        <v>857</v>
      </c>
      <c r="C867" s="7" t="s">
        <v>53</v>
      </c>
      <c r="D867" s="7" t="s">
        <v>73</v>
      </c>
      <c r="E867" s="7" t="s">
        <v>2069</v>
      </c>
      <c r="F867" s="18" t="n">
        <f aca="false">IF('Base de Datos SACI'!U861="","",'Base de Datos SACI'!U861)</f>
        <v>70</v>
      </c>
      <c r="G867" s="14"/>
      <c r="H867" s="28"/>
      <c r="I867" s="29" t="str">
        <f aca="false">IF(OR($G867="",$G867=0),"",IFERROR(ROUND($F867*$G867*(1-IF($H867="",0,$H867)),2),""))</f>
        <v/>
      </c>
      <c r="J867" s="7"/>
    </row>
    <row r="868" customFormat="false" ht="21.75" hidden="false" customHeight="true" outlineLevel="0" collapsed="false">
      <c r="B868" s="15" t="n">
        <v>858</v>
      </c>
      <c r="C868" s="9" t="s">
        <v>53</v>
      </c>
      <c r="D868" s="9" t="s">
        <v>73</v>
      </c>
      <c r="E868" s="9" t="s">
        <v>2070</v>
      </c>
      <c r="F868" s="19" t="n">
        <f aca="false">IF('Base de Datos SACI'!U862="","",'Base de Datos SACI'!U862)</f>
        <v>105</v>
      </c>
      <c r="G868" s="15"/>
      <c r="H868" s="30"/>
      <c r="I868" s="31" t="str">
        <f aca="false">IF(OR($G868="",$G868=0),"",IFERROR(ROUND($F868*$G868*(1-IF($H868="",0,$H868)),2),""))</f>
        <v/>
      </c>
      <c r="J868" s="9"/>
    </row>
    <row r="869" customFormat="false" ht="21.75" hidden="false" customHeight="true" outlineLevel="0" collapsed="false">
      <c r="B869" s="14" t="n">
        <v>859</v>
      </c>
      <c r="C869" s="7" t="s">
        <v>53</v>
      </c>
      <c r="D869" s="7" t="s">
        <v>74</v>
      </c>
      <c r="E869" s="7" t="s">
        <v>391</v>
      </c>
      <c r="F869" s="18" t="str">
        <f aca="false">IF('Base de Datos SACI'!U863="","",'Base de Datos SACI'!U863)</f>
        <v/>
      </c>
      <c r="G869" s="14"/>
      <c r="H869" s="28"/>
      <c r="I869" s="29" t="str">
        <f aca="false">IF(OR($G869="",$G869=0),"",IFERROR(ROUND($F869*$G869*(1-IF($H869="",0,$H869)),2),""))</f>
        <v/>
      </c>
      <c r="J869" s="7"/>
    </row>
    <row r="870" customFormat="false" ht="21.75" hidden="false" customHeight="true" outlineLevel="0" collapsed="false">
      <c r="B870" s="15" t="n">
        <v>860</v>
      </c>
      <c r="C870" s="9" t="s">
        <v>53</v>
      </c>
      <c r="D870" s="9" t="s">
        <v>75</v>
      </c>
      <c r="E870" s="9" t="s">
        <v>391</v>
      </c>
      <c r="F870" s="19" t="str">
        <f aca="false">IF('Base de Datos SACI'!U864="","",'Base de Datos SACI'!U864)</f>
        <v/>
      </c>
      <c r="G870" s="15"/>
      <c r="H870" s="30"/>
      <c r="I870" s="31" t="str">
        <f aca="false">IF(OR($G870="",$G870=0),"",IFERROR(ROUND($F870*$G870*(1-IF($H870="",0,$H870)),2),""))</f>
        <v/>
      </c>
      <c r="J870" s="9"/>
    </row>
    <row r="871" customFormat="false" ht="21.75" hidden="false" customHeight="true" outlineLevel="0" collapsed="false">
      <c r="B871" s="14" t="n">
        <v>861</v>
      </c>
      <c r="C871" s="7" t="s">
        <v>54</v>
      </c>
      <c r="D871" s="7" t="s">
        <v>60</v>
      </c>
      <c r="E871" s="7" t="s">
        <v>2073</v>
      </c>
      <c r="F871" s="18" t="n">
        <f aca="false">IF('Base de Datos SACI'!U865="","",'Base de Datos SACI'!U865)</f>
        <v>155</v>
      </c>
      <c r="G871" s="14"/>
      <c r="H871" s="28"/>
      <c r="I871" s="29" t="str">
        <f aca="false">IF(OR($G871="",$G871=0),"",IFERROR(ROUND($F871*$G871*(1-IF($H871="",0,$H871)),2),""))</f>
        <v/>
      </c>
      <c r="J871" s="7"/>
    </row>
    <row r="872" customFormat="false" ht="21.75" hidden="false" customHeight="true" outlineLevel="0" collapsed="false">
      <c r="B872" s="15" t="n">
        <v>862</v>
      </c>
      <c r="C872" s="9" t="s">
        <v>54</v>
      </c>
      <c r="D872" s="9" t="s">
        <v>60</v>
      </c>
      <c r="E872" s="9" t="s">
        <v>2085</v>
      </c>
      <c r="F872" s="19" t="n">
        <f aca="false">IF('Base de Datos SACI'!U866="","",'Base de Datos SACI'!U866)</f>
        <v>230</v>
      </c>
      <c r="G872" s="15"/>
      <c r="H872" s="30"/>
      <c r="I872" s="31" t="str">
        <f aca="false">IF(OR($G872="",$G872=0),"",IFERROR(ROUND($F872*$G872*(1-IF($H872="",0,$H872)),2),""))</f>
        <v/>
      </c>
      <c r="J872" s="9"/>
    </row>
    <row r="873" customFormat="false" ht="21.75" hidden="false" customHeight="true" outlineLevel="0" collapsed="false">
      <c r="B873" s="14" t="n">
        <v>863</v>
      </c>
      <c r="C873" s="7" t="s">
        <v>54</v>
      </c>
      <c r="D873" s="7" t="s">
        <v>60</v>
      </c>
      <c r="E873" s="7" t="s">
        <v>2086</v>
      </c>
      <c r="F873" s="18" t="n">
        <f aca="false">IF('Base de Datos SACI'!U867="","",'Base de Datos SACI'!U867)</f>
        <v>310</v>
      </c>
      <c r="G873" s="14"/>
      <c r="H873" s="28"/>
      <c r="I873" s="29" t="str">
        <f aca="false">IF(OR($G873="",$G873=0),"",IFERROR(ROUND($F873*$G873*(1-IF($H873="",0,$H873)),2),""))</f>
        <v/>
      </c>
      <c r="J873" s="7"/>
    </row>
    <row r="874" customFormat="false" ht="21.75" hidden="false" customHeight="true" outlineLevel="0" collapsed="false">
      <c r="B874" s="15" t="n">
        <v>864</v>
      </c>
      <c r="C874" s="9" t="s">
        <v>54</v>
      </c>
      <c r="D874" s="9" t="s">
        <v>60</v>
      </c>
      <c r="E874" s="9" t="s">
        <v>2088</v>
      </c>
      <c r="F874" s="19" t="n">
        <f aca="false">IF('Base de Datos SACI'!U868="","",'Base de Datos SACI'!U868)</f>
        <v>465</v>
      </c>
      <c r="G874" s="15"/>
      <c r="H874" s="30"/>
      <c r="I874" s="31" t="str">
        <f aca="false">IF(OR($G874="",$G874=0),"",IFERROR(ROUND($F874*$G874*(1-IF($H874="",0,$H874)),2),""))</f>
        <v/>
      </c>
      <c r="J874" s="9"/>
    </row>
    <row r="875" customFormat="false" ht="21.75" hidden="false" customHeight="true" outlineLevel="0" collapsed="false">
      <c r="B875" s="14" t="n">
        <v>865</v>
      </c>
      <c r="C875" s="7" t="s">
        <v>54</v>
      </c>
      <c r="D875" s="7" t="s">
        <v>60</v>
      </c>
      <c r="E875" s="7" t="s">
        <v>2089</v>
      </c>
      <c r="F875" s="18" t="n">
        <f aca="false">IF('Base de Datos SACI'!U869="","",'Base de Datos SACI'!U869)</f>
        <v>680</v>
      </c>
      <c r="G875" s="14"/>
      <c r="H875" s="28"/>
      <c r="I875" s="29" t="str">
        <f aca="false">IF(OR($G875="",$G875=0),"",IFERROR(ROUND($F875*$G875*(1-IF($H875="",0,$H875)),2),""))</f>
        <v/>
      </c>
      <c r="J875" s="7"/>
    </row>
    <row r="876" customFormat="false" ht="21.75" hidden="false" customHeight="true" outlineLevel="0" collapsed="false">
      <c r="B876" s="15" t="n">
        <v>866</v>
      </c>
      <c r="C876" s="9" t="s">
        <v>54</v>
      </c>
      <c r="D876" s="9" t="s">
        <v>61</v>
      </c>
      <c r="E876" s="9" t="s">
        <v>391</v>
      </c>
      <c r="F876" s="19" t="str">
        <f aca="false">IF('Base de Datos SACI'!U870="","",'Base de Datos SACI'!U870)</f>
        <v/>
      </c>
      <c r="G876" s="15"/>
      <c r="H876" s="30"/>
      <c r="I876" s="31" t="str">
        <f aca="false">IF(OR($G876="",$G876=0),"",IFERROR(ROUND($F876*$G876*(1-IF($H876="",0,$H876)),2),""))</f>
        <v/>
      </c>
      <c r="J876" s="9"/>
    </row>
    <row r="877" customFormat="false" ht="21.75" hidden="false" customHeight="true" outlineLevel="0" collapsed="false">
      <c r="B877" s="14" t="n">
        <v>867</v>
      </c>
      <c r="C877" s="7" t="s">
        <v>54</v>
      </c>
      <c r="D877" s="7" t="s">
        <v>62</v>
      </c>
      <c r="E877" s="7" t="s">
        <v>391</v>
      </c>
      <c r="F877" s="18" t="str">
        <f aca="false">IF('Base de Datos SACI'!U871="","",'Base de Datos SACI'!U871)</f>
        <v/>
      </c>
      <c r="G877" s="14"/>
      <c r="H877" s="28"/>
      <c r="I877" s="29" t="str">
        <f aca="false">IF(OR($G877="",$G877=0),"",IFERROR(ROUND($F877*$G877*(1-IF($H877="",0,$H877)),2),""))</f>
        <v/>
      </c>
      <c r="J877" s="7"/>
    </row>
    <row r="878" customFormat="false" ht="21.75" hidden="false" customHeight="true" outlineLevel="0" collapsed="false">
      <c r="B878" s="15" t="n">
        <v>868</v>
      </c>
      <c r="C878" s="9" t="s">
        <v>54</v>
      </c>
      <c r="D878" s="9" t="s">
        <v>63</v>
      </c>
      <c r="E878" s="9" t="s">
        <v>2092</v>
      </c>
      <c r="F878" s="19" t="n">
        <f aca="false">IF('Base de Datos SACI'!U872="","",'Base de Datos SACI'!U872)</f>
        <v>65</v>
      </c>
      <c r="G878" s="15"/>
      <c r="H878" s="30"/>
      <c r="I878" s="31" t="str">
        <f aca="false">IF(OR($G878="",$G878=0),"",IFERROR(ROUND($F878*$G878*(1-IF($H878="",0,$H878)),2),""))</f>
        <v/>
      </c>
      <c r="J878" s="9"/>
    </row>
    <row r="879" customFormat="false" ht="21.75" hidden="false" customHeight="true" outlineLevel="0" collapsed="false">
      <c r="B879" s="14" t="n">
        <v>869</v>
      </c>
      <c r="C879" s="7" t="s">
        <v>54</v>
      </c>
      <c r="D879" s="7" t="s">
        <v>63</v>
      </c>
      <c r="E879" s="7" t="s">
        <v>2102</v>
      </c>
      <c r="F879" s="18" t="n">
        <f aca="false">IF('Base de Datos SACI'!U873="","",'Base de Datos SACI'!U873)</f>
        <v>100</v>
      </c>
      <c r="G879" s="14"/>
      <c r="H879" s="28"/>
      <c r="I879" s="29" t="str">
        <f aca="false">IF(OR($G879="",$G879=0),"",IFERROR(ROUND($F879*$G879*(1-IF($H879="",0,$H879)),2),""))</f>
        <v/>
      </c>
      <c r="J879" s="7"/>
    </row>
    <row r="880" customFormat="false" ht="21.75" hidden="false" customHeight="true" outlineLevel="0" collapsed="false">
      <c r="B880" s="15" t="n">
        <v>870</v>
      </c>
      <c r="C880" s="9" t="s">
        <v>54</v>
      </c>
      <c r="D880" s="9" t="s">
        <v>63</v>
      </c>
      <c r="E880" s="9" t="s">
        <v>2103</v>
      </c>
      <c r="F880" s="19" t="n">
        <f aca="false">IF('Base de Datos SACI'!U874="","",'Base de Datos SACI'!U874)</f>
        <v>135</v>
      </c>
      <c r="G880" s="15"/>
      <c r="H880" s="30"/>
      <c r="I880" s="31" t="str">
        <f aca="false">IF(OR($G880="",$G880=0),"",IFERROR(ROUND($F880*$G880*(1-IF($H880="",0,$H880)),2),""))</f>
        <v/>
      </c>
      <c r="J880" s="9"/>
    </row>
    <row r="881" customFormat="false" ht="21.75" hidden="false" customHeight="true" outlineLevel="0" collapsed="false">
      <c r="B881" s="14" t="n">
        <v>871</v>
      </c>
      <c r="C881" s="7" t="s">
        <v>54</v>
      </c>
      <c r="D881" s="7" t="s">
        <v>63</v>
      </c>
      <c r="E881" s="7" t="s">
        <v>2105</v>
      </c>
      <c r="F881" s="18" t="n">
        <f aca="false">IF('Base de Datos SACI'!U875="","",'Base de Datos SACI'!U875)</f>
        <v>200</v>
      </c>
      <c r="G881" s="14"/>
      <c r="H881" s="28"/>
      <c r="I881" s="29" t="str">
        <f aca="false">IF(OR($G881="",$G881=0),"",IFERROR(ROUND($F881*$G881*(1-IF($H881="",0,$H881)),2),""))</f>
        <v/>
      </c>
      <c r="J881" s="7"/>
    </row>
    <row r="882" customFormat="false" ht="21.75" hidden="false" customHeight="true" outlineLevel="0" collapsed="false">
      <c r="B882" s="15" t="n">
        <v>872</v>
      </c>
      <c r="C882" s="9" t="s">
        <v>54</v>
      </c>
      <c r="D882" s="9" t="s">
        <v>63</v>
      </c>
      <c r="E882" s="9" t="s">
        <v>2106</v>
      </c>
      <c r="F882" s="19" t="n">
        <f aca="false">IF('Base de Datos SACI'!U876="","",'Base de Datos SACI'!U876)</f>
        <v>295</v>
      </c>
      <c r="G882" s="15"/>
      <c r="H882" s="30"/>
      <c r="I882" s="31" t="str">
        <f aca="false">IF(OR($G882="",$G882=0),"",IFERROR(ROUND($F882*$G882*(1-IF($H882="",0,$H882)),2),""))</f>
        <v/>
      </c>
      <c r="J882" s="9"/>
    </row>
    <row r="883" customFormat="false" ht="21.75" hidden="false" customHeight="true" outlineLevel="0" collapsed="false">
      <c r="B883" s="14" t="n">
        <v>873</v>
      </c>
      <c r="C883" s="7" t="s">
        <v>54</v>
      </c>
      <c r="D883" s="7" t="s">
        <v>64</v>
      </c>
      <c r="E883" s="7" t="s">
        <v>2107</v>
      </c>
      <c r="F883" s="18" t="n">
        <f aca="false">IF('Base de Datos SACI'!U877="","",'Base de Datos SACI'!U877)</f>
        <v>20</v>
      </c>
      <c r="G883" s="14"/>
      <c r="H883" s="28"/>
      <c r="I883" s="29" t="str">
        <f aca="false">IF(OR($G883="",$G883=0),"",IFERROR(ROUND($F883*$G883*(1-IF($H883="",0,$H883)),2),""))</f>
        <v/>
      </c>
      <c r="J883" s="7"/>
    </row>
    <row r="884" customFormat="false" ht="21.75" hidden="false" customHeight="true" outlineLevel="0" collapsed="false">
      <c r="B884" s="15" t="n">
        <v>874</v>
      </c>
      <c r="C884" s="9" t="s">
        <v>54</v>
      </c>
      <c r="D884" s="9" t="s">
        <v>64</v>
      </c>
      <c r="E884" s="9" t="s">
        <v>2111</v>
      </c>
      <c r="F884" s="19" t="n">
        <f aca="false">IF('Base de Datos SACI'!U878="","",'Base de Datos SACI'!U878)</f>
        <v>35</v>
      </c>
      <c r="G884" s="15"/>
      <c r="H884" s="30"/>
      <c r="I884" s="31" t="str">
        <f aca="false">IF(OR($G884="",$G884=0),"",IFERROR(ROUND($F884*$G884*(1-IF($H884="",0,$H884)),2),""))</f>
        <v/>
      </c>
      <c r="J884" s="9"/>
    </row>
    <row r="885" customFormat="false" ht="21.75" hidden="false" customHeight="true" outlineLevel="0" collapsed="false">
      <c r="B885" s="14" t="n">
        <v>875</v>
      </c>
      <c r="C885" s="7" t="s">
        <v>54</v>
      </c>
      <c r="D885" s="7" t="s">
        <v>64</v>
      </c>
      <c r="E885" s="7" t="s">
        <v>2112</v>
      </c>
      <c r="F885" s="18" t="n">
        <f aca="false">IF('Base de Datos SACI'!U879="","",'Base de Datos SACI'!U879)</f>
        <v>45</v>
      </c>
      <c r="G885" s="14"/>
      <c r="H885" s="28"/>
      <c r="I885" s="29" t="str">
        <f aca="false">IF(OR($G885="",$G885=0),"",IFERROR(ROUND($F885*$G885*(1-IF($H885="",0,$H885)),2),""))</f>
        <v/>
      </c>
      <c r="J885" s="7"/>
    </row>
    <row r="886" customFormat="false" ht="21.75" hidden="false" customHeight="true" outlineLevel="0" collapsed="false">
      <c r="B886" s="15" t="n">
        <v>876</v>
      </c>
      <c r="C886" s="9" t="s">
        <v>54</v>
      </c>
      <c r="D886" s="9" t="s">
        <v>64</v>
      </c>
      <c r="E886" s="9" t="s">
        <v>2114</v>
      </c>
      <c r="F886" s="19" t="n">
        <f aca="false">IF('Base de Datos SACI'!U880="","",'Base de Datos SACI'!U880)</f>
        <v>70</v>
      </c>
      <c r="G886" s="15"/>
      <c r="H886" s="30"/>
      <c r="I886" s="31" t="str">
        <f aca="false">IF(OR($G886="",$G886=0),"",IFERROR(ROUND($F886*$G886*(1-IF($H886="",0,$H886)),2),""))</f>
        <v/>
      </c>
      <c r="J886" s="9"/>
    </row>
    <row r="887" customFormat="false" ht="21.75" hidden="false" customHeight="true" outlineLevel="0" collapsed="false">
      <c r="B887" s="14" t="n">
        <v>877</v>
      </c>
      <c r="C887" s="7" t="s">
        <v>54</v>
      </c>
      <c r="D887" s="7" t="s">
        <v>64</v>
      </c>
      <c r="E887" s="7" t="s">
        <v>2115</v>
      </c>
      <c r="F887" s="18" t="n">
        <f aca="false">IF('Base de Datos SACI'!U881="","",'Base de Datos SACI'!U881)</f>
        <v>105</v>
      </c>
      <c r="G887" s="14"/>
      <c r="H887" s="28"/>
      <c r="I887" s="29" t="str">
        <f aca="false">IF(OR($G887="",$G887=0),"",IFERROR(ROUND($F887*$G887*(1-IF($H887="",0,$H887)),2),""))</f>
        <v/>
      </c>
      <c r="J887" s="7"/>
    </row>
    <row r="888" customFormat="false" ht="21.75" hidden="false" customHeight="true" outlineLevel="0" collapsed="false">
      <c r="B888" s="15" t="n">
        <v>878</v>
      </c>
      <c r="C888" s="9" t="s">
        <v>54</v>
      </c>
      <c r="D888" s="9" t="s">
        <v>65</v>
      </c>
      <c r="E888" s="9" t="s">
        <v>391</v>
      </c>
      <c r="F888" s="19" t="str">
        <f aca="false">IF('Base de Datos SACI'!U882="","",'Base de Datos SACI'!U882)</f>
        <v/>
      </c>
      <c r="G888" s="15"/>
      <c r="H888" s="30"/>
      <c r="I888" s="31" t="str">
        <f aca="false">IF(OR($G888="",$G888=0),"",IFERROR(ROUND($F888*$G888*(1-IF($H888="",0,$H888)),2),""))</f>
        <v/>
      </c>
      <c r="J888" s="9"/>
    </row>
    <row r="889" customFormat="false" ht="21.75" hidden="false" customHeight="true" outlineLevel="0" collapsed="false">
      <c r="B889" s="14" t="n">
        <v>879</v>
      </c>
      <c r="C889" s="7" t="s">
        <v>54</v>
      </c>
      <c r="D889" s="7" t="s">
        <v>66</v>
      </c>
      <c r="E889" s="7" t="s">
        <v>391</v>
      </c>
      <c r="F889" s="18" t="str">
        <f aca="false">IF('Base de Datos SACI'!U883="","",'Base de Datos SACI'!U883)</f>
        <v/>
      </c>
      <c r="G889" s="14"/>
      <c r="H889" s="28"/>
      <c r="I889" s="29" t="str">
        <f aca="false">IF(OR($G889="",$G889=0),"",IFERROR(ROUND($F889*$G889*(1-IF($H889="",0,$H889)),2),""))</f>
        <v/>
      </c>
      <c r="J889" s="7"/>
    </row>
    <row r="890" customFormat="false" ht="21.75" hidden="false" customHeight="true" outlineLevel="0" collapsed="false">
      <c r="B890" s="15" t="n">
        <v>880</v>
      </c>
      <c r="C890" s="9" t="s">
        <v>54</v>
      </c>
      <c r="D890" s="9" t="s">
        <v>67</v>
      </c>
      <c r="E890" s="9" t="s">
        <v>2118</v>
      </c>
      <c r="F890" s="19" t="n">
        <f aca="false">IF('Base de Datos SACI'!U884="","",'Base de Datos SACI'!U884)</f>
        <v>19</v>
      </c>
      <c r="G890" s="15"/>
      <c r="H890" s="30"/>
      <c r="I890" s="31" t="str">
        <f aca="false">IF(OR($G890="",$G890=0),"",IFERROR(ROUND($F890*$G890*(1-IF($H890="",0,$H890)),2),""))</f>
        <v/>
      </c>
      <c r="J890" s="9"/>
    </row>
    <row r="891" customFormat="false" ht="21.75" hidden="false" customHeight="true" outlineLevel="0" collapsed="false">
      <c r="B891" s="14" t="n">
        <v>881</v>
      </c>
      <c r="C891" s="7" t="s">
        <v>54</v>
      </c>
      <c r="D891" s="7" t="s">
        <v>67</v>
      </c>
      <c r="E891" s="7" t="s">
        <v>2123</v>
      </c>
      <c r="F891" s="18" t="n">
        <f aca="false">IF('Base de Datos SACI'!U885="","",'Base de Datos SACI'!U885)</f>
        <v>25</v>
      </c>
      <c r="G891" s="14"/>
      <c r="H891" s="28"/>
      <c r="I891" s="29" t="str">
        <f aca="false">IF(OR($G891="",$G891=0),"",IFERROR(ROUND($F891*$G891*(1-IF($H891="",0,$H891)),2),""))</f>
        <v/>
      </c>
      <c r="J891" s="7"/>
    </row>
    <row r="892" customFormat="false" ht="21.75" hidden="false" customHeight="true" outlineLevel="0" collapsed="false">
      <c r="B892" s="15" t="n">
        <v>882</v>
      </c>
      <c r="C892" s="9" t="s">
        <v>54</v>
      </c>
      <c r="D892" s="9" t="s">
        <v>67</v>
      </c>
      <c r="E892" s="9" t="s">
        <v>2124</v>
      </c>
      <c r="F892" s="19" t="n">
        <f aca="false">IF('Base de Datos SACI'!U886="","",'Base de Datos SACI'!U886)</f>
        <v>35</v>
      </c>
      <c r="G892" s="15"/>
      <c r="H892" s="30"/>
      <c r="I892" s="31" t="str">
        <f aca="false">IF(OR($G892="",$G892=0),"",IFERROR(ROUND($F892*$G892*(1-IF($H892="",0,$H892)),2),""))</f>
        <v/>
      </c>
      <c r="J892" s="9"/>
    </row>
    <row r="893" customFormat="false" ht="21.75" hidden="false" customHeight="true" outlineLevel="0" collapsed="false">
      <c r="B893" s="14" t="n">
        <v>883</v>
      </c>
      <c r="C893" s="7" t="s">
        <v>54</v>
      </c>
      <c r="D893" s="7" t="s">
        <v>67</v>
      </c>
      <c r="E893" s="7" t="s">
        <v>2126</v>
      </c>
      <c r="F893" s="18" t="n">
        <f aca="false">IF('Base de Datos SACI'!U887="","",'Base de Datos SACI'!U887)</f>
        <v>55</v>
      </c>
      <c r="G893" s="14"/>
      <c r="H893" s="28"/>
      <c r="I893" s="29" t="str">
        <f aca="false">IF(OR($G893="",$G893=0),"",IFERROR(ROUND($F893*$G893*(1-IF($H893="",0,$H893)),2),""))</f>
        <v/>
      </c>
      <c r="J893" s="7"/>
    </row>
    <row r="894" customFormat="false" ht="21.75" hidden="false" customHeight="true" outlineLevel="0" collapsed="false">
      <c r="B894" s="15" t="n">
        <v>884</v>
      </c>
      <c r="C894" s="9" t="s">
        <v>54</v>
      </c>
      <c r="D894" s="9" t="s">
        <v>67</v>
      </c>
      <c r="E894" s="9" t="s">
        <v>2127</v>
      </c>
      <c r="F894" s="19" t="n">
        <f aca="false">IF('Base de Datos SACI'!U888="","",'Base de Datos SACI'!U888)</f>
        <v>80</v>
      </c>
      <c r="G894" s="15"/>
      <c r="H894" s="30"/>
      <c r="I894" s="31" t="str">
        <f aca="false">IF(OR($G894="",$G894=0),"",IFERROR(ROUND($F894*$G894*(1-IF($H894="",0,$H894)),2),""))</f>
        <v/>
      </c>
      <c r="J894" s="9"/>
    </row>
    <row r="895" customFormat="false" ht="21.75" hidden="false" customHeight="true" outlineLevel="0" collapsed="false">
      <c r="B895" s="14" t="n">
        <v>885</v>
      </c>
      <c r="C895" s="7" t="s">
        <v>54</v>
      </c>
      <c r="D895" s="7" t="s">
        <v>68</v>
      </c>
      <c r="E895" s="7" t="s">
        <v>391</v>
      </c>
      <c r="F895" s="18" t="str">
        <f aca="false">IF('Base de Datos SACI'!U889="","",'Base de Datos SACI'!U889)</f>
        <v/>
      </c>
      <c r="G895" s="14"/>
      <c r="H895" s="28"/>
      <c r="I895" s="29" t="str">
        <f aca="false">IF(OR($G895="",$G895=0),"",IFERROR(ROUND($F895*$G895*(1-IF($H895="",0,$H895)),2),""))</f>
        <v/>
      </c>
      <c r="J895" s="7"/>
    </row>
    <row r="896" customFormat="false" ht="21.75" hidden="false" customHeight="true" outlineLevel="0" collapsed="false">
      <c r="B896" s="15" t="n">
        <v>886</v>
      </c>
      <c r="C896" s="9" t="s">
        <v>54</v>
      </c>
      <c r="D896" s="9" t="s">
        <v>69</v>
      </c>
      <c r="E896" s="9" t="s">
        <v>2129</v>
      </c>
      <c r="F896" s="19" t="n">
        <f aca="false">IF('Base de Datos SACI'!U890="","",'Base de Datos SACI'!U890)</f>
        <v>25</v>
      </c>
      <c r="G896" s="15"/>
      <c r="H896" s="30"/>
      <c r="I896" s="31" t="str">
        <f aca="false">IF(OR($G896="",$G896=0),"",IFERROR(ROUND($F896*$G896*(1-IF($H896="",0,$H896)),2),""))</f>
        <v/>
      </c>
      <c r="J896" s="9"/>
    </row>
    <row r="897" customFormat="false" ht="21.75" hidden="false" customHeight="true" outlineLevel="0" collapsed="false">
      <c r="B897" s="14" t="n">
        <v>887</v>
      </c>
      <c r="C897" s="7" t="s">
        <v>54</v>
      </c>
      <c r="D897" s="7" t="s">
        <v>69</v>
      </c>
      <c r="E897" s="7" t="s">
        <v>2134</v>
      </c>
      <c r="F897" s="18" t="n">
        <f aca="false">IF('Base de Datos SACI'!U891="","",'Base de Datos SACI'!U891)</f>
        <v>40</v>
      </c>
      <c r="G897" s="14"/>
      <c r="H897" s="28"/>
      <c r="I897" s="29" t="str">
        <f aca="false">IF(OR($G897="",$G897=0),"",IFERROR(ROUND($F897*$G897*(1-IF($H897="",0,$H897)),2),""))</f>
        <v/>
      </c>
      <c r="J897" s="7"/>
    </row>
    <row r="898" customFormat="false" ht="21.75" hidden="false" customHeight="true" outlineLevel="0" collapsed="false">
      <c r="B898" s="15" t="n">
        <v>888</v>
      </c>
      <c r="C898" s="9" t="s">
        <v>54</v>
      </c>
      <c r="D898" s="9" t="s">
        <v>69</v>
      </c>
      <c r="E898" s="9" t="s">
        <v>2135</v>
      </c>
      <c r="F898" s="19" t="n">
        <f aca="false">IF('Base de Datos SACI'!U892="","",'Base de Datos SACI'!U892)</f>
        <v>55</v>
      </c>
      <c r="G898" s="15"/>
      <c r="H898" s="30"/>
      <c r="I898" s="31" t="str">
        <f aca="false">IF(OR($G898="",$G898=0),"",IFERROR(ROUND($F898*$G898*(1-IF($H898="",0,$H898)),2),""))</f>
        <v/>
      </c>
      <c r="J898" s="9"/>
    </row>
    <row r="899" customFormat="false" ht="21.75" hidden="false" customHeight="true" outlineLevel="0" collapsed="false">
      <c r="B899" s="14" t="n">
        <v>889</v>
      </c>
      <c r="C899" s="7" t="s">
        <v>54</v>
      </c>
      <c r="D899" s="7" t="s">
        <v>69</v>
      </c>
      <c r="E899" s="7" t="s">
        <v>2137</v>
      </c>
      <c r="F899" s="18" t="n">
        <f aca="false">IF('Base de Datos SACI'!U893="","",'Base de Datos SACI'!U893)</f>
        <v>85</v>
      </c>
      <c r="G899" s="14"/>
      <c r="H899" s="28"/>
      <c r="I899" s="29" t="str">
        <f aca="false">IF(OR($G899="",$G899=0),"",IFERROR(ROUND($F899*$G899*(1-IF($H899="",0,$H899)),2),""))</f>
        <v/>
      </c>
      <c r="J899" s="7"/>
    </row>
    <row r="900" customFormat="false" ht="21.75" hidden="false" customHeight="true" outlineLevel="0" collapsed="false">
      <c r="B900" s="15" t="n">
        <v>890</v>
      </c>
      <c r="C900" s="9" t="s">
        <v>54</v>
      </c>
      <c r="D900" s="9" t="s">
        <v>69</v>
      </c>
      <c r="E900" s="9" t="s">
        <v>2138</v>
      </c>
      <c r="F900" s="19" t="n">
        <f aca="false">IF('Base de Datos SACI'!U894="","",'Base de Datos SACI'!U894)</f>
        <v>125</v>
      </c>
      <c r="G900" s="15"/>
      <c r="H900" s="30"/>
      <c r="I900" s="31" t="str">
        <f aca="false">IF(OR($G900="",$G900=0),"",IFERROR(ROUND($F900*$G900*(1-IF($H900="",0,$H900)),2),""))</f>
        <v/>
      </c>
      <c r="J900" s="9"/>
    </row>
    <row r="901" customFormat="false" ht="21.75" hidden="false" customHeight="true" outlineLevel="0" collapsed="false">
      <c r="B901" s="14" t="n">
        <v>891</v>
      </c>
      <c r="C901" s="7" t="s">
        <v>54</v>
      </c>
      <c r="D901" s="7" t="s">
        <v>70</v>
      </c>
      <c r="E901" s="7" t="s">
        <v>391</v>
      </c>
      <c r="F901" s="18" t="str">
        <f aca="false">IF('Base de Datos SACI'!U895="","",'Base de Datos SACI'!U895)</f>
        <v/>
      </c>
      <c r="G901" s="14"/>
      <c r="H901" s="28"/>
      <c r="I901" s="29" t="str">
        <f aca="false">IF(OR($G901="",$G901=0),"",IFERROR(ROUND($F901*$G901*(1-IF($H901="",0,$H901)),2),""))</f>
        <v/>
      </c>
      <c r="J901" s="7"/>
    </row>
    <row r="902" customFormat="false" ht="21.75" hidden="false" customHeight="true" outlineLevel="0" collapsed="false">
      <c r="B902" s="15" t="n">
        <v>892</v>
      </c>
      <c r="C902" s="9" t="s">
        <v>54</v>
      </c>
      <c r="D902" s="9" t="s">
        <v>71</v>
      </c>
      <c r="E902" s="9" t="s">
        <v>391</v>
      </c>
      <c r="F902" s="19" t="str">
        <f aca="false">IF('Base de Datos SACI'!U896="","",'Base de Datos SACI'!U896)</f>
        <v/>
      </c>
      <c r="G902" s="15"/>
      <c r="H902" s="30"/>
      <c r="I902" s="31" t="str">
        <f aca="false">IF(OR($G902="",$G902=0),"",IFERROR(ROUND($F902*$G902*(1-IF($H902="",0,$H902)),2),""))</f>
        <v/>
      </c>
      <c r="J902" s="9"/>
    </row>
    <row r="903" customFormat="false" ht="21.75" hidden="false" customHeight="true" outlineLevel="0" collapsed="false">
      <c r="B903" s="14" t="n">
        <v>893</v>
      </c>
      <c r="C903" s="7" t="s">
        <v>54</v>
      </c>
      <c r="D903" s="7" t="s">
        <v>72</v>
      </c>
      <c r="E903" s="7" t="s">
        <v>391</v>
      </c>
      <c r="F903" s="18" t="str">
        <f aca="false">IF('Base de Datos SACI'!U897="","",'Base de Datos SACI'!U897)</f>
        <v/>
      </c>
      <c r="G903" s="14"/>
      <c r="H903" s="28"/>
      <c r="I903" s="29" t="str">
        <f aca="false">IF(OR($G903="",$G903=0),"",IFERROR(ROUND($F903*$G903*(1-IF($H903="",0,$H903)),2),""))</f>
        <v/>
      </c>
      <c r="J903" s="7"/>
    </row>
    <row r="904" customFormat="false" ht="21.75" hidden="false" customHeight="true" outlineLevel="0" collapsed="false">
      <c r="B904" s="15" t="n">
        <v>894</v>
      </c>
      <c r="C904" s="9" t="s">
        <v>54</v>
      </c>
      <c r="D904" s="9" t="s">
        <v>73</v>
      </c>
      <c r="E904" s="9" t="s">
        <v>391</v>
      </c>
      <c r="F904" s="19" t="str">
        <f aca="false">IF('Base de Datos SACI'!U898="","",'Base de Datos SACI'!U898)</f>
        <v/>
      </c>
      <c r="G904" s="15"/>
      <c r="H904" s="30"/>
      <c r="I904" s="31" t="str">
        <f aca="false">IF(OR($G904="",$G904=0),"",IFERROR(ROUND($F904*$G904*(1-IF($H904="",0,$H904)),2),""))</f>
        <v/>
      </c>
      <c r="J904" s="9"/>
    </row>
    <row r="905" customFormat="false" ht="21.75" hidden="false" customHeight="true" outlineLevel="0" collapsed="false">
      <c r="B905" s="14" t="n">
        <v>895</v>
      </c>
      <c r="C905" s="7" t="s">
        <v>54</v>
      </c>
      <c r="D905" s="7" t="s">
        <v>74</v>
      </c>
      <c r="E905" s="7" t="s">
        <v>391</v>
      </c>
      <c r="F905" s="18" t="str">
        <f aca="false">IF('Base de Datos SACI'!U899="","",'Base de Datos SACI'!U899)</f>
        <v/>
      </c>
      <c r="G905" s="14"/>
      <c r="H905" s="28"/>
      <c r="I905" s="29" t="str">
        <f aca="false">IF(OR($G905="",$G905=0),"",IFERROR(ROUND($F905*$G905*(1-IF($H905="",0,$H905)),2),""))</f>
        <v/>
      </c>
      <c r="J905" s="7"/>
    </row>
    <row r="906" customFormat="false" ht="21.75" hidden="false" customHeight="true" outlineLevel="0" collapsed="false">
      <c r="B906" s="15" t="n">
        <v>896</v>
      </c>
      <c r="C906" s="9" t="s">
        <v>54</v>
      </c>
      <c r="D906" s="9" t="s">
        <v>75</v>
      </c>
      <c r="E906" s="9" t="s">
        <v>391</v>
      </c>
      <c r="F906" s="19" t="str">
        <f aca="false">IF('Base de Datos SACI'!U900="","",'Base de Datos SACI'!U900)</f>
        <v/>
      </c>
      <c r="G906" s="15"/>
      <c r="H906" s="30"/>
      <c r="I906" s="31" t="str">
        <f aca="false">IF(OR($G906="",$G906=0),"",IFERROR(ROUND($F906*$G906*(1-IF($H906="",0,$H906)),2),""))</f>
        <v/>
      </c>
      <c r="J906" s="9"/>
    </row>
    <row r="907" customFormat="false" ht="21.75" hidden="false" customHeight="true" outlineLevel="0" collapsed="false">
      <c r="B907" s="14" t="n">
        <v>897</v>
      </c>
      <c r="C907" s="7" t="s">
        <v>55</v>
      </c>
      <c r="D907" s="7" t="s">
        <v>60</v>
      </c>
      <c r="E907" s="7" t="s">
        <v>2145</v>
      </c>
      <c r="F907" s="18" t="n">
        <f aca="false">IF('Base de Datos SACI'!U901="","",'Base de Datos SACI'!U901)</f>
        <v>120</v>
      </c>
      <c r="G907" s="14"/>
      <c r="H907" s="28"/>
      <c r="I907" s="29" t="str">
        <f aca="false">IF(OR($G907="",$G907=0),"",IFERROR(ROUND($F907*$G907*(1-IF($H907="",0,$H907)),2),""))</f>
        <v/>
      </c>
      <c r="J907" s="7"/>
    </row>
    <row r="908" customFormat="false" ht="21.75" hidden="false" customHeight="true" outlineLevel="0" collapsed="false">
      <c r="B908" s="15" t="n">
        <v>898</v>
      </c>
      <c r="C908" s="9" t="s">
        <v>55</v>
      </c>
      <c r="D908" s="9" t="s">
        <v>60</v>
      </c>
      <c r="E908" s="9" t="s">
        <v>2153</v>
      </c>
      <c r="F908" s="19" t="n">
        <f aca="false">IF('Base de Datos SACI'!U902="","",'Base de Datos SACI'!U902)</f>
        <v>180</v>
      </c>
      <c r="G908" s="15"/>
      <c r="H908" s="30"/>
      <c r="I908" s="31" t="str">
        <f aca="false">IF(OR($G908="",$G908=0),"",IFERROR(ROUND($F908*$G908*(1-IF($H908="",0,$H908)),2),""))</f>
        <v/>
      </c>
      <c r="J908" s="9"/>
    </row>
    <row r="909" customFormat="false" ht="21.75" hidden="false" customHeight="true" outlineLevel="0" collapsed="false">
      <c r="B909" s="14" t="n">
        <v>899</v>
      </c>
      <c r="C909" s="7" t="s">
        <v>55</v>
      </c>
      <c r="D909" s="7" t="s">
        <v>60</v>
      </c>
      <c r="E909" s="7" t="s">
        <v>2154</v>
      </c>
      <c r="F909" s="18" t="n">
        <f aca="false">IF('Base de Datos SACI'!U903="","",'Base de Datos SACI'!U903)</f>
        <v>245</v>
      </c>
      <c r="G909" s="14"/>
      <c r="H909" s="28"/>
      <c r="I909" s="29" t="str">
        <f aca="false">IF(OR($G909="",$G909=0),"",IFERROR(ROUND($F909*$G909*(1-IF($H909="",0,$H909)),2),""))</f>
        <v/>
      </c>
      <c r="J909" s="7"/>
    </row>
    <row r="910" customFormat="false" ht="21.75" hidden="false" customHeight="true" outlineLevel="0" collapsed="false">
      <c r="B910" s="15" t="n">
        <v>900</v>
      </c>
      <c r="C910" s="9" t="s">
        <v>55</v>
      </c>
      <c r="D910" s="9" t="s">
        <v>60</v>
      </c>
      <c r="E910" s="9" t="s">
        <v>2156</v>
      </c>
      <c r="F910" s="19" t="n">
        <f aca="false">IF('Base de Datos SACI'!U904="","",'Base de Datos SACI'!U904)</f>
        <v>365</v>
      </c>
      <c r="G910" s="15"/>
      <c r="H910" s="30"/>
      <c r="I910" s="31" t="str">
        <f aca="false">IF(OR($G910="",$G910=0),"",IFERROR(ROUND($F910*$G910*(1-IF($H910="",0,$H910)),2),""))</f>
        <v/>
      </c>
      <c r="J910" s="9"/>
    </row>
    <row r="911" customFormat="false" ht="21.75" hidden="false" customHeight="true" outlineLevel="0" collapsed="false">
      <c r="B911" s="14" t="n">
        <v>901</v>
      </c>
      <c r="C911" s="7" t="s">
        <v>55</v>
      </c>
      <c r="D911" s="7" t="s">
        <v>60</v>
      </c>
      <c r="E911" s="7" t="s">
        <v>2157</v>
      </c>
      <c r="F911" s="18" t="n">
        <f aca="false">IF('Base de Datos SACI'!U905="","",'Base de Datos SACI'!U905)</f>
        <v>535</v>
      </c>
      <c r="G911" s="14"/>
      <c r="H911" s="28"/>
      <c r="I911" s="29" t="str">
        <f aca="false">IF(OR($G911="",$G911=0),"",IFERROR(ROUND($F911*$G911*(1-IF($H911="",0,$H911)),2),""))</f>
        <v/>
      </c>
      <c r="J911" s="7"/>
    </row>
    <row r="912" customFormat="false" ht="21.75" hidden="false" customHeight="true" outlineLevel="0" collapsed="false">
      <c r="B912" s="15" t="n">
        <v>902</v>
      </c>
      <c r="C912" s="9" t="s">
        <v>55</v>
      </c>
      <c r="D912" s="9" t="s">
        <v>61</v>
      </c>
      <c r="E912" s="9" t="s">
        <v>2158</v>
      </c>
      <c r="F912" s="19" t="n">
        <f aca="false">IF('Base de Datos SACI'!U906="","",'Base de Datos SACI'!U906)</f>
        <v>80</v>
      </c>
      <c r="G912" s="15"/>
      <c r="H912" s="30"/>
      <c r="I912" s="31" t="str">
        <f aca="false">IF(OR($G912="",$G912=0),"",IFERROR(ROUND($F912*$G912*(1-IF($H912="",0,$H912)),2),""))</f>
        <v/>
      </c>
      <c r="J912" s="9"/>
    </row>
    <row r="913" customFormat="false" ht="21.75" hidden="false" customHeight="true" outlineLevel="0" collapsed="false">
      <c r="B913" s="14" t="n">
        <v>903</v>
      </c>
      <c r="C913" s="7" t="s">
        <v>55</v>
      </c>
      <c r="D913" s="7" t="s">
        <v>61</v>
      </c>
      <c r="E913" s="7" t="s">
        <v>2153</v>
      </c>
      <c r="F913" s="18" t="n">
        <f aca="false">IF('Base de Datos SACI'!U907="","",'Base de Datos SACI'!U907)</f>
        <v>120</v>
      </c>
      <c r="G913" s="14"/>
      <c r="H913" s="28"/>
      <c r="I913" s="29" t="str">
        <f aca="false">IF(OR($G913="",$G913=0),"",IFERROR(ROUND($F913*$G913*(1-IF($H913="",0,$H913)),2),""))</f>
        <v/>
      </c>
      <c r="J913" s="7"/>
    </row>
    <row r="914" customFormat="false" ht="21.75" hidden="false" customHeight="true" outlineLevel="0" collapsed="false">
      <c r="B914" s="15" t="n">
        <v>904</v>
      </c>
      <c r="C914" s="9" t="s">
        <v>55</v>
      </c>
      <c r="D914" s="9" t="s">
        <v>61</v>
      </c>
      <c r="E914" s="9" t="s">
        <v>2165</v>
      </c>
      <c r="F914" s="19" t="n">
        <f aca="false">IF('Base de Datos SACI'!U908="","",'Base de Datos SACI'!U908)</f>
        <v>165</v>
      </c>
      <c r="G914" s="15"/>
      <c r="H914" s="30"/>
      <c r="I914" s="31" t="str">
        <f aca="false">IF(OR($G914="",$G914=0),"",IFERROR(ROUND($F914*$G914*(1-IF($H914="",0,$H914)),2),""))</f>
        <v/>
      </c>
      <c r="J914" s="9"/>
    </row>
    <row r="915" customFormat="false" ht="21.75" hidden="false" customHeight="true" outlineLevel="0" collapsed="false">
      <c r="B915" s="14" t="n">
        <v>905</v>
      </c>
      <c r="C915" s="7" t="s">
        <v>55</v>
      </c>
      <c r="D915" s="7" t="s">
        <v>61</v>
      </c>
      <c r="E915" s="7" t="s">
        <v>2167</v>
      </c>
      <c r="F915" s="18" t="n">
        <f aca="false">IF('Base de Datos SACI'!U909="","",'Base de Datos SACI'!U909)</f>
        <v>245</v>
      </c>
      <c r="G915" s="14"/>
      <c r="H915" s="28"/>
      <c r="I915" s="29" t="str">
        <f aca="false">IF(OR($G915="",$G915=0),"",IFERROR(ROUND($F915*$G915*(1-IF($H915="",0,$H915)),2),""))</f>
        <v/>
      </c>
      <c r="J915" s="7"/>
    </row>
    <row r="916" customFormat="false" ht="21.75" hidden="false" customHeight="true" outlineLevel="0" collapsed="false">
      <c r="B916" s="15" t="n">
        <v>906</v>
      </c>
      <c r="C916" s="9" t="s">
        <v>55</v>
      </c>
      <c r="D916" s="9" t="s">
        <v>61</v>
      </c>
      <c r="E916" s="9" t="s">
        <v>2168</v>
      </c>
      <c r="F916" s="19" t="n">
        <f aca="false">IF('Base de Datos SACI'!U910="","",'Base de Datos SACI'!U910)</f>
        <v>360</v>
      </c>
      <c r="G916" s="15"/>
      <c r="H916" s="30"/>
      <c r="I916" s="31" t="str">
        <f aca="false">IF(OR($G916="",$G916=0),"",IFERROR(ROUND($F916*$G916*(1-IF($H916="",0,$H916)),2),""))</f>
        <v/>
      </c>
      <c r="J916" s="9"/>
    </row>
    <row r="917" customFormat="false" ht="21.75" hidden="false" customHeight="true" outlineLevel="0" collapsed="false">
      <c r="B917" s="14" t="n">
        <v>907</v>
      </c>
      <c r="C917" s="7" t="s">
        <v>55</v>
      </c>
      <c r="D917" s="7" t="s">
        <v>62</v>
      </c>
      <c r="E917" s="7" t="s">
        <v>391</v>
      </c>
      <c r="F917" s="18" t="str">
        <f aca="false">IF('Base de Datos SACI'!U911="","",'Base de Datos SACI'!U911)</f>
        <v/>
      </c>
      <c r="G917" s="14"/>
      <c r="H917" s="28"/>
      <c r="I917" s="29" t="str">
        <f aca="false">IF(OR($G917="",$G917=0),"",IFERROR(ROUND($F917*$G917*(1-IF($H917="",0,$H917)),2),""))</f>
        <v/>
      </c>
      <c r="J917" s="7"/>
    </row>
    <row r="918" customFormat="false" ht="21.75" hidden="false" customHeight="true" outlineLevel="0" collapsed="false">
      <c r="B918" s="15" t="n">
        <v>908</v>
      </c>
      <c r="C918" s="9" t="s">
        <v>55</v>
      </c>
      <c r="D918" s="9" t="s">
        <v>63</v>
      </c>
      <c r="E918" s="9" t="s">
        <v>2170</v>
      </c>
      <c r="F918" s="19" t="n">
        <f aca="false">IF('Base de Datos SACI'!U912="","",'Base de Datos SACI'!U912)</f>
        <v>25</v>
      </c>
      <c r="G918" s="15"/>
      <c r="H918" s="30"/>
      <c r="I918" s="31" t="str">
        <f aca="false">IF(OR($G918="",$G918=0),"",IFERROR(ROUND($F918*$G918*(1-IF($H918="",0,$H918)),2),""))</f>
        <v/>
      </c>
      <c r="J918" s="9"/>
    </row>
    <row r="919" customFormat="false" ht="21.75" hidden="false" customHeight="true" outlineLevel="0" collapsed="false">
      <c r="B919" s="14" t="n">
        <v>909</v>
      </c>
      <c r="C919" s="7" t="s">
        <v>55</v>
      </c>
      <c r="D919" s="7" t="s">
        <v>63</v>
      </c>
      <c r="E919" s="7" t="s">
        <v>2175</v>
      </c>
      <c r="F919" s="18" t="n">
        <f aca="false">IF('Base de Datos SACI'!U913="","",'Base de Datos SACI'!U913)</f>
        <v>40</v>
      </c>
      <c r="G919" s="14"/>
      <c r="H919" s="28"/>
      <c r="I919" s="29" t="str">
        <f aca="false">IF(OR($G919="",$G919=0),"",IFERROR(ROUND($F919*$G919*(1-IF($H919="",0,$H919)),2),""))</f>
        <v/>
      </c>
      <c r="J919" s="7"/>
    </row>
    <row r="920" customFormat="false" ht="21.75" hidden="false" customHeight="true" outlineLevel="0" collapsed="false">
      <c r="B920" s="15" t="n">
        <v>910</v>
      </c>
      <c r="C920" s="9" t="s">
        <v>55</v>
      </c>
      <c r="D920" s="9" t="s">
        <v>63</v>
      </c>
      <c r="E920" s="9" t="s">
        <v>2176</v>
      </c>
      <c r="F920" s="19" t="n">
        <f aca="false">IF('Base de Datos SACI'!U914="","",'Base de Datos SACI'!U914)</f>
        <v>55</v>
      </c>
      <c r="G920" s="15"/>
      <c r="H920" s="30"/>
      <c r="I920" s="31" t="str">
        <f aca="false">IF(OR($G920="",$G920=0),"",IFERROR(ROUND($F920*$G920*(1-IF($H920="",0,$H920)),2),""))</f>
        <v/>
      </c>
      <c r="J920" s="9"/>
    </row>
    <row r="921" customFormat="false" ht="21.75" hidden="false" customHeight="true" outlineLevel="0" collapsed="false">
      <c r="B921" s="14" t="n">
        <v>911</v>
      </c>
      <c r="C921" s="7" t="s">
        <v>55</v>
      </c>
      <c r="D921" s="7" t="s">
        <v>63</v>
      </c>
      <c r="E921" s="7" t="s">
        <v>2178</v>
      </c>
      <c r="F921" s="18" t="n">
        <f aca="false">IF('Base de Datos SACI'!U915="","",'Base de Datos SACI'!U915)</f>
        <v>85</v>
      </c>
      <c r="G921" s="14"/>
      <c r="H921" s="28"/>
      <c r="I921" s="29" t="str">
        <f aca="false">IF(OR($G921="",$G921=0),"",IFERROR(ROUND($F921*$G921*(1-IF($H921="",0,$H921)),2),""))</f>
        <v/>
      </c>
      <c r="J921" s="7"/>
    </row>
    <row r="922" customFormat="false" ht="21.75" hidden="false" customHeight="true" outlineLevel="0" collapsed="false">
      <c r="B922" s="15" t="n">
        <v>912</v>
      </c>
      <c r="C922" s="9" t="s">
        <v>55</v>
      </c>
      <c r="D922" s="9" t="s">
        <v>63</v>
      </c>
      <c r="E922" s="9" t="s">
        <v>2179</v>
      </c>
      <c r="F922" s="19" t="n">
        <f aca="false">IF('Base de Datos SACI'!U916="","",'Base de Datos SACI'!U916)</f>
        <v>125</v>
      </c>
      <c r="G922" s="15"/>
      <c r="H922" s="30"/>
      <c r="I922" s="31" t="str">
        <f aca="false">IF(OR($G922="",$G922=0),"",IFERROR(ROUND($F922*$G922*(1-IF($H922="",0,$H922)),2),""))</f>
        <v/>
      </c>
      <c r="J922" s="9"/>
    </row>
    <row r="923" customFormat="false" ht="21.75" hidden="false" customHeight="true" outlineLevel="0" collapsed="false">
      <c r="B923" s="14" t="n">
        <v>913</v>
      </c>
      <c r="C923" s="7" t="s">
        <v>55</v>
      </c>
      <c r="D923" s="7" t="s">
        <v>64</v>
      </c>
      <c r="E923" s="7" t="s">
        <v>2180</v>
      </c>
      <c r="F923" s="18" t="n">
        <f aca="false">IF('Base de Datos SACI'!U917="","",'Base de Datos SACI'!U917)</f>
        <v>11</v>
      </c>
      <c r="G923" s="14"/>
      <c r="H923" s="28"/>
      <c r="I923" s="29" t="str">
        <f aca="false">IF(OR($G923="",$G923=0),"",IFERROR(ROUND($F923*$G923*(1-IF($H923="",0,$H923)),2),""))</f>
        <v/>
      </c>
      <c r="J923" s="7"/>
    </row>
    <row r="924" customFormat="false" ht="21.75" hidden="false" customHeight="true" outlineLevel="0" collapsed="false">
      <c r="B924" s="15" t="n">
        <v>914</v>
      </c>
      <c r="C924" s="9" t="s">
        <v>55</v>
      </c>
      <c r="D924" s="9" t="s">
        <v>64</v>
      </c>
      <c r="E924" s="9" t="s">
        <v>2185</v>
      </c>
      <c r="F924" s="19" t="n">
        <f aca="false">IF('Base de Datos SACI'!U918="","",'Base de Datos SACI'!U918)</f>
        <v>16</v>
      </c>
      <c r="G924" s="15"/>
      <c r="H924" s="30"/>
      <c r="I924" s="31" t="str">
        <f aca="false">IF(OR($G924="",$G924=0),"",IFERROR(ROUND($F924*$G924*(1-IF($H924="",0,$H924)),2),""))</f>
        <v/>
      </c>
      <c r="J924" s="9"/>
    </row>
    <row r="925" customFormat="false" ht="21.75" hidden="false" customHeight="true" outlineLevel="0" collapsed="false">
      <c r="B925" s="14" t="n">
        <v>915</v>
      </c>
      <c r="C925" s="7" t="s">
        <v>55</v>
      </c>
      <c r="D925" s="7" t="s">
        <v>64</v>
      </c>
      <c r="E925" s="7" t="s">
        <v>2186</v>
      </c>
      <c r="F925" s="18" t="n">
        <f aca="false">IF('Base de Datos SACI'!U919="","",'Base de Datos SACI'!U919)</f>
        <v>20</v>
      </c>
      <c r="G925" s="14"/>
      <c r="H925" s="28"/>
      <c r="I925" s="29" t="str">
        <f aca="false">IF(OR($G925="",$G925=0),"",IFERROR(ROUND($F925*$G925*(1-IF($H925="",0,$H925)),2),""))</f>
        <v/>
      </c>
      <c r="J925" s="7"/>
    </row>
    <row r="926" customFormat="false" ht="21.75" hidden="false" customHeight="true" outlineLevel="0" collapsed="false">
      <c r="B926" s="15" t="n">
        <v>916</v>
      </c>
      <c r="C926" s="9" t="s">
        <v>55</v>
      </c>
      <c r="D926" s="9" t="s">
        <v>64</v>
      </c>
      <c r="E926" s="9" t="s">
        <v>2188</v>
      </c>
      <c r="F926" s="19" t="n">
        <f aca="false">IF('Base de Datos SACI'!U920="","",'Base de Datos SACI'!U920)</f>
        <v>30</v>
      </c>
      <c r="G926" s="15"/>
      <c r="H926" s="30"/>
      <c r="I926" s="31" t="str">
        <f aca="false">IF(OR($G926="",$G926=0),"",IFERROR(ROUND($F926*$G926*(1-IF($H926="",0,$H926)),2),""))</f>
        <v/>
      </c>
      <c r="J926" s="9"/>
    </row>
    <row r="927" customFormat="false" ht="21.75" hidden="false" customHeight="true" outlineLevel="0" collapsed="false">
      <c r="B927" s="14" t="n">
        <v>917</v>
      </c>
      <c r="C927" s="7" t="s">
        <v>55</v>
      </c>
      <c r="D927" s="7" t="s">
        <v>64</v>
      </c>
      <c r="E927" s="7" t="s">
        <v>2189</v>
      </c>
      <c r="F927" s="18" t="n">
        <f aca="false">IF('Base de Datos SACI'!U921="","",'Base de Datos SACI'!U921)</f>
        <v>45</v>
      </c>
      <c r="G927" s="14"/>
      <c r="H927" s="28"/>
      <c r="I927" s="29" t="str">
        <f aca="false">IF(OR($G927="",$G927=0),"",IFERROR(ROUND($F927*$G927*(1-IF($H927="",0,$H927)),2),""))</f>
        <v/>
      </c>
      <c r="J927" s="7"/>
    </row>
    <row r="928" customFormat="false" ht="21.75" hidden="false" customHeight="true" outlineLevel="0" collapsed="false">
      <c r="B928" s="15" t="n">
        <v>918</v>
      </c>
      <c r="C928" s="9" t="s">
        <v>55</v>
      </c>
      <c r="D928" s="9" t="s">
        <v>65</v>
      </c>
      <c r="E928" s="9" t="s">
        <v>2180</v>
      </c>
      <c r="F928" s="19" t="n">
        <f aca="false">IF('Base de Datos SACI'!U922="","",'Base de Datos SACI'!U922)</f>
        <v>14</v>
      </c>
      <c r="G928" s="15"/>
      <c r="H928" s="30"/>
      <c r="I928" s="31" t="str">
        <f aca="false">IF(OR($G928="",$G928=0),"",IFERROR(ROUND($F928*$G928*(1-IF($H928="",0,$H928)),2),""))</f>
        <v/>
      </c>
      <c r="J928" s="9"/>
    </row>
    <row r="929" customFormat="false" ht="21.75" hidden="false" customHeight="true" outlineLevel="0" collapsed="false">
      <c r="B929" s="14" t="n">
        <v>919</v>
      </c>
      <c r="C929" s="7" t="s">
        <v>55</v>
      </c>
      <c r="D929" s="7" t="s">
        <v>65</v>
      </c>
      <c r="E929" s="7" t="s">
        <v>2185</v>
      </c>
      <c r="F929" s="18" t="n">
        <f aca="false">IF('Base de Datos SACI'!U923="","",'Base de Datos SACI'!U923)</f>
        <v>20</v>
      </c>
      <c r="G929" s="14"/>
      <c r="H929" s="28"/>
      <c r="I929" s="29" t="str">
        <f aca="false">IF(OR($G929="",$G929=0),"",IFERROR(ROUND($F929*$G929*(1-IF($H929="",0,$H929)),2),""))</f>
        <v/>
      </c>
      <c r="J929" s="7"/>
    </row>
    <row r="930" customFormat="false" ht="21.75" hidden="false" customHeight="true" outlineLevel="0" collapsed="false">
      <c r="B930" s="15" t="n">
        <v>920</v>
      </c>
      <c r="C930" s="9" t="s">
        <v>55</v>
      </c>
      <c r="D930" s="9" t="s">
        <v>65</v>
      </c>
      <c r="E930" s="9" t="s">
        <v>2186</v>
      </c>
      <c r="F930" s="19" t="n">
        <f aca="false">IF('Base de Datos SACI'!U924="","",'Base de Datos SACI'!U924)</f>
        <v>25</v>
      </c>
      <c r="G930" s="15"/>
      <c r="H930" s="30"/>
      <c r="I930" s="31" t="str">
        <f aca="false">IF(OR($G930="",$G930=0),"",IFERROR(ROUND($F930*$G930*(1-IF($H930="",0,$H930)),2),""))</f>
        <v/>
      </c>
      <c r="J930" s="9"/>
    </row>
    <row r="931" customFormat="false" ht="21.75" hidden="false" customHeight="true" outlineLevel="0" collapsed="false">
      <c r="B931" s="14" t="n">
        <v>921</v>
      </c>
      <c r="C931" s="7" t="s">
        <v>55</v>
      </c>
      <c r="D931" s="7" t="s">
        <v>65</v>
      </c>
      <c r="E931" s="7" t="s">
        <v>2194</v>
      </c>
      <c r="F931" s="18" t="n">
        <f aca="false">IF('Base de Datos SACI'!U925="","",'Base de Datos SACI'!U925)</f>
        <v>40</v>
      </c>
      <c r="G931" s="14"/>
      <c r="H931" s="28"/>
      <c r="I931" s="29" t="str">
        <f aca="false">IF(OR($G931="",$G931=0),"",IFERROR(ROUND($F931*$G931*(1-IF($H931="",0,$H931)),2),""))</f>
        <v/>
      </c>
      <c r="J931" s="7"/>
    </row>
    <row r="932" customFormat="false" ht="21.75" hidden="false" customHeight="true" outlineLevel="0" collapsed="false">
      <c r="B932" s="15" t="n">
        <v>922</v>
      </c>
      <c r="C932" s="9" t="s">
        <v>55</v>
      </c>
      <c r="D932" s="9" t="s">
        <v>65</v>
      </c>
      <c r="E932" s="9" t="s">
        <v>2195</v>
      </c>
      <c r="F932" s="19" t="n">
        <f aca="false">IF('Base de Datos SACI'!U926="","",'Base de Datos SACI'!U926)</f>
        <v>60</v>
      </c>
      <c r="G932" s="15"/>
      <c r="H932" s="30"/>
      <c r="I932" s="31" t="str">
        <f aca="false">IF(OR($G932="",$G932=0),"",IFERROR(ROUND($F932*$G932*(1-IF($H932="",0,$H932)),2),""))</f>
        <v/>
      </c>
      <c r="J932" s="9"/>
    </row>
    <row r="933" customFormat="false" ht="21.75" hidden="false" customHeight="true" outlineLevel="0" collapsed="false">
      <c r="B933" s="14" t="n">
        <v>923</v>
      </c>
      <c r="C933" s="7" t="s">
        <v>55</v>
      </c>
      <c r="D933" s="7" t="s">
        <v>66</v>
      </c>
      <c r="E933" s="7" t="s">
        <v>391</v>
      </c>
      <c r="F933" s="18" t="str">
        <f aca="false">IF('Base de Datos SACI'!U927="","",'Base de Datos SACI'!U927)</f>
        <v/>
      </c>
      <c r="G933" s="14"/>
      <c r="H933" s="28"/>
      <c r="I933" s="29" t="str">
        <f aca="false">IF(OR($G933="",$G933=0),"",IFERROR(ROUND($F933*$G933*(1-IF($H933="",0,$H933)),2),""))</f>
        <v/>
      </c>
      <c r="J933" s="7"/>
    </row>
    <row r="934" customFormat="false" ht="21.75" hidden="false" customHeight="true" outlineLevel="0" collapsed="false">
      <c r="B934" s="15" t="n">
        <v>924</v>
      </c>
      <c r="C934" s="9" t="s">
        <v>55</v>
      </c>
      <c r="D934" s="9" t="s">
        <v>67</v>
      </c>
      <c r="E934" s="9" t="s">
        <v>2197</v>
      </c>
      <c r="F934" s="19" t="n">
        <f aca="false">IF('Base de Datos SACI'!U928="","",'Base de Datos SACI'!U928)</f>
        <v>8</v>
      </c>
      <c r="G934" s="15"/>
      <c r="H934" s="30"/>
      <c r="I934" s="31" t="str">
        <f aca="false">IF(OR($G934="",$G934=0),"",IFERROR(ROUND($F934*$G934*(1-IF($H934="",0,$H934)),2),""))</f>
        <v/>
      </c>
      <c r="J934" s="9"/>
    </row>
    <row r="935" customFormat="false" ht="21.75" hidden="false" customHeight="true" outlineLevel="0" collapsed="false">
      <c r="B935" s="14" t="n">
        <v>925</v>
      </c>
      <c r="C935" s="7" t="s">
        <v>55</v>
      </c>
      <c r="D935" s="7" t="s">
        <v>67</v>
      </c>
      <c r="E935" s="7" t="s">
        <v>2202</v>
      </c>
      <c r="F935" s="18" t="n">
        <f aca="false">IF('Base de Datos SACI'!U929="","",'Base de Datos SACI'!U929)</f>
        <v>10</v>
      </c>
      <c r="G935" s="14"/>
      <c r="H935" s="28"/>
      <c r="I935" s="29" t="str">
        <f aca="false">IF(OR($G935="",$G935=0),"",IFERROR(ROUND($F935*$G935*(1-IF($H935="",0,$H935)),2),""))</f>
        <v/>
      </c>
      <c r="J935" s="7"/>
    </row>
    <row r="936" customFormat="false" ht="21.75" hidden="false" customHeight="true" outlineLevel="0" collapsed="false">
      <c r="B936" s="15" t="n">
        <v>926</v>
      </c>
      <c r="C936" s="9" t="s">
        <v>55</v>
      </c>
      <c r="D936" s="9" t="s">
        <v>67</v>
      </c>
      <c r="E936" s="9" t="s">
        <v>2203</v>
      </c>
      <c r="F936" s="19" t="n">
        <f aca="false">IF('Base de Datos SACI'!U930="","",'Base de Datos SACI'!U930)</f>
        <v>14</v>
      </c>
      <c r="G936" s="15"/>
      <c r="H936" s="30"/>
      <c r="I936" s="31" t="str">
        <f aca="false">IF(OR($G936="",$G936=0),"",IFERROR(ROUND($F936*$G936*(1-IF($H936="",0,$H936)),2),""))</f>
        <v/>
      </c>
      <c r="J936" s="9"/>
    </row>
    <row r="937" customFormat="false" ht="21.75" hidden="false" customHeight="true" outlineLevel="0" collapsed="false">
      <c r="B937" s="14" t="n">
        <v>927</v>
      </c>
      <c r="C937" s="7" t="s">
        <v>55</v>
      </c>
      <c r="D937" s="7" t="s">
        <v>67</v>
      </c>
      <c r="E937" s="7" t="s">
        <v>2204</v>
      </c>
      <c r="F937" s="18" t="n">
        <f aca="false">IF('Base de Datos SACI'!U931="","",'Base de Datos SACI'!U931)</f>
        <v>20</v>
      </c>
      <c r="G937" s="14"/>
      <c r="H937" s="28"/>
      <c r="I937" s="29" t="str">
        <f aca="false">IF(OR($G937="",$G937=0),"",IFERROR(ROUND($F937*$G937*(1-IF($H937="",0,$H937)),2),""))</f>
        <v/>
      </c>
      <c r="J937" s="7"/>
    </row>
    <row r="938" customFormat="false" ht="21.75" hidden="false" customHeight="true" outlineLevel="0" collapsed="false">
      <c r="B938" s="15" t="n">
        <v>928</v>
      </c>
      <c r="C938" s="9" t="s">
        <v>55</v>
      </c>
      <c r="D938" s="9" t="s">
        <v>67</v>
      </c>
      <c r="E938" s="9" t="s">
        <v>2205</v>
      </c>
      <c r="F938" s="19" t="n">
        <f aca="false">IF('Base de Datos SACI'!U932="","",'Base de Datos SACI'!U932)</f>
        <v>30</v>
      </c>
      <c r="G938" s="15"/>
      <c r="H938" s="30"/>
      <c r="I938" s="31" t="str">
        <f aca="false">IF(OR($G938="",$G938=0),"",IFERROR(ROUND($F938*$G938*(1-IF($H938="",0,$H938)),2),""))</f>
        <v/>
      </c>
      <c r="J938" s="9"/>
    </row>
    <row r="939" customFormat="false" ht="21.75" hidden="false" customHeight="true" outlineLevel="0" collapsed="false">
      <c r="B939" s="14" t="n">
        <v>929</v>
      </c>
      <c r="C939" s="7" t="s">
        <v>55</v>
      </c>
      <c r="D939" s="7" t="s">
        <v>68</v>
      </c>
      <c r="E939" s="7" t="s">
        <v>391</v>
      </c>
      <c r="F939" s="18" t="str">
        <f aca="false">IF('Base de Datos SACI'!U933="","",'Base de Datos SACI'!U933)</f>
        <v/>
      </c>
      <c r="G939" s="14"/>
      <c r="H939" s="28"/>
      <c r="I939" s="29" t="str">
        <f aca="false">IF(OR($G939="",$G939=0),"",IFERROR(ROUND($F939*$G939*(1-IF($H939="",0,$H939)),2),""))</f>
        <v/>
      </c>
      <c r="J939" s="7"/>
    </row>
    <row r="940" customFormat="false" ht="21.75" hidden="false" customHeight="true" outlineLevel="0" collapsed="false">
      <c r="B940" s="15" t="n">
        <v>930</v>
      </c>
      <c r="C940" s="9" t="s">
        <v>55</v>
      </c>
      <c r="D940" s="9" t="s">
        <v>69</v>
      </c>
      <c r="E940" s="9" t="s">
        <v>2207</v>
      </c>
      <c r="F940" s="19" t="n">
        <f aca="false">IF('Base de Datos SACI'!U934="","",'Base de Datos SACI'!U934)</f>
        <v>19</v>
      </c>
      <c r="G940" s="15"/>
      <c r="H940" s="30"/>
      <c r="I940" s="31" t="str">
        <f aca="false">IF(OR($G940="",$G940=0),"",IFERROR(ROUND($F940*$G940*(1-IF($H940="",0,$H940)),2),""))</f>
        <v/>
      </c>
      <c r="J940" s="9"/>
    </row>
    <row r="941" customFormat="false" ht="21.75" hidden="false" customHeight="true" outlineLevel="0" collapsed="false">
      <c r="B941" s="14" t="n">
        <v>931</v>
      </c>
      <c r="C941" s="7" t="s">
        <v>55</v>
      </c>
      <c r="D941" s="7" t="s">
        <v>69</v>
      </c>
      <c r="E941" s="7" t="s">
        <v>2211</v>
      </c>
      <c r="F941" s="18" t="n">
        <f aca="false">IF('Base de Datos SACI'!U935="","",'Base de Datos SACI'!U935)</f>
        <v>25</v>
      </c>
      <c r="G941" s="14"/>
      <c r="H941" s="28"/>
      <c r="I941" s="29" t="str">
        <f aca="false">IF(OR($G941="",$G941=0),"",IFERROR(ROUND($F941*$G941*(1-IF($H941="",0,$H941)),2),""))</f>
        <v/>
      </c>
      <c r="J941" s="7"/>
    </row>
    <row r="942" customFormat="false" ht="21.75" hidden="false" customHeight="true" outlineLevel="0" collapsed="false">
      <c r="B942" s="15" t="n">
        <v>932</v>
      </c>
      <c r="C942" s="9" t="s">
        <v>55</v>
      </c>
      <c r="D942" s="9" t="s">
        <v>69</v>
      </c>
      <c r="E942" s="9" t="s">
        <v>2212</v>
      </c>
      <c r="F942" s="19" t="n">
        <f aca="false">IF('Base de Datos SACI'!U936="","",'Base de Datos SACI'!U936)</f>
        <v>35</v>
      </c>
      <c r="G942" s="15"/>
      <c r="H942" s="30"/>
      <c r="I942" s="31" t="str">
        <f aca="false">IF(OR($G942="",$G942=0),"",IFERROR(ROUND($F942*$G942*(1-IF($H942="",0,$H942)),2),""))</f>
        <v/>
      </c>
      <c r="J942" s="9"/>
    </row>
    <row r="943" customFormat="false" ht="21.75" hidden="false" customHeight="true" outlineLevel="0" collapsed="false">
      <c r="B943" s="14" t="n">
        <v>933</v>
      </c>
      <c r="C943" s="7" t="s">
        <v>55</v>
      </c>
      <c r="D943" s="7" t="s">
        <v>69</v>
      </c>
      <c r="E943" s="7" t="s">
        <v>2214</v>
      </c>
      <c r="F943" s="18" t="n">
        <f aca="false">IF('Base de Datos SACI'!U937="","",'Base de Datos SACI'!U937)</f>
        <v>55</v>
      </c>
      <c r="G943" s="14"/>
      <c r="H943" s="28"/>
      <c r="I943" s="29" t="str">
        <f aca="false">IF(OR($G943="",$G943=0),"",IFERROR(ROUND($F943*$G943*(1-IF($H943="",0,$H943)),2),""))</f>
        <v/>
      </c>
      <c r="J943" s="7"/>
    </row>
    <row r="944" customFormat="false" ht="21.75" hidden="false" customHeight="true" outlineLevel="0" collapsed="false">
      <c r="B944" s="15" t="n">
        <v>934</v>
      </c>
      <c r="C944" s="9" t="s">
        <v>55</v>
      </c>
      <c r="D944" s="9" t="s">
        <v>69</v>
      </c>
      <c r="E944" s="9" t="s">
        <v>2215</v>
      </c>
      <c r="F944" s="19" t="n">
        <f aca="false">IF('Base de Datos SACI'!U938="","",'Base de Datos SACI'!U938)</f>
        <v>80</v>
      </c>
      <c r="G944" s="15"/>
      <c r="H944" s="30"/>
      <c r="I944" s="31" t="str">
        <f aca="false">IF(OR($G944="",$G944=0),"",IFERROR(ROUND($F944*$G944*(1-IF($H944="",0,$H944)),2),""))</f>
        <v/>
      </c>
      <c r="J944" s="9"/>
    </row>
    <row r="945" customFormat="false" ht="21.75" hidden="false" customHeight="true" outlineLevel="0" collapsed="false">
      <c r="B945" s="14" t="n">
        <v>935</v>
      </c>
      <c r="C945" s="7" t="s">
        <v>55</v>
      </c>
      <c r="D945" s="7" t="s">
        <v>70</v>
      </c>
      <c r="E945" s="7" t="s">
        <v>391</v>
      </c>
      <c r="F945" s="18" t="str">
        <f aca="false">IF('Base de Datos SACI'!U939="","",'Base de Datos SACI'!U939)</f>
        <v/>
      </c>
      <c r="G945" s="14"/>
      <c r="H945" s="28"/>
      <c r="I945" s="29" t="str">
        <f aca="false">IF(OR($G945="",$G945=0),"",IFERROR(ROUND($F945*$G945*(1-IF($H945="",0,$H945)),2),""))</f>
        <v/>
      </c>
      <c r="J945" s="7"/>
    </row>
    <row r="946" customFormat="false" ht="21.75" hidden="false" customHeight="true" outlineLevel="0" collapsed="false">
      <c r="B946" s="15" t="n">
        <v>936</v>
      </c>
      <c r="C946" s="9" t="s">
        <v>55</v>
      </c>
      <c r="D946" s="9" t="s">
        <v>71</v>
      </c>
      <c r="E946" s="9" t="s">
        <v>391</v>
      </c>
      <c r="F946" s="19" t="str">
        <f aca="false">IF('Base de Datos SACI'!U940="","",'Base de Datos SACI'!U940)</f>
        <v/>
      </c>
      <c r="G946" s="15"/>
      <c r="H946" s="30"/>
      <c r="I946" s="31" t="str">
        <f aca="false">IF(OR($G946="",$G946=0),"",IFERROR(ROUND($F946*$G946*(1-IF($H946="",0,$H946)),2),""))</f>
        <v/>
      </c>
      <c r="J946" s="9"/>
    </row>
    <row r="947" customFormat="false" ht="21.75" hidden="false" customHeight="true" outlineLevel="0" collapsed="false">
      <c r="B947" s="14" t="n">
        <v>937</v>
      </c>
      <c r="C947" s="7" t="s">
        <v>55</v>
      </c>
      <c r="D947" s="7" t="s">
        <v>72</v>
      </c>
      <c r="E947" s="7" t="s">
        <v>391</v>
      </c>
      <c r="F947" s="18" t="str">
        <f aca="false">IF('Base de Datos SACI'!U941="","",'Base de Datos SACI'!U941)</f>
        <v/>
      </c>
      <c r="G947" s="14"/>
      <c r="H947" s="28"/>
      <c r="I947" s="29" t="str">
        <f aca="false">IF(OR($G947="",$G947=0),"",IFERROR(ROUND($F947*$G947*(1-IF($H947="",0,$H947)),2),""))</f>
        <v/>
      </c>
      <c r="J947" s="7"/>
    </row>
    <row r="948" customFormat="false" ht="21.75" hidden="false" customHeight="true" outlineLevel="0" collapsed="false">
      <c r="B948" s="15" t="n">
        <v>938</v>
      </c>
      <c r="C948" s="9" t="s">
        <v>55</v>
      </c>
      <c r="D948" s="9" t="s">
        <v>73</v>
      </c>
      <c r="E948" s="9" t="s">
        <v>391</v>
      </c>
      <c r="F948" s="19" t="str">
        <f aca="false">IF('Base de Datos SACI'!U942="","",'Base de Datos SACI'!U942)</f>
        <v/>
      </c>
      <c r="G948" s="15"/>
      <c r="H948" s="30"/>
      <c r="I948" s="31" t="str">
        <f aca="false">IF(OR($G948="",$G948=0),"",IFERROR(ROUND($F948*$G948*(1-IF($H948="",0,$H948)),2),""))</f>
        <v/>
      </c>
      <c r="J948" s="9"/>
    </row>
    <row r="949" customFormat="false" ht="21.75" hidden="false" customHeight="true" outlineLevel="0" collapsed="false">
      <c r="B949" s="14" t="n">
        <v>939</v>
      </c>
      <c r="C949" s="7" t="s">
        <v>55</v>
      </c>
      <c r="D949" s="7" t="s">
        <v>74</v>
      </c>
      <c r="E949" s="7" t="s">
        <v>391</v>
      </c>
      <c r="F949" s="18" t="str">
        <f aca="false">IF('Base de Datos SACI'!U943="","",'Base de Datos SACI'!U943)</f>
        <v/>
      </c>
      <c r="G949" s="14"/>
      <c r="H949" s="28"/>
      <c r="I949" s="29" t="str">
        <f aca="false">IF(OR($G949="",$G949=0),"",IFERROR(ROUND($F949*$G949*(1-IF($H949="",0,$H949)),2),""))</f>
        <v/>
      </c>
      <c r="J949" s="7"/>
    </row>
    <row r="950" customFormat="false" ht="21.75" hidden="false" customHeight="true" outlineLevel="0" collapsed="false">
      <c r="B950" s="15" t="n">
        <v>940</v>
      </c>
      <c r="C950" s="9" t="s">
        <v>55</v>
      </c>
      <c r="D950" s="9" t="s">
        <v>75</v>
      </c>
      <c r="E950" s="9" t="s">
        <v>391</v>
      </c>
      <c r="F950" s="19" t="str">
        <f aca="false">IF('Base de Datos SACI'!U944="","",'Base de Datos SACI'!U944)</f>
        <v/>
      </c>
      <c r="G950" s="15"/>
      <c r="H950" s="30"/>
      <c r="I950" s="31" t="str">
        <f aca="false">IF(OR($G950="",$G950=0),"",IFERROR(ROUND($F950*$G950*(1-IF($H950="",0,$H950)),2),""))</f>
        <v/>
      </c>
      <c r="J950" s="9"/>
    </row>
    <row r="951" customFormat="false" ht="21.75" hidden="false" customHeight="true" outlineLevel="0" collapsed="false">
      <c r="B951" s="14" t="n">
        <v>941</v>
      </c>
      <c r="C951" s="7" t="s">
        <v>56</v>
      </c>
      <c r="D951" s="7" t="s">
        <v>60</v>
      </c>
      <c r="E951" s="7" t="s">
        <v>391</v>
      </c>
      <c r="F951" s="18" t="str">
        <f aca="false">IF('Base de Datos SACI'!U945="","",'Base de Datos SACI'!U945)</f>
        <v/>
      </c>
      <c r="G951" s="14"/>
      <c r="H951" s="28"/>
      <c r="I951" s="29" t="str">
        <f aca="false">IF(OR($G951="",$G951=0),"",IFERROR(ROUND($F951*$G951*(1-IF($H951="",0,$H951)),2),""))</f>
        <v/>
      </c>
      <c r="J951" s="7"/>
    </row>
    <row r="952" customFormat="false" ht="21.75" hidden="false" customHeight="true" outlineLevel="0" collapsed="false">
      <c r="B952" s="15" t="n">
        <v>942</v>
      </c>
      <c r="C952" s="9" t="s">
        <v>56</v>
      </c>
      <c r="D952" s="9" t="s">
        <v>61</v>
      </c>
      <c r="E952" s="9" t="s">
        <v>391</v>
      </c>
      <c r="F952" s="19" t="str">
        <f aca="false">IF('Base de Datos SACI'!U946="","",'Base de Datos SACI'!U946)</f>
        <v/>
      </c>
      <c r="G952" s="15"/>
      <c r="H952" s="30"/>
      <c r="I952" s="31" t="str">
        <f aca="false">IF(OR($G952="",$G952=0),"",IFERROR(ROUND($F952*$G952*(1-IF($H952="",0,$H952)),2),""))</f>
        <v/>
      </c>
      <c r="J952" s="9"/>
    </row>
    <row r="953" customFormat="false" ht="21.75" hidden="false" customHeight="true" outlineLevel="0" collapsed="false">
      <c r="B953" s="14" t="n">
        <v>943</v>
      </c>
      <c r="C953" s="7" t="s">
        <v>56</v>
      </c>
      <c r="D953" s="7" t="s">
        <v>62</v>
      </c>
      <c r="E953" s="7" t="s">
        <v>2224</v>
      </c>
      <c r="F953" s="18" t="n">
        <f aca="false">IF('Base de Datos SACI'!U947="","",'Base de Datos SACI'!U947)</f>
        <v>55</v>
      </c>
      <c r="G953" s="14"/>
      <c r="H953" s="28"/>
      <c r="I953" s="29" t="str">
        <f aca="false">IF(OR($G953="",$G953=0),"",IFERROR(ROUND($F953*$G953*(1-IF($H953="",0,$H953)),2),""))</f>
        <v/>
      </c>
      <c r="J953" s="7"/>
    </row>
    <row r="954" customFormat="false" ht="21.75" hidden="false" customHeight="true" outlineLevel="0" collapsed="false">
      <c r="B954" s="15" t="n">
        <v>944</v>
      </c>
      <c r="C954" s="9" t="s">
        <v>56</v>
      </c>
      <c r="D954" s="9" t="s">
        <v>62</v>
      </c>
      <c r="E954" s="9" t="s">
        <v>2237</v>
      </c>
      <c r="F954" s="19" t="n">
        <f aca="false">IF('Base de Datos SACI'!U948="","",'Base de Datos SACI'!U948)</f>
        <v>80</v>
      </c>
      <c r="G954" s="15"/>
      <c r="H954" s="30"/>
      <c r="I954" s="31" t="str">
        <f aca="false">IF(OR($G954="",$G954=0),"",IFERROR(ROUND($F954*$G954*(1-IF($H954="",0,$H954)),2),""))</f>
        <v/>
      </c>
      <c r="J954" s="9"/>
    </row>
    <row r="955" customFormat="false" ht="21.75" hidden="false" customHeight="true" outlineLevel="0" collapsed="false">
      <c r="B955" s="14" t="n">
        <v>945</v>
      </c>
      <c r="C955" s="7" t="s">
        <v>56</v>
      </c>
      <c r="D955" s="7" t="s">
        <v>62</v>
      </c>
      <c r="E955" s="7" t="s">
        <v>2238</v>
      </c>
      <c r="F955" s="18" t="n">
        <f aca="false">IF('Base de Datos SACI'!U949="","",'Base de Datos SACI'!U949)</f>
        <v>110</v>
      </c>
      <c r="G955" s="14"/>
      <c r="H955" s="28"/>
      <c r="I955" s="29" t="str">
        <f aca="false">IF(OR($G955="",$G955=0),"",IFERROR(ROUND($F955*$G955*(1-IF($H955="",0,$H955)),2),""))</f>
        <v/>
      </c>
      <c r="J955" s="7"/>
    </row>
    <row r="956" customFormat="false" ht="21.75" hidden="false" customHeight="true" outlineLevel="0" collapsed="false">
      <c r="B956" s="15" t="n">
        <v>946</v>
      </c>
      <c r="C956" s="9" t="s">
        <v>56</v>
      </c>
      <c r="D956" s="9" t="s">
        <v>62</v>
      </c>
      <c r="E956" s="9" t="s">
        <v>2240</v>
      </c>
      <c r="F956" s="19" t="n">
        <f aca="false">IF('Base de Datos SACI'!U950="","",'Base de Datos SACI'!U950)</f>
        <v>165</v>
      </c>
      <c r="G956" s="15"/>
      <c r="H956" s="30"/>
      <c r="I956" s="31" t="str">
        <f aca="false">IF(OR($G956="",$G956=0),"",IFERROR(ROUND($F956*$G956*(1-IF($H956="",0,$H956)),2),""))</f>
        <v/>
      </c>
      <c r="J956" s="9"/>
    </row>
    <row r="957" customFormat="false" ht="21.75" hidden="false" customHeight="true" outlineLevel="0" collapsed="false">
      <c r="B957" s="14" t="n">
        <v>947</v>
      </c>
      <c r="C957" s="7" t="s">
        <v>56</v>
      </c>
      <c r="D957" s="7" t="s">
        <v>62</v>
      </c>
      <c r="E957" s="7" t="s">
        <v>2241</v>
      </c>
      <c r="F957" s="18" t="n">
        <f aca="false">IF('Base de Datos SACI'!U951="","",'Base de Datos SACI'!U951)</f>
        <v>240</v>
      </c>
      <c r="G957" s="14"/>
      <c r="H957" s="28"/>
      <c r="I957" s="29" t="str">
        <f aca="false">IF(OR($G957="",$G957=0),"",IFERROR(ROUND($F957*$G957*(1-IF($H957="",0,$H957)),2),""))</f>
        <v/>
      </c>
      <c r="J957" s="7"/>
    </row>
    <row r="958" customFormat="false" ht="21.75" hidden="false" customHeight="true" outlineLevel="0" collapsed="false">
      <c r="B958" s="15" t="n">
        <v>948</v>
      </c>
      <c r="C958" s="9" t="s">
        <v>56</v>
      </c>
      <c r="D958" s="9" t="s">
        <v>63</v>
      </c>
      <c r="E958" s="9" t="s">
        <v>2242</v>
      </c>
      <c r="F958" s="19" t="n">
        <f aca="false">IF('Base de Datos SACI'!U952="","",'Base de Datos SACI'!U952)</f>
        <v>16</v>
      </c>
      <c r="G958" s="15"/>
      <c r="H958" s="30"/>
      <c r="I958" s="31" t="str">
        <f aca="false">IF(OR($G958="",$G958=0),"",IFERROR(ROUND($F958*$G958*(1-IF($H958="",0,$H958)),2),""))</f>
        <v/>
      </c>
      <c r="J958" s="9"/>
    </row>
    <row r="959" customFormat="false" ht="21.75" hidden="false" customHeight="true" outlineLevel="0" collapsed="false">
      <c r="B959" s="14" t="n">
        <v>949</v>
      </c>
      <c r="C959" s="7" t="s">
        <v>56</v>
      </c>
      <c r="D959" s="7" t="s">
        <v>63</v>
      </c>
      <c r="E959" s="7" t="s">
        <v>2251</v>
      </c>
      <c r="F959" s="18" t="n">
        <f aca="false">IF('Base de Datos SACI'!U953="","",'Base de Datos SACI'!U953)</f>
        <v>20</v>
      </c>
      <c r="G959" s="14"/>
      <c r="H959" s="28"/>
      <c r="I959" s="29" t="str">
        <f aca="false">IF(OR($G959="",$G959=0),"",IFERROR(ROUND($F959*$G959*(1-IF($H959="",0,$H959)),2),""))</f>
        <v/>
      </c>
      <c r="J959" s="7"/>
    </row>
    <row r="960" customFormat="false" ht="21.75" hidden="false" customHeight="true" outlineLevel="0" collapsed="false">
      <c r="B960" s="15" t="n">
        <v>950</v>
      </c>
      <c r="C960" s="9" t="s">
        <v>56</v>
      </c>
      <c r="D960" s="9" t="s">
        <v>63</v>
      </c>
      <c r="E960" s="9" t="s">
        <v>2252</v>
      </c>
      <c r="F960" s="19" t="n">
        <f aca="false">IF('Base de Datos SACI'!U954="","",'Base de Datos SACI'!U954)</f>
        <v>30</v>
      </c>
      <c r="G960" s="15"/>
      <c r="H960" s="30"/>
      <c r="I960" s="31" t="str">
        <f aca="false">IF(OR($G960="",$G960=0),"",IFERROR(ROUND($F960*$G960*(1-IF($H960="",0,$H960)),2),""))</f>
        <v/>
      </c>
      <c r="J960" s="9"/>
    </row>
    <row r="961" customFormat="false" ht="21.75" hidden="false" customHeight="true" outlineLevel="0" collapsed="false">
      <c r="B961" s="14" t="n">
        <v>951</v>
      </c>
      <c r="C961" s="7" t="s">
        <v>56</v>
      </c>
      <c r="D961" s="7" t="s">
        <v>63</v>
      </c>
      <c r="E961" s="7" t="s">
        <v>2254</v>
      </c>
      <c r="F961" s="18" t="n">
        <f aca="false">IF('Base de Datos SACI'!U955="","",'Base de Datos SACI'!U955)</f>
        <v>45</v>
      </c>
      <c r="G961" s="14"/>
      <c r="H961" s="28"/>
      <c r="I961" s="29" t="str">
        <f aca="false">IF(OR($G961="",$G961=0),"",IFERROR(ROUND($F961*$G961*(1-IF($H961="",0,$H961)),2),""))</f>
        <v/>
      </c>
      <c r="J961" s="7"/>
    </row>
    <row r="962" customFormat="false" ht="21.75" hidden="false" customHeight="true" outlineLevel="0" collapsed="false">
      <c r="B962" s="15" t="n">
        <v>952</v>
      </c>
      <c r="C962" s="9" t="s">
        <v>56</v>
      </c>
      <c r="D962" s="9" t="s">
        <v>63</v>
      </c>
      <c r="E962" s="9" t="s">
        <v>2255</v>
      </c>
      <c r="F962" s="19" t="n">
        <f aca="false">IF('Base de Datos SACI'!U956="","",'Base de Datos SACI'!U956)</f>
        <v>70</v>
      </c>
      <c r="G962" s="15"/>
      <c r="H962" s="30"/>
      <c r="I962" s="31" t="str">
        <f aca="false">IF(OR($G962="",$G962=0),"",IFERROR(ROUND($F962*$G962*(1-IF($H962="",0,$H962)),2),""))</f>
        <v/>
      </c>
      <c r="J962" s="9"/>
    </row>
    <row r="963" customFormat="false" ht="21.75" hidden="false" customHeight="true" outlineLevel="0" collapsed="false">
      <c r="B963" s="14" t="n">
        <v>953</v>
      </c>
      <c r="C963" s="7" t="s">
        <v>56</v>
      </c>
      <c r="D963" s="7" t="s">
        <v>64</v>
      </c>
      <c r="E963" s="7" t="s">
        <v>2256</v>
      </c>
      <c r="F963" s="18" t="n">
        <f aca="false">IF('Base de Datos SACI'!U957="","",'Base de Datos SACI'!U957)</f>
        <v>8</v>
      </c>
      <c r="G963" s="14"/>
      <c r="H963" s="28"/>
      <c r="I963" s="29" t="str">
        <f aca="false">IF(OR($G963="",$G963=0),"",IFERROR(ROUND($F963*$G963*(1-IF($H963="",0,$H963)),2),""))</f>
        <v/>
      </c>
      <c r="J963" s="7"/>
    </row>
    <row r="964" customFormat="false" ht="21.75" hidden="false" customHeight="true" outlineLevel="0" collapsed="false">
      <c r="B964" s="15" t="n">
        <v>954</v>
      </c>
      <c r="C964" s="9" t="s">
        <v>56</v>
      </c>
      <c r="D964" s="9" t="s">
        <v>64</v>
      </c>
      <c r="E964" s="9" t="s">
        <v>2262</v>
      </c>
      <c r="F964" s="19" t="n">
        <f aca="false">IF('Base de Datos SACI'!U958="","",'Base de Datos SACI'!U958)</f>
        <v>10</v>
      </c>
      <c r="G964" s="15"/>
      <c r="H964" s="30"/>
      <c r="I964" s="31" t="str">
        <f aca="false">IF(OR($G964="",$G964=0),"",IFERROR(ROUND($F964*$G964*(1-IF($H964="",0,$H964)),2),""))</f>
        <v/>
      </c>
      <c r="J964" s="9"/>
    </row>
    <row r="965" customFormat="false" ht="21.75" hidden="false" customHeight="true" outlineLevel="0" collapsed="false">
      <c r="B965" s="14" t="n">
        <v>955</v>
      </c>
      <c r="C965" s="7" t="s">
        <v>56</v>
      </c>
      <c r="D965" s="7" t="s">
        <v>64</v>
      </c>
      <c r="E965" s="7" t="s">
        <v>2263</v>
      </c>
      <c r="F965" s="18" t="n">
        <f aca="false">IF('Base de Datos SACI'!U959="","",'Base de Datos SACI'!U959)</f>
        <v>14</v>
      </c>
      <c r="G965" s="14"/>
      <c r="H965" s="28"/>
      <c r="I965" s="29" t="str">
        <f aca="false">IF(OR($G965="",$G965=0),"",IFERROR(ROUND($F965*$G965*(1-IF($H965="",0,$H965)),2),""))</f>
        <v/>
      </c>
      <c r="J965" s="7"/>
    </row>
    <row r="966" customFormat="false" ht="21.75" hidden="false" customHeight="true" outlineLevel="0" collapsed="false">
      <c r="B966" s="15" t="n">
        <v>956</v>
      </c>
      <c r="C966" s="9" t="s">
        <v>56</v>
      </c>
      <c r="D966" s="9" t="s">
        <v>64</v>
      </c>
      <c r="E966" s="9" t="s">
        <v>2265</v>
      </c>
      <c r="F966" s="19" t="n">
        <f aca="false">IF('Base de Datos SACI'!U960="","",'Base de Datos SACI'!U960)</f>
        <v>20</v>
      </c>
      <c r="G966" s="15"/>
      <c r="H966" s="30"/>
      <c r="I966" s="31" t="str">
        <f aca="false">IF(OR($G966="",$G966=0),"",IFERROR(ROUND($F966*$G966*(1-IF($H966="",0,$H966)),2),""))</f>
        <v/>
      </c>
      <c r="J966" s="9"/>
    </row>
    <row r="967" customFormat="false" ht="21.75" hidden="false" customHeight="true" outlineLevel="0" collapsed="false">
      <c r="B967" s="14" t="n">
        <v>957</v>
      </c>
      <c r="C967" s="7" t="s">
        <v>56</v>
      </c>
      <c r="D967" s="7" t="s">
        <v>64</v>
      </c>
      <c r="E967" s="7" t="s">
        <v>2266</v>
      </c>
      <c r="F967" s="18" t="n">
        <f aca="false">IF('Base de Datos SACI'!U961="","",'Base de Datos SACI'!U961)</f>
        <v>30</v>
      </c>
      <c r="G967" s="14"/>
      <c r="H967" s="28"/>
      <c r="I967" s="29" t="str">
        <f aca="false">IF(OR($G967="",$G967=0),"",IFERROR(ROUND($F967*$G967*(1-IF($H967="",0,$H967)),2),""))</f>
        <v/>
      </c>
      <c r="J967" s="7"/>
    </row>
    <row r="968" customFormat="false" ht="21.75" hidden="false" customHeight="true" outlineLevel="0" collapsed="false">
      <c r="B968" s="15" t="n">
        <v>958</v>
      </c>
      <c r="C968" s="9" t="s">
        <v>56</v>
      </c>
      <c r="D968" s="9" t="s">
        <v>65</v>
      </c>
      <c r="E968" s="9" t="s">
        <v>2267</v>
      </c>
      <c r="F968" s="19" t="n">
        <f aca="false">IF('Base de Datos SACI'!U962="","",'Base de Datos SACI'!U962)</f>
        <v>9</v>
      </c>
      <c r="G968" s="15"/>
      <c r="H968" s="30"/>
      <c r="I968" s="31" t="str">
        <f aca="false">IF(OR($G968="",$G968=0),"",IFERROR(ROUND($F968*$G968*(1-IF($H968="",0,$H968)),2),""))</f>
        <v/>
      </c>
      <c r="J968" s="9"/>
    </row>
    <row r="969" customFormat="false" ht="21.75" hidden="false" customHeight="true" outlineLevel="0" collapsed="false">
      <c r="B969" s="14" t="n">
        <v>959</v>
      </c>
      <c r="C969" s="7" t="s">
        <v>56</v>
      </c>
      <c r="D969" s="7" t="s">
        <v>65</v>
      </c>
      <c r="E969" s="7" t="s">
        <v>2271</v>
      </c>
      <c r="F969" s="18" t="n">
        <f aca="false">IF('Base de Datos SACI'!U963="","",'Base de Datos SACI'!U963)</f>
        <v>14</v>
      </c>
      <c r="G969" s="14"/>
      <c r="H969" s="28"/>
      <c r="I969" s="29" t="str">
        <f aca="false">IF(OR($G969="",$G969=0),"",IFERROR(ROUND($F969*$G969*(1-IF($H969="",0,$H969)),2),""))</f>
        <v/>
      </c>
      <c r="J969" s="7"/>
    </row>
    <row r="970" customFormat="false" ht="21.75" hidden="false" customHeight="true" outlineLevel="0" collapsed="false">
      <c r="B970" s="15" t="n">
        <v>960</v>
      </c>
      <c r="C970" s="9" t="s">
        <v>56</v>
      </c>
      <c r="D970" s="9" t="s">
        <v>65</v>
      </c>
      <c r="E970" s="9" t="s">
        <v>2272</v>
      </c>
      <c r="F970" s="19" t="n">
        <f aca="false">IF('Base de Datos SACI'!U964="","",'Base de Datos SACI'!U964)</f>
        <v>18</v>
      </c>
      <c r="G970" s="15"/>
      <c r="H970" s="30"/>
      <c r="I970" s="31" t="str">
        <f aca="false">IF(OR($G970="",$G970=0),"",IFERROR(ROUND($F970*$G970*(1-IF($H970="",0,$H970)),2),""))</f>
        <v/>
      </c>
      <c r="J970" s="9"/>
    </row>
    <row r="971" customFormat="false" ht="21.75" hidden="false" customHeight="true" outlineLevel="0" collapsed="false">
      <c r="B971" s="14" t="n">
        <v>961</v>
      </c>
      <c r="C971" s="7" t="s">
        <v>56</v>
      </c>
      <c r="D971" s="7" t="s">
        <v>65</v>
      </c>
      <c r="E971" s="7" t="s">
        <v>2274</v>
      </c>
      <c r="F971" s="18" t="n">
        <f aca="false">IF('Base de Datos SACI'!U965="","",'Base de Datos SACI'!U965)</f>
        <v>25</v>
      </c>
      <c r="G971" s="14"/>
      <c r="H971" s="28"/>
      <c r="I971" s="29" t="str">
        <f aca="false">IF(OR($G971="",$G971=0),"",IFERROR(ROUND($F971*$G971*(1-IF($H971="",0,$H971)),2),""))</f>
        <v/>
      </c>
      <c r="J971" s="7"/>
    </row>
    <row r="972" customFormat="false" ht="21.75" hidden="false" customHeight="true" outlineLevel="0" collapsed="false">
      <c r="B972" s="15" t="n">
        <v>962</v>
      </c>
      <c r="C972" s="9" t="s">
        <v>56</v>
      </c>
      <c r="D972" s="9" t="s">
        <v>65</v>
      </c>
      <c r="E972" s="9" t="s">
        <v>2275</v>
      </c>
      <c r="F972" s="19" t="n">
        <f aca="false">IF('Base de Datos SACI'!U966="","",'Base de Datos SACI'!U966)</f>
        <v>35</v>
      </c>
      <c r="G972" s="15"/>
      <c r="H972" s="30"/>
      <c r="I972" s="31" t="str">
        <f aca="false">IF(OR($G972="",$G972=0),"",IFERROR(ROUND($F972*$G972*(1-IF($H972="",0,$H972)),2),""))</f>
        <v/>
      </c>
      <c r="J972" s="9"/>
    </row>
    <row r="973" customFormat="false" ht="21.75" hidden="false" customHeight="true" outlineLevel="0" collapsed="false">
      <c r="B973" s="14" t="n">
        <v>963</v>
      </c>
      <c r="C973" s="7" t="s">
        <v>56</v>
      </c>
      <c r="D973" s="7" t="s">
        <v>66</v>
      </c>
      <c r="E973" s="7" t="s">
        <v>391</v>
      </c>
      <c r="F973" s="18" t="str">
        <f aca="false">IF('Base de Datos SACI'!U967="","",'Base de Datos SACI'!U967)</f>
        <v/>
      </c>
      <c r="G973" s="14"/>
      <c r="H973" s="28"/>
      <c r="I973" s="29" t="str">
        <f aca="false">IF(OR($G973="",$G973=0),"",IFERROR(ROUND($F973*$G973*(1-IF($H973="",0,$H973)),2),""))</f>
        <v/>
      </c>
      <c r="J973" s="7"/>
    </row>
    <row r="974" customFormat="false" ht="21.75" hidden="false" customHeight="true" outlineLevel="0" collapsed="false">
      <c r="B974" s="15" t="n">
        <v>964</v>
      </c>
      <c r="C974" s="9" t="s">
        <v>56</v>
      </c>
      <c r="D974" s="9" t="s">
        <v>67</v>
      </c>
      <c r="E974" s="9" t="s">
        <v>2277</v>
      </c>
      <c r="F974" s="19" t="n">
        <f aca="false">IF('Base de Datos SACI'!U968="","",'Base de Datos SACI'!U968)</f>
        <v>8</v>
      </c>
      <c r="G974" s="15"/>
      <c r="H974" s="30"/>
      <c r="I974" s="31" t="str">
        <f aca="false">IF(OR($G974="",$G974=0),"",IFERROR(ROUND($F974*$G974*(1-IF($H974="",0,$H974)),2),""))</f>
        <v/>
      </c>
      <c r="J974" s="9"/>
    </row>
    <row r="975" customFormat="false" ht="21.75" hidden="false" customHeight="true" outlineLevel="0" collapsed="false">
      <c r="B975" s="14" t="n">
        <v>965</v>
      </c>
      <c r="C975" s="7" t="s">
        <v>56</v>
      </c>
      <c r="D975" s="7" t="s">
        <v>67</v>
      </c>
      <c r="E975" s="7" t="s">
        <v>2282</v>
      </c>
      <c r="F975" s="18" t="n">
        <f aca="false">IF('Base de Datos SACI'!U969="","",'Base de Datos SACI'!U969)</f>
        <v>8</v>
      </c>
      <c r="G975" s="14"/>
      <c r="H975" s="28"/>
      <c r="I975" s="29" t="str">
        <f aca="false">IF(OR($G975="",$G975=0),"",IFERROR(ROUND($F975*$G975*(1-IF($H975="",0,$H975)),2),""))</f>
        <v/>
      </c>
      <c r="J975" s="7"/>
    </row>
    <row r="976" customFormat="false" ht="21.75" hidden="false" customHeight="true" outlineLevel="0" collapsed="false">
      <c r="B976" s="15" t="n">
        <v>966</v>
      </c>
      <c r="C976" s="9" t="s">
        <v>56</v>
      </c>
      <c r="D976" s="9" t="s">
        <v>67</v>
      </c>
      <c r="E976" s="9" t="s">
        <v>2283</v>
      </c>
      <c r="F976" s="19" t="n">
        <f aca="false">IF('Base de Datos SACI'!U970="","",'Base de Datos SACI'!U970)</f>
        <v>8</v>
      </c>
      <c r="G976" s="15"/>
      <c r="H976" s="30"/>
      <c r="I976" s="31" t="str">
        <f aca="false">IF(OR($G976="",$G976=0),"",IFERROR(ROUND($F976*$G976*(1-IF($H976="",0,$H976)),2),""))</f>
        <v/>
      </c>
      <c r="J976" s="9"/>
    </row>
    <row r="977" customFormat="false" ht="21.75" hidden="false" customHeight="true" outlineLevel="0" collapsed="false">
      <c r="B977" s="14" t="n">
        <v>967</v>
      </c>
      <c r="C977" s="7" t="s">
        <v>56</v>
      </c>
      <c r="D977" s="7" t="s">
        <v>67</v>
      </c>
      <c r="E977" s="7" t="s">
        <v>2285</v>
      </c>
      <c r="F977" s="18" t="n">
        <f aca="false">IF('Base de Datos SACI'!U971="","",'Base de Datos SACI'!U971)</f>
        <v>12</v>
      </c>
      <c r="G977" s="14"/>
      <c r="H977" s="28"/>
      <c r="I977" s="29" t="str">
        <f aca="false">IF(OR($G977="",$G977=0),"",IFERROR(ROUND($F977*$G977*(1-IF($H977="",0,$H977)),2),""))</f>
        <v/>
      </c>
      <c r="J977" s="7"/>
    </row>
    <row r="978" customFormat="false" ht="21.75" hidden="false" customHeight="true" outlineLevel="0" collapsed="false">
      <c r="B978" s="15" t="n">
        <v>968</v>
      </c>
      <c r="C978" s="9" t="s">
        <v>56</v>
      </c>
      <c r="D978" s="9" t="s">
        <v>67</v>
      </c>
      <c r="E978" s="9" t="s">
        <v>2286</v>
      </c>
      <c r="F978" s="19" t="n">
        <f aca="false">IF('Base de Datos SACI'!U972="","",'Base de Datos SACI'!U972)</f>
        <v>18</v>
      </c>
      <c r="G978" s="15"/>
      <c r="H978" s="30"/>
      <c r="I978" s="31" t="str">
        <f aca="false">IF(OR($G978="",$G978=0),"",IFERROR(ROUND($F978*$G978*(1-IF($H978="",0,$H978)),2),""))</f>
        <v/>
      </c>
      <c r="J978" s="9"/>
    </row>
    <row r="979" customFormat="false" ht="21.75" hidden="false" customHeight="true" outlineLevel="0" collapsed="false">
      <c r="B979" s="14" t="n">
        <v>969</v>
      </c>
      <c r="C979" s="7" t="s">
        <v>56</v>
      </c>
      <c r="D979" s="7" t="s">
        <v>68</v>
      </c>
      <c r="E979" s="7" t="s">
        <v>2287</v>
      </c>
      <c r="F979" s="18" t="n">
        <f aca="false">IF('Base de Datos SACI'!U973="","",'Base de Datos SACI'!U973)</f>
        <v>8</v>
      </c>
      <c r="G979" s="14"/>
      <c r="H979" s="28"/>
      <c r="I979" s="29" t="str">
        <f aca="false">IF(OR($G979="",$G979=0),"",IFERROR(ROUND($F979*$G979*(1-IF($H979="",0,$H979)),2),""))</f>
        <v/>
      </c>
      <c r="J979" s="7"/>
    </row>
    <row r="980" customFormat="false" ht="21.75" hidden="false" customHeight="true" outlineLevel="0" collapsed="false">
      <c r="B980" s="15" t="n">
        <v>970</v>
      </c>
      <c r="C980" s="9" t="s">
        <v>56</v>
      </c>
      <c r="D980" s="9" t="s">
        <v>68</v>
      </c>
      <c r="E980" s="9" t="s">
        <v>2291</v>
      </c>
      <c r="F980" s="19" t="n">
        <f aca="false">IF('Base de Datos SACI'!U974="","",'Base de Datos SACI'!U974)</f>
        <v>9</v>
      </c>
      <c r="G980" s="15"/>
      <c r="H980" s="30"/>
      <c r="I980" s="31" t="str">
        <f aca="false">IF(OR($G980="",$G980=0),"",IFERROR(ROUND($F980*$G980*(1-IF($H980="",0,$H980)),2),""))</f>
        <v/>
      </c>
      <c r="J980" s="9"/>
    </row>
    <row r="981" customFormat="false" ht="21.75" hidden="false" customHeight="true" outlineLevel="0" collapsed="false">
      <c r="B981" s="14" t="n">
        <v>971</v>
      </c>
      <c r="C981" s="7" t="s">
        <v>56</v>
      </c>
      <c r="D981" s="7" t="s">
        <v>68</v>
      </c>
      <c r="E981" s="7" t="s">
        <v>2292</v>
      </c>
      <c r="F981" s="18" t="n">
        <f aca="false">IF('Base de Datos SACI'!U975="","",'Base de Datos SACI'!U975)</f>
        <v>12</v>
      </c>
      <c r="G981" s="14"/>
      <c r="H981" s="28"/>
      <c r="I981" s="29" t="str">
        <f aca="false">IF(OR($G981="",$G981=0),"",IFERROR(ROUND($F981*$G981*(1-IF($H981="",0,$H981)),2),""))</f>
        <v/>
      </c>
      <c r="J981" s="7"/>
    </row>
    <row r="982" customFormat="false" ht="21.75" hidden="false" customHeight="true" outlineLevel="0" collapsed="false">
      <c r="B982" s="15" t="n">
        <v>972</v>
      </c>
      <c r="C982" s="9" t="s">
        <v>56</v>
      </c>
      <c r="D982" s="9" t="s">
        <v>68</v>
      </c>
      <c r="E982" s="9" t="s">
        <v>2294</v>
      </c>
      <c r="F982" s="19" t="n">
        <f aca="false">IF('Base de Datos SACI'!U976="","",'Base de Datos SACI'!U976)</f>
        <v>18</v>
      </c>
      <c r="G982" s="15"/>
      <c r="H982" s="30"/>
      <c r="I982" s="31" t="str">
        <f aca="false">IF(OR($G982="",$G982=0),"",IFERROR(ROUND($F982*$G982*(1-IF($H982="",0,$H982)),2),""))</f>
        <v/>
      </c>
      <c r="J982" s="9"/>
    </row>
    <row r="983" customFormat="false" ht="21.75" hidden="false" customHeight="true" outlineLevel="0" collapsed="false">
      <c r="B983" s="14" t="n">
        <v>973</v>
      </c>
      <c r="C983" s="7" t="s">
        <v>56</v>
      </c>
      <c r="D983" s="7" t="s">
        <v>68</v>
      </c>
      <c r="E983" s="7" t="s">
        <v>2295</v>
      </c>
      <c r="F983" s="18" t="n">
        <f aca="false">IF('Base de Datos SACI'!U977="","",'Base de Datos SACI'!U977)</f>
        <v>25</v>
      </c>
      <c r="G983" s="14"/>
      <c r="H983" s="28"/>
      <c r="I983" s="29" t="str">
        <f aca="false">IF(OR($G983="",$G983=0),"",IFERROR(ROUND($F983*$G983*(1-IF($H983="",0,$H983)),2),""))</f>
        <v/>
      </c>
      <c r="J983" s="7"/>
    </row>
    <row r="984" customFormat="false" ht="21.75" hidden="false" customHeight="true" outlineLevel="0" collapsed="false">
      <c r="B984" s="15" t="n">
        <v>974</v>
      </c>
      <c r="C984" s="9" t="s">
        <v>56</v>
      </c>
      <c r="D984" s="9" t="s">
        <v>69</v>
      </c>
      <c r="E984" s="9" t="s">
        <v>391</v>
      </c>
      <c r="F984" s="19" t="str">
        <f aca="false">IF('Base de Datos SACI'!U978="","",'Base de Datos SACI'!U978)</f>
        <v/>
      </c>
      <c r="G984" s="15"/>
      <c r="H984" s="30"/>
      <c r="I984" s="31" t="str">
        <f aca="false">IF(OR($G984="",$G984=0),"",IFERROR(ROUND($F984*$G984*(1-IF($H984="",0,$H984)),2),""))</f>
        <v/>
      </c>
      <c r="J984" s="9"/>
    </row>
    <row r="985" customFormat="false" ht="21.75" hidden="false" customHeight="true" outlineLevel="0" collapsed="false">
      <c r="B985" s="14" t="n">
        <v>975</v>
      </c>
      <c r="C985" s="7" t="s">
        <v>56</v>
      </c>
      <c r="D985" s="7" t="s">
        <v>70</v>
      </c>
      <c r="E985" s="7" t="s">
        <v>2297</v>
      </c>
      <c r="F985" s="18" t="n">
        <f aca="false">IF('Base de Datos SACI'!U979="","",'Base de Datos SACI'!U979)</f>
        <v>8</v>
      </c>
      <c r="G985" s="14"/>
      <c r="H985" s="28"/>
      <c r="I985" s="29" t="str">
        <f aca="false">IF(OR($G985="",$G985=0),"",IFERROR(ROUND($F985*$G985*(1-IF($H985="",0,$H985)),2),""))</f>
        <v/>
      </c>
      <c r="J985" s="7"/>
    </row>
    <row r="986" customFormat="false" ht="21.75" hidden="false" customHeight="true" outlineLevel="0" collapsed="false">
      <c r="B986" s="15" t="n">
        <v>976</v>
      </c>
      <c r="C986" s="9" t="s">
        <v>56</v>
      </c>
      <c r="D986" s="9" t="s">
        <v>70</v>
      </c>
      <c r="E986" s="9" t="s">
        <v>2300</v>
      </c>
      <c r="F986" s="19" t="n">
        <f aca="false">IF('Base de Datos SACI'!U980="","",'Base de Datos SACI'!U980)</f>
        <v>12</v>
      </c>
      <c r="G986" s="15"/>
      <c r="H986" s="30"/>
      <c r="I986" s="31" t="str">
        <f aca="false">IF(OR($G986="",$G986=0),"",IFERROR(ROUND($F986*$G986*(1-IF($H986="",0,$H986)),2),""))</f>
        <v/>
      </c>
      <c r="J986" s="9"/>
    </row>
    <row r="987" customFormat="false" ht="21.75" hidden="false" customHeight="true" outlineLevel="0" collapsed="false">
      <c r="B987" s="14" t="n">
        <v>977</v>
      </c>
      <c r="C987" s="7" t="s">
        <v>56</v>
      </c>
      <c r="D987" s="7" t="s">
        <v>70</v>
      </c>
      <c r="E987" s="7" t="s">
        <v>2301</v>
      </c>
      <c r="F987" s="18" t="n">
        <f aca="false">IF('Base de Datos SACI'!U981="","",'Base de Datos SACI'!U981)</f>
        <v>16</v>
      </c>
      <c r="G987" s="14"/>
      <c r="H987" s="28"/>
      <c r="I987" s="29" t="str">
        <f aca="false">IF(OR($G987="",$G987=0),"",IFERROR(ROUND($F987*$G987*(1-IF($H987="",0,$H987)),2),""))</f>
        <v/>
      </c>
      <c r="J987" s="7"/>
    </row>
    <row r="988" customFormat="false" ht="21.75" hidden="false" customHeight="true" outlineLevel="0" collapsed="false">
      <c r="B988" s="15" t="n">
        <v>978</v>
      </c>
      <c r="C988" s="9" t="s">
        <v>56</v>
      </c>
      <c r="D988" s="9" t="s">
        <v>70</v>
      </c>
      <c r="E988" s="9" t="s">
        <v>1583</v>
      </c>
      <c r="F988" s="19" t="n">
        <f aca="false">IF('Base de Datos SACI'!U982="","",'Base de Datos SACI'!U982)</f>
        <v>20</v>
      </c>
      <c r="G988" s="15"/>
      <c r="H988" s="30"/>
      <c r="I988" s="31" t="str">
        <f aca="false">IF(OR($G988="",$G988=0),"",IFERROR(ROUND($F988*$G988*(1-IF($H988="",0,$H988)),2),""))</f>
        <v/>
      </c>
      <c r="J988" s="9"/>
    </row>
    <row r="989" customFormat="false" ht="21.75" hidden="false" customHeight="true" outlineLevel="0" collapsed="false">
      <c r="B989" s="14" t="n">
        <v>979</v>
      </c>
      <c r="C989" s="7" t="s">
        <v>56</v>
      </c>
      <c r="D989" s="7" t="s">
        <v>70</v>
      </c>
      <c r="E989" s="7" t="s">
        <v>2303</v>
      </c>
      <c r="F989" s="18" t="n">
        <f aca="false">IF('Base de Datos SACI'!U983="","",'Base de Datos SACI'!U983)</f>
        <v>35</v>
      </c>
      <c r="G989" s="14"/>
      <c r="H989" s="28"/>
      <c r="I989" s="29" t="str">
        <f aca="false">IF(OR($G989="",$G989=0),"",IFERROR(ROUND($F989*$G989*(1-IF($H989="",0,$H989)),2),""))</f>
        <v/>
      </c>
      <c r="J989" s="7"/>
    </row>
    <row r="990" customFormat="false" ht="21.75" hidden="false" customHeight="true" outlineLevel="0" collapsed="false">
      <c r="B990" s="15" t="n">
        <v>980</v>
      </c>
      <c r="C990" s="9" t="s">
        <v>56</v>
      </c>
      <c r="D990" s="9" t="s">
        <v>71</v>
      </c>
      <c r="E990" s="9" t="s">
        <v>391</v>
      </c>
      <c r="F990" s="19" t="str">
        <f aca="false">IF('Base de Datos SACI'!U984="","",'Base de Datos SACI'!U984)</f>
        <v/>
      </c>
      <c r="G990" s="15"/>
      <c r="H990" s="30"/>
      <c r="I990" s="31" t="str">
        <f aca="false">IF(OR($G990="",$G990=0),"",IFERROR(ROUND($F990*$G990*(1-IF($H990="",0,$H990)),2),""))</f>
        <v/>
      </c>
      <c r="J990" s="9"/>
    </row>
    <row r="991" customFormat="false" ht="21.75" hidden="false" customHeight="true" outlineLevel="0" collapsed="false">
      <c r="B991" s="14" t="n">
        <v>981</v>
      </c>
      <c r="C991" s="7" t="s">
        <v>56</v>
      </c>
      <c r="D991" s="7" t="s">
        <v>72</v>
      </c>
      <c r="E991" s="7" t="s">
        <v>391</v>
      </c>
      <c r="F991" s="18" t="str">
        <f aca="false">IF('Base de Datos SACI'!U985="","",'Base de Datos SACI'!U985)</f>
        <v/>
      </c>
      <c r="G991" s="14"/>
      <c r="H991" s="28"/>
      <c r="I991" s="29" t="str">
        <f aca="false">IF(OR($G991="",$G991=0),"",IFERROR(ROUND($F991*$G991*(1-IF($H991="",0,$H991)),2),""))</f>
        <v/>
      </c>
      <c r="J991" s="7"/>
    </row>
    <row r="992" customFormat="false" ht="21.75" hidden="false" customHeight="true" outlineLevel="0" collapsed="false">
      <c r="B992" s="15" t="n">
        <v>982</v>
      </c>
      <c r="C992" s="9" t="s">
        <v>56</v>
      </c>
      <c r="D992" s="9" t="s">
        <v>73</v>
      </c>
      <c r="E992" s="9" t="s">
        <v>391</v>
      </c>
      <c r="F992" s="19" t="str">
        <f aca="false">IF('Base de Datos SACI'!U986="","",'Base de Datos SACI'!U986)</f>
        <v/>
      </c>
      <c r="G992" s="15"/>
      <c r="H992" s="30"/>
      <c r="I992" s="31" t="str">
        <f aca="false">IF(OR($G992="",$G992=0),"",IFERROR(ROUND($F992*$G992*(1-IF($H992="",0,$H992)),2),""))</f>
        <v/>
      </c>
      <c r="J992" s="9"/>
    </row>
    <row r="993" customFormat="false" ht="21.75" hidden="false" customHeight="true" outlineLevel="0" collapsed="false">
      <c r="B993" s="14" t="n">
        <v>983</v>
      </c>
      <c r="C993" s="7" t="s">
        <v>56</v>
      </c>
      <c r="D993" s="7" t="s">
        <v>74</v>
      </c>
      <c r="E993" s="7" t="s">
        <v>391</v>
      </c>
      <c r="F993" s="18" t="str">
        <f aca="false">IF('Base de Datos SACI'!U987="","",'Base de Datos SACI'!U987)</f>
        <v/>
      </c>
      <c r="G993" s="14"/>
      <c r="H993" s="28"/>
      <c r="I993" s="29" t="str">
        <f aca="false">IF(OR($G993="",$G993=0),"",IFERROR(ROUND($F993*$G993*(1-IF($H993="",0,$H993)),2),""))</f>
        <v/>
      </c>
      <c r="J993" s="7"/>
    </row>
    <row r="994" customFormat="false" ht="21.75" hidden="false" customHeight="true" outlineLevel="0" collapsed="false">
      <c r="B994" s="15" t="n">
        <v>984</v>
      </c>
      <c r="C994" s="9" t="s">
        <v>56</v>
      </c>
      <c r="D994" s="9" t="s">
        <v>75</v>
      </c>
      <c r="E994" s="9" t="s">
        <v>391</v>
      </c>
      <c r="F994" s="19" t="str">
        <f aca="false">IF('Base de Datos SACI'!U988="","",'Base de Datos SACI'!U988)</f>
        <v/>
      </c>
      <c r="G994" s="15"/>
      <c r="H994" s="30"/>
      <c r="I994" s="31" t="str">
        <f aca="false">IF(OR($G994="",$G994=0),"",IFERROR(ROUND($F994*$G994*(1-IF($H994="",0,$H994)),2),""))</f>
        <v/>
      </c>
      <c r="J994" s="9"/>
    </row>
    <row r="995" customFormat="false" ht="21.75" hidden="false" customHeight="true" outlineLevel="0" collapsed="false">
      <c r="B995" s="14" t="n">
        <v>985</v>
      </c>
      <c r="C995" s="7" t="s">
        <v>57</v>
      </c>
      <c r="D995" s="7" t="s">
        <v>60</v>
      </c>
      <c r="E995" s="7" t="s">
        <v>391</v>
      </c>
      <c r="F995" s="18" t="str">
        <f aca="false">IF('Base de Datos SACI'!U989="","",'Base de Datos SACI'!U989)</f>
        <v/>
      </c>
      <c r="G995" s="14"/>
      <c r="H995" s="28"/>
      <c r="I995" s="29" t="str">
        <f aca="false">IF(OR($G995="",$G995=0),"",IFERROR(ROUND($F995*$G995*(1-IF($H995="",0,$H995)),2),""))</f>
        <v/>
      </c>
      <c r="J995" s="7"/>
    </row>
    <row r="996" customFormat="false" ht="21.75" hidden="false" customHeight="true" outlineLevel="0" collapsed="false">
      <c r="B996" s="15" t="n">
        <v>986</v>
      </c>
      <c r="C996" s="9" t="s">
        <v>57</v>
      </c>
      <c r="D996" s="9" t="s">
        <v>61</v>
      </c>
      <c r="E996" s="9" t="s">
        <v>391</v>
      </c>
      <c r="F996" s="19" t="str">
        <f aca="false">IF('Base de Datos SACI'!U990="","",'Base de Datos SACI'!U990)</f>
        <v/>
      </c>
      <c r="G996" s="15"/>
      <c r="H996" s="30"/>
      <c r="I996" s="31" t="str">
        <f aca="false">IF(OR($G996="",$G996=0),"",IFERROR(ROUND($F996*$G996*(1-IF($H996="",0,$H996)),2),""))</f>
        <v/>
      </c>
      <c r="J996" s="9"/>
    </row>
    <row r="997" customFormat="false" ht="21.75" hidden="false" customHeight="true" outlineLevel="0" collapsed="false">
      <c r="B997" s="14" t="n">
        <v>987</v>
      </c>
      <c r="C997" s="7" t="s">
        <v>57</v>
      </c>
      <c r="D997" s="7" t="s">
        <v>62</v>
      </c>
      <c r="E997" s="7" t="s">
        <v>391</v>
      </c>
      <c r="F997" s="18" t="str">
        <f aca="false">IF('Base de Datos SACI'!U991="","",'Base de Datos SACI'!U991)</f>
        <v/>
      </c>
      <c r="G997" s="14"/>
      <c r="H997" s="28"/>
      <c r="I997" s="29" t="str">
        <f aca="false">IF(OR($G997="",$G997=0),"",IFERROR(ROUND($F997*$G997*(1-IF($H997="",0,$H997)),2),""))</f>
        <v/>
      </c>
      <c r="J997" s="7"/>
    </row>
    <row r="998" customFormat="false" ht="21.75" hidden="false" customHeight="true" outlineLevel="0" collapsed="false">
      <c r="B998" s="15" t="n">
        <v>988</v>
      </c>
      <c r="C998" s="9" t="s">
        <v>57</v>
      </c>
      <c r="D998" s="9" t="s">
        <v>63</v>
      </c>
      <c r="E998" s="9" t="s">
        <v>391</v>
      </c>
      <c r="F998" s="19" t="str">
        <f aca="false">IF('Base de Datos SACI'!U992="","",'Base de Datos SACI'!U992)</f>
        <v/>
      </c>
      <c r="G998" s="15"/>
      <c r="H998" s="30"/>
      <c r="I998" s="31" t="str">
        <f aca="false">IF(OR($G998="",$G998=0),"",IFERROR(ROUND($F998*$G998*(1-IF($H998="",0,$H998)),2),""))</f>
        <v/>
      </c>
      <c r="J998" s="9"/>
    </row>
    <row r="999" customFormat="false" ht="21.75" hidden="false" customHeight="true" outlineLevel="0" collapsed="false">
      <c r="B999" s="14" t="n">
        <v>989</v>
      </c>
      <c r="C999" s="7" t="s">
        <v>57</v>
      </c>
      <c r="D999" s="7" t="s">
        <v>64</v>
      </c>
      <c r="E999" s="7" t="s">
        <v>2311</v>
      </c>
      <c r="F999" s="18" t="n">
        <f aca="false">IF('Base de Datos SACI'!U993="","",'Base de Datos SACI'!U993)</f>
        <v>19</v>
      </c>
      <c r="G999" s="14"/>
      <c r="H999" s="28"/>
      <c r="I999" s="29" t="str">
        <f aca="false">IF(OR($G999="",$G999=0),"",IFERROR(ROUND($F999*$G999*(1-IF($H999="",0,$H999)),2),""))</f>
        <v/>
      </c>
      <c r="J999" s="7"/>
    </row>
    <row r="1000" customFormat="false" ht="21.75" hidden="false" customHeight="true" outlineLevel="0" collapsed="false">
      <c r="B1000" s="15" t="n">
        <v>990</v>
      </c>
      <c r="C1000" s="9" t="s">
        <v>57</v>
      </c>
      <c r="D1000" s="9" t="s">
        <v>64</v>
      </c>
      <c r="E1000" s="9" t="s">
        <v>2320</v>
      </c>
      <c r="F1000" s="19" t="n">
        <f aca="false">IF('Base de Datos SACI'!U994="","",'Base de Datos SACI'!U994)</f>
        <v>25</v>
      </c>
      <c r="G1000" s="15"/>
      <c r="H1000" s="30"/>
      <c r="I1000" s="31" t="str">
        <f aca="false">IF(OR($G1000="",$G1000=0),"",IFERROR(ROUND($F1000*$G1000*(1-IF($H1000="",0,$H1000)),2),""))</f>
        <v/>
      </c>
      <c r="J1000" s="9"/>
    </row>
    <row r="1001" customFormat="false" ht="21.75" hidden="false" customHeight="true" outlineLevel="0" collapsed="false">
      <c r="B1001" s="14" t="n">
        <v>991</v>
      </c>
      <c r="C1001" s="7" t="s">
        <v>57</v>
      </c>
      <c r="D1001" s="7" t="s">
        <v>64</v>
      </c>
      <c r="E1001" s="7" t="s">
        <v>2321</v>
      </c>
      <c r="F1001" s="18" t="n">
        <f aca="false">IF('Base de Datos SACI'!U995="","",'Base de Datos SACI'!U995)</f>
        <v>35</v>
      </c>
      <c r="G1001" s="14"/>
      <c r="H1001" s="28"/>
      <c r="I1001" s="29" t="str">
        <f aca="false">IF(OR($G1001="",$G1001=0),"",IFERROR(ROUND($F1001*$G1001*(1-IF($H1001="",0,$H1001)),2),""))</f>
        <v/>
      </c>
      <c r="J1001" s="7"/>
    </row>
    <row r="1002" customFormat="false" ht="21.75" hidden="false" customHeight="true" outlineLevel="0" collapsed="false">
      <c r="B1002" s="15" t="n">
        <v>992</v>
      </c>
      <c r="C1002" s="9" t="s">
        <v>57</v>
      </c>
      <c r="D1002" s="9" t="s">
        <v>64</v>
      </c>
      <c r="E1002" s="9" t="s">
        <v>2323</v>
      </c>
      <c r="F1002" s="19" t="n">
        <f aca="false">IF('Base de Datos SACI'!U996="","",'Base de Datos SACI'!U996)</f>
        <v>55</v>
      </c>
      <c r="G1002" s="15"/>
      <c r="H1002" s="30"/>
      <c r="I1002" s="31" t="str">
        <f aca="false">IF(OR($G1002="",$G1002=0),"",IFERROR(ROUND($F1002*$G1002*(1-IF($H1002="",0,$H1002)),2),""))</f>
        <v/>
      </c>
      <c r="J1002" s="9"/>
    </row>
    <row r="1003" customFormat="false" ht="21.75" hidden="false" customHeight="true" outlineLevel="0" collapsed="false">
      <c r="B1003" s="14" t="n">
        <v>993</v>
      </c>
      <c r="C1003" s="7" t="s">
        <v>57</v>
      </c>
      <c r="D1003" s="7" t="s">
        <v>64</v>
      </c>
      <c r="E1003" s="7" t="s">
        <v>2324</v>
      </c>
      <c r="F1003" s="18" t="n">
        <f aca="false">IF('Base de Datos SACI'!U997="","",'Base de Datos SACI'!U997)</f>
        <v>80</v>
      </c>
      <c r="G1003" s="14"/>
      <c r="H1003" s="28"/>
      <c r="I1003" s="29" t="str">
        <f aca="false">IF(OR($G1003="",$G1003=0),"",IFERROR(ROUND($F1003*$G1003*(1-IF($H1003="",0,$H1003)),2),""))</f>
        <v/>
      </c>
      <c r="J1003" s="7"/>
    </row>
    <row r="1004" customFormat="false" ht="21.75" hidden="false" customHeight="true" outlineLevel="0" collapsed="false">
      <c r="B1004" s="15" t="n">
        <v>994</v>
      </c>
      <c r="C1004" s="9" t="s">
        <v>57</v>
      </c>
      <c r="D1004" s="9" t="s">
        <v>65</v>
      </c>
      <c r="E1004" s="9" t="s">
        <v>391</v>
      </c>
      <c r="F1004" s="19" t="str">
        <f aca="false">IF('Base de Datos SACI'!U998="","",'Base de Datos SACI'!U998)</f>
        <v/>
      </c>
      <c r="G1004" s="15"/>
      <c r="H1004" s="30"/>
      <c r="I1004" s="31" t="str">
        <f aca="false">IF(OR($G1004="",$G1004=0),"",IFERROR(ROUND($F1004*$G1004*(1-IF($H1004="",0,$H1004)),2),""))</f>
        <v/>
      </c>
      <c r="J1004" s="9"/>
    </row>
    <row r="1005" customFormat="false" ht="21.75" hidden="false" customHeight="true" outlineLevel="0" collapsed="false">
      <c r="B1005" s="14" t="n">
        <v>995</v>
      </c>
      <c r="C1005" s="7" t="s">
        <v>57</v>
      </c>
      <c r="D1005" s="7" t="s">
        <v>66</v>
      </c>
      <c r="E1005" s="7" t="s">
        <v>2326</v>
      </c>
      <c r="F1005" s="18" t="n">
        <f aca="false">IF('Base de Datos SACI'!U999="","",'Base de Datos SACI'!U999)</f>
        <v>55</v>
      </c>
      <c r="G1005" s="14"/>
      <c r="H1005" s="28"/>
      <c r="I1005" s="29" t="str">
        <f aca="false">IF(OR($G1005="",$G1005=0),"",IFERROR(ROUND($F1005*$G1005*(1-IF($H1005="",0,$H1005)),2),""))</f>
        <v/>
      </c>
      <c r="J1005" s="7"/>
    </row>
    <row r="1006" customFormat="false" ht="21.75" hidden="false" customHeight="true" outlineLevel="0" collapsed="false">
      <c r="B1006" s="15" t="n">
        <v>996</v>
      </c>
      <c r="C1006" s="9" t="s">
        <v>57</v>
      </c>
      <c r="D1006" s="9" t="s">
        <v>66</v>
      </c>
      <c r="E1006" s="9" t="s">
        <v>2330</v>
      </c>
      <c r="F1006" s="19" t="n">
        <f aca="false">IF('Base de Datos SACI'!U1000="","",'Base de Datos SACI'!U1000)</f>
        <v>85</v>
      </c>
      <c r="G1006" s="15"/>
      <c r="H1006" s="30"/>
      <c r="I1006" s="31" t="str">
        <f aca="false">IF(OR($G1006="",$G1006=0),"",IFERROR(ROUND($F1006*$G1006*(1-IF($H1006="",0,$H1006)),2),""))</f>
        <v/>
      </c>
      <c r="J1006" s="9"/>
    </row>
    <row r="1007" customFormat="false" ht="21.75" hidden="false" customHeight="true" outlineLevel="0" collapsed="false">
      <c r="B1007" s="14" t="n">
        <v>997</v>
      </c>
      <c r="C1007" s="7" t="s">
        <v>57</v>
      </c>
      <c r="D1007" s="7" t="s">
        <v>66</v>
      </c>
      <c r="E1007" s="7" t="s">
        <v>2331</v>
      </c>
      <c r="F1007" s="18" t="n">
        <f aca="false">IF('Base de Datos SACI'!U1001="","",'Base de Datos SACI'!U1001)</f>
        <v>115</v>
      </c>
      <c r="G1007" s="14"/>
      <c r="H1007" s="28"/>
      <c r="I1007" s="29" t="str">
        <f aca="false">IF(OR($G1007="",$G1007=0),"",IFERROR(ROUND($F1007*$G1007*(1-IF($H1007="",0,$H1007)),2),""))</f>
        <v/>
      </c>
      <c r="J1007" s="7"/>
    </row>
    <row r="1008" customFormat="false" ht="21.75" hidden="false" customHeight="true" outlineLevel="0" collapsed="false">
      <c r="B1008" s="15" t="n">
        <v>998</v>
      </c>
      <c r="C1008" s="9" t="s">
        <v>57</v>
      </c>
      <c r="D1008" s="9" t="s">
        <v>66</v>
      </c>
      <c r="E1008" s="9" t="s">
        <v>2333</v>
      </c>
      <c r="F1008" s="19" t="n">
        <f aca="false">IF('Base de Datos SACI'!U1002="","",'Base de Datos SACI'!U1002)</f>
        <v>170</v>
      </c>
      <c r="G1008" s="15"/>
      <c r="H1008" s="30"/>
      <c r="I1008" s="31" t="str">
        <f aca="false">IF(OR($G1008="",$G1008=0),"",IFERROR(ROUND($F1008*$G1008*(1-IF($H1008="",0,$H1008)),2),""))</f>
        <v/>
      </c>
      <c r="J1008" s="9"/>
    </row>
    <row r="1009" customFormat="false" ht="21.75" hidden="false" customHeight="true" outlineLevel="0" collapsed="false">
      <c r="B1009" s="14" t="n">
        <v>999</v>
      </c>
      <c r="C1009" s="7" t="s">
        <v>57</v>
      </c>
      <c r="D1009" s="7" t="s">
        <v>66</v>
      </c>
      <c r="E1009" s="7" t="s">
        <v>2334</v>
      </c>
      <c r="F1009" s="18" t="n">
        <f aca="false">IF('Base de Datos SACI'!U1003="","",'Base de Datos SACI'!U1003)</f>
        <v>250</v>
      </c>
      <c r="G1009" s="14"/>
      <c r="H1009" s="28"/>
      <c r="I1009" s="29" t="str">
        <f aca="false">IF(OR($G1009="",$G1009=0),"",IFERROR(ROUND($F1009*$G1009*(1-IF($H1009="",0,$H1009)),2),""))</f>
        <v/>
      </c>
      <c r="J1009" s="7"/>
    </row>
    <row r="1010" customFormat="false" ht="21.75" hidden="false" customHeight="true" outlineLevel="0" collapsed="false">
      <c r="B1010" s="15" t="n">
        <v>1000</v>
      </c>
      <c r="C1010" s="9" t="s">
        <v>57</v>
      </c>
      <c r="D1010" s="9" t="s">
        <v>67</v>
      </c>
      <c r="E1010" s="9" t="s">
        <v>391</v>
      </c>
      <c r="F1010" s="19" t="str">
        <f aca="false">IF('Base de Datos SACI'!U1004="","",'Base de Datos SACI'!U1004)</f>
        <v/>
      </c>
      <c r="G1010" s="15"/>
      <c r="H1010" s="30"/>
      <c r="I1010" s="31" t="str">
        <f aca="false">IF(OR($G1010="",$G1010=0),"",IFERROR(ROUND($F1010*$G1010*(1-IF($H1010="",0,$H1010)),2),""))</f>
        <v/>
      </c>
      <c r="J1010" s="9"/>
    </row>
    <row r="1011" customFormat="false" ht="21.75" hidden="false" customHeight="true" outlineLevel="0" collapsed="false">
      <c r="B1011" s="14" t="n">
        <v>1001</v>
      </c>
      <c r="C1011" s="7" t="s">
        <v>57</v>
      </c>
      <c r="D1011" s="7" t="s">
        <v>68</v>
      </c>
      <c r="E1011" s="7" t="s">
        <v>391</v>
      </c>
      <c r="F1011" s="18" t="str">
        <f aca="false">IF('Base de Datos SACI'!U1005="","",'Base de Datos SACI'!U1005)</f>
        <v/>
      </c>
      <c r="G1011" s="14"/>
      <c r="H1011" s="28"/>
      <c r="I1011" s="29" t="str">
        <f aca="false">IF(OR($G1011="",$G1011=0),"",IFERROR(ROUND($F1011*$G1011*(1-IF($H1011="",0,$H1011)),2),""))</f>
        <v/>
      </c>
      <c r="J1011" s="7"/>
    </row>
    <row r="1012" customFormat="false" ht="21.75" hidden="false" customHeight="true" outlineLevel="0" collapsed="false">
      <c r="B1012" s="15" t="n">
        <v>1002</v>
      </c>
      <c r="C1012" s="9" t="s">
        <v>57</v>
      </c>
      <c r="D1012" s="9" t="s">
        <v>69</v>
      </c>
      <c r="E1012" s="9" t="s">
        <v>391</v>
      </c>
      <c r="F1012" s="19" t="str">
        <f aca="false">IF('Base de Datos SACI'!U1006="","",'Base de Datos SACI'!U1006)</f>
        <v/>
      </c>
      <c r="G1012" s="15"/>
      <c r="H1012" s="30"/>
      <c r="I1012" s="31" t="str">
        <f aca="false">IF(OR($G1012="",$G1012=0),"",IFERROR(ROUND($F1012*$G1012*(1-IF($H1012="",0,$H1012)),2),""))</f>
        <v/>
      </c>
      <c r="J1012" s="9"/>
    </row>
    <row r="1013" customFormat="false" ht="21.75" hidden="false" customHeight="true" outlineLevel="0" collapsed="false">
      <c r="B1013" s="14" t="n">
        <v>1003</v>
      </c>
      <c r="C1013" s="7" t="s">
        <v>57</v>
      </c>
      <c r="D1013" s="7" t="s">
        <v>70</v>
      </c>
      <c r="E1013" s="7" t="s">
        <v>391</v>
      </c>
      <c r="F1013" s="18" t="str">
        <f aca="false">IF('Base de Datos SACI'!U1007="","",'Base de Datos SACI'!U1007)</f>
        <v/>
      </c>
      <c r="G1013" s="14"/>
      <c r="H1013" s="28"/>
      <c r="I1013" s="29" t="str">
        <f aca="false">IF(OR($G1013="",$G1013=0),"",IFERROR(ROUND($F1013*$G1013*(1-IF($H1013="",0,$H1013)),2),""))</f>
        <v/>
      </c>
      <c r="J1013" s="7"/>
    </row>
    <row r="1014" customFormat="false" ht="21.75" hidden="false" customHeight="true" outlineLevel="0" collapsed="false">
      <c r="B1014" s="15" t="n">
        <v>1004</v>
      </c>
      <c r="C1014" s="9" t="s">
        <v>57</v>
      </c>
      <c r="D1014" s="9" t="s">
        <v>71</v>
      </c>
      <c r="E1014" s="9" t="s">
        <v>391</v>
      </c>
      <c r="F1014" s="19" t="str">
        <f aca="false">IF('Base de Datos SACI'!U1008="","",'Base de Datos SACI'!U1008)</f>
        <v/>
      </c>
      <c r="G1014" s="15"/>
      <c r="H1014" s="30"/>
      <c r="I1014" s="31" t="str">
        <f aca="false">IF(OR($G1014="",$G1014=0),"",IFERROR(ROUND($F1014*$G1014*(1-IF($H1014="",0,$H1014)),2),""))</f>
        <v/>
      </c>
      <c r="J1014" s="9"/>
    </row>
    <row r="1015" customFormat="false" ht="21.75" hidden="false" customHeight="true" outlineLevel="0" collapsed="false">
      <c r="B1015" s="14" t="n">
        <v>1005</v>
      </c>
      <c r="C1015" s="7" t="s">
        <v>57</v>
      </c>
      <c r="D1015" s="7" t="s">
        <v>72</v>
      </c>
      <c r="E1015" s="7" t="s">
        <v>2340</v>
      </c>
      <c r="F1015" s="18" t="n">
        <f aca="false">IF('Base de Datos SACI'!U1009="","",'Base de Datos SACI'!U1009)</f>
        <v>155</v>
      </c>
      <c r="G1015" s="14"/>
      <c r="H1015" s="28"/>
      <c r="I1015" s="29" t="str">
        <f aca="false">IF(OR($G1015="",$G1015=0),"",IFERROR(ROUND($F1015*$G1015*(1-IF($H1015="",0,$H1015)),2),""))</f>
        <v/>
      </c>
      <c r="J1015" s="7"/>
    </row>
    <row r="1016" customFormat="false" ht="21.75" hidden="false" customHeight="true" outlineLevel="0" collapsed="false">
      <c r="B1016" s="15" t="n">
        <v>1006</v>
      </c>
      <c r="C1016" s="9" t="s">
        <v>57</v>
      </c>
      <c r="D1016" s="9" t="s">
        <v>72</v>
      </c>
      <c r="E1016" s="9" t="s">
        <v>2347</v>
      </c>
      <c r="F1016" s="19" t="n">
        <f aca="false">IF('Base de Datos SACI'!U1010="","",'Base de Datos SACI'!U1010)</f>
        <v>230</v>
      </c>
      <c r="G1016" s="15"/>
      <c r="H1016" s="30"/>
      <c r="I1016" s="31" t="str">
        <f aca="false">IF(OR($G1016="",$G1016=0),"",IFERROR(ROUND($F1016*$G1016*(1-IF($H1016="",0,$H1016)),2),""))</f>
        <v/>
      </c>
      <c r="J1016" s="9"/>
    </row>
    <row r="1017" customFormat="false" ht="21.75" hidden="false" customHeight="true" outlineLevel="0" collapsed="false">
      <c r="B1017" s="14" t="n">
        <v>1007</v>
      </c>
      <c r="C1017" s="7" t="s">
        <v>57</v>
      </c>
      <c r="D1017" s="7" t="s">
        <v>72</v>
      </c>
      <c r="E1017" s="7" t="s">
        <v>2348</v>
      </c>
      <c r="F1017" s="18" t="n">
        <f aca="false">IF('Base de Datos SACI'!U1011="","",'Base de Datos SACI'!U1011)</f>
        <v>310</v>
      </c>
      <c r="G1017" s="14"/>
      <c r="H1017" s="28"/>
      <c r="I1017" s="29" t="str">
        <f aca="false">IF(OR($G1017="",$G1017=0),"",IFERROR(ROUND($F1017*$G1017*(1-IF($H1017="",0,$H1017)),2),""))</f>
        <v/>
      </c>
      <c r="J1017" s="7"/>
    </row>
    <row r="1018" customFormat="false" ht="21.75" hidden="false" customHeight="true" outlineLevel="0" collapsed="false">
      <c r="B1018" s="15" t="n">
        <v>1008</v>
      </c>
      <c r="C1018" s="9" t="s">
        <v>57</v>
      </c>
      <c r="D1018" s="9" t="s">
        <v>72</v>
      </c>
      <c r="E1018" s="9" t="s">
        <v>2350</v>
      </c>
      <c r="F1018" s="19" t="n">
        <f aca="false">IF('Base de Datos SACI'!U1012="","",'Base de Datos SACI'!U1012)</f>
        <v>465</v>
      </c>
      <c r="G1018" s="15"/>
      <c r="H1018" s="30"/>
      <c r="I1018" s="31" t="str">
        <f aca="false">IF(OR($G1018="",$G1018=0),"",IFERROR(ROUND($F1018*$G1018*(1-IF($H1018="",0,$H1018)),2),""))</f>
        <v/>
      </c>
      <c r="J1018" s="9"/>
    </row>
    <row r="1019" customFormat="false" ht="21.75" hidden="false" customHeight="true" outlineLevel="0" collapsed="false">
      <c r="B1019" s="14" t="n">
        <v>1009</v>
      </c>
      <c r="C1019" s="7" t="s">
        <v>57</v>
      </c>
      <c r="D1019" s="7" t="s">
        <v>72</v>
      </c>
      <c r="E1019" s="7" t="s">
        <v>2351</v>
      </c>
      <c r="F1019" s="18" t="n">
        <f aca="false">IF('Base de Datos SACI'!U1013="","",'Base de Datos SACI'!U1013)</f>
        <v>680</v>
      </c>
      <c r="G1019" s="14"/>
      <c r="H1019" s="28"/>
      <c r="I1019" s="29" t="str">
        <f aca="false">IF(OR($G1019="",$G1019=0),"",IFERROR(ROUND($F1019*$G1019*(1-IF($H1019="",0,$H1019)),2),""))</f>
        <v/>
      </c>
      <c r="J1019" s="7"/>
    </row>
    <row r="1020" customFormat="false" ht="21.75" hidden="false" customHeight="true" outlineLevel="0" collapsed="false">
      <c r="B1020" s="15" t="n">
        <v>1010</v>
      </c>
      <c r="C1020" s="9" t="s">
        <v>57</v>
      </c>
      <c r="D1020" s="9" t="s">
        <v>73</v>
      </c>
      <c r="E1020" s="9" t="s">
        <v>391</v>
      </c>
      <c r="F1020" s="19" t="str">
        <f aca="false">IF('Base de Datos SACI'!U1014="","",'Base de Datos SACI'!U1014)</f>
        <v/>
      </c>
      <c r="G1020" s="15"/>
      <c r="H1020" s="30"/>
      <c r="I1020" s="31" t="str">
        <f aca="false">IF(OR($G1020="",$G1020=0),"",IFERROR(ROUND($F1020*$G1020*(1-IF($H1020="",0,$H1020)),2),""))</f>
        <v/>
      </c>
      <c r="J1020" s="9"/>
    </row>
    <row r="1021" customFormat="false" ht="21.75" hidden="false" customHeight="true" outlineLevel="0" collapsed="false">
      <c r="B1021" s="14" t="n">
        <v>1011</v>
      </c>
      <c r="C1021" s="7" t="s">
        <v>57</v>
      </c>
      <c r="D1021" s="7" t="s">
        <v>74</v>
      </c>
      <c r="E1021" s="7" t="s">
        <v>391</v>
      </c>
      <c r="F1021" s="18" t="str">
        <f aca="false">IF('Base de Datos SACI'!U1015="","",'Base de Datos SACI'!U1015)</f>
        <v/>
      </c>
      <c r="G1021" s="14"/>
      <c r="H1021" s="28"/>
      <c r="I1021" s="29" t="str">
        <f aca="false">IF(OR($G1021="",$G1021=0),"",IFERROR(ROUND($F1021*$G1021*(1-IF($H1021="",0,$H1021)),2),""))</f>
        <v/>
      </c>
      <c r="J1021" s="7"/>
    </row>
    <row r="1022" customFormat="false" ht="21.75" hidden="false" customHeight="true" outlineLevel="0" collapsed="false">
      <c r="B1022" s="15" t="n">
        <v>1012</v>
      </c>
      <c r="C1022" s="9" t="s">
        <v>57</v>
      </c>
      <c r="D1022" s="9" t="s">
        <v>75</v>
      </c>
      <c r="E1022" s="9" t="s">
        <v>391</v>
      </c>
      <c r="F1022" s="19" t="str">
        <f aca="false">IF('Base de Datos SACI'!U1016="","",'Base de Datos SACI'!U1016)</f>
        <v/>
      </c>
      <c r="G1022" s="15"/>
      <c r="H1022" s="30"/>
      <c r="I1022" s="31" t="str">
        <f aca="false">IF(OR($G1022="",$G1022=0),"",IFERROR(ROUND($F1022*$G1022*(1-IF($H1022="",0,$H1022)),2),""))</f>
        <v/>
      </c>
      <c r="J1022" s="9"/>
    </row>
    <row r="1023" customFormat="false" ht="21.75" hidden="false" customHeight="true" outlineLevel="0" collapsed="false">
      <c r="B1023" s="14" t="n">
        <v>1013</v>
      </c>
      <c r="C1023" s="7" t="s">
        <v>58</v>
      </c>
      <c r="D1023" s="7" t="s">
        <v>60</v>
      </c>
      <c r="E1023" s="7" t="s">
        <v>2355</v>
      </c>
      <c r="F1023" s="18" t="n">
        <f aca="false">IF('Base de Datos SACI'!U1017="","",'Base de Datos SACI'!U1017)</f>
        <v>285</v>
      </c>
      <c r="G1023" s="14"/>
      <c r="H1023" s="28"/>
      <c r="I1023" s="29" t="str">
        <f aca="false">IF(OR($G1023="",$G1023=0),"",IFERROR(ROUND($F1023*$G1023*(1-IF($H1023="",0,$H1023)),2),""))</f>
        <v/>
      </c>
      <c r="J1023" s="7"/>
    </row>
    <row r="1024" customFormat="false" ht="21.75" hidden="false" customHeight="true" outlineLevel="0" collapsed="false">
      <c r="B1024" s="15" t="n">
        <v>1014</v>
      </c>
      <c r="C1024" s="9" t="s">
        <v>58</v>
      </c>
      <c r="D1024" s="9" t="s">
        <v>60</v>
      </c>
      <c r="E1024" s="9" t="s">
        <v>2367</v>
      </c>
      <c r="F1024" s="19" t="n">
        <f aca="false">IF('Base de Datos SACI'!U1018="","",'Base de Datos SACI'!U1018)</f>
        <v>425</v>
      </c>
      <c r="G1024" s="15"/>
      <c r="H1024" s="30"/>
      <c r="I1024" s="31" t="str">
        <f aca="false">IF(OR($G1024="",$G1024=0),"",IFERROR(ROUND($F1024*$G1024*(1-IF($H1024="",0,$H1024)),2),""))</f>
        <v/>
      </c>
      <c r="J1024" s="9"/>
    </row>
    <row r="1025" customFormat="false" ht="21.75" hidden="false" customHeight="true" outlineLevel="0" collapsed="false">
      <c r="B1025" s="14" t="n">
        <v>1015</v>
      </c>
      <c r="C1025" s="7" t="s">
        <v>58</v>
      </c>
      <c r="D1025" s="7" t="s">
        <v>60</v>
      </c>
      <c r="E1025" s="7" t="s">
        <v>2368</v>
      </c>
      <c r="F1025" s="18" t="n">
        <f aca="false">IF('Base de Datos SACI'!U1019="","",'Base de Datos SACI'!U1019)</f>
        <v>570</v>
      </c>
      <c r="G1025" s="14"/>
      <c r="H1025" s="28"/>
      <c r="I1025" s="29" t="str">
        <f aca="false">IF(OR($G1025="",$G1025=0),"",IFERROR(ROUND($F1025*$G1025*(1-IF($H1025="",0,$H1025)),2),""))</f>
        <v/>
      </c>
      <c r="J1025" s="7"/>
    </row>
    <row r="1026" customFormat="false" ht="21.75" hidden="false" customHeight="true" outlineLevel="0" collapsed="false">
      <c r="B1026" s="15" t="n">
        <v>1016</v>
      </c>
      <c r="C1026" s="9" t="s">
        <v>58</v>
      </c>
      <c r="D1026" s="9" t="s">
        <v>60</v>
      </c>
      <c r="E1026" s="9" t="s">
        <v>2370</v>
      </c>
      <c r="F1026" s="19" t="n">
        <f aca="false">IF('Base de Datos SACI'!U1020="","",'Base de Datos SACI'!U1020)</f>
        <v>855</v>
      </c>
      <c r="G1026" s="15"/>
      <c r="H1026" s="30"/>
      <c r="I1026" s="31" t="str">
        <f aca="false">IF(OR($G1026="",$G1026=0),"",IFERROR(ROUND($F1026*$G1026*(1-IF($H1026="",0,$H1026)),2),""))</f>
        <v/>
      </c>
      <c r="J1026" s="9"/>
    </row>
    <row r="1027" customFormat="false" ht="21.75" hidden="false" customHeight="true" outlineLevel="0" collapsed="false">
      <c r="B1027" s="14" t="n">
        <v>1017</v>
      </c>
      <c r="C1027" s="7" t="s">
        <v>58</v>
      </c>
      <c r="D1027" s="7" t="s">
        <v>60</v>
      </c>
      <c r="E1027" s="7" t="s">
        <v>2371</v>
      </c>
      <c r="F1027" s="18" t="n">
        <f aca="false">IF('Base de Datos SACI'!U1021="","",'Base de Datos SACI'!U1021)</f>
        <v>1250</v>
      </c>
      <c r="G1027" s="14"/>
      <c r="H1027" s="28"/>
      <c r="I1027" s="29" t="str">
        <f aca="false">IF(OR($G1027="",$G1027=0),"",IFERROR(ROUND($F1027*$G1027*(1-IF($H1027="",0,$H1027)),2),""))</f>
        <v/>
      </c>
      <c r="J1027" s="7"/>
    </row>
    <row r="1028" customFormat="false" ht="21.75" hidden="false" customHeight="true" outlineLevel="0" collapsed="false">
      <c r="B1028" s="15" t="n">
        <v>1018</v>
      </c>
      <c r="C1028" s="9" t="s">
        <v>58</v>
      </c>
      <c r="D1028" s="9" t="s">
        <v>61</v>
      </c>
      <c r="E1028" s="9" t="s">
        <v>391</v>
      </c>
      <c r="F1028" s="19" t="str">
        <f aca="false">IF('Base de Datos SACI'!U1022="","",'Base de Datos SACI'!U1022)</f>
        <v/>
      </c>
      <c r="G1028" s="15"/>
      <c r="H1028" s="30"/>
      <c r="I1028" s="31" t="str">
        <f aca="false">IF(OR($G1028="",$G1028=0),"",IFERROR(ROUND($F1028*$G1028*(1-IF($H1028="",0,$H1028)),2),""))</f>
        <v/>
      </c>
      <c r="J1028" s="9"/>
    </row>
    <row r="1029" customFormat="false" ht="21.75" hidden="false" customHeight="true" outlineLevel="0" collapsed="false">
      <c r="B1029" s="14" t="n">
        <v>1019</v>
      </c>
      <c r="C1029" s="7" t="s">
        <v>58</v>
      </c>
      <c r="D1029" s="7" t="s">
        <v>62</v>
      </c>
      <c r="E1029" s="7" t="s">
        <v>391</v>
      </c>
      <c r="F1029" s="18" t="str">
        <f aca="false">IF('Base de Datos SACI'!U1023="","",'Base de Datos SACI'!U1023)</f>
        <v/>
      </c>
      <c r="G1029" s="14"/>
      <c r="H1029" s="28"/>
      <c r="I1029" s="29" t="str">
        <f aca="false">IF(OR($G1029="",$G1029=0),"",IFERROR(ROUND($F1029*$G1029*(1-IF($H1029="",0,$H1029)),2),""))</f>
        <v/>
      </c>
      <c r="J1029" s="7"/>
    </row>
    <row r="1030" customFormat="false" ht="21.75" hidden="false" customHeight="true" outlineLevel="0" collapsed="false">
      <c r="B1030" s="15" t="n">
        <v>1020</v>
      </c>
      <c r="C1030" s="9" t="s">
        <v>58</v>
      </c>
      <c r="D1030" s="9" t="s">
        <v>63</v>
      </c>
      <c r="E1030" s="9" t="s">
        <v>2374</v>
      </c>
      <c r="F1030" s="19" t="n">
        <f aca="false">IF('Base de Datos SACI'!U1024="","",'Base de Datos SACI'!U1024)</f>
        <v>60</v>
      </c>
      <c r="G1030" s="15"/>
      <c r="H1030" s="30"/>
      <c r="I1030" s="31" t="str">
        <f aca="false">IF(OR($G1030="",$G1030=0),"",IFERROR(ROUND($F1030*$G1030*(1-IF($H1030="",0,$H1030)),2),""))</f>
        <v/>
      </c>
      <c r="J1030" s="9"/>
    </row>
    <row r="1031" customFormat="false" ht="21.75" hidden="false" customHeight="true" outlineLevel="0" collapsed="false">
      <c r="B1031" s="14" t="n">
        <v>1021</v>
      </c>
      <c r="C1031" s="7" t="s">
        <v>58</v>
      </c>
      <c r="D1031" s="7" t="s">
        <v>63</v>
      </c>
      <c r="E1031" s="7" t="s">
        <v>2382</v>
      </c>
      <c r="F1031" s="18" t="n">
        <f aca="false">IF('Base de Datos SACI'!U1025="","",'Base de Datos SACI'!U1025)</f>
        <v>90</v>
      </c>
      <c r="G1031" s="14"/>
      <c r="H1031" s="28"/>
      <c r="I1031" s="29" t="str">
        <f aca="false">IF(OR($G1031="",$G1031=0),"",IFERROR(ROUND($F1031*$G1031*(1-IF($H1031="",0,$H1031)),2),""))</f>
        <v/>
      </c>
      <c r="J1031" s="7"/>
    </row>
    <row r="1032" customFormat="false" ht="21.75" hidden="false" customHeight="true" outlineLevel="0" collapsed="false">
      <c r="B1032" s="15" t="n">
        <v>1022</v>
      </c>
      <c r="C1032" s="9" t="s">
        <v>58</v>
      </c>
      <c r="D1032" s="9" t="s">
        <v>63</v>
      </c>
      <c r="E1032" s="9" t="s">
        <v>2383</v>
      </c>
      <c r="F1032" s="19" t="n">
        <f aca="false">IF('Base de Datos SACI'!U1026="","",'Base de Datos SACI'!U1026)</f>
        <v>125</v>
      </c>
      <c r="G1032" s="15"/>
      <c r="H1032" s="30"/>
      <c r="I1032" s="31" t="str">
        <f aca="false">IF(OR($G1032="",$G1032=0),"",IFERROR(ROUND($F1032*$G1032*(1-IF($H1032="",0,$H1032)),2),""))</f>
        <v/>
      </c>
      <c r="J1032" s="9"/>
    </row>
    <row r="1033" customFormat="false" ht="21.75" hidden="false" customHeight="true" outlineLevel="0" collapsed="false">
      <c r="B1033" s="14" t="n">
        <v>1023</v>
      </c>
      <c r="C1033" s="7" t="s">
        <v>58</v>
      </c>
      <c r="D1033" s="7" t="s">
        <v>63</v>
      </c>
      <c r="E1033" s="7" t="s">
        <v>2385</v>
      </c>
      <c r="F1033" s="18" t="n">
        <f aca="false">IF('Base de Datos SACI'!U1027="","",'Base de Datos SACI'!U1027)</f>
        <v>185</v>
      </c>
      <c r="G1033" s="14"/>
      <c r="H1033" s="28"/>
      <c r="I1033" s="29" t="str">
        <f aca="false">IF(OR($G1033="",$G1033=0),"",IFERROR(ROUND($F1033*$G1033*(1-IF($H1033="",0,$H1033)),2),""))</f>
        <v/>
      </c>
      <c r="J1033" s="7"/>
    </row>
    <row r="1034" customFormat="false" ht="21.75" hidden="false" customHeight="true" outlineLevel="0" collapsed="false">
      <c r="B1034" s="15" t="n">
        <v>1024</v>
      </c>
      <c r="C1034" s="9" t="s">
        <v>58</v>
      </c>
      <c r="D1034" s="9" t="s">
        <v>63</v>
      </c>
      <c r="E1034" s="9" t="s">
        <v>2386</v>
      </c>
      <c r="F1034" s="19" t="n">
        <f aca="false">IF('Base de Datos SACI'!U1028="","",'Base de Datos SACI'!U1028)</f>
        <v>275</v>
      </c>
      <c r="G1034" s="15"/>
      <c r="H1034" s="30"/>
      <c r="I1034" s="31" t="str">
        <f aca="false">IF(OR($G1034="",$G1034=0),"",IFERROR(ROUND($F1034*$G1034*(1-IF($H1034="",0,$H1034)),2),""))</f>
        <v/>
      </c>
      <c r="J1034" s="9"/>
    </row>
    <row r="1035" customFormat="false" ht="21.75" hidden="false" customHeight="true" outlineLevel="0" collapsed="false">
      <c r="B1035" s="14" t="n">
        <v>1025</v>
      </c>
      <c r="C1035" s="7" t="s">
        <v>58</v>
      </c>
      <c r="D1035" s="7" t="s">
        <v>64</v>
      </c>
      <c r="E1035" s="7" t="s">
        <v>391</v>
      </c>
      <c r="F1035" s="18" t="str">
        <f aca="false">IF('Base de Datos SACI'!U1029="","",'Base de Datos SACI'!U1029)</f>
        <v/>
      </c>
      <c r="G1035" s="14"/>
      <c r="H1035" s="28"/>
      <c r="I1035" s="29" t="str">
        <f aca="false">IF(OR($G1035="",$G1035=0),"",IFERROR(ROUND($F1035*$G1035*(1-IF($H1035="",0,$H1035)),2),""))</f>
        <v/>
      </c>
      <c r="J1035" s="7"/>
    </row>
    <row r="1036" customFormat="false" ht="21.75" hidden="false" customHeight="true" outlineLevel="0" collapsed="false">
      <c r="B1036" s="15" t="n">
        <v>1026</v>
      </c>
      <c r="C1036" s="9" t="s">
        <v>58</v>
      </c>
      <c r="D1036" s="9" t="s">
        <v>65</v>
      </c>
      <c r="E1036" s="9" t="s">
        <v>2388</v>
      </c>
      <c r="F1036" s="19" t="n">
        <f aca="false">IF('Base de Datos SACI'!U1030="","",'Base de Datos SACI'!U1030)</f>
        <v>25</v>
      </c>
      <c r="G1036" s="15"/>
      <c r="H1036" s="30"/>
      <c r="I1036" s="31" t="str">
        <f aca="false">IF(OR($G1036="",$G1036=0),"",IFERROR(ROUND($F1036*$G1036*(1-IF($H1036="",0,$H1036)),2),""))</f>
        <v/>
      </c>
      <c r="J1036" s="9"/>
    </row>
    <row r="1037" customFormat="false" ht="21.75" hidden="false" customHeight="true" outlineLevel="0" collapsed="false">
      <c r="B1037" s="14" t="n">
        <v>1027</v>
      </c>
      <c r="C1037" s="7" t="s">
        <v>58</v>
      </c>
      <c r="D1037" s="7" t="s">
        <v>65</v>
      </c>
      <c r="E1037" s="7" t="s">
        <v>2395</v>
      </c>
      <c r="F1037" s="18" t="n">
        <f aca="false">IF('Base de Datos SACI'!U1031="","",'Base de Datos SACI'!U1031)</f>
        <v>40</v>
      </c>
      <c r="G1037" s="14"/>
      <c r="H1037" s="28"/>
      <c r="I1037" s="29" t="str">
        <f aca="false">IF(OR($G1037="",$G1037=0),"",IFERROR(ROUND($F1037*$G1037*(1-IF($H1037="",0,$H1037)),2),""))</f>
        <v/>
      </c>
      <c r="J1037" s="7"/>
    </row>
    <row r="1038" customFormat="false" ht="21.75" hidden="false" customHeight="true" outlineLevel="0" collapsed="false">
      <c r="B1038" s="15" t="n">
        <v>1028</v>
      </c>
      <c r="C1038" s="9" t="s">
        <v>58</v>
      </c>
      <c r="D1038" s="9" t="s">
        <v>65</v>
      </c>
      <c r="E1038" s="9" t="s">
        <v>2396</v>
      </c>
      <c r="F1038" s="19" t="n">
        <f aca="false">IF('Base de Datos SACI'!U1032="","",'Base de Datos SACI'!U1032)</f>
        <v>55</v>
      </c>
      <c r="G1038" s="15"/>
      <c r="H1038" s="30"/>
      <c r="I1038" s="31" t="str">
        <f aca="false">IF(OR($G1038="",$G1038=0),"",IFERROR(ROUND($F1038*$G1038*(1-IF($H1038="",0,$H1038)),2),""))</f>
        <v/>
      </c>
      <c r="J1038" s="9"/>
    </row>
    <row r="1039" customFormat="false" ht="21.75" hidden="false" customHeight="true" outlineLevel="0" collapsed="false">
      <c r="B1039" s="14" t="n">
        <v>1029</v>
      </c>
      <c r="C1039" s="7" t="s">
        <v>58</v>
      </c>
      <c r="D1039" s="7" t="s">
        <v>65</v>
      </c>
      <c r="E1039" s="7" t="s">
        <v>2398</v>
      </c>
      <c r="F1039" s="18" t="n">
        <f aca="false">IF('Base de Datos SACI'!U1033="","",'Base de Datos SACI'!U1033)</f>
        <v>80</v>
      </c>
      <c r="G1039" s="14"/>
      <c r="H1039" s="28"/>
      <c r="I1039" s="29" t="str">
        <f aca="false">IF(OR($G1039="",$G1039=0),"",IFERROR(ROUND($F1039*$G1039*(1-IF($H1039="",0,$H1039)),2),""))</f>
        <v/>
      </c>
      <c r="J1039" s="7"/>
    </row>
    <row r="1040" customFormat="false" ht="21.75" hidden="false" customHeight="true" outlineLevel="0" collapsed="false">
      <c r="B1040" s="15" t="n">
        <v>1030</v>
      </c>
      <c r="C1040" s="9" t="s">
        <v>58</v>
      </c>
      <c r="D1040" s="9" t="s">
        <v>65</v>
      </c>
      <c r="E1040" s="9" t="s">
        <v>2399</v>
      </c>
      <c r="F1040" s="19" t="n">
        <f aca="false">IF('Base de Datos SACI'!U1034="","",'Base de Datos SACI'!U1034)</f>
        <v>120</v>
      </c>
      <c r="G1040" s="15"/>
      <c r="H1040" s="30"/>
      <c r="I1040" s="31" t="str">
        <f aca="false">IF(OR($G1040="",$G1040=0),"",IFERROR(ROUND($F1040*$G1040*(1-IF($H1040="",0,$H1040)),2),""))</f>
        <v/>
      </c>
      <c r="J1040" s="9"/>
    </row>
    <row r="1041" customFormat="false" ht="21.75" hidden="false" customHeight="true" outlineLevel="0" collapsed="false">
      <c r="B1041" s="14" t="n">
        <v>1031</v>
      </c>
      <c r="C1041" s="7" t="s">
        <v>58</v>
      </c>
      <c r="D1041" s="7" t="s">
        <v>66</v>
      </c>
      <c r="E1041" s="7" t="s">
        <v>391</v>
      </c>
      <c r="F1041" s="18" t="str">
        <f aca="false">IF('Base de Datos SACI'!U1035="","",'Base de Datos SACI'!U1035)</f>
        <v/>
      </c>
      <c r="G1041" s="14"/>
      <c r="H1041" s="28"/>
      <c r="I1041" s="29" t="str">
        <f aca="false">IF(OR($G1041="",$G1041=0),"",IFERROR(ROUND($F1041*$G1041*(1-IF($H1041="",0,$H1041)),2),""))</f>
        <v/>
      </c>
      <c r="J1041" s="7"/>
    </row>
    <row r="1042" customFormat="false" ht="21.75" hidden="false" customHeight="true" outlineLevel="0" collapsed="false">
      <c r="B1042" s="15" t="n">
        <v>1032</v>
      </c>
      <c r="C1042" s="9" t="s">
        <v>58</v>
      </c>
      <c r="D1042" s="9" t="s">
        <v>67</v>
      </c>
      <c r="E1042" s="9" t="s">
        <v>2401</v>
      </c>
      <c r="F1042" s="19" t="n">
        <f aca="false">IF('Base de Datos SACI'!U1036="","",'Base de Datos SACI'!U1036)</f>
        <v>18</v>
      </c>
      <c r="G1042" s="15"/>
      <c r="H1042" s="30"/>
      <c r="I1042" s="31" t="str">
        <f aca="false">IF(OR($G1042="",$G1042=0),"",IFERROR(ROUND($F1042*$G1042*(1-IF($H1042="",0,$H1042)),2),""))</f>
        <v/>
      </c>
      <c r="J1042" s="9"/>
    </row>
    <row r="1043" customFormat="false" ht="21.75" hidden="false" customHeight="true" outlineLevel="0" collapsed="false">
      <c r="B1043" s="14" t="n">
        <v>1033</v>
      </c>
      <c r="C1043" s="7" t="s">
        <v>58</v>
      </c>
      <c r="D1043" s="7" t="s">
        <v>67</v>
      </c>
      <c r="E1043" s="7" t="s">
        <v>2406</v>
      </c>
      <c r="F1043" s="18" t="n">
        <f aca="false">IF('Base de Datos SACI'!U1037="","",'Base de Datos SACI'!U1037)</f>
        <v>25</v>
      </c>
      <c r="G1043" s="14"/>
      <c r="H1043" s="28"/>
      <c r="I1043" s="29" t="str">
        <f aca="false">IF(OR($G1043="",$G1043=0),"",IFERROR(ROUND($F1043*$G1043*(1-IF($H1043="",0,$H1043)),2),""))</f>
        <v/>
      </c>
      <c r="J1043" s="7"/>
    </row>
    <row r="1044" customFormat="false" ht="21.75" hidden="false" customHeight="true" outlineLevel="0" collapsed="false">
      <c r="B1044" s="15" t="n">
        <v>1034</v>
      </c>
      <c r="C1044" s="9" t="s">
        <v>58</v>
      </c>
      <c r="D1044" s="9" t="s">
        <v>67</v>
      </c>
      <c r="E1044" s="9" t="s">
        <v>2407</v>
      </c>
      <c r="F1044" s="19" t="n">
        <f aca="false">IF('Base de Datos SACI'!U1038="","",'Base de Datos SACI'!U1038)</f>
        <v>35</v>
      </c>
      <c r="G1044" s="15"/>
      <c r="H1044" s="30"/>
      <c r="I1044" s="31" t="str">
        <f aca="false">IF(OR($G1044="",$G1044=0),"",IFERROR(ROUND($F1044*$G1044*(1-IF($H1044="",0,$H1044)),2),""))</f>
        <v/>
      </c>
      <c r="J1044" s="9"/>
    </row>
    <row r="1045" customFormat="false" ht="21.75" hidden="false" customHeight="true" outlineLevel="0" collapsed="false">
      <c r="B1045" s="14" t="n">
        <v>1035</v>
      </c>
      <c r="C1045" s="7" t="s">
        <v>58</v>
      </c>
      <c r="D1045" s="7" t="s">
        <v>67</v>
      </c>
      <c r="E1045" s="7" t="s">
        <v>2409</v>
      </c>
      <c r="F1045" s="18" t="n">
        <f aca="false">IF('Base de Datos SACI'!U1039="","",'Base de Datos SACI'!U1039)</f>
        <v>50</v>
      </c>
      <c r="G1045" s="14"/>
      <c r="H1045" s="28"/>
      <c r="I1045" s="29" t="str">
        <f aca="false">IF(OR($G1045="",$G1045=0),"",IFERROR(ROUND($F1045*$G1045*(1-IF($H1045="",0,$H1045)),2),""))</f>
        <v/>
      </c>
      <c r="J1045" s="7"/>
    </row>
    <row r="1046" customFormat="false" ht="21.75" hidden="false" customHeight="true" outlineLevel="0" collapsed="false">
      <c r="B1046" s="15" t="n">
        <v>1036</v>
      </c>
      <c r="C1046" s="9" t="s">
        <v>58</v>
      </c>
      <c r="D1046" s="9" t="s">
        <v>67</v>
      </c>
      <c r="E1046" s="9" t="s">
        <v>2410</v>
      </c>
      <c r="F1046" s="19" t="n">
        <f aca="false">IF('Base de Datos SACI'!U1040="","",'Base de Datos SACI'!U1040)</f>
        <v>75</v>
      </c>
      <c r="G1046" s="15"/>
      <c r="H1046" s="30"/>
      <c r="I1046" s="31" t="str">
        <f aca="false">IF(OR($G1046="",$G1046=0),"",IFERROR(ROUND($F1046*$G1046*(1-IF($H1046="",0,$H1046)),2),""))</f>
        <v/>
      </c>
      <c r="J1046" s="9"/>
    </row>
    <row r="1047" customFormat="false" ht="21.75" hidden="false" customHeight="true" outlineLevel="0" collapsed="false">
      <c r="B1047" s="14" t="n">
        <v>1037</v>
      </c>
      <c r="C1047" s="7" t="s">
        <v>58</v>
      </c>
      <c r="D1047" s="7" t="s">
        <v>68</v>
      </c>
      <c r="E1047" s="7" t="s">
        <v>2411</v>
      </c>
      <c r="F1047" s="18" t="n">
        <f aca="false">IF('Base de Datos SACI'!U1041="","",'Base de Datos SACI'!U1041)</f>
        <v>25</v>
      </c>
      <c r="G1047" s="14"/>
      <c r="H1047" s="28"/>
      <c r="I1047" s="29" t="str">
        <f aca="false">IF(OR($G1047="",$G1047=0),"",IFERROR(ROUND($F1047*$G1047*(1-IF($H1047="",0,$H1047)),2),""))</f>
        <v/>
      </c>
      <c r="J1047" s="7"/>
    </row>
    <row r="1048" customFormat="false" ht="21.75" hidden="false" customHeight="true" outlineLevel="0" collapsed="false">
      <c r="B1048" s="15" t="n">
        <v>1038</v>
      </c>
      <c r="C1048" s="9" t="s">
        <v>58</v>
      </c>
      <c r="D1048" s="9" t="s">
        <v>68</v>
      </c>
      <c r="E1048" s="9" t="s">
        <v>2414</v>
      </c>
      <c r="F1048" s="19" t="n">
        <f aca="false">IF('Base de Datos SACI'!U1042="","",'Base de Datos SACI'!U1042)</f>
        <v>35</v>
      </c>
      <c r="G1048" s="15"/>
      <c r="H1048" s="30"/>
      <c r="I1048" s="31" t="str">
        <f aca="false">IF(OR($G1048="",$G1048=0),"",IFERROR(ROUND($F1048*$G1048*(1-IF($H1048="",0,$H1048)),2),""))</f>
        <v/>
      </c>
      <c r="J1048" s="9"/>
    </row>
    <row r="1049" customFormat="false" ht="21.75" hidden="false" customHeight="true" outlineLevel="0" collapsed="false">
      <c r="B1049" s="14" t="n">
        <v>1039</v>
      </c>
      <c r="C1049" s="7" t="s">
        <v>58</v>
      </c>
      <c r="D1049" s="7" t="s">
        <v>68</v>
      </c>
      <c r="E1049" s="7" t="s">
        <v>2415</v>
      </c>
      <c r="F1049" s="18" t="n">
        <f aca="false">IF('Base de Datos SACI'!U1043="","",'Base de Datos SACI'!U1043)</f>
        <v>50</v>
      </c>
      <c r="G1049" s="14"/>
      <c r="H1049" s="28"/>
      <c r="I1049" s="29" t="str">
        <f aca="false">IF(OR($G1049="",$G1049=0),"",IFERROR(ROUND($F1049*$G1049*(1-IF($H1049="",0,$H1049)),2),""))</f>
        <v/>
      </c>
      <c r="J1049" s="7"/>
    </row>
    <row r="1050" customFormat="false" ht="21.75" hidden="false" customHeight="true" outlineLevel="0" collapsed="false">
      <c r="B1050" s="15" t="n">
        <v>1040</v>
      </c>
      <c r="C1050" s="9" t="s">
        <v>58</v>
      </c>
      <c r="D1050" s="9" t="s">
        <v>68</v>
      </c>
      <c r="E1050" s="9" t="s">
        <v>2417</v>
      </c>
      <c r="F1050" s="19" t="n">
        <f aca="false">IF('Base de Datos SACI'!U1044="","",'Base de Datos SACI'!U1044)</f>
        <v>75</v>
      </c>
      <c r="G1050" s="15"/>
      <c r="H1050" s="30"/>
      <c r="I1050" s="31" t="str">
        <f aca="false">IF(OR($G1050="",$G1050=0),"",IFERROR(ROUND($F1050*$G1050*(1-IF($H1050="",0,$H1050)),2),""))</f>
        <v/>
      </c>
      <c r="J1050" s="9"/>
    </row>
    <row r="1051" customFormat="false" ht="21.75" hidden="false" customHeight="true" outlineLevel="0" collapsed="false">
      <c r="B1051" s="14" t="n">
        <v>1041</v>
      </c>
      <c r="C1051" s="7" t="s">
        <v>58</v>
      </c>
      <c r="D1051" s="7" t="s">
        <v>68</v>
      </c>
      <c r="E1051" s="7" t="s">
        <v>2418</v>
      </c>
      <c r="F1051" s="18" t="n">
        <f aca="false">IF('Base de Datos SACI'!U1045="","",'Base de Datos SACI'!U1045)</f>
        <v>110</v>
      </c>
      <c r="G1051" s="14"/>
      <c r="H1051" s="28"/>
      <c r="I1051" s="29" t="str">
        <f aca="false">IF(OR($G1051="",$G1051=0),"",IFERROR(ROUND($F1051*$G1051*(1-IF($H1051="",0,$H1051)),2),""))</f>
        <v/>
      </c>
      <c r="J1051" s="7"/>
    </row>
    <row r="1052" customFormat="false" ht="21.75" hidden="false" customHeight="true" outlineLevel="0" collapsed="false">
      <c r="B1052" s="15" t="n">
        <v>1042</v>
      </c>
      <c r="C1052" s="9" t="s">
        <v>58</v>
      </c>
      <c r="D1052" s="9" t="s">
        <v>69</v>
      </c>
      <c r="E1052" s="9" t="s">
        <v>2419</v>
      </c>
      <c r="F1052" s="19" t="n">
        <f aca="false">IF('Base de Datos SACI'!U1046="","",'Base de Datos SACI'!U1046)</f>
        <v>55</v>
      </c>
      <c r="G1052" s="15"/>
      <c r="H1052" s="30"/>
      <c r="I1052" s="31" t="str">
        <f aca="false">IF(OR($G1052="",$G1052=0),"",IFERROR(ROUND($F1052*$G1052*(1-IF($H1052="",0,$H1052)),2),""))</f>
        <v/>
      </c>
      <c r="J1052" s="9"/>
    </row>
    <row r="1053" customFormat="false" ht="21.75" hidden="false" customHeight="true" outlineLevel="0" collapsed="false">
      <c r="B1053" s="14" t="n">
        <v>1043</v>
      </c>
      <c r="C1053" s="7" t="s">
        <v>58</v>
      </c>
      <c r="D1053" s="7" t="s">
        <v>69</v>
      </c>
      <c r="E1053" s="7" t="s">
        <v>2424</v>
      </c>
      <c r="F1053" s="18" t="n">
        <f aca="false">IF('Base de Datos SACI'!U1047="","",'Base de Datos SACI'!U1047)</f>
        <v>85</v>
      </c>
      <c r="G1053" s="14"/>
      <c r="H1053" s="28"/>
      <c r="I1053" s="29" t="str">
        <f aca="false">IF(OR($G1053="",$G1053=0),"",IFERROR(ROUND($F1053*$G1053*(1-IF($H1053="",0,$H1053)),2),""))</f>
        <v/>
      </c>
      <c r="J1053" s="7"/>
    </row>
    <row r="1054" customFormat="false" ht="21.75" hidden="false" customHeight="true" outlineLevel="0" collapsed="false">
      <c r="B1054" s="15" t="n">
        <v>1044</v>
      </c>
      <c r="C1054" s="9" t="s">
        <v>58</v>
      </c>
      <c r="D1054" s="9" t="s">
        <v>69</v>
      </c>
      <c r="E1054" s="9" t="s">
        <v>2425</v>
      </c>
      <c r="F1054" s="19" t="n">
        <f aca="false">IF('Base de Datos SACI'!U1048="","",'Base de Datos SACI'!U1048)</f>
        <v>115</v>
      </c>
      <c r="G1054" s="15"/>
      <c r="H1054" s="30"/>
      <c r="I1054" s="31" t="str">
        <f aca="false">IF(OR($G1054="",$G1054=0),"",IFERROR(ROUND($F1054*$G1054*(1-IF($H1054="",0,$H1054)),2),""))</f>
        <v/>
      </c>
      <c r="J1054" s="9"/>
    </row>
    <row r="1055" customFormat="false" ht="21.75" hidden="false" customHeight="true" outlineLevel="0" collapsed="false">
      <c r="B1055" s="14" t="n">
        <v>1045</v>
      </c>
      <c r="C1055" s="7" t="s">
        <v>58</v>
      </c>
      <c r="D1055" s="7" t="s">
        <v>69</v>
      </c>
      <c r="E1055" s="7" t="s">
        <v>2427</v>
      </c>
      <c r="F1055" s="18" t="n">
        <f aca="false">IF('Base de Datos SACI'!U1049="","",'Base de Datos SACI'!U1049)</f>
        <v>170</v>
      </c>
      <c r="G1055" s="14"/>
      <c r="H1055" s="28"/>
      <c r="I1055" s="29" t="str">
        <f aca="false">IF(OR($G1055="",$G1055=0),"",IFERROR(ROUND($F1055*$G1055*(1-IF($H1055="",0,$H1055)),2),""))</f>
        <v/>
      </c>
      <c r="J1055" s="7"/>
    </row>
    <row r="1056" customFormat="false" ht="21.75" hidden="false" customHeight="true" outlineLevel="0" collapsed="false">
      <c r="B1056" s="15" t="n">
        <v>1046</v>
      </c>
      <c r="C1056" s="9" t="s">
        <v>58</v>
      </c>
      <c r="D1056" s="9" t="s">
        <v>69</v>
      </c>
      <c r="E1056" s="9" t="s">
        <v>2428</v>
      </c>
      <c r="F1056" s="19" t="n">
        <f aca="false">IF('Base de Datos SACI'!U1050="","",'Base de Datos SACI'!U1050)</f>
        <v>250</v>
      </c>
      <c r="G1056" s="15"/>
      <c r="H1056" s="30"/>
      <c r="I1056" s="31" t="str">
        <f aca="false">IF(OR($G1056="",$G1056=0),"",IFERROR(ROUND($F1056*$G1056*(1-IF($H1056="",0,$H1056)),2),""))</f>
        <v/>
      </c>
      <c r="J1056" s="9"/>
    </row>
    <row r="1057" customFormat="false" ht="21.75" hidden="false" customHeight="true" outlineLevel="0" collapsed="false">
      <c r="B1057" s="14" t="n">
        <v>1047</v>
      </c>
      <c r="C1057" s="7" t="s">
        <v>58</v>
      </c>
      <c r="D1057" s="7" t="s">
        <v>70</v>
      </c>
      <c r="E1057" s="7" t="s">
        <v>2429</v>
      </c>
      <c r="F1057" s="18" t="n">
        <f aca="false">IF('Base de Datos SACI'!U1051="","",'Base de Datos SACI'!U1051)</f>
        <v>35</v>
      </c>
      <c r="G1057" s="14"/>
      <c r="H1057" s="28"/>
      <c r="I1057" s="29" t="str">
        <f aca="false">IF(OR($G1057="",$G1057=0),"",IFERROR(ROUND($F1057*$G1057*(1-IF($H1057="",0,$H1057)),2),""))</f>
        <v/>
      </c>
      <c r="J1057" s="7"/>
    </row>
    <row r="1058" customFormat="false" ht="21.75" hidden="false" customHeight="true" outlineLevel="0" collapsed="false">
      <c r="B1058" s="15" t="n">
        <v>1048</v>
      </c>
      <c r="C1058" s="9" t="s">
        <v>58</v>
      </c>
      <c r="D1058" s="9" t="s">
        <v>70</v>
      </c>
      <c r="E1058" s="9" t="s">
        <v>2436</v>
      </c>
      <c r="F1058" s="19" t="n">
        <f aca="false">IF('Base de Datos SACI'!U1052="","",'Base de Datos SACI'!U1052)</f>
        <v>55</v>
      </c>
      <c r="G1058" s="15"/>
      <c r="H1058" s="30"/>
      <c r="I1058" s="31" t="str">
        <f aca="false">IF(OR($G1058="",$G1058=0),"",IFERROR(ROUND($F1058*$G1058*(1-IF($H1058="",0,$H1058)),2),""))</f>
        <v/>
      </c>
      <c r="J1058" s="9"/>
    </row>
    <row r="1059" customFormat="false" ht="21.75" hidden="false" customHeight="true" outlineLevel="0" collapsed="false">
      <c r="B1059" s="14" t="n">
        <v>1049</v>
      </c>
      <c r="C1059" s="7" t="s">
        <v>58</v>
      </c>
      <c r="D1059" s="7" t="s">
        <v>70</v>
      </c>
      <c r="E1059" s="7" t="s">
        <v>2437</v>
      </c>
      <c r="F1059" s="18" t="n">
        <f aca="false">IF('Base de Datos SACI'!U1053="","",'Base de Datos SACI'!U1053)</f>
        <v>75</v>
      </c>
      <c r="G1059" s="14"/>
      <c r="H1059" s="28"/>
      <c r="I1059" s="29" t="str">
        <f aca="false">IF(OR($G1059="",$G1059=0),"",IFERROR(ROUND($F1059*$G1059*(1-IF($H1059="",0,$H1059)),2),""))</f>
        <v/>
      </c>
      <c r="J1059" s="7"/>
    </row>
    <row r="1060" customFormat="false" ht="21.75" hidden="false" customHeight="true" outlineLevel="0" collapsed="false">
      <c r="B1060" s="15" t="n">
        <v>1050</v>
      </c>
      <c r="C1060" s="9" t="s">
        <v>58</v>
      </c>
      <c r="D1060" s="9" t="s">
        <v>70</v>
      </c>
      <c r="E1060" s="9" t="s">
        <v>2439</v>
      </c>
      <c r="F1060" s="19" t="n">
        <f aca="false">IF('Base de Datos SACI'!U1054="","",'Base de Datos SACI'!U1054)</f>
        <v>110</v>
      </c>
      <c r="G1060" s="15"/>
      <c r="H1060" s="30"/>
      <c r="I1060" s="31" t="str">
        <f aca="false">IF(OR($G1060="",$G1060=0),"",IFERROR(ROUND($F1060*$G1060*(1-IF($H1060="",0,$H1060)),2),""))</f>
        <v/>
      </c>
      <c r="J1060" s="9"/>
    </row>
    <row r="1061" customFormat="false" ht="21.75" hidden="false" customHeight="true" outlineLevel="0" collapsed="false">
      <c r="B1061" s="14" t="n">
        <v>1051</v>
      </c>
      <c r="C1061" s="7" t="s">
        <v>58</v>
      </c>
      <c r="D1061" s="7" t="s">
        <v>70</v>
      </c>
      <c r="E1061" s="7" t="s">
        <v>2440</v>
      </c>
      <c r="F1061" s="18" t="n">
        <f aca="false">IF('Base de Datos SACI'!U1055="","",'Base de Datos SACI'!U1055)</f>
        <v>165</v>
      </c>
      <c r="G1061" s="14"/>
      <c r="H1061" s="28"/>
      <c r="I1061" s="29" t="str">
        <f aca="false">IF(OR($G1061="",$G1061=0),"",IFERROR(ROUND($F1061*$G1061*(1-IF($H1061="",0,$H1061)),2),""))</f>
        <v/>
      </c>
      <c r="J1061" s="7"/>
    </row>
    <row r="1062" customFormat="false" ht="21.75" hidden="false" customHeight="true" outlineLevel="0" collapsed="false">
      <c r="B1062" s="15" t="n">
        <v>1052</v>
      </c>
      <c r="C1062" s="9" t="s">
        <v>58</v>
      </c>
      <c r="D1062" s="9" t="s">
        <v>71</v>
      </c>
      <c r="E1062" s="9" t="s">
        <v>2441</v>
      </c>
      <c r="F1062" s="19" t="n">
        <f aca="false">IF('Base de Datos SACI'!U1056="","",'Base de Datos SACI'!U1056)</f>
        <v>75</v>
      </c>
      <c r="G1062" s="15"/>
      <c r="H1062" s="30"/>
      <c r="I1062" s="31" t="str">
        <f aca="false">IF(OR($G1062="",$G1062=0),"",IFERROR(ROUND($F1062*$G1062*(1-IF($H1062="",0,$H1062)),2),""))</f>
        <v/>
      </c>
      <c r="J1062" s="9"/>
    </row>
    <row r="1063" customFormat="false" ht="21.75" hidden="false" customHeight="true" outlineLevel="0" collapsed="false">
      <c r="B1063" s="14" t="n">
        <v>1053</v>
      </c>
      <c r="C1063" s="7" t="s">
        <v>58</v>
      </c>
      <c r="D1063" s="7" t="s">
        <v>71</v>
      </c>
      <c r="E1063" s="7" t="s">
        <v>2448</v>
      </c>
      <c r="F1063" s="18" t="n">
        <f aca="false">IF('Base de Datos SACI'!U1057="","",'Base de Datos SACI'!U1057)</f>
        <v>110</v>
      </c>
      <c r="G1063" s="14"/>
      <c r="H1063" s="28"/>
      <c r="I1063" s="29" t="str">
        <f aca="false">IF(OR($G1063="",$G1063=0),"",IFERROR(ROUND($F1063*$G1063*(1-IF($H1063="",0,$H1063)),2),""))</f>
        <v/>
      </c>
      <c r="J1063" s="7"/>
    </row>
    <row r="1064" customFormat="false" ht="21.75" hidden="false" customHeight="true" outlineLevel="0" collapsed="false">
      <c r="B1064" s="15" t="n">
        <v>1054</v>
      </c>
      <c r="C1064" s="9" t="s">
        <v>58</v>
      </c>
      <c r="D1064" s="9" t="s">
        <v>71</v>
      </c>
      <c r="E1064" s="9" t="s">
        <v>2449</v>
      </c>
      <c r="F1064" s="19" t="n">
        <f aca="false">IF('Base de Datos SACI'!U1058="","",'Base de Datos SACI'!U1058)</f>
        <v>150</v>
      </c>
      <c r="G1064" s="15"/>
      <c r="H1064" s="30"/>
      <c r="I1064" s="31" t="str">
        <f aca="false">IF(OR($G1064="",$G1064=0),"",IFERROR(ROUND($F1064*$G1064*(1-IF($H1064="",0,$H1064)),2),""))</f>
        <v/>
      </c>
      <c r="J1064" s="9"/>
    </row>
    <row r="1065" customFormat="false" ht="21.75" hidden="false" customHeight="true" outlineLevel="0" collapsed="false">
      <c r="B1065" s="14" t="n">
        <v>1055</v>
      </c>
      <c r="C1065" s="7" t="s">
        <v>58</v>
      </c>
      <c r="D1065" s="7" t="s">
        <v>71</v>
      </c>
      <c r="E1065" s="7" t="s">
        <v>2451</v>
      </c>
      <c r="F1065" s="18" t="n">
        <f aca="false">IF('Base de Datos SACI'!U1059="","",'Base de Datos SACI'!U1059)</f>
        <v>225</v>
      </c>
      <c r="G1065" s="14"/>
      <c r="H1065" s="28"/>
      <c r="I1065" s="29" t="str">
        <f aca="false">IF(OR($G1065="",$G1065=0),"",IFERROR(ROUND($F1065*$G1065*(1-IF($H1065="",0,$H1065)),2),""))</f>
        <v/>
      </c>
      <c r="J1065" s="7"/>
    </row>
    <row r="1066" customFormat="false" ht="21.75" hidden="false" customHeight="true" outlineLevel="0" collapsed="false">
      <c r="B1066" s="15" t="n">
        <v>1056</v>
      </c>
      <c r="C1066" s="9" t="s">
        <v>58</v>
      </c>
      <c r="D1066" s="9" t="s">
        <v>71</v>
      </c>
      <c r="E1066" s="9" t="s">
        <v>2452</v>
      </c>
      <c r="F1066" s="19" t="n">
        <f aca="false">IF('Base de Datos SACI'!U1060="","",'Base de Datos SACI'!U1060)</f>
        <v>330</v>
      </c>
      <c r="G1066" s="15"/>
      <c r="H1066" s="30"/>
      <c r="I1066" s="31" t="str">
        <f aca="false">IF(OR($G1066="",$G1066=0),"",IFERROR(ROUND($F1066*$G1066*(1-IF($H1066="",0,$H1066)),2),""))</f>
        <v/>
      </c>
      <c r="J1066" s="9"/>
    </row>
    <row r="1067" customFormat="false" ht="21.75" hidden="false" customHeight="true" outlineLevel="0" collapsed="false">
      <c r="B1067" s="14" t="n">
        <v>1057</v>
      </c>
      <c r="C1067" s="7" t="s">
        <v>58</v>
      </c>
      <c r="D1067" s="7" t="s">
        <v>72</v>
      </c>
      <c r="E1067" s="7" t="s">
        <v>391</v>
      </c>
      <c r="F1067" s="18" t="str">
        <f aca="false">IF('Base de Datos SACI'!U1061="","",'Base de Datos SACI'!U1061)</f>
        <v/>
      </c>
      <c r="G1067" s="14"/>
      <c r="H1067" s="28"/>
      <c r="I1067" s="29" t="str">
        <f aca="false">IF(OR($G1067="",$G1067=0),"",IFERROR(ROUND($F1067*$G1067*(1-IF($H1067="",0,$H1067)),2),""))</f>
        <v/>
      </c>
      <c r="J1067" s="7"/>
    </row>
    <row r="1068" customFormat="false" ht="21.75" hidden="false" customHeight="true" outlineLevel="0" collapsed="false">
      <c r="B1068" s="15" t="n">
        <v>1058</v>
      </c>
      <c r="C1068" s="9" t="s">
        <v>58</v>
      </c>
      <c r="D1068" s="9" t="s">
        <v>73</v>
      </c>
      <c r="E1068" s="9" t="s">
        <v>2454</v>
      </c>
      <c r="F1068" s="19" t="n">
        <f aca="false">IF('Base de Datos SACI'!U1062="","",'Base de Datos SACI'!U1062)</f>
        <v>55</v>
      </c>
      <c r="G1068" s="15"/>
      <c r="H1068" s="30"/>
      <c r="I1068" s="31" t="str">
        <f aca="false">IF(OR($G1068="",$G1068=0),"",IFERROR(ROUND($F1068*$G1068*(1-IF($H1068="",0,$H1068)),2),""))</f>
        <v/>
      </c>
      <c r="J1068" s="9"/>
    </row>
    <row r="1069" customFormat="false" ht="21.75" hidden="false" customHeight="true" outlineLevel="0" collapsed="false">
      <c r="B1069" s="14" t="n">
        <v>1059</v>
      </c>
      <c r="C1069" s="7" t="s">
        <v>58</v>
      </c>
      <c r="D1069" s="7" t="s">
        <v>73</v>
      </c>
      <c r="E1069" s="7" t="s">
        <v>2460</v>
      </c>
      <c r="F1069" s="18" t="n">
        <f aca="false">IF('Base de Datos SACI'!U1063="","",'Base de Datos SACI'!U1063)</f>
        <v>80</v>
      </c>
      <c r="G1069" s="14"/>
      <c r="H1069" s="28"/>
      <c r="I1069" s="29" t="str">
        <f aca="false">IF(OR($G1069="",$G1069=0),"",IFERROR(ROUND($F1069*$G1069*(1-IF($H1069="",0,$H1069)),2),""))</f>
        <v/>
      </c>
      <c r="J1069" s="7"/>
    </row>
    <row r="1070" customFormat="false" ht="21.75" hidden="false" customHeight="true" outlineLevel="0" collapsed="false">
      <c r="B1070" s="15" t="n">
        <v>1060</v>
      </c>
      <c r="C1070" s="9" t="s">
        <v>58</v>
      </c>
      <c r="D1070" s="9" t="s">
        <v>73</v>
      </c>
      <c r="E1070" s="9" t="s">
        <v>2461</v>
      </c>
      <c r="F1070" s="19" t="n">
        <f aca="false">IF('Base de Datos SACI'!U1064="","",'Base de Datos SACI'!U1064)</f>
        <v>110</v>
      </c>
      <c r="G1070" s="15"/>
      <c r="H1070" s="30"/>
      <c r="I1070" s="31" t="str">
        <f aca="false">IF(OR($G1070="",$G1070=0),"",IFERROR(ROUND($F1070*$G1070*(1-IF($H1070="",0,$H1070)),2),""))</f>
        <v/>
      </c>
      <c r="J1070" s="9"/>
    </row>
    <row r="1071" customFormat="false" ht="21.75" hidden="false" customHeight="true" outlineLevel="0" collapsed="false">
      <c r="B1071" s="14" t="n">
        <v>1061</v>
      </c>
      <c r="C1071" s="7" t="s">
        <v>58</v>
      </c>
      <c r="D1071" s="7" t="s">
        <v>73</v>
      </c>
      <c r="E1071" s="7" t="s">
        <v>2463</v>
      </c>
      <c r="F1071" s="18" t="n">
        <f aca="false">IF('Base de Datos SACI'!U1065="","",'Base de Datos SACI'!U1065)</f>
        <v>165</v>
      </c>
      <c r="G1071" s="14"/>
      <c r="H1071" s="28"/>
      <c r="I1071" s="29" t="str">
        <f aca="false">IF(OR($G1071="",$G1071=0),"",IFERROR(ROUND($F1071*$G1071*(1-IF($H1071="",0,$H1071)),2),""))</f>
        <v/>
      </c>
      <c r="J1071" s="7"/>
    </row>
    <row r="1072" customFormat="false" ht="21.75" hidden="false" customHeight="true" outlineLevel="0" collapsed="false">
      <c r="B1072" s="15" t="n">
        <v>1062</v>
      </c>
      <c r="C1072" s="9" t="s">
        <v>58</v>
      </c>
      <c r="D1072" s="9" t="s">
        <v>73</v>
      </c>
      <c r="E1072" s="9" t="s">
        <v>2464</v>
      </c>
      <c r="F1072" s="19" t="n">
        <f aca="false">IF('Base de Datos SACI'!U1066="","",'Base de Datos SACI'!U1066)</f>
        <v>240</v>
      </c>
      <c r="G1072" s="15"/>
      <c r="H1072" s="30"/>
      <c r="I1072" s="31" t="str">
        <f aca="false">IF(OR($G1072="",$G1072=0),"",IFERROR(ROUND($F1072*$G1072*(1-IF($H1072="",0,$H1072)),2),""))</f>
        <v/>
      </c>
      <c r="J1072" s="9"/>
    </row>
    <row r="1073" customFormat="false" ht="21.75" hidden="false" customHeight="true" outlineLevel="0" collapsed="false">
      <c r="B1073" s="14" t="n">
        <v>1063</v>
      </c>
      <c r="C1073" s="7" t="s">
        <v>58</v>
      </c>
      <c r="D1073" s="7" t="s">
        <v>74</v>
      </c>
      <c r="E1073" s="7" t="s">
        <v>2465</v>
      </c>
      <c r="F1073" s="18" t="n">
        <f aca="false">IF('Base de Datos SACI'!U1067="","",'Base de Datos SACI'!U1067)</f>
        <v>15</v>
      </c>
      <c r="G1073" s="14"/>
      <c r="H1073" s="28"/>
      <c r="I1073" s="29" t="str">
        <f aca="false">IF(OR($G1073="",$G1073=0),"",IFERROR(ROUND($F1073*$G1073*(1-IF($H1073="",0,$H1073)),2),""))</f>
        <v/>
      </c>
      <c r="J1073" s="7"/>
    </row>
    <row r="1074" customFormat="false" ht="21.75" hidden="false" customHeight="true" outlineLevel="0" collapsed="false">
      <c r="B1074" s="15" t="n">
        <v>1064</v>
      </c>
      <c r="C1074" s="9" t="s">
        <v>58</v>
      </c>
      <c r="D1074" s="9" t="s">
        <v>74</v>
      </c>
      <c r="E1074" s="9" t="s">
        <v>2468</v>
      </c>
      <c r="F1074" s="19" t="n">
        <f aca="false">IF('Base de Datos SACI'!U1068="","",'Base de Datos SACI'!U1068)</f>
        <v>20</v>
      </c>
      <c r="G1074" s="15"/>
      <c r="H1074" s="30"/>
      <c r="I1074" s="31" t="str">
        <f aca="false">IF(OR($G1074="",$G1074=0),"",IFERROR(ROUND($F1074*$G1074*(1-IF($H1074="",0,$H1074)),2),""))</f>
        <v/>
      </c>
      <c r="J1074" s="9"/>
    </row>
    <row r="1075" customFormat="false" ht="21.75" hidden="false" customHeight="true" outlineLevel="0" collapsed="false">
      <c r="B1075" s="14" t="n">
        <v>1065</v>
      </c>
      <c r="C1075" s="7" t="s">
        <v>58</v>
      </c>
      <c r="D1075" s="7" t="s">
        <v>74</v>
      </c>
      <c r="E1075" s="7" t="s">
        <v>2469</v>
      </c>
      <c r="F1075" s="18" t="n">
        <f aca="false">IF('Base de Datos SACI'!U1069="","",'Base de Datos SACI'!U1069)</f>
        <v>30</v>
      </c>
      <c r="G1075" s="14"/>
      <c r="H1075" s="28"/>
      <c r="I1075" s="29" t="str">
        <f aca="false">IF(OR($G1075="",$G1075=0),"",IFERROR(ROUND($F1075*$G1075*(1-IF($H1075="",0,$H1075)),2),""))</f>
        <v/>
      </c>
      <c r="J1075" s="7"/>
    </row>
    <row r="1076" customFormat="false" ht="21.75" hidden="false" customHeight="true" outlineLevel="0" collapsed="false">
      <c r="B1076" s="15" t="n">
        <v>1066</v>
      </c>
      <c r="C1076" s="9" t="s">
        <v>58</v>
      </c>
      <c r="D1076" s="9" t="s">
        <v>74</v>
      </c>
      <c r="E1076" s="9" t="s">
        <v>2470</v>
      </c>
      <c r="F1076" s="19" t="n">
        <f aca="false">IF('Base de Datos SACI'!U1070="","",'Base de Datos SACI'!U1070)</f>
        <v>45</v>
      </c>
      <c r="G1076" s="15"/>
      <c r="H1076" s="30"/>
      <c r="I1076" s="31" t="str">
        <f aca="false">IF(OR($G1076="",$G1076=0),"",IFERROR(ROUND($F1076*$G1076*(1-IF($H1076="",0,$H1076)),2),""))</f>
        <v/>
      </c>
      <c r="J1076" s="9"/>
    </row>
    <row r="1077" customFormat="false" ht="21.75" hidden="false" customHeight="true" outlineLevel="0" collapsed="false">
      <c r="B1077" s="14" t="n">
        <v>1067</v>
      </c>
      <c r="C1077" s="7" t="s">
        <v>58</v>
      </c>
      <c r="D1077" s="7" t="s">
        <v>74</v>
      </c>
      <c r="E1077" s="7" t="s">
        <v>2471</v>
      </c>
      <c r="F1077" s="18" t="n">
        <f aca="false">IF('Base de Datos SACI'!U1071="","",'Base de Datos SACI'!U1071)</f>
        <v>65</v>
      </c>
      <c r="G1077" s="14"/>
      <c r="H1077" s="28"/>
      <c r="I1077" s="29" t="str">
        <f aca="false">IF(OR($G1077="",$G1077=0),"",IFERROR(ROUND($F1077*$G1077*(1-IF($H1077="",0,$H1077)),2),""))</f>
        <v/>
      </c>
      <c r="J1077" s="7"/>
    </row>
    <row r="1078" customFormat="false" ht="21.75" hidden="false" customHeight="true" outlineLevel="0" collapsed="false">
      <c r="B1078" s="15" t="n">
        <v>1068</v>
      </c>
      <c r="C1078" s="9" t="s">
        <v>58</v>
      </c>
      <c r="D1078" s="9" t="s">
        <v>75</v>
      </c>
      <c r="E1078" s="9" t="s">
        <v>2472</v>
      </c>
      <c r="F1078" s="19" t="n">
        <f aca="false">IF('Base de Datos SACI'!U1072="","",'Base de Datos SACI'!U1072)</f>
        <v>12</v>
      </c>
      <c r="G1078" s="15"/>
      <c r="H1078" s="30"/>
      <c r="I1078" s="31" t="str">
        <f aca="false">IF(OR($G1078="",$G1078=0),"",IFERROR(ROUND($F1078*$G1078*(1-IF($H1078="",0,$H1078)),2),""))</f>
        <v/>
      </c>
      <c r="J1078" s="9"/>
    </row>
    <row r="1079" customFormat="false" ht="21.75" hidden="false" customHeight="true" outlineLevel="0" collapsed="false">
      <c r="B1079" s="14" t="n">
        <v>1069</v>
      </c>
      <c r="C1079" s="7" t="s">
        <v>58</v>
      </c>
      <c r="D1079" s="7" t="s">
        <v>75</v>
      </c>
      <c r="E1079" s="7" t="s">
        <v>2477</v>
      </c>
      <c r="F1079" s="18" t="n">
        <f aca="false">IF('Base de Datos SACI'!U1073="","",'Base de Datos SACI'!U1073)</f>
        <v>19</v>
      </c>
      <c r="G1079" s="14"/>
      <c r="H1079" s="28"/>
      <c r="I1079" s="29" t="str">
        <f aca="false">IF(OR($G1079="",$G1079=0),"",IFERROR(ROUND($F1079*$G1079*(1-IF($H1079="",0,$H1079)),2),""))</f>
        <v/>
      </c>
      <c r="J1079" s="7"/>
    </row>
    <row r="1080" customFormat="false" ht="21.75" hidden="false" customHeight="true" outlineLevel="0" collapsed="false">
      <c r="B1080" s="15" t="n">
        <v>1070</v>
      </c>
      <c r="C1080" s="9" t="s">
        <v>58</v>
      </c>
      <c r="D1080" s="9" t="s">
        <v>75</v>
      </c>
      <c r="E1080" s="9" t="s">
        <v>2478</v>
      </c>
      <c r="F1080" s="19" t="n">
        <f aca="false">IF('Base de Datos SACI'!U1074="","",'Base de Datos SACI'!U1074)</f>
        <v>25</v>
      </c>
      <c r="G1080" s="15"/>
      <c r="H1080" s="30"/>
      <c r="I1080" s="31" t="str">
        <f aca="false">IF(OR($G1080="",$G1080=0),"",IFERROR(ROUND($F1080*$G1080*(1-IF($H1080="",0,$H1080)),2),""))</f>
        <v/>
      </c>
      <c r="J1080" s="9"/>
    </row>
    <row r="1081" customFormat="false" ht="21.75" hidden="false" customHeight="true" outlineLevel="0" collapsed="false">
      <c r="B1081" s="14" t="n">
        <v>1071</v>
      </c>
      <c r="C1081" s="7" t="s">
        <v>58</v>
      </c>
      <c r="D1081" s="7" t="s">
        <v>75</v>
      </c>
      <c r="E1081" s="7" t="s">
        <v>2479</v>
      </c>
      <c r="F1081" s="18" t="n">
        <f aca="false">IF('Base de Datos SACI'!U1075="","",'Base de Datos SACI'!U1075)</f>
        <v>35</v>
      </c>
      <c r="G1081" s="14"/>
      <c r="H1081" s="28"/>
      <c r="I1081" s="29" t="str">
        <f aca="false">IF(OR($G1081="",$G1081=0),"",IFERROR(ROUND($F1081*$G1081*(1-IF($H1081="",0,$H1081)),2),""))</f>
        <v/>
      </c>
      <c r="J1081" s="7"/>
    </row>
    <row r="1082" customFormat="false" ht="21.75" hidden="false" customHeight="true" outlineLevel="0" collapsed="false">
      <c r="B1082" s="15" t="n">
        <v>1072</v>
      </c>
      <c r="C1082" s="9" t="s">
        <v>58</v>
      </c>
      <c r="D1082" s="9" t="s">
        <v>75</v>
      </c>
      <c r="E1082" s="9" t="s">
        <v>2480</v>
      </c>
      <c r="F1082" s="19" t="n">
        <f aca="false">IF('Base de Datos SACI'!U1076="","",'Base de Datos SACI'!U1076)</f>
        <v>55</v>
      </c>
      <c r="G1082" s="15"/>
      <c r="H1082" s="30"/>
      <c r="I1082" s="31" t="str">
        <f aca="false">IF(OR($G1082="",$G1082=0),"",IFERROR(ROUND($F1082*$G1082*(1-IF($H1082="",0,$H1082)),2),""))</f>
        <v/>
      </c>
      <c r="J1082" s="9"/>
    </row>
    <row r="1083" customFormat="false" ht="25.5" hidden="false" customHeight="true" outlineLevel="0" collapsed="false">
      <c r="B1083" s="16" t="s">
        <v>4657</v>
      </c>
      <c r="C1083" s="16"/>
      <c r="D1083" s="16"/>
      <c r="E1083" s="16"/>
      <c r="F1083" s="16"/>
      <c r="G1083" s="16"/>
      <c r="H1083" s="16"/>
      <c r="I1083" s="32" t="n">
        <f aca="false">SUM(I11:I1082)</f>
        <v>0</v>
      </c>
      <c r="J1083" s="16"/>
    </row>
    <row r="1085" customFormat="false" ht="21.75" hidden="false" customHeight="true" outlineLevel="0" collapsed="false">
      <c r="B1085" s="24" t="s">
        <v>4658</v>
      </c>
      <c r="C1085" s="24"/>
      <c r="D1085" s="24"/>
      <c r="E1085" s="24"/>
      <c r="F1085" s="24"/>
      <c r="G1085" s="24"/>
      <c r="H1085" s="24"/>
      <c r="I1085" s="24"/>
      <c r="J1085" s="24"/>
    </row>
    <row r="1086" customFormat="false" ht="27.75" hidden="false" customHeight="true" outlineLevel="0" collapsed="false">
      <c r="B1086" s="5" t="s">
        <v>143</v>
      </c>
      <c r="C1086" s="5" t="s">
        <v>110</v>
      </c>
      <c r="D1086" s="5" t="s">
        <v>144</v>
      </c>
      <c r="E1086" s="5" t="s">
        <v>145</v>
      </c>
      <c r="F1086" s="5" t="s">
        <v>4652</v>
      </c>
      <c r="G1086" s="5" t="s">
        <v>4653</v>
      </c>
      <c r="H1086" s="5" t="s">
        <v>4654</v>
      </c>
      <c r="I1086" s="5" t="s">
        <v>4655</v>
      </c>
      <c r="J1086" s="5" t="s">
        <v>4656</v>
      </c>
    </row>
    <row r="1087" customFormat="false" ht="21.75" hidden="false" customHeight="true" outlineLevel="0" collapsed="false">
      <c r="B1087" s="14" t="n">
        <v>1</v>
      </c>
      <c r="C1087" s="7" t="s">
        <v>78</v>
      </c>
      <c r="D1087" s="7" t="s">
        <v>93</v>
      </c>
      <c r="E1087" s="7" t="s">
        <v>2489</v>
      </c>
      <c r="F1087" s="18" t="n">
        <f aca="false">IF('Base de Datos SADI'!U5="","",'Base de Datos SADI'!U5)</f>
        <v>640</v>
      </c>
      <c r="G1087" s="14"/>
      <c r="H1087" s="28"/>
      <c r="I1087" s="29" t="str">
        <f aca="false">IF(OR($G1087="",$G1087=0),"",IFERROR(ROUND($F1087*$G1087*(1-IF($H1087="",0,$H1087)),2),""))</f>
        <v/>
      </c>
      <c r="J1087" s="7"/>
    </row>
    <row r="1088" customFormat="false" ht="21.75" hidden="false" customHeight="true" outlineLevel="0" collapsed="false">
      <c r="B1088" s="15" t="n">
        <v>2</v>
      </c>
      <c r="C1088" s="9" t="s">
        <v>78</v>
      </c>
      <c r="D1088" s="9" t="s">
        <v>93</v>
      </c>
      <c r="E1088" s="9" t="s">
        <v>2502</v>
      </c>
      <c r="F1088" s="19" t="n">
        <f aca="false">IF('Base de Datos SADI'!U6="","",'Base de Datos SADI'!U6)</f>
        <v>960</v>
      </c>
      <c r="G1088" s="15"/>
      <c r="H1088" s="30"/>
      <c r="I1088" s="31" t="str">
        <f aca="false">IF(OR($G1088="",$G1088=0),"",IFERROR(ROUND($F1088*$G1088*(1-IF($H1088="",0,$H1088)),2),""))</f>
        <v/>
      </c>
      <c r="J1088" s="9"/>
    </row>
    <row r="1089" customFormat="false" ht="21.75" hidden="false" customHeight="true" outlineLevel="0" collapsed="false">
      <c r="B1089" s="14" t="n">
        <v>3</v>
      </c>
      <c r="C1089" s="7" t="s">
        <v>78</v>
      </c>
      <c r="D1089" s="7" t="s">
        <v>93</v>
      </c>
      <c r="E1089" s="7" t="s">
        <v>2503</v>
      </c>
      <c r="F1089" s="18" t="n">
        <f aca="false">IF('Base de Datos SADI'!U7="","",'Base de Datos SADI'!U7)</f>
        <v>1280</v>
      </c>
      <c r="G1089" s="14"/>
      <c r="H1089" s="28"/>
      <c r="I1089" s="29" t="str">
        <f aca="false">IF(OR($G1089="",$G1089=0),"",IFERROR(ROUND($F1089*$G1089*(1-IF($H1089="",0,$H1089)),2),""))</f>
        <v/>
      </c>
      <c r="J1089" s="7"/>
    </row>
    <row r="1090" customFormat="false" ht="21.75" hidden="false" customHeight="true" outlineLevel="0" collapsed="false">
      <c r="B1090" s="15" t="n">
        <v>4</v>
      </c>
      <c r="C1090" s="9" t="s">
        <v>78</v>
      </c>
      <c r="D1090" s="9" t="s">
        <v>93</v>
      </c>
      <c r="E1090" s="9" t="s">
        <v>2505</v>
      </c>
      <c r="F1090" s="19" t="n">
        <f aca="false">IF('Base de Datos SADI'!U8="","",'Base de Datos SADI'!U8)</f>
        <v>1920</v>
      </c>
      <c r="G1090" s="15"/>
      <c r="H1090" s="30"/>
      <c r="I1090" s="31" t="str">
        <f aca="false">IF(OR($G1090="",$G1090=0),"",IFERROR(ROUND($F1090*$G1090*(1-IF($H1090="",0,$H1090)),2),""))</f>
        <v/>
      </c>
      <c r="J1090" s="9"/>
    </row>
    <row r="1091" customFormat="false" ht="21.75" hidden="false" customHeight="true" outlineLevel="0" collapsed="false">
      <c r="B1091" s="14" t="n">
        <v>5</v>
      </c>
      <c r="C1091" s="7" t="s">
        <v>78</v>
      </c>
      <c r="D1091" s="7" t="s">
        <v>93</v>
      </c>
      <c r="E1091" s="7" t="s">
        <v>2506</v>
      </c>
      <c r="F1091" s="18" t="n">
        <f aca="false">IF('Base de Datos SADI'!U9="","",'Base de Datos SADI'!U9)</f>
        <v>2815</v>
      </c>
      <c r="G1091" s="14"/>
      <c r="H1091" s="28"/>
      <c r="I1091" s="29" t="str">
        <f aca="false">IF(OR($G1091="",$G1091=0),"",IFERROR(ROUND($F1091*$G1091*(1-IF($H1091="",0,$H1091)),2),""))</f>
        <v/>
      </c>
      <c r="J1091" s="7"/>
    </row>
    <row r="1092" customFormat="false" ht="21.75" hidden="false" customHeight="true" outlineLevel="0" collapsed="false">
      <c r="B1092" s="15" t="n">
        <v>6</v>
      </c>
      <c r="C1092" s="9" t="s">
        <v>78</v>
      </c>
      <c r="D1092" s="9" t="s">
        <v>94</v>
      </c>
      <c r="E1092" s="9" t="s">
        <v>391</v>
      </c>
      <c r="F1092" s="19" t="str">
        <f aca="false">IF('Base de Datos SADI'!U10="","",'Base de Datos SADI'!U10)</f>
        <v/>
      </c>
      <c r="G1092" s="15"/>
      <c r="H1092" s="30"/>
      <c r="I1092" s="31" t="str">
        <f aca="false">IF(OR($G1092="",$G1092=0),"",IFERROR(ROUND($F1092*$G1092*(1-IF($H1092="",0,$H1092)),2),""))</f>
        <v/>
      </c>
      <c r="J1092" s="9"/>
    </row>
    <row r="1093" customFormat="false" ht="21.75" hidden="false" customHeight="true" outlineLevel="0" collapsed="false">
      <c r="B1093" s="14" t="n">
        <v>7</v>
      </c>
      <c r="C1093" s="7" t="s">
        <v>78</v>
      </c>
      <c r="D1093" s="7" t="s">
        <v>95</v>
      </c>
      <c r="E1093" s="7" t="s">
        <v>391</v>
      </c>
      <c r="F1093" s="18" t="str">
        <f aca="false">IF('Base de Datos SADI'!U11="","",'Base de Datos SADI'!U11)</f>
        <v/>
      </c>
      <c r="G1093" s="14"/>
      <c r="H1093" s="28"/>
      <c r="I1093" s="29" t="str">
        <f aca="false">IF(OR($G1093="",$G1093=0),"",IFERROR(ROUND($F1093*$G1093*(1-IF($H1093="",0,$H1093)),2),""))</f>
        <v/>
      </c>
      <c r="J1093" s="7"/>
    </row>
    <row r="1094" customFormat="false" ht="21.75" hidden="false" customHeight="true" outlineLevel="0" collapsed="false">
      <c r="B1094" s="15" t="n">
        <v>8</v>
      </c>
      <c r="C1094" s="9" t="s">
        <v>78</v>
      </c>
      <c r="D1094" s="9" t="s">
        <v>96</v>
      </c>
      <c r="E1094" s="9" t="s">
        <v>2509</v>
      </c>
      <c r="F1094" s="19" t="n">
        <f aca="false">IF('Base de Datos SADI'!U12="","",'Base de Datos SADI'!U12)</f>
        <v>40</v>
      </c>
      <c r="G1094" s="15"/>
      <c r="H1094" s="30"/>
      <c r="I1094" s="31" t="str">
        <f aca="false">IF(OR($G1094="",$G1094=0),"",IFERROR(ROUND($F1094*$G1094*(1-IF($H1094="",0,$H1094)),2),""))</f>
        <v/>
      </c>
      <c r="J1094" s="9"/>
    </row>
    <row r="1095" customFormat="false" ht="21.75" hidden="false" customHeight="true" outlineLevel="0" collapsed="false">
      <c r="B1095" s="14" t="n">
        <v>9</v>
      </c>
      <c r="C1095" s="7" t="s">
        <v>78</v>
      </c>
      <c r="D1095" s="7" t="s">
        <v>96</v>
      </c>
      <c r="E1095" s="7" t="s">
        <v>2519</v>
      </c>
      <c r="F1095" s="18" t="n">
        <f aca="false">IF('Base de Datos SADI'!U13="","",'Base de Datos SADI'!U13)</f>
        <v>60</v>
      </c>
      <c r="G1095" s="14"/>
      <c r="H1095" s="28"/>
      <c r="I1095" s="29" t="str">
        <f aca="false">IF(OR($G1095="",$G1095=0),"",IFERROR(ROUND($F1095*$G1095*(1-IF($H1095="",0,$H1095)),2),""))</f>
        <v/>
      </c>
      <c r="J1095" s="7"/>
    </row>
    <row r="1096" customFormat="false" ht="21.75" hidden="false" customHeight="true" outlineLevel="0" collapsed="false">
      <c r="B1096" s="15" t="n">
        <v>10</v>
      </c>
      <c r="C1096" s="9" t="s">
        <v>78</v>
      </c>
      <c r="D1096" s="9" t="s">
        <v>96</v>
      </c>
      <c r="E1096" s="9" t="s">
        <v>2521</v>
      </c>
      <c r="F1096" s="19" t="n">
        <f aca="false">IF('Base de Datos SADI'!U14="","",'Base de Datos SADI'!U14)</f>
        <v>85</v>
      </c>
      <c r="G1096" s="15"/>
      <c r="H1096" s="30"/>
      <c r="I1096" s="31" t="str">
        <f aca="false">IF(OR($G1096="",$G1096=0),"",IFERROR(ROUND($F1096*$G1096*(1-IF($H1096="",0,$H1096)),2),""))</f>
        <v/>
      </c>
      <c r="J1096" s="9"/>
    </row>
    <row r="1097" customFormat="false" ht="21.75" hidden="false" customHeight="true" outlineLevel="0" collapsed="false">
      <c r="B1097" s="14" t="n">
        <v>11</v>
      </c>
      <c r="C1097" s="7" t="s">
        <v>78</v>
      </c>
      <c r="D1097" s="7" t="s">
        <v>96</v>
      </c>
      <c r="E1097" s="7" t="s">
        <v>2524</v>
      </c>
      <c r="F1097" s="18" t="n">
        <f aca="false">IF('Base de Datos SADI'!U15="","",'Base de Datos SADI'!U15)</f>
        <v>125</v>
      </c>
      <c r="G1097" s="14"/>
      <c r="H1097" s="28"/>
      <c r="I1097" s="29" t="str">
        <f aca="false">IF(OR($G1097="",$G1097=0),"",IFERROR(ROUND($F1097*$G1097*(1-IF($H1097="",0,$H1097)),2),""))</f>
        <v/>
      </c>
      <c r="J1097" s="7"/>
    </row>
    <row r="1098" customFormat="false" ht="21.75" hidden="false" customHeight="true" outlineLevel="0" collapsed="false">
      <c r="B1098" s="15" t="n">
        <v>12</v>
      </c>
      <c r="C1098" s="9" t="s">
        <v>78</v>
      </c>
      <c r="D1098" s="9" t="s">
        <v>96</v>
      </c>
      <c r="E1098" s="9" t="s">
        <v>2526</v>
      </c>
      <c r="F1098" s="19" t="n">
        <f aca="false">IF('Base de Datos SADI'!U16="","",'Base de Datos SADI'!U16)</f>
        <v>185</v>
      </c>
      <c r="G1098" s="15"/>
      <c r="H1098" s="30"/>
      <c r="I1098" s="31" t="str">
        <f aca="false">IF(OR($G1098="",$G1098=0),"",IFERROR(ROUND($F1098*$G1098*(1-IF($H1098="",0,$H1098)),2),""))</f>
        <v/>
      </c>
      <c r="J1098" s="9"/>
    </row>
    <row r="1099" customFormat="false" ht="21.75" hidden="false" customHeight="true" outlineLevel="0" collapsed="false">
      <c r="B1099" s="14" t="n">
        <v>13</v>
      </c>
      <c r="C1099" s="7" t="s">
        <v>78</v>
      </c>
      <c r="D1099" s="7" t="s">
        <v>97</v>
      </c>
      <c r="E1099" s="7" t="s">
        <v>2528</v>
      </c>
      <c r="F1099" s="18" t="n">
        <f aca="false">IF('Base de Datos SADI'!U17="","",'Base de Datos SADI'!U17)</f>
        <v>40</v>
      </c>
      <c r="G1099" s="14"/>
      <c r="H1099" s="28"/>
      <c r="I1099" s="29" t="str">
        <f aca="false">IF(OR($G1099="",$G1099=0),"",IFERROR(ROUND($F1099*$G1099*(1-IF($H1099="",0,$H1099)),2),""))</f>
        <v/>
      </c>
      <c r="J1099" s="7"/>
    </row>
    <row r="1100" customFormat="false" ht="21.75" hidden="false" customHeight="true" outlineLevel="0" collapsed="false">
      <c r="B1100" s="15" t="n">
        <v>14</v>
      </c>
      <c r="C1100" s="9" t="s">
        <v>78</v>
      </c>
      <c r="D1100" s="9" t="s">
        <v>97</v>
      </c>
      <c r="E1100" s="9" t="s">
        <v>2534</v>
      </c>
      <c r="F1100" s="19" t="n">
        <f aca="false">IF('Base de Datos SADI'!U18="","",'Base de Datos SADI'!U18)</f>
        <v>60</v>
      </c>
      <c r="G1100" s="15"/>
      <c r="H1100" s="30"/>
      <c r="I1100" s="31" t="str">
        <f aca="false">IF(OR($G1100="",$G1100=0),"",IFERROR(ROUND($F1100*$G1100*(1-IF($H1100="",0,$H1100)),2),""))</f>
        <v/>
      </c>
      <c r="J1100" s="9"/>
    </row>
    <row r="1101" customFormat="false" ht="21.75" hidden="false" customHeight="true" outlineLevel="0" collapsed="false">
      <c r="B1101" s="14" t="n">
        <v>15</v>
      </c>
      <c r="C1101" s="7" t="s">
        <v>78</v>
      </c>
      <c r="D1101" s="7" t="s">
        <v>97</v>
      </c>
      <c r="E1101" s="7" t="s">
        <v>2536</v>
      </c>
      <c r="F1101" s="18" t="n">
        <f aca="false">IF('Base de Datos SADI'!U19="","",'Base de Datos SADI'!U19)</f>
        <v>80</v>
      </c>
      <c r="G1101" s="14"/>
      <c r="H1101" s="28"/>
      <c r="I1101" s="29" t="str">
        <f aca="false">IF(OR($G1101="",$G1101=0),"",IFERROR(ROUND($F1101*$G1101*(1-IF($H1101="",0,$H1101)),2),""))</f>
        <v/>
      </c>
      <c r="J1101" s="7"/>
    </row>
    <row r="1102" customFormat="false" ht="21.75" hidden="false" customHeight="true" outlineLevel="0" collapsed="false">
      <c r="B1102" s="15" t="n">
        <v>16</v>
      </c>
      <c r="C1102" s="9" t="s">
        <v>78</v>
      </c>
      <c r="D1102" s="9" t="s">
        <v>97</v>
      </c>
      <c r="E1102" s="9" t="s">
        <v>2539</v>
      </c>
      <c r="F1102" s="19" t="n">
        <f aca="false">IF('Base de Datos SADI'!U20="","",'Base de Datos SADI'!U20)</f>
        <v>120</v>
      </c>
      <c r="G1102" s="15"/>
      <c r="H1102" s="30"/>
      <c r="I1102" s="31" t="str">
        <f aca="false">IF(OR($G1102="",$G1102=0),"",IFERROR(ROUND($F1102*$G1102*(1-IF($H1102="",0,$H1102)),2),""))</f>
        <v/>
      </c>
      <c r="J1102" s="9"/>
    </row>
    <row r="1103" customFormat="false" ht="21.75" hidden="false" customHeight="true" outlineLevel="0" collapsed="false">
      <c r="B1103" s="14" t="n">
        <v>17</v>
      </c>
      <c r="C1103" s="7" t="s">
        <v>78</v>
      </c>
      <c r="D1103" s="7" t="s">
        <v>97</v>
      </c>
      <c r="E1103" s="7" t="s">
        <v>2541</v>
      </c>
      <c r="F1103" s="18" t="n">
        <f aca="false">IF('Base de Datos SADI'!U21="","",'Base de Datos SADI'!U21)</f>
        <v>180</v>
      </c>
      <c r="G1103" s="14"/>
      <c r="H1103" s="28"/>
      <c r="I1103" s="29" t="str">
        <f aca="false">IF(OR($G1103="",$G1103=0),"",IFERROR(ROUND($F1103*$G1103*(1-IF($H1103="",0,$H1103)),2),""))</f>
        <v/>
      </c>
      <c r="J1103" s="7"/>
    </row>
    <row r="1104" customFormat="false" ht="21.75" hidden="false" customHeight="true" outlineLevel="0" collapsed="false">
      <c r="B1104" s="15" t="n">
        <v>18</v>
      </c>
      <c r="C1104" s="9" t="s">
        <v>78</v>
      </c>
      <c r="D1104" s="9" t="s">
        <v>98</v>
      </c>
      <c r="E1104" s="9" t="s">
        <v>2543</v>
      </c>
      <c r="F1104" s="19" t="n">
        <f aca="false">IF('Base de Datos SADI'!U22="","",'Base de Datos SADI'!U22)</f>
        <v>55</v>
      </c>
      <c r="G1104" s="15"/>
      <c r="H1104" s="30"/>
      <c r="I1104" s="31" t="str">
        <f aca="false">IF(OR($G1104="",$G1104=0),"",IFERROR(ROUND($F1104*$G1104*(1-IF($H1104="",0,$H1104)),2),""))</f>
        <v/>
      </c>
      <c r="J1104" s="9"/>
    </row>
    <row r="1105" customFormat="false" ht="21.75" hidden="false" customHeight="true" outlineLevel="0" collapsed="false">
      <c r="B1105" s="14" t="n">
        <v>19</v>
      </c>
      <c r="C1105" s="7" t="s">
        <v>78</v>
      </c>
      <c r="D1105" s="7" t="s">
        <v>98</v>
      </c>
      <c r="E1105" s="7" t="s">
        <v>2550</v>
      </c>
      <c r="F1105" s="18" t="n">
        <f aca="false">IF('Base de Datos SADI'!U23="","",'Base de Datos SADI'!U23)</f>
        <v>85</v>
      </c>
      <c r="G1105" s="14"/>
      <c r="H1105" s="28"/>
      <c r="I1105" s="29" t="str">
        <f aca="false">IF(OR($G1105="",$G1105=0),"",IFERROR(ROUND($F1105*$G1105*(1-IF($H1105="",0,$H1105)),2),""))</f>
        <v/>
      </c>
      <c r="J1105" s="7"/>
    </row>
    <row r="1106" customFormat="false" ht="21.75" hidden="false" customHeight="true" outlineLevel="0" collapsed="false">
      <c r="B1106" s="15" t="n">
        <v>20</v>
      </c>
      <c r="C1106" s="9" t="s">
        <v>78</v>
      </c>
      <c r="D1106" s="9" t="s">
        <v>98</v>
      </c>
      <c r="E1106" s="9" t="s">
        <v>2552</v>
      </c>
      <c r="F1106" s="19" t="n">
        <f aca="false">IF('Base de Datos SADI'!U24="","",'Base de Datos SADI'!U24)</f>
        <v>115</v>
      </c>
      <c r="G1106" s="15"/>
      <c r="H1106" s="30"/>
      <c r="I1106" s="31" t="str">
        <f aca="false">IF(OR($G1106="",$G1106=0),"",IFERROR(ROUND($F1106*$G1106*(1-IF($H1106="",0,$H1106)),2),""))</f>
        <v/>
      </c>
      <c r="J1106" s="9"/>
    </row>
    <row r="1107" customFormat="false" ht="21.75" hidden="false" customHeight="true" outlineLevel="0" collapsed="false">
      <c r="B1107" s="14" t="n">
        <v>21</v>
      </c>
      <c r="C1107" s="7" t="s">
        <v>78</v>
      </c>
      <c r="D1107" s="7" t="s">
        <v>98</v>
      </c>
      <c r="E1107" s="7" t="s">
        <v>2555</v>
      </c>
      <c r="F1107" s="18" t="n">
        <f aca="false">IF('Base de Datos SADI'!U25="","",'Base de Datos SADI'!U25)</f>
        <v>175</v>
      </c>
      <c r="G1107" s="14"/>
      <c r="H1107" s="28"/>
      <c r="I1107" s="29" t="str">
        <f aca="false">IF(OR($G1107="",$G1107=0),"",IFERROR(ROUND($F1107*$G1107*(1-IF($H1107="",0,$H1107)),2),""))</f>
        <v/>
      </c>
      <c r="J1107" s="7"/>
    </row>
    <row r="1108" customFormat="false" ht="21.75" hidden="false" customHeight="true" outlineLevel="0" collapsed="false">
      <c r="B1108" s="15" t="n">
        <v>22</v>
      </c>
      <c r="C1108" s="9" t="s">
        <v>78</v>
      </c>
      <c r="D1108" s="9" t="s">
        <v>98</v>
      </c>
      <c r="E1108" s="9" t="s">
        <v>2557</v>
      </c>
      <c r="F1108" s="19" t="n">
        <f aca="false">IF('Base de Datos SADI'!U26="","",'Base de Datos SADI'!U26)</f>
        <v>255</v>
      </c>
      <c r="G1108" s="15"/>
      <c r="H1108" s="30"/>
      <c r="I1108" s="31" t="str">
        <f aca="false">IF(OR($G1108="",$G1108=0),"",IFERROR(ROUND($F1108*$G1108*(1-IF($H1108="",0,$H1108)),2),""))</f>
        <v/>
      </c>
      <c r="J1108" s="9"/>
    </row>
    <row r="1109" customFormat="false" ht="21.75" hidden="false" customHeight="true" outlineLevel="0" collapsed="false">
      <c r="B1109" s="14" t="n">
        <v>23</v>
      </c>
      <c r="C1109" s="7" t="s">
        <v>78</v>
      </c>
      <c r="D1109" s="7" t="s">
        <v>99</v>
      </c>
      <c r="E1109" s="7" t="s">
        <v>391</v>
      </c>
      <c r="F1109" s="18" t="str">
        <f aca="false">IF('Base de Datos SADI'!U27="","",'Base de Datos SADI'!U27)</f>
        <v/>
      </c>
      <c r="G1109" s="14"/>
      <c r="H1109" s="28"/>
      <c r="I1109" s="29" t="str">
        <f aca="false">IF(OR($G1109="",$G1109=0),"",IFERROR(ROUND($F1109*$G1109*(1-IF($H1109="",0,$H1109)),2),""))</f>
        <v/>
      </c>
      <c r="J1109" s="7"/>
    </row>
    <row r="1110" customFormat="false" ht="21.75" hidden="false" customHeight="true" outlineLevel="0" collapsed="false">
      <c r="B1110" s="15" t="n">
        <v>24</v>
      </c>
      <c r="C1110" s="9" t="s">
        <v>78</v>
      </c>
      <c r="D1110" s="9" t="s">
        <v>100</v>
      </c>
      <c r="E1110" s="9" t="s">
        <v>2560</v>
      </c>
      <c r="F1110" s="19" t="n">
        <f aca="false">IF('Base de Datos SADI'!U28="","",'Base de Datos SADI'!U28)</f>
        <v>1925</v>
      </c>
      <c r="G1110" s="15"/>
      <c r="H1110" s="30"/>
      <c r="I1110" s="31" t="str">
        <f aca="false">IF(OR($G1110="",$G1110=0),"",IFERROR(ROUND($F1110*$G1110*(1-IF($H1110="",0,$H1110)),2),""))</f>
        <v/>
      </c>
      <c r="J1110" s="9"/>
    </row>
    <row r="1111" customFormat="false" ht="21.75" hidden="false" customHeight="true" outlineLevel="0" collapsed="false">
      <c r="B1111" s="14" t="n">
        <v>25</v>
      </c>
      <c r="C1111" s="7" t="s">
        <v>78</v>
      </c>
      <c r="D1111" s="7" t="s">
        <v>100</v>
      </c>
      <c r="E1111" s="7" t="s">
        <v>2573</v>
      </c>
      <c r="F1111" s="18" t="n">
        <f aca="false">IF('Base de Datos SADI'!U29="","",'Base de Datos SADI'!U29)</f>
        <v>2885</v>
      </c>
      <c r="G1111" s="14"/>
      <c r="H1111" s="28"/>
      <c r="I1111" s="29" t="str">
        <f aca="false">IF(OR($G1111="",$G1111=0),"",IFERROR(ROUND($F1111*$G1111*(1-IF($H1111="",0,$H1111)),2),""))</f>
        <v/>
      </c>
      <c r="J1111" s="7"/>
    </row>
    <row r="1112" customFormat="false" ht="21.75" hidden="false" customHeight="true" outlineLevel="0" collapsed="false">
      <c r="B1112" s="15" t="n">
        <v>26</v>
      </c>
      <c r="C1112" s="9" t="s">
        <v>78</v>
      </c>
      <c r="D1112" s="9" t="s">
        <v>100</v>
      </c>
      <c r="E1112" s="9" t="s">
        <v>2575</v>
      </c>
      <c r="F1112" s="19" t="n">
        <f aca="false">IF('Base de Datos SADI'!U30="","",'Base de Datos SADI'!U30)</f>
        <v>3850</v>
      </c>
      <c r="G1112" s="15"/>
      <c r="H1112" s="30"/>
      <c r="I1112" s="31" t="str">
        <f aca="false">IF(OR($G1112="",$G1112=0),"",IFERROR(ROUND($F1112*$G1112*(1-IF($H1112="",0,$H1112)),2),""))</f>
        <v/>
      </c>
      <c r="J1112" s="9"/>
    </row>
    <row r="1113" customFormat="false" ht="21.75" hidden="false" customHeight="true" outlineLevel="0" collapsed="false">
      <c r="B1113" s="14" t="n">
        <v>27</v>
      </c>
      <c r="C1113" s="7" t="s">
        <v>78</v>
      </c>
      <c r="D1113" s="7" t="s">
        <v>100</v>
      </c>
      <c r="E1113" s="7" t="s">
        <v>2578</v>
      </c>
      <c r="F1113" s="18" t="n">
        <f aca="false">IF('Base de Datos SADI'!U31="","",'Base de Datos SADI'!U31)</f>
        <v>5775</v>
      </c>
      <c r="G1113" s="14"/>
      <c r="H1113" s="28"/>
      <c r="I1113" s="29" t="str">
        <f aca="false">IF(OR($G1113="",$G1113=0),"",IFERROR(ROUND($F1113*$G1113*(1-IF($H1113="",0,$H1113)),2),""))</f>
        <v/>
      </c>
      <c r="J1113" s="7"/>
    </row>
    <row r="1114" customFormat="false" ht="21.75" hidden="false" customHeight="true" outlineLevel="0" collapsed="false">
      <c r="B1114" s="15" t="n">
        <v>28</v>
      </c>
      <c r="C1114" s="9" t="s">
        <v>78</v>
      </c>
      <c r="D1114" s="9" t="s">
        <v>100</v>
      </c>
      <c r="E1114" s="9" t="s">
        <v>2580</v>
      </c>
      <c r="F1114" s="19" t="n">
        <f aca="false">IF('Base de Datos SADI'!U32="","",'Base de Datos SADI'!U32)</f>
        <v>8470</v>
      </c>
      <c r="G1114" s="15"/>
      <c r="H1114" s="30"/>
      <c r="I1114" s="31" t="str">
        <f aca="false">IF(OR($G1114="",$G1114=0),"",IFERROR(ROUND($F1114*$G1114*(1-IF($H1114="",0,$H1114)),2),""))</f>
        <v/>
      </c>
      <c r="J1114" s="9"/>
    </row>
    <row r="1115" customFormat="false" ht="21.75" hidden="false" customHeight="true" outlineLevel="0" collapsed="false">
      <c r="B1115" s="14" t="n">
        <v>29</v>
      </c>
      <c r="C1115" s="7" t="s">
        <v>78</v>
      </c>
      <c r="D1115" s="7" t="s">
        <v>101</v>
      </c>
      <c r="E1115" s="7" t="s">
        <v>2582</v>
      </c>
      <c r="F1115" s="18" t="n">
        <f aca="false">IF('Base de Datos SADI'!U33="","",'Base de Datos SADI'!U33)</f>
        <v>490</v>
      </c>
      <c r="G1115" s="14"/>
      <c r="H1115" s="28"/>
      <c r="I1115" s="29" t="str">
        <f aca="false">IF(OR($G1115="",$G1115=0),"",IFERROR(ROUND($F1115*$G1115*(1-IF($H1115="",0,$H1115)),2),""))</f>
        <v/>
      </c>
      <c r="J1115" s="7"/>
    </row>
    <row r="1116" customFormat="false" ht="21.75" hidden="false" customHeight="true" outlineLevel="0" collapsed="false">
      <c r="B1116" s="15" t="n">
        <v>30</v>
      </c>
      <c r="C1116" s="9" t="s">
        <v>78</v>
      </c>
      <c r="D1116" s="9" t="s">
        <v>101</v>
      </c>
      <c r="E1116" s="9" t="s">
        <v>2591</v>
      </c>
      <c r="F1116" s="19" t="n">
        <f aca="false">IF('Base de Datos SADI'!U34="","",'Base de Datos SADI'!U34)</f>
        <v>735</v>
      </c>
      <c r="G1116" s="15"/>
      <c r="H1116" s="30"/>
      <c r="I1116" s="31" t="str">
        <f aca="false">IF(OR($G1116="",$G1116=0),"",IFERROR(ROUND($F1116*$G1116*(1-IF($H1116="",0,$H1116)),2),""))</f>
        <v/>
      </c>
      <c r="J1116" s="9"/>
    </row>
    <row r="1117" customFormat="false" ht="21.75" hidden="false" customHeight="true" outlineLevel="0" collapsed="false">
      <c r="B1117" s="14" t="n">
        <v>31</v>
      </c>
      <c r="C1117" s="7" t="s">
        <v>78</v>
      </c>
      <c r="D1117" s="7" t="s">
        <v>101</v>
      </c>
      <c r="E1117" s="7" t="s">
        <v>2593</v>
      </c>
      <c r="F1117" s="18" t="n">
        <f aca="false">IF('Base de Datos SADI'!U35="","",'Base de Datos SADI'!U35)</f>
        <v>985</v>
      </c>
      <c r="G1117" s="14"/>
      <c r="H1117" s="28"/>
      <c r="I1117" s="29" t="str">
        <f aca="false">IF(OR($G1117="",$G1117=0),"",IFERROR(ROUND($F1117*$G1117*(1-IF($H1117="",0,$H1117)),2),""))</f>
        <v/>
      </c>
      <c r="J1117" s="7"/>
    </row>
    <row r="1118" customFormat="false" ht="21.75" hidden="false" customHeight="true" outlineLevel="0" collapsed="false">
      <c r="B1118" s="15" t="n">
        <v>32</v>
      </c>
      <c r="C1118" s="9" t="s">
        <v>78</v>
      </c>
      <c r="D1118" s="9" t="s">
        <v>101</v>
      </c>
      <c r="E1118" s="9" t="s">
        <v>2596</v>
      </c>
      <c r="F1118" s="19" t="n">
        <f aca="false">IF('Base de Datos SADI'!U36="","",'Base de Datos SADI'!U36)</f>
        <v>1475</v>
      </c>
      <c r="G1118" s="15"/>
      <c r="H1118" s="30"/>
      <c r="I1118" s="31" t="str">
        <f aca="false">IF(OR($G1118="",$G1118=0),"",IFERROR(ROUND($F1118*$G1118*(1-IF($H1118="",0,$H1118)),2),""))</f>
        <v/>
      </c>
      <c r="J1118" s="9"/>
    </row>
    <row r="1119" customFormat="false" ht="21.75" hidden="false" customHeight="true" outlineLevel="0" collapsed="false">
      <c r="B1119" s="14" t="n">
        <v>33</v>
      </c>
      <c r="C1119" s="7" t="s">
        <v>78</v>
      </c>
      <c r="D1119" s="7" t="s">
        <v>101</v>
      </c>
      <c r="E1119" s="7" t="s">
        <v>2598</v>
      </c>
      <c r="F1119" s="18" t="n">
        <f aca="false">IF('Base de Datos SADI'!U37="","",'Base de Datos SADI'!U37)</f>
        <v>2165</v>
      </c>
      <c r="G1119" s="14"/>
      <c r="H1119" s="28"/>
      <c r="I1119" s="29" t="str">
        <f aca="false">IF(OR($G1119="",$G1119=0),"",IFERROR(ROUND($F1119*$G1119*(1-IF($H1119="",0,$H1119)),2),""))</f>
        <v/>
      </c>
      <c r="J1119" s="7"/>
    </row>
    <row r="1120" customFormat="false" ht="21.75" hidden="false" customHeight="true" outlineLevel="0" collapsed="false">
      <c r="B1120" s="15" t="n">
        <v>34</v>
      </c>
      <c r="C1120" s="9" t="s">
        <v>78</v>
      </c>
      <c r="D1120" s="9" t="s">
        <v>102</v>
      </c>
      <c r="E1120" s="9" t="s">
        <v>2600</v>
      </c>
      <c r="F1120" s="19" t="n">
        <f aca="false">IF('Base de Datos SADI'!U38="","",'Base de Datos SADI'!U38)</f>
        <v>30</v>
      </c>
      <c r="G1120" s="15"/>
      <c r="H1120" s="30"/>
      <c r="I1120" s="31" t="str">
        <f aca="false">IF(OR($G1120="",$G1120=0),"",IFERROR(ROUND($F1120*$G1120*(1-IF($H1120="",0,$H1120)),2),""))</f>
        <v/>
      </c>
      <c r="J1120" s="9"/>
    </row>
    <row r="1121" customFormat="false" ht="21.75" hidden="false" customHeight="true" outlineLevel="0" collapsed="false">
      <c r="B1121" s="14" t="n">
        <v>35</v>
      </c>
      <c r="C1121" s="7" t="s">
        <v>78</v>
      </c>
      <c r="D1121" s="7" t="s">
        <v>102</v>
      </c>
      <c r="E1121" s="7" t="s">
        <v>2606</v>
      </c>
      <c r="F1121" s="18" t="n">
        <f aca="false">IF('Base de Datos SADI'!U39="","",'Base de Datos SADI'!U39)</f>
        <v>50</v>
      </c>
      <c r="G1121" s="14"/>
      <c r="H1121" s="28"/>
      <c r="I1121" s="29" t="str">
        <f aca="false">IF(OR($G1121="",$G1121=0),"",IFERROR(ROUND($F1121*$G1121*(1-IF($H1121="",0,$H1121)),2),""))</f>
        <v/>
      </c>
      <c r="J1121" s="7"/>
    </row>
    <row r="1122" customFormat="false" ht="21.75" hidden="false" customHeight="true" outlineLevel="0" collapsed="false">
      <c r="B1122" s="15" t="n">
        <v>36</v>
      </c>
      <c r="C1122" s="9" t="s">
        <v>78</v>
      </c>
      <c r="D1122" s="9" t="s">
        <v>102</v>
      </c>
      <c r="E1122" s="9" t="s">
        <v>2608</v>
      </c>
      <c r="F1122" s="19" t="n">
        <f aca="false">IF('Base de Datos SADI'!U40="","",'Base de Datos SADI'!U40)</f>
        <v>65</v>
      </c>
      <c r="G1122" s="15"/>
      <c r="H1122" s="30"/>
      <c r="I1122" s="31" t="str">
        <f aca="false">IF(OR($G1122="",$G1122=0),"",IFERROR(ROUND($F1122*$G1122*(1-IF($H1122="",0,$H1122)),2),""))</f>
        <v/>
      </c>
      <c r="J1122" s="9"/>
    </row>
    <row r="1123" customFormat="false" ht="21.75" hidden="false" customHeight="true" outlineLevel="0" collapsed="false">
      <c r="B1123" s="14" t="n">
        <v>37</v>
      </c>
      <c r="C1123" s="7" t="s">
        <v>78</v>
      </c>
      <c r="D1123" s="7" t="s">
        <v>102</v>
      </c>
      <c r="E1123" s="7" t="s">
        <v>2611</v>
      </c>
      <c r="F1123" s="18" t="n">
        <f aca="false">IF('Base de Datos SADI'!U41="","",'Base de Datos SADI'!U41)</f>
        <v>100</v>
      </c>
      <c r="G1123" s="14"/>
      <c r="H1123" s="28"/>
      <c r="I1123" s="29" t="str">
        <f aca="false">IF(OR($G1123="",$G1123=0),"",IFERROR(ROUND($F1123*$G1123*(1-IF($H1123="",0,$H1123)),2),""))</f>
        <v/>
      </c>
      <c r="J1123" s="7"/>
    </row>
    <row r="1124" customFormat="false" ht="21.75" hidden="false" customHeight="true" outlineLevel="0" collapsed="false">
      <c r="B1124" s="15" t="n">
        <v>38</v>
      </c>
      <c r="C1124" s="9" t="s">
        <v>78</v>
      </c>
      <c r="D1124" s="9" t="s">
        <v>102</v>
      </c>
      <c r="E1124" s="9" t="s">
        <v>2613</v>
      </c>
      <c r="F1124" s="19" t="n">
        <f aca="false">IF('Base de Datos SADI'!U42="","",'Base de Datos SADI'!U42)</f>
        <v>145</v>
      </c>
      <c r="G1124" s="15"/>
      <c r="H1124" s="30"/>
      <c r="I1124" s="31" t="str">
        <f aca="false">IF(OR($G1124="",$G1124=0),"",IFERROR(ROUND($F1124*$G1124*(1-IF($H1124="",0,$H1124)),2),""))</f>
        <v/>
      </c>
      <c r="J1124" s="9"/>
    </row>
    <row r="1125" customFormat="false" ht="21.75" hidden="false" customHeight="true" outlineLevel="0" collapsed="false">
      <c r="B1125" s="14" t="n">
        <v>39</v>
      </c>
      <c r="C1125" s="7" t="s">
        <v>78</v>
      </c>
      <c r="D1125" s="7" t="s">
        <v>103</v>
      </c>
      <c r="E1125" s="7" t="s">
        <v>391</v>
      </c>
      <c r="F1125" s="18" t="str">
        <f aca="false">IF('Base de Datos SADI'!U43="","",'Base de Datos SADI'!U43)</f>
        <v/>
      </c>
      <c r="G1125" s="14"/>
      <c r="H1125" s="28"/>
      <c r="I1125" s="29" t="str">
        <f aca="false">IF(OR($G1125="",$G1125=0),"",IFERROR(ROUND($F1125*$G1125*(1-IF($H1125="",0,$H1125)),2),""))</f>
        <v/>
      </c>
      <c r="J1125" s="7"/>
    </row>
    <row r="1126" customFormat="false" ht="21.75" hidden="false" customHeight="true" outlineLevel="0" collapsed="false">
      <c r="B1126" s="15" t="n">
        <v>40</v>
      </c>
      <c r="C1126" s="9" t="s">
        <v>78</v>
      </c>
      <c r="D1126" s="9" t="s">
        <v>104</v>
      </c>
      <c r="E1126" s="9" t="s">
        <v>2616</v>
      </c>
      <c r="F1126" s="19" t="n">
        <f aca="false">IF('Base de Datos SADI'!U44="","",'Base de Datos SADI'!U44)</f>
        <v>30</v>
      </c>
      <c r="G1126" s="15"/>
      <c r="H1126" s="30"/>
      <c r="I1126" s="31" t="str">
        <f aca="false">IF(OR($G1126="",$G1126=0),"",IFERROR(ROUND($F1126*$G1126*(1-IF($H1126="",0,$H1126)),2),""))</f>
        <v/>
      </c>
      <c r="J1126" s="9"/>
    </row>
    <row r="1127" customFormat="false" ht="21.75" hidden="false" customHeight="true" outlineLevel="0" collapsed="false">
      <c r="B1127" s="14" t="n">
        <v>41</v>
      </c>
      <c r="C1127" s="7" t="s">
        <v>78</v>
      </c>
      <c r="D1127" s="7" t="s">
        <v>104</v>
      </c>
      <c r="E1127" s="7" t="s">
        <v>2622</v>
      </c>
      <c r="F1127" s="18" t="n">
        <f aca="false">IF('Base de Datos SADI'!U45="","",'Base de Datos SADI'!U45)</f>
        <v>45</v>
      </c>
      <c r="G1127" s="14"/>
      <c r="H1127" s="28"/>
      <c r="I1127" s="29" t="str">
        <f aca="false">IF(OR($G1127="",$G1127=0),"",IFERROR(ROUND($F1127*$G1127*(1-IF($H1127="",0,$H1127)),2),""))</f>
        <v/>
      </c>
      <c r="J1127" s="7"/>
    </row>
    <row r="1128" customFormat="false" ht="21.75" hidden="false" customHeight="true" outlineLevel="0" collapsed="false">
      <c r="B1128" s="15" t="n">
        <v>42</v>
      </c>
      <c r="C1128" s="9" t="s">
        <v>78</v>
      </c>
      <c r="D1128" s="9" t="s">
        <v>104</v>
      </c>
      <c r="E1128" s="9" t="s">
        <v>2624</v>
      </c>
      <c r="F1128" s="19" t="n">
        <f aca="false">IF('Base de Datos SADI'!U46="","",'Base de Datos SADI'!U46)</f>
        <v>60</v>
      </c>
      <c r="G1128" s="15"/>
      <c r="H1128" s="30"/>
      <c r="I1128" s="31" t="str">
        <f aca="false">IF(OR($G1128="",$G1128=0),"",IFERROR(ROUND($F1128*$G1128*(1-IF($H1128="",0,$H1128)),2),""))</f>
        <v/>
      </c>
      <c r="J1128" s="9"/>
    </row>
    <row r="1129" customFormat="false" ht="21.75" hidden="false" customHeight="true" outlineLevel="0" collapsed="false">
      <c r="B1129" s="14" t="n">
        <v>43</v>
      </c>
      <c r="C1129" s="7" t="s">
        <v>78</v>
      </c>
      <c r="D1129" s="7" t="s">
        <v>104</v>
      </c>
      <c r="E1129" s="7" t="s">
        <v>2627</v>
      </c>
      <c r="F1129" s="18" t="n">
        <f aca="false">IF('Base de Datos SADI'!U47="","",'Base de Datos SADI'!U47)</f>
        <v>90</v>
      </c>
      <c r="G1129" s="14"/>
      <c r="H1129" s="28"/>
      <c r="I1129" s="29" t="str">
        <f aca="false">IF(OR($G1129="",$G1129=0),"",IFERROR(ROUND($F1129*$G1129*(1-IF($H1129="",0,$H1129)),2),""))</f>
        <v/>
      </c>
      <c r="J1129" s="7"/>
    </row>
    <row r="1130" customFormat="false" ht="21.75" hidden="false" customHeight="true" outlineLevel="0" collapsed="false">
      <c r="B1130" s="15" t="n">
        <v>44</v>
      </c>
      <c r="C1130" s="9" t="s">
        <v>78</v>
      </c>
      <c r="D1130" s="9" t="s">
        <v>104</v>
      </c>
      <c r="E1130" s="9" t="s">
        <v>2629</v>
      </c>
      <c r="F1130" s="19" t="n">
        <f aca="false">IF('Base de Datos SADI'!U48="","",'Base de Datos SADI'!U48)</f>
        <v>130</v>
      </c>
      <c r="G1130" s="15"/>
      <c r="H1130" s="30"/>
      <c r="I1130" s="31" t="str">
        <f aca="false">IF(OR($G1130="",$G1130=0),"",IFERROR(ROUND($F1130*$G1130*(1-IF($H1130="",0,$H1130)),2),""))</f>
        <v/>
      </c>
      <c r="J1130" s="9"/>
    </row>
    <row r="1131" customFormat="false" ht="21.75" hidden="false" customHeight="true" outlineLevel="0" collapsed="false">
      <c r="B1131" s="14" t="n">
        <v>45</v>
      </c>
      <c r="C1131" s="7" t="s">
        <v>78</v>
      </c>
      <c r="D1131" s="7" t="s">
        <v>105</v>
      </c>
      <c r="E1131" s="7" t="s">
        <v>2631</v>
      </c>
      <c r="F1131" s="18" t="n">
        <f aca="false">IF('Base de Datos SADI'!U49="","",'Base de Datos SADI'!U49)</f>
        <v>30</v>
      </c>
      <c r="G1131" s="14"/>
      <c r="H1131" s="28"/>
      <c r="I1131" s="29" t="str">
        <f aca="false">IF(OR($G1131="",$G1131=0),"",IFERROR(ROUND($F1131*$G1131*(1-IF($H1131="",0,$H1131)),2),""))</f>
        <v/>
      </c>
      <c r="J1131" s="7"/>
    </row>
    <row r="1132" customFormat="false" ht="21.75" hidden="false" customHeight="true" outlineLevel="0" collapsed="false">
      <c r="B1132" s="15" t="n">
        <v>46</v>
      </c>
      <c r="C1132" s="9" t="s">
        <v>78</v>
      </c>
      <c r="D1132" s="9" t="s">
        <v>105</v>
      </c>
      <c r="E1132" s="9" t="s">
        <v>2636</v>
      </c>
      <c r="F1132" s="19" t="n">
        <f aca="false">IF('Base de Datos SADI'!U50="","",'Base de Datos SADI'!U50)</f>
        <v>50</v>
      </c>
      <c r="G1132" s="15"/>
      <c r="H1132" s="30"/>
      <c r="I1132" s="31" t="str">
        <f aca="false">IF(OR($G1132="",$G1132=0),"",IFERROR(ROUND($F1132*$G1132*(1-IF($H1132="",0,$H1132)),2),""))</f>
        <v/>
      </c>
      <c r="J1132" s="9"/>
    </row>
    <row r="1133" customFormat="false" ht="21.75" hidden="false" customHeight="true" outlineLevel="0" collapsed="false">
      <c r="B1133" s="14" t="n">
        <v>47</v>
      </c>
      <c r="C1133" s="7" t="s">
        <v>78</v>
      </c>
      <c r="D1133" s="7" t="s">
        <v>105</v>
      </c>
      <c r="E1133" s="7" t="s">
        <v>2638</v>
      </c>
      <c r="F1133" s="18" t="n">
        <f aca="false">IF('Base de Datos SADI'!U51="","",'Base de Datos SADI'!U51)</f>
        <v>65</v>
      </c>
      <c r="G1133" s="14"/>
      <c r="H1133" s="28"/>
      <c r="I1133" s="29" t="str">
        <f aca="false">IF(OR($G1133="",$G1133=0),"",IFERROR(ROUND($F1133*$G1133*(1-IF($H1133="",0,$H1133)),2),""))</f>
        <v/>
      </c>
      <c r="J1133" s="7"/>
    </row>
    <row r="1134" customFormat="false" ht="21.75" hidden="false" customHeight="true" outlineLevel="0" collapsed="false">
      <c r="B1134" s="15" t="n">
        <v>48</v>
      </c>
      <c r="C1134" s="9" t="s">
        <v>78</v>
      </c>
      <c r="D1134" s="9" t="s">
        <v>105</v>
      </c>
      <c r="E1134" s="9" t="s">
        <v>2641</v>
      </c>
      <c r="F1134" s="19" t="n">
        <f aca="false">IF('Base de Datos SADI'!U52="","",'Base de Datos SADI'!U52)</f>
        <v>100</v>
      </c>
      <c r="G1134" s="15"/>
      <c r="H1134" s="30"/>
      <c r="I1134" s="31" t="str">
        <f aca="false">IF(OR($G1134="",$G1134=0),"",IFERROR(ROUND($F1134*$G1134*(1-IF($H1134="",0,$H1134)),2),""))</f>
        <v/>
      </c>
      <c r="J1134" s="9"/>
    </row>
    <row r="1135" customFormat="false" ht="21.75" hidden="false" customHeight="true" outlineLevel="0" collapsed="false">
      <c r="B1135" s="14" t="n">
        <v>49</v>
      </c>
      <c r="C1135" s="7" t="s">
        <v>78</v>
      </c>
      <c r="D1135" s="7" t="s">
        <v>105</v>
      </c>
      <c r="E1135" s="7" t="s">
        <v>2643</v>
      </c>
      <c r="F1135" s="18" t="n">
        <f aca="false">IF('Base de Datos SADI'!U53="","",'Base de Datos SADI'!U53)</f>
        <v>145</v>
      </c>
      <c r="G1135" s="14"/>
      <c r="H1135" s="28"/>
      <c r="I1135" s="29" t="str">
        <f aca="false">IF(OR($G1135="",$G1135=0),"",IFERROR(ROUND($F1135*$G1135*(1-IF($H1135="",0,$H1135)),2),""))</f>
        <v/>
      </c>
      <c r="J1135" s="7"/>
    </row>
    <row r="1136" customFormat="false" ht="21.75" hidden="false" customHeight="true" outlineLevel="0" collapsed="false">
      <c r="B1136" s="15" t="n">
        <v>50</v>
      </c>
      <c r="C1136" s="9" t="s">
        <v>78</v>
      </c>
      <c r="D1136" s="9" t="s">
        <v>106</v>
      </c>
      <c r="E1136" s="9" t="s">
        <v>2645</v>
      </c>
      <c r="F1136" s="19" t="n">
        <f aca="false">IF('Base de Datos SADI'!U54="","",'Base de Datos SADI'!U54)</f>
        <v>160</v>
      </c>
      <c r="G1136" s="15"/>
      <c r="H1136" s="30"/>
      <c r="I1136" s="31" t="str">
        <f aca="false">IF(OR($G1136="",$G1136=0),"",IFERROR(ROUND($F1136*$G1136*(1-IF($H1136="",0,$H1136)),2),""))</f>
        <v/>
      </c>
      <c r="J1136" s="9"/>
    </row>
    <row r="1137" customFormat="false" ht="21.75" hidden="false" customHeight="true" outlineLevel="0" collapsed="false">
      <c r="B1137" s="14" t="n">
        <v>51</v>
      </c>
      <c r="C1137" s="7" t="s">
        <v>78</v>
      </c>
      <c r="D1137" s="7" t="s">
        <v>106</v>
      </c>
      <c r="E1137" s="7" t="s">
        <v>2654</v>
      </c>
      <c r="F1137" s="18" t="n">
        <f aca="false">IF('Base de Datos SADI'!U55="","",'Base de Datos SADI'!U55)</f>
        <v>240</v>
      </c>
      <c r="G1137" s="14"/>
      <c r="H1137" s="28"/>
      <c r="I1137" s="29" t="str">
        <f aca="false">IF(OR($G1137="",$G1137=0),"",IFERROR(ROUND($F1137*$G1137*(1-IF($H1137="",0,$H1137)),2),""))</f>
        <v/>
      </c>
      <c r="J1137" s="7"/>
    </row>
    <row r="1138" customFormat="false" ht="21.75" hidden="false" customHeight="true" outlineLevel="0" collapsed="false">
      <c r="B1138" s="15" t="n">
        <v>52</v>
      </c>
      <c r="C1138" s="9" t="s">
        <v>78</v>
      </c>
      <c r="D1138" s="9" t="s">
        <v>106</v>
      </c>
      <c r="E1138" s="9" t="s">
        <v>2655</v>
      </c>
      <c r="F1138" s="19" t="n">
        <f aca="false">IF('Base de Datos SADI'!U56="","",'Base de Datos SADI'!U56)</f>
        <v>320</v>
      </c>
      <c r="G1138" s="15"/>
      <c r="H1138" s="30"/>
      <c r="I1138" s="31" t="str">
        <f aca="false">IF(OR($G1138="",$G1138=0),"",IFERROR(ROUND($F1138*$G1138*(1-IF($H1138="",0,$H1138)),2),""))</f>
        <v/>
      </c>
      <c r="J1138" s="9"/>
    </row>
    <row r="1139" customFormat="false" ht="21.75" hidden="false" customHeight="true" outlineLevel="0" collapsed="false">
      <c r="B1139" s="14" t="n">
        <v>53</v>
      </c>
      <c r="C1139" s="7" t="s">
        <v>78</v>
      </c>
      <c r="D1139" s="7" t="s">
        <v>106</v>
      </c>
      <c r="E1139" s="7" t="s">
        <v>2657</v>
      </c>
      <c r="F1139" s="18" t="n">
        <f aca="false">IF('Base de Datos SADI'!U57="","",'Base de Datos SADI'!U57)</f>
        <v>480</v>
      </c>
      <c r="G1139" s="14"/>
      <c r="H1139" s="28"/>
      <c r="I1139" s="29" t="str">
        <f aca="false">IF(OR($G1139="",$G1139=0),"",IFERROR(ROUND($F1139*$G1139*(1-IF($H1139="",0,$H1139)),2),""))</f>
        <v/>
      </c>
      <c r="J1139" s="7"/>
    </row>
    <row r="1140" customFormat="false" ht="21.75" hidden="false" customHeight="true" outlineLevel="0" collapsed="false">
      <c r="B1140" s="15" t="n">
        <v>54</v>
      </c>
      <c r="C1140" s="9" t="s">
        <v>78</v>
      </c>
      <c r="D1140" s="9" t="s">
        <v>106</v>
      </c>
      <c r="E1140" s="9" t="s">
        <v>2658</v>
      </c>
      <c r="F1140" s="19" t="n">
        <f aca="false">IF('Base de Datos SADI'!U58="","",'Base de Datos SADI'!U58)</f>
        <v>700</v>
      </c>
      <c r="G1140" s="15"/>
      <c r="H1140" s="30"/>
      <c r="I1140" s="31" t="str">
        <f aca="false">IF(OR($G1140="",$G1140=0),"",IFERROR(ROUND($F1140*$G1140*(1-IF($H1140="",0,$H1140)),2),""))</f>
        <v/>
      </c>
      <c r="J1140" s="9"/>
    </row>
    <row r="1141" customFormat="false" ht="21.75" hidden="false" customHeight="true" outlineLevel="0" collapsed="false">
      <c r="B1141" s="14" t="n">
        <v>55</v>
      </c>
      <c r="C1141" s="7" t="s">
        <v>78</v>
      </c>
      <c r="D1141" s="7" t="s">
        <v>107</v>
      </c>
      <c r="E1141" s="7" t="s">
        <v>391</v>
      </c>
      <c r="F1141" s="18" t="str">
        <f aca="false">IF('Base de Datos SADI'!U59="","",'Base de Datos SADI'!U59)</f>
        <v/>
      </c>
      <c r="G1141" s="14"/>
      <c r="H1141" s="28"/>
      <c r="I1141" s="29" t="str">
        <f aca="false">IF(OR($G1141="",$G1141=0),"",IFERROR(ROUND($F1141*$G1141*(1-IF($H1141="",0,$H1141)),2),""))</f>
        <v/>
      </c>
      <c r="J1141" s="7"/>
    </row>
    <row r="1142" customFormat="false" ht="21.75" hidden="false" customHeight="true" outlineLevel="0" collapsed="false">
      <c r="B1142" s="15" t="n">
        <v>56</v>
      </c>
      <c r="C1142" s="9" t="s">
        <v>78</v>
      </c>
      <c r="D1142" s="9" t="s">
        <v>108</v>
      </c>
      <c r="E1142" s="9" t="s">
        <v>2660</v>
      </c>
      <c r="F1142" s="19" t="n">
        <f aca="false">IF('Base de Datos SADI'!U60="","",'Base de Datos SADI'!U60)</f>
        <v>19</v>
      </c>
      <c r="G1142" s="15"/>
      <c r="H1142" s="30"/>
      <c r="I1142" s="31" t="str">
        <f aca="false">IF(OR($G1142="",$G1142=0),"",IFERROR(ROUND($F1142*$G1142*(1-IF($H1142="",0,$H1142)),2),""))</f>
        <v/>
      </c>
      <c r="J1142" s="9"/>
    </row>
    <row r="1143" customFormat="false" ht="21.75" hidden="false" customHeight="true" outlineLevel="0" collapsed="false">
      <c r="B1143" s="14" t="n">
        <v>57</v>
      </c>
      <c r="C1143" s="7" t="s">
        <v>78</v>
      </c>
      <c r="D1143" s="7" t="s">
        <v>108</v>
      </c>
      <c r="E1143" s="7" t="s">
        <v>2666</v>
      </c>
      <c r="F1143" s="18" t="n">
        <f aca="false">IF('Base de Datos SADI'!U61="","",'Base de Datos SADI'!U61)</f>
        <v>25</v>
      </c>
      <c r="G1143" s="14"/>
      <c r="H1143" s="28"/>
      <c r="I1143" s="29" t="str">
        <f aca="false">IF(OR($G1143="",$G1143=0),"",IFERROR(ROUND($F1143*$G1143*(1-IF($H1143="",0,$H1143)),2),""))</f>
        <v/>
      </c>
      <c r="J1143" s="7"/>
    </row>
    <row r="1144" customFormat="false" ht="21.75" hidden="false" customHeight="true" outlineLevel="0" collapsed="false">
      <c r="B1144" s="15" t="n">
        <v>58</v>
      </c>
      <c r="C1144" s="9" t="s">
        <v>78</v>
      </c>
      <c r="D1144" s="9" t="s">
        <v>108</v>
      </c>
      <c r="E1144" s="9" t="s">
        <v>2668</v>
      </c>
      <c r="F1144" s="19" t="n">
        <f aca="false">IF('Base de Datos SADI'!U62="","",'Base de Datos SADI'!U62)</f>
        <v>35</v>
      </c>
      <c r="G1144" s="15"/>
      <c r="H1144" s="30"/>
      <c r="I1144" s="31" t="str">
        <f aca="false">IF(OR($G1144="",$G1144=0),"",IFERROR(ROUND($F1144*$G1144*(1-IF($H1144="",0,$H1144)),2),""))</f>
        <v/>
      </c>
      <c r="J1144" s="9"/>
    </row>
    <row r="1145" customFormat="false" ht="21.75" hidden="false" customHeight="true" outlineLevel="0" collapsed="false">
      <c r="B1145" s="14" t="n">
        <v>59</v>
      </c>
      <c r="C1145" s="7" t="s">
        <v>78</v>
      </c>
      <c r="D1145" s="7" t="s">
        <v>108</v>
      </c>
      <c r="E1145" s="7" t="s">
        <v>2671</v>
      </c>
      <c r="F1145" s="18" t="n">
        <f aca="false">IF('Base de Datos SADI'!U63="","",'Base de Datos SADI'!U63)</f>
        <v>55</v>
      </c>
      <c r="G1145" s="14"/>
      <c r="H1145" s="28"/>
      <c r="I1145" s="29" t="str">
        <f aca="false">IF(OR($G1145="",$G1145=0),"",IFERROR(ROUND($F1145*$G1145*(1-IF($H1145="",0,$H1145)),2),""))</f>
        <v/>
      </c>
      <c r="J1145" s="7"/>
    </row>
    <row r="1146" customFormat="false" ht="21.75" hidden="false" customHeight="true" outlineLevel="0" collapsed="false">
      <c r="B1146" s="15" t="n">
        <v>60</v>
      </c>
      <c r="C1146" s="9" t="s">
        <v>78</v>
      </c>
      <c r="D1146" s="9" t="s">
        <v>108</v>
      </c>
      <c r="E1146" s="9" t="s">
        <v>2673</v>
      </c>
      <c r="F1146" s="19" t="n">
        <f aca="false">IF('Base de Datos SADI'!U64="","",'Base de Datos SADI'!U64)</f>
        <v>80</v>
      </c>
      <c r="G1146" s="15"/>
      <c r="H1146" s="30"/>
      <c r="I1146" s="31" t="str">
        <f aca="false">IF(OR($G1146="",$G1146=0),"",IFERROR(ROUND($F1146*$G1146*(1-IF($H1146="",0,$H1146)),2),""))</f>
        <v/>
      </c>
      <c r="J1146" s="9"/>
    </row>
    <row r="1147" customFormat="false" ht="21.75" hidden="false" customHeight="true" outlineLevel="0" collapsed="false">
      <c r="B1147" s="14" t="n">
        <v>61</v>
      </c>
      <c r="C1147" s="7" t="s">
        <v>58</v>
      </c>
      <c r="D1147" s="7" t="s">
        <v>93</v>
      </c>
      <c r="E1147" s="7" t="s">
        <v>2675</v>
      </c>
      <c r="F1147" s="18" t="n">
        <f aca="false">IF('Base de Datos SADI'!U65="","",'Base de Datos SADI'!U65)</f>
        <v>725</v>
      </c>
      <c r="G1147" s="14"/>
      <c r="H1147" s="28"/>
      <c r="I1147" s="29" t="str">
        <f aca="false">IF(OR($G1147="",$G1147=0),"",IFERROR(ROUND($F1147*$G1147*(1-IF($H1147="",0,$H1147)),2),""))</f>
        <v/>
      </c>
      <c r="J1147" s="7"/>
    </row>
    <row r="1148" customFormat="false" ht="21.75" hidden="false" customHeight="true" outlineLevel="0" collapsed="false">
      <c r="B1148" s="15" t="n">
        <v>62</v>
      </c>
      <c r="C1148" s="9" t="s">
        <v>58</v>
      </c>
      <c r="D1148" s="9" t="s">
        <v>93</v>
      </c>
      <c r="E1148" s="9" t="s">
        <v>2688</v>
      </c>
      <c r="F1148" s="19" t="n">
        <f aca="false">IF('Base de Datos SADI'!U66="","",'Base de Datos SADI'!U66)</f>
        <v>1085</v>
      </c>
      <c r="G1148" s="15"/>
      <c r="H1148" s="30"/>
      <c r="I1148" s="31" t="str">
        <f aca="false">IF(OR($G1148="",$G1148=0),"",IFERROR(ROUND($F1148*$G1148*(1-IF($H1148="",0,$H1148)),2),""))</f>
        <v/>
      </c>
      <c r="J1148" s="9"/>
    </row>
    <row r="1149" customFormat="false" ht="21.75" hidden="false" customHeight="true" outlineLevel="0" collapsed="false">
      <c r="B1149" s="14" t="n">
        <v>63</v>
      </c>
      <c r="C1149" s="7" t="s">
        <v>58</v>
      </c>
      <c r="D1149" s="7" t="s">
        <v>93</v>
      </c>
      <c r="E1149" s="7" t="s">
        <v>2689</v>
      </c>
      <c r="F1149" s="18" t="n">
        <f aca="false">IF('Base de Datos SADI'!U67="","",'Base de Datos SADI'!U67)</f>
        <v>1450</v>
      </c>
      <c r="G1149" s="14"/>
      <c r="H1149" s="28"/>
      <c r="I1149" s="29" t="str">
        <f aca="false">IF(OR($G1149="",$G1149=0),"",IFERROR(ROUND($F1149*$G1149*(1-IF($H1149="",0,$H1149)),2),""))</f>
        <v/>
      </c>
      <c r="J1149" s="7"/>
    </row>
    <row r="1150" customFormat="false" ht="21.75" hidden="false" customHeight="true" outlineLevel="0" collapsed="false">
      <c r="B1150" s="15" t="n">
        <v>64</v>
      </c>
      <c r="C1150" s="9" t="s">
        <v>58</v>
      </c>
      <c r="D1150" s="9" t="s">
        <v>93</v>
      </c>
      <c r="E1150" s="9" t="s">
        <v>2691</v>
      </c>
      <c r="F1150" s="19" t="n">
        <f aca="false">IF('Base de Datos SADI'!U68="","",'Base de Datos SADI'!U68)</f>
        <v>2175</v>
      </c>
      <c r="G1150" s="15"/>
      <c r="H1150" s="30"/>
      <c r="I1150" s="31" t="str">
        <f aca="false">IF(OR($G1150="",$G1150=0),"",IFERROR(ROUND($F1150*$G1150*(1-IF($H1150="",0,$H1150)),2),""))</f>
        <v/>
      </c>
      <c r="J1150" s="9"/>
    </row>
    <row r="1151" customFormat="false" ht="21.75" hidden="false" customHeight="true" outlineLevel="0" collapsed="false">
      <c r="B1151" s="14" t="n">
        <v>65</v>
      </c>
      <c r="C1151" s="7" t="s">
        <v>58</v>
      </c>
      <c r="D1151" s="7" t="s">
        <v>93</v>
      </c>
      <c r="E1151" s="7" t="s">
        <v>2692</v>
      </c>
      <c r="F1151" s="18" t="n">
        <f aca="false">IF('Base de Datos SADI'!U69="","",'Base de Datos SADI'!U69)</f>
        <v>3190</v>
      </c>
      <c r="G1151" s="14"/>
      <c r="H1151" s="28"/>
      <c r="I1151" s="29" t="str">
        <f aca="false">IF(OR($G1151="",$G1151=0),"",IFERROR(ROUND($F1151*$G1151*(1-IF($H1151="",0,$H1151)),2),""))</f>
        <v/>
      </c>
      <c r="J1151" s="7"/>
    </row>
    <row r="1152" customFormat="false" ht="21.75" hidden="false" customHeight="true" outlineLevel="0" collapsed="false">
      <c r="B1152" s="15" t="n">
        <v>66</v>
      </c>
      <c r="C1152" s="9" t="s">
        <v>58</v>
      </c>
      <c r="D1152" s="9" t="s">
        <v>94</v>
      </c>
      <c r="E1152" s="9" t="s">
        <v>391</v>
      </c>
      <c r="F1152" s="19" t="str">
        <f aca="false">IF('Base de Datos SADI'!U70="","",'Base de Datos SADI'!U70)</f>
        <v/>
      </c>
      <c r="G1152" s="15"/>
      <c r="H1152" s="30"/>
      <c r="I1152" s="31" t="str">
        <f aca="false">IF(OR($G1152="",$G1152=0),"",IFERROR(ROUND($F1152*$G1152*(1-IF($H1152="",0,$H1152)),2),""))</f>
        <v/>
      </c>
      <c r="J1152" s="9"/>
    </row>
    <row r="1153" customFormat="false" ht="21.75" hidden="false" customHeight="true" outlineLevel="0" collapsed="false">
      <c r="B1153" s="14" t="n">
        <v>67</v>
      </c>
      <c r="C1153" s="7" t="s">
        <v>58</v>
      </c>
      <c r="D1153" s="7" t="s">
        <v>95</v>
      </c>
      <c r="E1153" s="7" t="s">
        <v>2694</v>
      </c>
      <c r="F1153" s="18" t="n">
        <f aca="false">IF('Base de Datos SADI'!U71="","",'Base de Datos SADI'!U71)</f>
        <v>25</v>
      </c>
      <c r="G1153" s="14"/>
      <c r="H1153" s="28"/>
      <c r="I1153" s="29" t="str">
        <f aca="false">IF(OR($G1153="",$G1153=0),"",IFERROR(ROUND($F1153*$G1153*(1-IF($H1153="",0,$H1153)),2),""))</f>
        <v/>
      </c>
      <c r="J1153" s="7"/>
    </row>
    <row r="1154" customFormat="false" ht="21.75" hidden="false" customHeight="true" outlineLevel="0" collapsed="false">
      <c r="B1154" s="15" t="n">
        <v>68</v>
      </c>
      <c r="C1154" s="9" t="s">
        <v>58</v>
      </c>
      <c r="D1154" s="9" t="s">
        <v>95</v>
      </c>
      <c r="E1154" s="9" t="s">
        <v>2702</v>
      </c>
      <c r="F1154" s="19" t="n">
        <f aca="false">IF('Base de Datos SADI'!U72="","",'Base de Datos SADI'!U72)</f>
        <v>40</v>
      </c>
      <c r="G1154" s="15"/>
      <c r="H1154" s="30"/>
      <c r="I1154" s="31" t="str">
        <f aca="false">IF(OR($G1154="",$G1154=0),"",IFERROR(ROUND($F1154*$G1154*(1-IF($H1154="",0,$H1154)),2),""))</f>
        <v/>
      </c>
      <c r="J1154" s="9"/>
    </row>
    <row r="1155" customFormat="false" ht="21.75" hidden="false" customHeight="true" outlineLevel="0" collapsed="false">
      <c r="B1155" s="14" t="n">
        <v>69</v>
      </c>
      <c r="C1155" s="7" t="s">
        <v>58</v>
      </c>
      <c r="D1155" s="7" t="s">
        <v>95</v>
      </c>
      <c r="E1155" s="7" t="s">
        <v>2703</v>
      </c>
      <c r="F1155" s="18" t="n">
        <f aca="false">IF('Base de Datos SADI'!U73="","",'Base de Datos SADI'!U73)</f>
        <v>55</v>
      </c>
      <c r="G1155" s="14"/>
      <c r="H1155" s="28"/>
      <c r="I1155" s="29" t="str">
        <f aca="false">IF(OR($G1155="",$G1155=0),"",IFERROR(ROUND($F1155*$G1155*(1-IF($H1155="",0,$H1155)),2),""))</f>
        <v/>
      </c>
      <c r="J1155" s="7"/>
    </row>
    <row r="1156" customFormat="false" ht="21.75" hidden="false" customHeight="true" outlineLevel="0" collapsed="false">
      <c r="B1156" s="15" t="n">
        <v>70</v>
      </c>
      <c r="C1156" s="9" t="s">
        <v>58</v>
      </c>
      <c r="D1156" s="9" t="s">
        <v>95</v>
      </c>
      <c r="E1156" s="9" t="s">
        <v>2705</v>
      </c>
      <c r="F1156" s="19" t="n">
        <f aca="false">IF('Base de Datos SADI'!U74="","",'Base de Datos SADI'!U74)</f>
        <v>85</v>
      </c>
      <c r="G1156" s="15"/>
      <c r="H1156" s="30"/>
      <c r="I1156" s="31" t="str">
        <f aca="false">IF(OR($G1156="",$G1156=0),"",IFERROR(ROUND($F1156*$G1156*(1-IF($H1156="",0,$H1156)),2),""))</f>
        <v/>
      </c>
      <c r="J1156" s="9"/>
    </row>
    <row r="1157" customFormat="false" ht="21.75" hidden="false" customHeight="true" outlineLevel="0" collapsed="false">
      <c r="B1157" s="14" t="n">
        <v>71</v>
      </c>
      <c r="C1157" s="7" t="s">
        <v>58</v>
      </c>
      <c r="D1157" s="7" t="s">
        <v>95</v>
      </c>
      <c r="E1157" s="7" t="s">
        <v>2707</v>
      </c>
      <c r="F1157" s="18" t="n">
        <f aca="false">IF('Base de Datos SADI'!U75="","",'Base de Datos SADI'!U75)</f>
        <v>125</v>
      </c>
      <c r="G1157" s="14"/>
      <c r="H1157" s="28"/>
      <c r="I1157" s="29" t="str">
        <f aca="false">IF(OR($G1157="",$G1157=0),"",IFERROR(ROUND($F1157*$G1157*(1-IF($H1157="",0,$H1157)),2),""))</f>
        <v/>
      </c>
      <c r="J1157" s="7"/>
    </row>
    <row r="1158" customFormat="false" ht="21.75" hidden="false" customHeight="true" outlineLevel="0" collapsed="false">
      <c r="B1158" s="15" t="n">
        <v>72</v>
      </c>
      <c r="C1158" s="9" t="s">
        <v>58</v>
      </c>
      <c r="D1158" s="9" t="s">
        <v>96</v>
      </c>
      <c r="E1158" s="9" t="s">
        <v>2708</v>
      </c>
      <c r="F1158" s="19" t="n">
        <f aca="false">IF('Base de Datos SADI'!U76="","",'Base de Datos SADI'!U76)</f>
        <v>40</v>
      </c>
      <c r="G1158" s="15"/>
      <c r="H1158" s="30"/>
      <c r="I1158" s="31" t="str">
        <f aca="false">IF(OR($G1158="",$G1158=0),"",IFERROR(ROUND($F1158*$G1158*(1-IF($H1158="",0,$H1158)),2),""))</f>
        <v/>
      </c>
      <c r="J1158" s="9"/>
    </row>
    <row r="1159" customFormat="false" ht="21.75" hidden="false" customHeight="true" outlineLevel="0" collapsed="false">
      <c r="B1159" s="14" t="n">
        <v>73</v>
      </c>
      <c r="C1159" s="7" t="s">
        <v>58</v>
      </c>
      <c r="D1159" s="7" t="s">
        <v>96</v>
      </c>
      <c r="E1159" s="7" t="s">
        <v>2715</v>
      </c>
      <c r="F1159" s="18" t="n">
        <f aca="false">IF('Base de Datos SADI'!U77="","",'Base de Datos SADI'!U77)</f>
        <v>60</v>
      </c>
      <c r="G1159" s="14"/>
      <c r="H1159" s="28"/>
      <c r="I1159" s="29" t="str">
        <f aca="false">IF(OR($G1159="",$G1159=0),"",IFERROR(ROUND($F1159*$G1159*(1-IF($H1159="",0,$H1159)),2),""))</f>
        <v/>
      </c>
      <c r="J1159" s="7"/>
    </row>
    <row r="1160" customFormat="false" ht="21.75" hidden="false" customHeight="true" outlineLevel="0" collapsed="false">
      <c r="B1160" s="15" t="n">
        <v>74</v>
      </c>
      <c r="C1160" s="9" t="s">
        <v>58</v>
      </c>
      <c r="D1160" s="9" t="s">
        <v>96</v>
      </c>
      <c r="E1160" s="9" t="s">
        <v>2716</v>
      </c>
      <c r="F1160" s="19" t="n">
        <f aca="false">IF('Base de Datos SADI'!U78="","",'Base de Datos SADI'!U78)</f>
        <v>80</v>
      </c>
      <c r="G1160" s="15"/>
      <c r="H1160" s="30"/>
      <c r="I1160" s="31" t="str">
        <f aca="false">IF(OR($G1160="",$G1160=0),"",IFERROR(ROUND($F1160*$G1160*(1-IF($H1160="",0,$H1160)),2),""))</f>
        <v/>
      </c>
      <c r="J1160" s="9"/>
    </row>
    <row r="1161" customFormat="false" ht="21.75" hidden="false" customHeight="true" outlineLevel="0" collapsed="false">
      <c r="B1161" s="14" t="n">
        <v>75</v>
      </c>
      <c r="C1161" s="7" t="s">
        <v>58</v>
      </c>
      <c r="D1161" s="7" t="s">
        <v>96</v>
      </c>
      <c r="E1161" s="7" t="s">
        <v>2718</v>
      </c>
      <c r="F1161" s="18" t="n">
        <f aca="false">IF('Base de Datos SADI'!U79="","",'Base de Datos SADI'!U79)</f>
        <v>120</v>
      </c>
      <c r="G1161" s="14"/>
      <c r="H1161" s="28"/>
      <c r="I1161" s="29" t="str">
        <f aca="false">IF(OR($G1161="",$G1161=0),"",IFERROR(ROUND($F1161*$G1161*(1-IF($H1161="",0,$H1161)),2),""))</f>
        <v/>
      </c>
      <c r="J1161" s="7"/>
    </row>
    <row r="1162" customFormat="false" ht="21.75" hidden="false" customHeight="true" outlineLevel="0" collapsed="false">
      <c r="B1162" s="15" t="n">
        <v>76</v>
      </c>
      <c r="C1162" s="9" t="s">
        <v>58</v>
      </c>
      <c r="D1162" s="9" t="s">
        <v>96</v>
      </c>
      <c r="E1162" s="9" t="s">
        <v>2719</v>
      </c>
      <c r="F1162" s="19" t="n">
        <f aca="false">IF('Base de Datos SADI'!U80="","",'Base de Datos SADI'!U80)</f>
        <v>180</v>
      </c>
      <c r="G1162" s="15"/>
      <c r="H1162" s="30"/>
      <c r="I1162" s="31" t="str">
        <f aca="false">IF(OR($G1162="",$G1162=0),"",IFERROR(ROUND($F1162*$G1162*(1-IF($H1162="",0,$H1162)),2),""))</f>
        <v/>
      </c>
      <c r="J1162" s="9"/>
    </row>
    <row r="1163" customFormat="false" ht="21.75" hidden="false" customHeight="true" outlineLevel="0" collapsed="false">
      <c r="B1163" s="14" t="n">
        <v>77</v>
      </c>
      <c r="C1163" s="7" t="s">
        <v>58</v>
      </c>
      <c r="D1163" s="7" t="s">
        <v>97</v>
      </c>
      <c r="E1163" s="7" t="s">
        <v>2720</v>
      </c>
      <c r="F1163" s="18" t="n">
        <f aca="false">IF('Base de Datos SADI'!U81="","",'Base de Datos SADI'!U81)</f>
        <v>35</v>
      </c>
      <c r="G1163" s="14"/>
      <c r="H1163" s="28"/>
      <c r="I1163" s="29" t="str">
        <f aca="false">IF(OR($G1163="",$G1163=0),"",IFERROR(ROUND($F1163*$G1163*(1-IF($H1163="",0,$H1163)),2),""))</f>
        <v/>
      </c>
      <c r="J1163" s="7"/>
    </row>
    <row r="1164" customFormat="false" ht="21.75" hidden="false" customHeight="true" outlineLevel="0" collapsed="false">
      <c r="B1164" s="15" t="n">
        <v>78</v>
      </c>
      <c r="C1164" s="9" t="s">
        <v>58</v>
      </c>
      <c r="D1164" s="9" t="s">
        <v>97</v>
      </c>
      <c r="E1164" s="9" t="s">
        <v>2725</v>
      </c>
      <c r="F1164" s="19" t="n">
        <f aca="false">IF('Base de Datos SADI'!U82="","",'Base de Datos SADI'!U82)</f>
        <v>50</v>
      </c>
      <c r="G1164" s="15"/>
      <c r="H1164" s="30"/>
      <c r="I1164" s="31" t="str">
        <f aca="false">IF(OR($G1164="",$G1164=0),"",IFERROR(ROUND($F1164*$G1164*(1-IF($H1164="",0,$H1164)),2),""))</f>
        <v/>
      </c>
      <c r="J1164" s="9"/>
    </row>
    <row r="1165" customFormat="false" ht="21.75" hidden="false" customHeight="true" outlineLevel="0" collapsed="false">
      <c r="B1165" s="14" t="n">
        <v>79</v>
      </c>
      <c r="C1165" s="7" t="s">
        <v>58</v>
      </c>
      <c r="D1165" s="7" t="s">
        <v>97</v>
      </c>
      <c r="E1165" s="7" t="s">
        <v>2726</v>
      </c>
      <c r="F1165" s="18" t="n">
        <f aca="false">IF('Base de Datos SADI'!U83="","",'Base de Datos SADI'!U83)</f>
        <v>70</v>
      </c>
      <c r="G1165" s="14"/>
      <c r="H1165" s="28"/>
      <c r="I1165" s="29" t="str">
        <f aca="false">IF(OR($G1165="",$G1165=0),"",IFERROR(ROUND($F1165*$G1165*(1-IF($H1165="",0,$H1165)),2),""))</f>
        <v/>
      </c>
      <c r="J1165" s="7"/>
    </row>
    <row r="1166" customFormat="false" ht="21.75" hidden="false" customHeight="true" outlineLevel="0" collapsed="false">
      <c r="B1166" s="15" t="n">
        <v>80</v>
      </c>
      <c r="C1166" s="9" t="s">
        <v>58</v>
      </c>
      <c r="D1166" s="9" t="s">
        <v>97</v>
      </c>
      <c r="E1166" s="9" t="s">
        <v>2728</v>
      </c>
      <c r="F1166" s="19" t="n">
        <f aca="false">IF('Base de Datos SADI'!U84="","",'Base de Datos SADI'!U84)</f>
        <v>105</v>
      </c>
      <c r="G1166" s="15"/>
      <c r="H1166" s="30"/>
      <c r="I1166" s="31" t="str">
        <f aca="false">IF(OR($G1166="",$G1166=0),"",IFERROR(ROUND($F1166*$G1166*(1-IF($H1166="",0,$H1166)),2),""))</f>
        <v/>
      </c>
      <c r="J1166" s="9"/>
    </row>
    <row r="1167" customFormat="false" ht="21.75" hidden="false" customHeight="true" outlineLevel="0" collapsed="false">
      <c r="B1167" s="14" t="n">
        <v>81</v>
      </c>
      <c r="C1167" s="7" t="s">
        <v>58</v>
      </c>
      <c r="D1167" s="7" t="s">
        <v>97</v>
      </c>
      <c r="E1167" s="7" t="s">
        <v>2729</v>
      </c>
      <c r="F1167" s="18" t="n">
        <f aca="false">IF('Base de Datos SADI'!U85="","",'Base de Datos SADI'!U85)</f>
        <v>155</v>
      </c>
      <c r="G1167" s="14"/>
      <c r="H1167" s="28"/>
      <c r="I1167" s="29" t="str">
        <f aca="false">IF(OR($G1167="",$G1167=0),"",IFERROR(ROUND($F1167*$G1167*(1-IF($H1167="",0,$H1167)),2),""))</f>
        <v/>
      </c>
      <c r="J1167" s="7"/>
    </row>
    <row r="1168" customFormat="false" ht="21.75" hidden="false" customHeight="true" outlineLevel="0" collapsed="false">
      <c r="B1168" s="15" t="n">
        <v>82</v>
      </c>
      <c r="C1168" s="9" t="s">
        <v>58</v>
      </c>
      <c r="D1168" s="9" t="s">
        <v>98</v>
      </c>
      <c r="E1168" s="9" t="s">
        <v>391</v>
      </c>
      <c r="F1168" s="19" t="str">
        <f aca="false">IF('Base de Datos SADI'!U86="","",'Base de Datos SADI'!U86)</f>
        <v/>
      </c>
      <c r="G1168" s="15"/>
      <c r="H1168" s="30"/>
      <c r="I1168" s="31" t="str">
        <f aca="false">IF(OR($G1168="",$G1168=0),"",IFERROR(ROUND($F1168*$G1168*(1-IF($H1168="",0,$H1168)),2),""))</f>
        <v/>
      </c>
      <c r="J1168" s="9"/>
    </row>
    <row r="1169" customFormat="false" ht="21.75" hidden="false" customHeight="true" outlineLevel="0" collapsed="false">
      <c r="B1169" s="14" t="n">
        <v>83</v>
      </c>
      <c r="C1169" s="7" t="s">
        <v>58</v>
      </c>
      <c r="D1169" s="7" t="s">
        <v>99</v>
      </c>
      <c r="E1169" s="7" t="s">
        <v>2731</v>
      </c>
      <c r="F1169" s="18" t="n">
        <f aca="false">IF('Base de Datos SADI'!U87="","",'Base de Datos SADI'!U87)</f>
        <v>310</v>
      </c>
      <c r="G1169" s="14"/>
      <c r="H1169" s="28"/>
      <c r="I1169" s="29" t="str">
        <f aca="false">IF(OR($G1169="",$G1169=0),"",IFERROR(ROUND($F1169*$G1169*(1-IF($H1169="",0,$H1169)),2),""))</f>
        <v/>
      </c>
      <c r="J1169" s="7"/>
    </row>
    <row r="1170" customFormat="false" ht="21.75" hidden="false" customHeight="true" outlineLevel="0" collapsed="false">
      <c r="B1170" s="15" t="n">
        <v>84</v>
      </c>
      <c r="C1170" s="9" t="s">
        <v>58</v>
      </c>
      <c r="D1170" s="9" t="s">
        <v>99</v>
      </c>
      <c r="E1170" s="9" t="s">
        <v>2740</v>
      </c>
      <c r="F1170" s="19" t="n">
        <f aca="false">IF('Base de Datos SADI'!U88="","",'Base de Datos SADI'!U88)</f>
        <v>465</v>
      </c>
      <c r="G1170" s="15"/>
      <c r="H1170" s="30"/>
      <c r="I1170" s="31" t="str">
        <f aca="false">IF(OR($G1170="",$G1170=0),"",IFERROR(ROUND($F1170*$G1170*(1-IF($H1170="",0,$H1170)),2),""))</f>
        <v/>
      </c>
      <c r="J1170" s="9"/>
    </row>
    <row r="1171" customFormat="false" ht="21.75" hidden="false" customHeight="true" outlineLevel="0" collapsed="false">
      <c r="B1171" s="14" t="n">
        <v>85</v>
      </c>
      <c r="C1171" s="7" t="s">
        <v>58</v>
      </c>
      <c r="D1171" s="7" t="s">
        <v>99</v>
      </c>
      <c r="E1171" s="7" t="s">
        <v>2742</v>
      </c>
      <c r="F1171" s="18" t="n">
        <f aca="false">IF('Base de Datos SADI'!U89="","",'Base de Datos SADI'!U89)</f>
        <v>620</v>
      </c>
      <c r="G1171" s="14"/>
      <c r="H1171" s="28"/>
      <c r="I1171" s="29" t="str">
        <f aca="false">IF(OR($G1171="",$G1171=0),"",IFERROR(ROUND($F1171*$G1171*(1-IF($H1171="",0,$H1171)),2),""))</f>
        <v/>
      </c>
      <c r="J1171" s="7"/>
    </row>
    <row r="1172" customFormat="false" ht="21.75" hidden="false" customHeight="true" outlineLevel="0" collapsed="false">
      <c r="B1172" s="15" t="n">
        <v>86</v>
      </c>
      <c r="C1172" s="9" t="s">
        <v>58</v>
      </c>
      <c r="D1172" s="9" t="s">
        <v>99</v>
      </c>
      <c r="E1172" s="9" t="s">
        <v>2745</v>
      </c>
      <c r="F1172" s="19" t="n">
        <f aca="false">IF('Base de Datos SADI'!U90="","",'Base de Datos SADI'!U90)</f>
        <v>930</v>
      </c>
      <c r="G1172" s="15"/>
      <c r="H1172" s="30"/>
      <c r="I1172" s="31" t="str">
        <f aca="false">IF(OR($G1172="",$G1172=0),"",IFERROR(ROUND($F1172*$G1172*(1-IF($H1172="",0,$H1172)),2),""))</f>
        <v/>
      </c>
      <c r="J1172" s="9"/>
    </row>
    <row r="1173" customFormat="false" ht="21.75" hidden="false" customHeight="true" outlineLevel="0" collapsed="false">
      <c r="B1173" s="14" t="n">
        <v>87</v>
      </c>
      <c r="C1173" s="7" t="s">
        <v>58</v>
      </c>
      <c r="D1173" s="7" t="s">
        <v>99</v>
      </c>
      <c r="E1173" s="7" t="s">
        <v>2747</v>
      </c>
      <c r="F1173" s="18" t="n">
        <f aca="false">IF('Base de Datos SADI'!U91="","",'Base de Datos SADI'!U91)</f>
        <v>1360</v>
      </c>
      <c r="G1173" s="14"/>
      <c r="H1173" s="28"/>
      <c r="I1173" s="29" t="str">
        <f aca="false">IF(OR($G1173="",$G1173=0),"",IFERROR(ROUND($F1173*$G1173*(1-IF($H1173="",0,$H1173)),2),""))</f>
        <v/>
      </c>
      <c r="J1173" s="7"/>
    </row>
    <row r="1174" customFormat="false" ht="21.75" hidden="false" customHeight="true" outlineLevel="0" collapsed="false">
      <c r="B1174" s="15" t="n">
        <v>88</v>
      </c>
      <c r="C1174" s="9" t="s">
        <v>58</v>
      </c>
      <c r="D1174" s="9" t="s">
        <v>100</v>
      </c>
      <c r="E1174" s="9" t="s">
        <v>391</v>
      </c>
      <c r="F1174" s="19" t="str">
        <f aca="false">IF('Base de Datos SADI'!U92="","",'Base de Datos SADI'!U92)</f>
        <v/>
      </c>
      <c r="G1174" s="15"/>
      <c r="H1174" s="30"/>
      <c r="I1174" s="31" t="str">
        <f aca="false">IF(OR($G1174="",$G1174=0),"",IFERROR(ROUND($F1174*$G1174*(1-IF($H1174="",0,$H1174)),2),""))</f>
        <v/>
      </c>
      <c r="J1174" s="9"/>
    </row>
    <row r="1175" customFormat="false" ht="21.75" hidden="false" customHeight="true" outlineLevel="0" collapsed="false">
      <c r="B1175" s="14" t="n">
        <v>89</v>
      </c>
      <c r="C1175" s="7" t="s">
        <v>58</v>
      </c>
      <c r="D1175" s="7" t="s">
        <v>101</v>
      </c>
      <c r="E1175" s="7" t="s">
        <v>391</v>
      </c>
      <c r="F1175" s="18" t="str">
        <f aca="false">IF('Base de Datos SADI'!U93="","",'Base de Datos SADI'!U93)</f>
        <v/>
      </c>
      <c r="G1175" s="14"/>
      <c r="H1175" s="28"/>
      <c r="I1175" s="29" t="str">
        <f aca="false">IF(OR($G1175="",$G1175=0),"",IFERROR(ROUND($F1175*$G1175*(1-IF($H1175="",0,$H1175)),2),""))</f>
        <v/>
      </c>
      <c r="J1175" s="7"/>
    </row>
    <row r="1176" customFormat="false" ht="21.75" hidden="false" customHeight="true" outlineLevel="0" collapsed="false">
      <c r="B1176" s="15" t="n">
        <v>90</v>
      </c>
      <c r="C1176" s="9" t="s">
        <v>58</v>
      </c>
      <c r="D1176" s="9" t="s">
        <v>102</v>
      </c>
      <c r="E1176" s="9" t="s">
        <v>2751</v>
      </c>
      <c r="F1176" s="19" t="n">
        <f aca="false">IF('Base de Datos SADI'!U94="","",'Base de Datos SADI'!U94)</f>
        <v>25</v>
      </c>
      <c r="G1176" s="15"/>
      <c r="H1176" s="30"/>
      <c r="I1176" s="31" t="str">
        <f aca="false">IF(OR($G1176="",$G1176=0),"",IFERROR(ROUND($F1176*$G1176*(1-IF($H1176="",0,$H1176)),2),""))</f>
        <v/>
      </c>
      <c r="J1176" s="9"/>
    </row>
    <row r="1177" customFormat="false" ht="21.75" hidden="false" customHeight="true" outlineLevel="0" collapsed="false">
      <c r="B1177" s="14" t="n">
        <v>91</v>
      </c>
      <c r="C1177" s="7" t="s">
        <v>58</v>
      </c>
      <c r="D1177" s="7" t="s">
        <v>102</v>
      </c>
      <c r="E1177" s="7" t="s">
        <v>2756</v>
      </c>
      <c r="F1177" s="18" t="n">
        <f aca="false">IF('Base de Datos SADI'!U95="","",'Base de Datos SADI'!U95)</f>
        <v>40</v>
      </c>
      <c r="G1177" s="14"/>
      <c r="H1177" s="28"/>
      <c r="I1177" s="29" t="str">
        <f aca="false">IF(OR($G1177="",$G1177=0),"",IFERROR(ROUND($F1177*$G1177*(1-IF($H1177="",0,$H1177)),2),""))</f>
        <v/>
      </c>
      <c r="J1177" s="7"/>
    </row>
    <row r="1178" customFormat="false" ht="21.75" hidden="false" customHeight="true" outlineLevel="0" collapsed="false">
      <c r="B1178" s="15" t="n">
        <v>92</v>
      </c>
      <c r="C1178" s="9" t="s">
        <v>58</v>
      </c>
      <c r="D1178" s="9" t="s">
        <v>102</v>
      </c>
      <c r="E1178" s="9" t="s">
        <v>2757</v>
      </c>
      <c r="F1178" s="19" t="n">
        <f aca="false">IF('Base de Datos SADI'!U96="","",'Base de Datos SADI'!U96)</f>
        <v>55</v>
      </c>
      <c r="G1178" s="15"/>
      <c r="H1178" s="30"/>
      <c r="I1178" s="31" t="str">
        <f aca="false">IF(OR($G1178="",$G1178=0),"",IFERROR(ROUND($F1178*$G1178*(1-IF($H1178="",0,$H1178)),2),""))</f>
        <v/>
      </c>
      <c r="J1178" s="9"/>
    </row>
    <row r="1179" customFormat="false" ht="21.75" hidden="false" customHeight="true" outlineLevel="0" collapsed="false">
      <c r="B1179" s="14" t="n">
        <v>93</v>
      </c>
      <c r="C1179" s="7" t="s">
        <v>58</v>
      </c>
      <c r="D1179" s="7" t="s">
        <v>102</v>
      </c>
      <c r="E1179" s="7" t="s">
        <v>2759</v>
      </c>
      <c r="F1179" s="18" t="n">
        <f aca="false">IF('Base de Datos SADI'!U97="","",'Base de Datos SADI'!U97)</f>
        <v>80</v>
      </c>
      <c r="G1179" s="14"/>
      <c r="H1179" s="28"/>
      <c r="I1179" s="29" t="str">
        <f aca="false">IF(OR($G1179="",$G1179=0),"",IFERROR(ROUND($F1179*$G1179*(1-IF($H1179="",0,$H1179)),2),""))</f>
        <v/>
      </c>
      <c r="J1179" s="7"/>
    </row>
    <row r="1180" customFormat="false" ht="21.75" hidden="false" customHeight="true" outlineLevel="0" collapsed="false">
      <c r="B1180" s="15" t="n">
        <v>94</v>
      </c>
      <c r="C1180" s="9" t="s">
        <v>58</v>
      </c>
      <c r="D1180" s="9" t="s">
        <v>102</v>
      </c>
      <c r="E1180" s="9" t="s">
        <v>2760</v>
      </c>
      <c r="F1180" s="19" t="n">
        <f aca="false">IF('Base de Datos SADI'!U98="","",'Base de Datos SADI'!U98)</f>
        <v>120</v>
      </c>
      <c r="G1180" s="15"/>
      <c r="H1180" s="30"/>
      <c r="I1180" s="31" t="str">
        <f aca="false">IF(OR($G1180="",$G1180=0),"",IFERROR(ROUND($F1180*$G1180*(1-IF($H1180="",0,$H1180)),2),""))</f>
        <v/>
      </c>
      <c r="J1180" s="9"/>
    </row>
    <row r="1181" customFormat="false" ht="21.75" hidden="false" customHeight="true" outlineLevel="0" collapsed="false">
      <c r="B1181" s="14" t="n">
        <v>95</v>
      </c>
      <c r="C1181" s="7" t="s">
        <v>58</v>
      </c>
      <c r="D1181" s="7" t="s">
        <v>103</v>
      </c>
      <c r="E1181" s="7" t="s">
        <v>391</v>
      </c>
      <c r="F1181" s="18" t="str">
        <f aca="false">IF('Base de Datos SADI'!U99="","",'Base de Datos SADI'!U99)</f>
        <v/>
      </c>
      <c r="G1181" s="14"/>
      <c r="H1181" s="28"/>
      <c r="I1181" s="29" t="str">
        <f aca="false">IF(OR($G1181="",$G1181=0),"",IFERROR(ROUND($F1181*$G1181*(1-IF($H1181="",0,$H1181)),2),""))</f>
        <v/>
      </c>
      <c r="J1181" s="7"/>
    </row>
    <row r="1182" customFormat="false" ht="21.75" hidden="false" customHeight="true" outlineLevel="0" collapsed="false">
      <c r="B1182" s="15" t="n">
        <v>96</v>
      </c>
      <c r="C1182" s="9" t="s">
        <v>58</v>
      </c>
      <c r="D1182" s="9" t="s">
        <v>104</v>
      </c>
      <c r="E1182" s="9" t="s">
        <v>2762</v>
      </c>
      <c r="F1182" s="19" t="n">
        <f aca="false">IF('Base de Datos SADI'!U100="","",'Base de Datos SADI'!U100)</f>
        <v>40</v>
      </c>
      <c r="G1182" s="15"/>
      <c r="H1182" s="30"/>
      <c r="I1182" s="31" t="str">
        <f aca="false">IF(OR($G1182="",$G1182=0),"",IFERROR(ROUND($F1182*$G1182*(1-IF($H1182="",0,$H1182)),2),""))</f>
        <v/>
      </c>
      <c r="J1182" s="9"/>
    </row>
    <row r="1183" customFormat="false" ht="21.75" hidden="false" customHeight="true" outlineLevel="0" collapsed="false">
      <c r="B1183" s="14" t="n">
        <v>97</v>
      </c>
      <c r="C1183" s="7" t="s">
        <v>58</v>
      </c>
      <c r="D1183" s="7" t="s">
        <v>104</v>
      </c>
      <c r="E1183" s="7" t="s">
        <v>2767</v>
      </c>
      <c r="F1183" s="18" t="n">
        <f aca="false">IF('Base de Datos SADI'!U101="","",'Base de Datos SADI'!U101)</f>
        <v>65</v>
      </c>
      <c r="G1183" s="14"/>
      <c r="H1183" s="28"/>
      <c r="I1183" s="29" t="str">
        <f aca="false">IF(OR($G1183="",$G1183=0),"",IFERROR(ROUND($F1183*$G1183*(1-IF($H1183="",0,$H1183)),2),""))</f>
        <v/>
      </c>
      <c r="J1183" s="7"/>
    </row>
    <row r="1184" customFormat="false" ht="21.75" hidden="false" customHeight="true" outlineLevel="0" collapsed="false">
      <c r="B1184" s="15" t="n">
        <v>98</v>
      </c>
      <c r="C1184" s="9" t="s">
        <v>58</v>
      </c>
      <c r="D1184" s="9" t="s">
        <v>104</v>
      </c>
      <c r="E1184" s="9" t="s">
        <v>2768</v>
      </c>
      <c r="F1184" s="19" t="n">
        <f aca="false">IF('Base de Datos SADI'!U102="","",'Base de Datos SADI'!U102)</f>
        <v>85</v>
      </c>
      <c r="G1184" s="15"/>
      <c r="H1184" s="30"/>
      <c r="I1184" s="31" t="str">
        <f aca="false">IF(OR($G1184="",$G1184=0),"",IFERROR(ROUND($F1184*$G1184*(1-IF($H1184="",0,$H1184)),2),""))</f>
        <v/>
      </c>
      <c r="J1184" s="9"/>
    </row>
    <row r="1185" customFormat="false" ht="21.75" hidden="false" customHeight="true" outlineLevel="0" collapsed="false">
      <c r="B1185" s="14" t="n">
        <v>99</v>
      </c>
      <c r="C1185" s="7" t="s">
        <v>58</v>
      </c>
      <c r="D1185" s="7" t="s">
        <v>104</v>
      </c>
      <c r="E1185" s="7" t="s">
        <v>2770</v>
      </c>
      <c r="F1185" s="18" t="n">
        <f aca="false">IF('Base de Datos SADI'!U103="","",'Base de Datos SADI'!U103)</f>
        <v>130</v>
      </c>
      <c r="G1185" s="14"/>
      <c r="H1185" s="28"/>
      <c r="I1185" s="29" t="str">
        <f aca="false">IF(OR($G1185="",$G1185=0),"",IFERROR(ROUND($F1185*$G1185*(1-IF($H1185="",0,$H1185)),2),""))</f>
        <v/>
      </c>
      <c r="J1185" s="7"/>
    </row>
    <row r="1186" customFormat="false" ht="21.75" hidden="false" customHeight="true" outlineLevel="0" collapsed="false">
      <c r="B1186" s="15" t="n">
        <v>100</v>
      </c>
      <c r="C1186" s="9" t="s">
        <v>58</v>
      </c>
      <c r="D1186" s="9" t="s">
        <v>104</v>
      </c>
      <c r="E1186" s="9" t="s">
        <v>2771</v>
      </c>
      <c r="F1186" s="19" t="n">
        <f aca="false">IF('Base de Datos SADI'!U104="","",'Base de Datos SADI'!U104)</f>
        <v>190</v>
      </c>
      <c r="G1186" s="15"/>
      <c r="H1186" s="30"/>
      <c r="I1186" s="31" t="str">
        <f aca="false">IF(OR($G1186="",$G1186=0),"",IFERROR(ROUND($F1186*$G1186*(1-IF($H1186="",0,$H1186)),2),""))</f>
        <v/>
      </c>
      <c r="J1186" s="9"/>
    </row>
    <row r="1187" customFormat="false" ht="21.75" hidden="false" customHeight="true" outlineLevel="0" collapsed="false">
      <c r="B1187" s="14" t="n">
        <v>101</v>
      </c>
      <c r="C1187" s="7" t="s">
        <v>58</v>
      </c>
      <c r="D1187" s="7" t="s">
        <v>105</v>
      </c>
      <c r="E1187" s="7" t="s">
        <v>2772</v>
      </c>
      <c r="F1187" s="18" t="n">
        <f aca="false">IF('Base de Datos SADI'!U105="","",'Base de Datos SADI'!U105)</f>
        <v>55</v>
      </c>
      <c r="G1187" s="14"/>
      <c r="H1187" s="28"/>
      <c r="I1187" s="29" t="str">
        <f aca="false">IF(OR($G1187="",$G1187=0),"",IFERROR(ROUND($F1187*$G1187*(1-IF($H1187="",0,$H1187)),2),""))</f>
        <v/>
      </c>
      <c r="J1187" s="7"/>
    </row>
    <row r="1188" customFormat="false" ht="21.75" hidden="false" customHeight="true" outlineLevel="0" collapsed="false">
      <c r="B1188" s="15" t="n">
        <v>102</v>
      </c>
      <c r="C1188" s="9" t="s">
        <v>58</v>
      </c>
      <c r="D1188" s="9" t="s">
        <v>105</v>
      </c>
      <c r="E1188" s="9" t="s">
        <v>2777</v>
      </c>
      <c r="F1188" s="19" t="n">
        <f aca="false">IF('Base de Datos SADI'!U106="","",'Base de Datos SADI'!U106)</f>
        <v>80</v>
      </c>
      <c r="G1188" s="15"/>
      <c r="H1188" s="30"/>
      <c r="I1188" s="31" t="str">
        <f aca="false">IF(OR($G1188="",$G1188=0),"",IFERROR(ROUND($F1188*$G1188*(1-IF($H1188="",0,$H1188)),2),""))</f>
        <v/>
      </c>
      <c r="J1188" s="9"/>
    </row>
    <row r="1189" customFormat="false" ht="21.75" hidden="false" customHeight="true" outlineLevel="0" collapsed="false">
      <c r="B1189" s="14" t="n">
        <v>103</v>
      </c>
      <c r="C1189" s="7" t="s">
        <v>58</v>
      </c>
      <c r="D1189" s="7" t="s">
        <v>105</v>
      </c>
      <c r="E1189" s="7" t="s">
        <v>2778</v>
      </c>
      <c r="F1189" s="18" t="n">
        <f aca="false">IF('Base de Datos SADI'!U107="","",'Base de Datos SADI'!U107)</f>
        <v>110</v>
      </c>
      <c r="G1189" s="14"/>
      <c r="H1189" s="28"/>
      <c r="I1189" s="29" t="str">
        <f aca="false">IF(OR($G1189="",$G1189=0),"",IFERROR(ROUND($F1189*$G1189*(1-IF($H1189="",0,$H1189)),2),""))</f>
        <v/>
      </c>
      <c r="J1189" s="7"/>
    </row>
    <row r="1190" customFormat="false" ht="21.75" hidden="false" customHeight="true" outlineLevel="0" collapsed="false">
      <c r="B1190" s="15" t="n">
        <v>104</v>
      </c>
      <c r="C1190" s="9" t="s">
        <v>58</v>
      </c>
      <c r="D1190" s="9" t="s">
        <v>105</v>
      </c>
      <c r="E1190" s="9" t="s">
        <v>2780</v>
      </c>
      <c r="F1190" s="19" t="n">
        <f aca="false">IF('Base de Datos SADI'!U108="","",'Base de Datos SADI'!U108)</f>
        <v>165</v>
      </c>
      <c r="G1190" s="15"/>
      <c r="H1190" s="30"/>
      <c r="I1190" s="31" t="str">
        <f aca="false">IF(OR($G1190="",$G1190=0),"",IFERROR(ROUND($F1190*$G1190*(1-IF($H1190="",0,$H1190)),2),""))</f>
        <v/>
      </c>
      <c r="J1190" s="9"/>
    </row>
    <row r="1191" customFormat="false" ht="21.75" hidden="false" customHeight="true" outlineLevel="0" collapsed="false">
      <c r="B1191" s="14" t="n">
        <v>105</v>
      </c>
      <c r="C1191" s="7" t="s">
        <v>58</v>
      </c>
      <c r="D1191" s="7" t="s">
        <v>105</v>
      </c>
      <c r="E1191" s="7" t="s">
        <v>2781</v>
      </c>
      <c r="F1191" s="18" t="n">
        <f aca="false">IF('Base de Datos SADI'!U109="","",'Base de Datos SADI'!U109)</f>
        <v>240</v>
      </c>
      <c r="G1191" s="14"/>
      <c r="H1191" s="28"/>
      <c r="I1191" s="29" t="str">
        <f aca="false">IF(OR($G1191="",$G1191=0),"",IFERROR(ROUND($F1191*$G1191*(1-IF($H1191="",0,$H1191)),2),""))</f>
        <v/>
      </c>
      <c r="J1191" s="7"/>
    </row>
    <row r="1192" customFormat="false" ht="21.75" hidden="false" customHeight="true" outlineLevel="0" collapsed="false">
      <c r="B1192" s="15" t="n">
        <v>106</v>
      </c>
      <c r="C1192" s="9" t="s">
        <v>58</v>
      </c>
      <c r="D1192" s="9" t="s">
        <v>106</v>
      </c>
      <c r="E1192" s="9" t="s">
        <v>2782</v>
      </c>
      <c r="F1192" s="19" t="n">
        <f aca="false">IF('Base de Datos SADI'!U110="","",'Base de Datos SADI'!U110)</f>
        <v>500</v>
      </c>
      <c r="G1192" s="15"/>
      <c r="H1192" s="30"/>
      <c r="I1192" s="31" t="str">
        <f aca="false">IF(OR($G1192="",$G1192=0),"",IFERROR(ROUND($F1192*$G1192*(1-IF($H1192="",0,$H1192)),2),""))</f>
        <v/>
      </c>
      <c r="J1192" s="9"/>
    </row>
    <row r="1193" customFormat="false" ht="21.75" hidden="false" customHeight="true" outlineLevel="0" collapsed="false">
      <c r="B1193" s="14" t="n">
        <v>107</v>
      </c>
      <c r="C1193" s="7" t="s">
        <v>58</v>
      </c>
      <c r="D1193" s="7" t="s">
        <v>106</v>
      </c>
      <c r="E1193" s="7" t="s">
        <v>2790</v>
      </c>
      <c r="F1193" s="18" t="n">
        <f aca="false">IF('Base de Datos SADI'!U111="","",'Base de Datos SADI'!U111)</f>
        <v>750</v>
      </c>
      <c r="G1193" s="14"/>
      <c r="H1193" s="28"/>
      <c r="I1193" s="29" t="str">
        <f aca="false">IF(OR($G1193="",$G1193=0),"",IFERROR(ROUND($F1193*$G1193*(1-IF($H1193="",0,$H1193)),2),""))</f>
        <v/>
      </c>
      <c r="J1193" s="7"/>
    </row>
    <row r="1194" customFormat="false" ht="21.75" hidden="false" customHeight="true" outlineLevel="0" collapsed="false">
      <c r="B1194" s="15" t="n">
        <v>108</v>
      </c>
      <c r="C1194" s="9" t="s">
        <v>58</v>
      </c>
      <c r="D1194" s="9" t="s">
        <v>106</v>
      </c>
      <c r="E1194" s="9" t="s">
        <v>2791</v>
      </c>
      <c r="F1194" s="19" t="n">
        <f aca="false">IF('Base de Datos SADI'!U112="","",'Base de Datos SADI'!U112)</f>
        <v>1000</v>
      </c>
      <c r="G1194" s="15"/>
      <c r="H1194" s="30"/>
      <c r="I1194" s="31" t="str">
        <f aca="false">IF(OR($G1194="",$G1194=0),"",IFERROR(ROUND($F1194*$G1194*(1-IF($H1194="",0,$H1194)),2),""))</f>
        <v/>
      </c>
      <c r="J1194" s="9"/>
    </row>
    <row r="1195" customFormat="false" ht="21.75" hidden="false" customHeight="true" outlineLevel="0" collapsed="false">
      <c r="B1195" s="14" t="n">
        <v>109</v>
      </c>
      <c r="C1195" s="7" t="s">
        <v>58</v>
      </c>
      <c r="D1195" s="7" t="s">
        <v>106</v>
      </c>
      <c r="E1195" s="7" t="s">
        <v>2793</v>
      </c>
      <c r="F1195" s="18" t="n">
        <f aca="false">IF('Base de Datos SADI'!U113="","",'Base de Datos SADI'!U113)</f>
        <v>1500</v>
      </c>
      <c r="G1195" s="14"/>
      <c r="H1195" s="28"/>
      <c r="I1195" s="29" t="str">
        <f aca="false">IF(OR($G1195="",$G1195=0),"",IFERROR(ROUND($F1195*$G1195*(1-IF($H1195="",0,$H1195)),2),""))</f>
        <v/>
      </c>
      <c r="J1195" s="7"/>
    </row>
    <row r="1196" customFormat="false" ht="21.75" hidden="false" customHeight="true" outlineLevel="0" collapsed="false">
      <c r="B1196" s="15" t="n">
        <v>110</v>
      </c>
      <c r="C1196" s="9" t="s">
        <v>58</v>
      </c>
      <c r="D1196" s="9" t="s">
        <v>106</v>
      </c>
      <c r="E1196" s="9" t="s">
        <v>2794</v>
      </c>
      <c r="F1196" s="19" t="n">
        <f aca="false">IF('Base de Datos SADI'!U114="","",'Base de Datos SADI'!U114)</f>
        <v>2200</v>
      </c>
      <c r="G1196" s="15"/>
      <c r="H1196" s="30"/>
      <c r="I1196" s="31" t="str">
        <f aca="false">IF(OR($G1196="",$G1196=0),"",IFERROR(ROUND($F1196*$G1196*(1-IF($H1196="",0,$H1196)),2),""))</f>
        <v/>
      </c>
      <c r="J1196" s="9"/>
    </row>
    <row r="1197" customFormat="false" ht="21.75" hidden="false" customHeight="true" outlineLevel="0" collapsed="false">
      <c r="B1197" s="14" t="n">
        <v>111</v>
      </c>
      <c r="C1197" s="7" t="s">
        <v>58</v>
      </c>
      <c r="D1197" s="7" t="s">
        <v>107</v>
      </c>
      <c r="E1197" s="7" t="s">
        <v>2795</v>
      </c>
      <c r="F1197" s="18" t="n">
        <f aca="false">IF('Base de Datos SADI'!U115="","",'Base de Datos SADI'!U115)</f>
        <v>95</v>
      </c>
      <c r="G1197" s="14"/>
      <c r="H1197" s="28"/>
      <c r="I1197" s="29" t="str">
        <f aca="false">IF(OR($G1197="",$G1197=0),"",IFERROR(ROUND($F1197*$G1197*(1-IF($H1197="",0,$H1197)),2),""))</f>
        <v/>
      </c>
      <c r="J1197" s="7"/>
    </row>
    <row r="1198" customFormat="false" ht="21.75" hidden="false" customHeight="true" outlineLevel="0" collapsed="false">
      <c r="B1198" s="15" t="n">
        <v>112</v>
      </c>
      <c r="C1198" s="9" t="s">
        <v>58</v>
      </c>
      <c r="D1198" s="9" t="s">
        <v>107</v>
      </c>
      <c r="E1198" s="9" t="s">
        <v>2803</v>
      </c>
      <c r="F1198" s="19" t="n">
        <f aca="false">IF('Base de Datos SADI'!U116="","",'Base de Datos SADI'!U116)</f>
        <v>145</v>
      </c>
      <c r="G1198" s="15"/>
      <c r="H1198" s="30"/>
      <c r="I1198" s="31" t="str">
        <f aca="false">IF(OR($G1198="",$G1198=0),"",IFERROR(ROUND($F1198*$G1198*(1-IF($H1198="",0,$H1198)),2),""))</f>
        <v/>
      </c>
      <c r="J1198" s="9"/>
    </row>
    <row r="1199" customFormat="false" ht="21.75" hidden="false" customHeight="true" outlineLevel="0" collapsed="false">
      <c r="B1199" s="14" t="n">
        <v>113</v>
      </c>
      <c r="C1199" s="7" t="s">
        <v>58</v>
      </c>
      <c r="D1199" s="7" t="s">
        <v>107</v>
      </c>
      <c r="E1199" s="7" t="s">
        <v>2805</v>
      </c>
      <c r="F1199" s="18" t="n">
        <f aca="false">IF('Base de Datos SADI'!U117="","",'Base de Datos SADI'!U117)</f>
        <v>195</v>
      </c>
      <c r="G1199" s="14"/>
      <c r="H1199" s="28"/>
      <c r="I1199" s="29" t="str">
        <f aca="false">IF(OR($G1199="",$G1199=0),"",IFERROR(ROUND($F1199*$G1199*(1-IF($H1199="",0,$H1199)),2),""))</f>
        <v/>
      </c>
      <c r="J1199" s="7"/>
    </row>
    <row r="1200" customFormat="false" ht="21.75" hidden="false" customHeight="true" outlineLevel="0" collapsed="false">
      <c r="B1200" s="15" t="n">
        <v>114</v>
      </c>
      <c r="C1200" s="9" t="s">
        <v>58</v>
      </c>
      <c r="D1200" s="9" t="s">
        <v>107</v>
      </c>
      <c r="E1200" s="9" t="s">
        <v>2808</v>
      </c>
      <c r="F1200" s="19" t="n">
        <f aca="false">IF('Base de Datos SADI'!U118="","",'Base de Datos SADI'!U118)</f>
        <v>290</v>
      </c>
      <c r="G1200" s="15"/>
      <c r="H1200" s="30"/>
      <c r="I1200" s="31" t="str">
        <f aca="false">IF(OR($G1200="",$G1200=0),"",IFERROR(ROUND($F1200*$G1200*(1-IF($H1200="",0,$H1200)),2),""))</f>
        <v/>
      </c>
      <c r="J1200" s="9"/>
    </row>
    <row r="1201" customFormat="false" ht="21.75" hidden="false" customHeight="true" outlineLevel="0" collapsed="false">
      <c r="B1201" s="14" t="n">
        <v>115</v>
      </c>
      <c r="C1201" s="7" t="s">
        <v>58</v>
      </c>
      <c r="D1201" s="7" t="s">
        <v>107</v>
      </c>
      <c r="E1201" s="7" t="s">
        <v>2810</v>
      </c>
      <c r="F1201" s="18" t="n">
        <f aca="false">IF('Base de Datos SADI'!U119="","",'Base de Datos SADI'!U119)</f>
        <v>425</v>
      </c>
      <c r="G1201" s="14"/>
      <c r="H1201" s="28"/>
      <c r="I1201" s="29" t="str">
        <f aca="false">IF(OR($G1201="",$G1201=0),"",IFERROR(ROUND($F1201*$G1201*(1-IF($H1201="",0,$H1201)),2),""))</f>
        <v/>
      </c>
      <c r="J1201" s="7"/>
    </row>
    <row r="1202" customFormat="false" ht="21.75" hidden="false" customHeight="true" outlineLevel="0" collapsed="false">
      <c r="B1202" s="15" t="n">
        <v>116</v>
      </c>
      <c r="C1202" s="9" t="s">
        <v>58</v>
      </c>
      <c r="D1202" s="9" t="s">
        <v>108</v>
      </c>
      <c r="E1202" s="9" t="s">
        <v>2812</v>
      </c>
      <c r="F1202" s="19" t="n">
        <f aca="false">IF('Base de Datos SADI'!U120="","",'Base de Datos SADI'!U120)</f>
        <v>9</v>
      </c>
      <c r="G1202" s="15"/>
      <c r="H1202" s="30"/>
      <c r="I1202" s="31" t="str">
        <f aca="false">IF(OR($G1202="",$G1202=0),"",IFERROR(ROUND($F1202*$G1202*(1-IF($H1202="",0,$H1202)),2),""))</f>
        <v/>
      </c>
      <c r="J1202" s="9"/>
    </row>
    <row r="1203" customFormat="false" ht="21.75" hidden="false" customHeight="true" outlineLevel="0" collapsed="false">
      <c r="B1203" s="14" t="n">
        <v>117</v>
      </c>
      <c r="C1203" s="7" t="s">
        <v>58</v>
      </c>
      <c r="D1203" s="7" t="s">
        <v>108</v>
      </c>
      <c r="E1203" s="7" t="s">
        <v>2818</v>
      </c>
      <c r="F1203" s="18" t="n">
        <f aca="false">IF('Base de Datos SADI'!U121="","",'Base de Datos SADI'!U121)</f>
        <v>14</v>
      </c>
      <c r="G1203" s="14"/>
      <c r="H1203" s="28"/>
      <c r="I1203" s="29" t="str">
        <f aca="false">IF(OR($G1203="",$G1203=0),"",IFERROR(ROUND($F1203*$G1203*(1-IF($H1203="",0,$H1203)),2),""))</f>
        <v/>
      </c>
      <c r="J1203" s="7"/>
    </row>
    <row r="1204" customFormat="false" ht="21.75" hidden="false" customHeight="true" outlineLevel="0" collapsed="false">
      <c r="B1204" s="15" t="n">
        <v>118</v>
      </c>
      <c r="C1204" s="9" t="s">
        <v>58</v>
      </c>
      <c r="D1204" s="9" t="s">
        <v>108</v>
      </c>
      <c r="E1204" s="9" t="s">
        <v>2819</v>
      </c>
      <c r="F1204" s="19" t="n">
        <f aca="false">IF('Base de Datos SADI'!U122="","",'Base de Datos SADI'!U122)</f>
        <v>18</v>
      </c>
      <c r="G1204" s="15"/>
      <c r="H1204" s="30"/>
      <c r="I1204" s="31" t="str">
        <f aca="false">IF(OR($G1204="",$G1204=0),"",IFERROR(ROUND($F1204*$G1204*(1-IF($H1204="",0,$H1204)),2),""))</f>
        <v/>
      </c>
      <c r="J1204" s="9"/>
    </row>
    <row r="1205" customFormat="false" ht="21.75" hidden="false" customHeight="true" outlineLevel="0" collapsed="false">
      <c r="B1205" s="14" t="n">
        <v>119</v>
      </c>
      <c r="C1205" s="7" t="s">
        <v>58</v>
      </c>
      <c r="D1205" s="7" t="s">
        <v>108</v>
      </c>
      <c r="E1205" s="7" t="s">
        <v>2821</v>
      </c>
      <c r="F1205" s="18" t="n">
        <f aca="false">IF('Base de Datos SADI'!U123="","",'Base de Datos SADI'!U123)</f>
        <v>25</v>
      </c>
      <c r="G1205" s="14"/>
      <c r="H1205" s="28"/>
      <c r="I1205" s="29" t="str">
        <f aca="false">IF(OR($G1205="",$G1205=0),"",IFERROR(ROUND($F1205*$G1205*(1-IF($H1205="",0,$H1205)),2),""))</f>
        <v/>
      </c>
      <c r="J1205" s="7"/>
    </row>
    <row r="1206" customFormat="false" ht="21.75" hidden="false" customHeight="true" outlineLevel="0" collapsed="false">
      <c r="B1206" s="15" t="n">
        <v>120</v>
      </c>
      <c r="C1206" s="9" t="s">
        <v>58</v>
      </c>
      <c r="D1206" s="9" t="s">
        <v>108</v>
      </c>
      <c r="E1206" s="9" t="s">
        <v>2822</v>
      </c>
      <c r="F1206" s="19" t="n">
        <f aca="false">IF('Base de Datos SADI'!U124="","",'Base de Datos SADI'!U124)</f>
        <v>35</v>
      </c>
      <c r="G1206" s="15"/>
      <c r="H1206" s="30"/>
      <c r="I1206" s="31" t="str">
        <f aca="false">IF(OR($G1206="",$G1206=0),"",IFERROR(ROUND($F1206*$G1206*(1-IF($H1206="",0,$H1206)),2),""))</f>
        <v/>
      </c>
      <c r="J1206" s="9"/>
    </row>
    <row r="1207" customFormat="false" ht="21.75" hidden="false" customHeight="true" outlineLevel="0" collapsed="false">
      <c r="B1207" s="14" t="n">
        <v>121</v>
      </c>
      <c r="C1207" s="7" t="s">
        <v>79</v>
      </c>
      <c r="D1207" s="7" t="s">
        <v>93</v>
      </c>
      <c r="E1207" s="7" t="s">
        <v>2823</v>
      </c>
      <c r="F1207" s="18" t="n">
        <f aca="false">IF('Base de Datos SADI'!U125="","",'Base de Datos SADI'!U125)</f>
        <v>725</v>
      </c>
      <c r="G1207" s="14"/>
      <c r="H1207" s="28"/>
      <c r="I1207" s="29" t="str">
        <f aca="false">IF(OR($G1207="",$G1207=0),"",IFERROR(ROUND($F1207*$G1207*(1-IF($H1207="",0,$H1207)),2),""))</f>
        <v/>
      </c>
      <c r="J1207" s="7"/>
    </row>
    <row r="1208" customFormat="false" ht="21.75" hidden="false" customHeight="true" outlineLevel="0" collapsed="false">
      <c r="B1208" s="15" t="n">
        <v>122</v>
      </c>
      <c r="C1208" s="9" t="s">
        <v>79</v>
      </c>
      <c r="D1208" s="9" t="s">
        <v>93</v>
      </c>
      <c r="E1208" s="9" t="s">
        <v>2834</v>
      </c>
      <c r="F1208" s="19" t="n">
        <f aca="false">IF('Base de Datos SADI'!U126="","",'Base de Datos SADI'!U126)</f>
        <v>1085</v>
      </c>
      <c r="G1208" s="15"/>
      <c r="H1208" s="30"/>
      <c r="I1208" s="31" t="str">
        <f aca="false">IF(OR($G1208="",$G1208=0),"",IFERROR(ROUND($F1208*$G1208*(1-IF($H1208="",0,$H1208)),2),""))</f>
        <v/>
      </c>
      <c r="J1208" s="9"/>
    </row>
    <row r="1209" customFormat="false" ht="21.75" hidden="false" customHeight="true" outlineLevel="0" collapsed="false">
      <c r="B1209" s="14" t="n">
        <v>123</v>
      </c>
      <c r="C1209" s="7" t="s">
        <v>79</v>
      </c>
      <c r="D1209" s="7" t="s">
        <v>93</v>
      </c>
      <c r="E1209" s="7" t="s">
        <v>2835</v>
      </c>
      <c r="F1209" s="18" t="n">
        <f aca="false">IF('Base de Datos SADI'!U127="","",'Base de Datos SADI'!U127)</f>
        <v>1450</v>
      </c>
      <c r="G1209" s="14"/>
      <c r="H1209" s="28"/>
      <c r="I1209" s="29" t="str">
        <f aca="false">IF(OR($G1209="",$G1209=0),"",IFERROR(ROUND($F1209*$G1209*(1-IF($H1209="",0,$H1209)),2),""))</f>
        <v/>
      </c>
      <c r="J1209" s="7"/>
    </row>
    <row r="1210" customFormat="false" ht="21.75" hidden="false" customHeight="true" outlineLevel="0" collapsed="false">
      <c r="B1210" s="15" t="n">
        <v>124</v>
      </c>
      <c r="C1210" s="9" t="s">
        <v>79</v>
      </c>
      <c r="D1210" s="9" t="s">
        <v>93</v>
      </c>
      <c r="E1210" s="9" t="s">
        <v>2837</v>
      </c>
      <c r="F1210" s="19" t="n">
        <f aca="false">IF('Base de Datos SADI'!U128="","",'Base de Datos SADI'!U128)</f>
        <v>2175</v>
      </c>
      <c r="G1210" s="15"/>
      <c r="H1210" s="30"/>
      <c r="I1210" s="31" t="str">
        <f aca="false">IF(OR($G1210="",$G1210=0),"",IFERROR(ROUND($F1210*$G1210*(1-IF($H1210="",0,$H1210)),2),""))</f>
        <v/>
      </c>
      <c r="J1210" s="9"/>
    </row>
    <row r="1211" customFormat="false" ht="21.75" hidden="false" customHeight="true" outlineLevel="0" collapsed="false">
      <c r="B1211" s="14" t="n">
        <v>125</v>
      </c>
      <c r="C1211" s="7" t="s">
        <v>79</v>
      </c>
      <c r="D1211" s="7" t="s">
        <v>93</v>
      </c>
      <c r="E1211" s="7" t="s">
        <v>2838</v>
      </c>
      <c r="F1211" s="18" t="n">
        <f aca="false">IF('Base de Datos SADI'!U129="","",'Base de Datos SADI'!U129)</f>
        <v>3190</v>
      </c>
      <c r="G1211" s="14"/>
      <c r="H1211" s="28"/>
      <c r="I1211" s="29" t="str">
        <f aca="false">IF(OR($G1211="",$G1211=0),"",IFERROR(ROUND($F1211*$G1211*(1-IF($H1211="",0,$H1211)),2),""))</f>
        <v/>
      </c>
      <c r="J1211" s="7"/>
    </row>
    <row r="1212" customFormat="false" ht="21.75" hidden="false" customHeight="true" outlineLevel="0" collapsed="false">
      <c r="B1212" s="15" t="n">
        <v>126</v>
      </c>
      <c r="C1212" s="9" t="s">
        <v>79</v>
      </c>
      <c r="D1212" s="9" t="s">
        <v>94</v>
      </c>
      <c r="E1212" s="9" t="s">
        <v>2837</v>
      </c>
      <c r="F1212" s="19" t="n">
        <f aca="false">IF('Base de Datos SADI'!U130="","",'Base de Datos SADI'!U130)</f>
        <v>290</v>
      </c>
      <c r="G1212" s="15"/>
      <c r="H1212" s="30"/>
      <c r="I1212" s="31" t="str">
        <f aca="false">IF(OR($G1212="",$G1212=0),"",IFERROR(ROUND($F1212*$G1212*(1-IF($H1212="",0,$H1212)),2),""))</f>
        <v/>
      </c>
      <c r="J1212" s="9"/>
    </row>
    <row r="1213" customFormat="false" ht="21.75" hidden="false" customHeight="true" outlineLevel="0" collapsed="false">
      <c r="B1213" s="14" t="n">
        <v>127</v>
      </c>
      <c r="C1213" s="7" t="s">
        <v>79</v>
      </c>
      <c r="D1213" s="7" t="s">
        <v>94</v>
      </c>
      <c r="E1213" s="7" t="s">
        <v>2847</v>
      </c>
      <c r="F1213" s="18" t="n">
        <f aca="false">IF('Base de Datos SADI'!U131="","",'Base de Datos SADI'!U131)</f>
        <v>435</v>
      </c>
      <c r="G1213" s="14"/>
      <c r="H1213" s="28"/>
      <c r="I1213" s="29" t="str">
        <f aca="false">IF(OR($G1213="",$G1213=0),"",IFERROR(ROUND($F1213*$G1213*(1-IF($H1213="",0,$H1213)),2),""))</f>
        <v/>
      </c>
      <c r="J1213" s="7"/>
    </row>
    <row r="1214" customFormat="false" ht="21.75" hidden="false" customHeight="true" outlineLevel="0" collapsed="false">
      <c r="B1214" s="15" t="n">
        <v>128</v>
      </c>
      <c r="C1214" s="9" t="s">
        <v>79</v>
      </c>
      <c r="D1214" s="9" t="s">
        <v>94</v>
      </c>
      <c r="E1214" s="9" t="s">
        <v>2848</v>
      </c>
      <c r="F1214" s="19" t="n">
        <f aca="false">IF('Base de Datos SADI'!U132="","",'Base de Datos SADI'!U132)</f>
        <v>585</v>
      </c>
      <c r="G1214" s="15"/>
      <c r="H1214" s="30"/>
      <c r="I1214" s="31" t="str">
        <f aca="false">IF(OR($G1214="",$G1214=0),"",IFERROR(ROUND($F1214*$G1214*(1-IF($H1214="",0,$H1214)),2),""))</f>
        <v/>
      </c>
      <c r="J1214" s="9"/>
    </row>
    <row r="1215" customFormat="false" ht="21.75" hidden="false" customHeight="true" outlineLevel="0" collapsed="false">
      <c r="B1215" s="14" t="n">
        <v>129</v>
      </c>
      <c r="C1215" s="7" t="s">
        <v>79</v>
      </c>
      <c r="D1215" s="7" t="s">
        <v>94</v>
      </c>
      <c r="E1215" s="7" t="s">
        <v>2850</v>
      </c>
      <c r="F1215" s="18" t="n">
        <f aca="false">IF('Base de Datos SADI'!U133="","",'Base de Datos SADI'!U133)</f>
        <v>875</v>
      </c>
      <c r="G1215" s="14"/>
      <c r="H1215" s="28"/>
      <c r="I1215" s="29" t="str">
        <f aca="false">IF(OR($G1215="",$G1215=0),"",IFERROR(ROUND($F1215*$G1215*(1-IF($H1215="",0,$H1215)),2),""))</f>
        <v/>
      </c>
      <c r="J1215" s="7"/>
    </row>
    <row r="1216" customFormat="false" ht="21.75" hidden="false" customHeight="true" outlineLevel="0" collapsed="false">
      <c r="B1216" s="15" t="n">
        <v>130</v>
      </c>
      <c r="C1216" s="9" t="s">
        <v>79</v>
      </c>
      <c r="D1216" s="9" t="s">
        <v>94</v>
      </c>
      <c r="E1216" s="9" t="s">
        <v>2851</v>
      </c>
      <c r="F1216" s="19" t="n">
        <f aca="false">IF('Base de Datos SADI'!U134="","",'Base de Datos SADI'!U134)</f>
        <v>1285</v>
      </c>
      <c r="G1216" s="15"/>
      <c r="H1216" s="30"/>
      <c r="I1216" s="31" t="str">
        <f aca="false">IF(OR($G1216="",$G1216=0),"",IFERROR(ROUND($F1216*$G1216*(1-IF($H1216="",0,$H1216)),2),""))</f>
        <v/>
      </c>
      <c r="J1216" s="9"/>
    </row>
    <row r="1217" customFormat="false" ht="21.75" hidden="false" customHeight="true" outlineLevel="0" collapsed="false">
      <c r="B1217" s="14" t="n">
        <v>131</v>
      </c>
      <c r="C1217" s="7" t="s">
        <v>79</v>
      </c>
      <c r="D1217" s="7" t="s">
        <v>95</v>
      </c>
      <c r="E1217" s="7" t="s">
        <v>2852</v>
      </c>
      <c r="F1217" s="18" t="n">
        <f aca="false">IF('Base de Datos SADI'!U135="","",'Base de Datos SADI'!U135)</f>
        <v>16</v>
      </c>
      <c r="G1217" s="14"/>
      <c r="H1217" s="28"/>
      <c r="I1217" s="29" t="str">
        <f aca="false">IF(OR($G1217="",$G1217=0),"",IFERROR(ROUND($F1217*$G1217*(1-IF($H1217="",0,$H1217)),2),""))</f>
        <v/>
      </c>
      <c r="J1217" s="7"/>
    </row>
    <row r="1218" customFormat="false" ht="21.75" hidden="false" customHeight="true" outlineLevel="0" collapsed="false">
      <c r="B1218" s="15" t="n">
        <v>132</v>
      </c>
      <c r="C1218" s="9" t="s">
        <v>79</v>
      </c>
      <c r="D1218" s="9" t="s">
        <v>95</v>
      </c>
      <c r="E1218" s="9" t="s">
        <v>2856</v>
      </c>
      <c r="F1218" s="19" t="n">
        <f aca="false">IF('Base de Datos SADI'!U136="","",'Base de Datos SADI'!U136)</f>
        <v>20</v>
      </c>
      <c r="G1218" s="15"/>
      <c r="H1218" s="30"/>
      <c r="I1218" s="31" t="str">
        <f aca="false">IF(OR($G1218="",$G1218=0),"",IFERROR(ROUND($F1218*$G1218*(1-IF($H1218="",0,$H1218)),2),""))</f>
        <v/>
      </c>
      <c r="J1218" s="9"/>
    </row>
    <row r="1219" customFormat="false" ht="21.75" hidden="false" customHeight="true" outlineLevel="0" collapsed="false">
      <c r="B1219" s="14" t="n">
        <v>133</v>
      </c>
      <c r="C1219" s="7" t="s">
        <v>79</v>
      </c>
      <c r="D1219" s="7" t="s">
        <v>95</v>
      </c>
      <c r="E1219" s="7" t="s">
        <v>2857</v>
      </c>
      <c r="F1219" s="18" t="n">
        <f aca="false">IF('Base de Datos SADI'!U137="","",'Base de Datos SADI'!U137)</f>
        <v>30</v>
      </c>
      <c r="G1219" s="14"/>
      <c r="H1219" s="28"/>
      <c r="I1219" s="29" t="str">
        <f aca="false">IF(OR($G1219="",$G1219=0),"",IFERROR(ROUND($F1219*$G1219*(1-IF($H1219="",0,$H1219)),2),""))</f>
        <v/>
      </c>
      <c r="J1219" s="7"/>
    </row>
    <row r="1220" customFormat="false" ht="21.75" hidden="false" customHeight="true" outlineLevel="0" collapsed="false">
      <c r="B1220" s="15" t="n">
        <v>134</v>
      </c>
      <c r="C1220" s="9" t="s">
        <v>79</v>
      </c>
      <c r="D1220" s="9" t="s">
        <v>95</v>
      </c>
      <c r="E1220" s="9" t="s">
        <v>2859</v>
      </c>
      <c r="F1220" s="19" t="n">
        <f aca="false">IF('Base de Datos SADI'!U138="","",'Base de Datos SADI'!U138)</f>
        <v>45</v>
      </c>
      <c r="G1220" s="15"/>
      <c r="H1220" s="30"/>
      <c r="I1220" s="31" t="str">
        <f aca="false">IF(OR($G1220="",$G1220=0),"",IFERROR(ROUND($F1220*$G1220*(1-IF($H1220="",0,$H1220)),2),""))</f>
        <v/>
      </c>
      <c r="J1220" s="9"/>
    </row>
    <row r="1221" customFormat="false" ht="21.75" hidden="false" customHeight="true" outlineLevel="0" collapsed="false">
      <c r="B1221" s="14" t="n">
        <v>135</v>
      </c>
      <c r="C1221" s="7" t="s">
        <v>79</v>
      </c>
      <c r="D1221" s="7" t="s">
        <v>95</v>
      </c>
      <c r="E1221" s="7" t="s">
        <v>2860</v>
      </c>
      <c r="F1221" s="18" t="n">
        <f aca="false">IF('Base de Datos SADI'!U139="","",'Base de Datos SADI'!U139)</f>
        <v>70</v>
      </c>
      <c r="G1221" s="14"/>
      <c r="H1221" s="28"/>
      <c r="I1221" s="29" t="str">
        <f aca="false">IF(OR($G1221="",$G1221=0),"",IFERROR(ROUND($F1221*$G1221*(1-IF($H1221="",0,$H1221)),2),""))</f>
        <v/>
      </c>
      <c r="J1221" s="7"/>
    </row>
    <row r="1222" customFormat="false" ht="21.75" hidden="false" customHeight="true" outlineLevel="0" collapsed="false">
      <c r="B1222" s="15" t="n">
        <v>136</v>
      </c>
      <c r="C1222" s="9" t="s">
        <v>79</v>
      </c>
      <c r="D1222" s="9" t="s">
        <v>96</v>
      </c>
      <c r="E1222" s="9" t="s">
        <v>2861</v>
      </c>
      <c r="F1222" s="19" t="n">
        <f aca="false">IF('Base de Datos SADI'!U140="","",'Base de Datos SADI'!U140)</f>
        <v>30</v>
      </c>
      <c r="G1222" s="15"/>
      <c r="H1222" s="30"/>
      <c r="I1222" s="31" t="str">
        <f aca="false">IF(OR($G1222="",$G1222=0),"",IFERROR(ROUND($F1222*$G1222*(1-IF($H1222="",0,$H1222)),2),""))</f>
        <v/>
      </c>
      <c r="J1222" s="9"/>
    </row>
    <row r="1223" customFormat="false" ht="21.75" hidden="false" customHeight="true" outlineLevel="0" collapsed="false">
      <c r="B1223" s="14" t="n">
        <v>137</v>
      </c>
      <c r="C1223" s="7" t="s">
        <v>79</v>
      </c>
      <c r="D1223" s="7" t="s">
        <v>96</v>
      </c>
      <c r="E1223" s="7" t="s">
        <v>2866</v>
      </c>
      <c r="F1223" s="18" t="n">
        <f aca="false">IF('Base de Datos SADI'!U141="","",'Base de Datos SADI'!U141)</f>
        <v>50</v>
      </c>
      <c r="G1223" s="14"/>
      <c r="H1223" s="28"/>
      <c r="I1223" s="29" t="str">
        <f aca="false">IF(OR($G1223="",$G1223=0),"",IFERROR(ROUND($F1223*$G1223*(1-IF($H1223="",0,$H1223)),2),""))</f>
        <v/>
      </c>
      <c r="J1223" s="7"/>
    </row>
    <row r="1224" customFormat="false" ht="21.75" hidden="false" customHeight="true" outlineLevel="0" collapsed="false">
      <c r="B1224" s="15" t="n">
        <v>138</v>
      </c>
      <c r="C1224" s="9" t="s">
        <v>79</v>
      </c>
      <c r="D1224" s="9" t="s">
        <v>96</v>
      </c>
      <c r="E1224" s="9" t="s">
        <v>2867</v>
      </c>
      <c r="F1224" s="19" t="n">
        <f aca="false">IF('Base de Datos SADI'!U142="","",'Base de Datos SADI'!U142)</f>
        <v>65</v>
      </c>
      <c r="G1224" s="15"/>
      <c r="H1224" s="30"/>
      <c r="I1224" s="31" t="str">
        <f aca="false">IF(OR($G1224="",$G1224=0),"",IFERROR(ROUND($F1224*$G1224*(1-IF($H1224="",0,$H1224)),2),""))</f>
        <v/>
      </c>
      <c r="J1224" s="9"/>
    </row>
    <row r="1225" customFormat="false" ht="21.75" hidden="false" customHeight="true" outlineLevel="0" collapsed="false">
      <c r="B1225" s="14" t="n">
        <v>139</v>
      </c>
      <c r="C1225" s="7" t="s">
        <v>79</v>
      </c>
      <c r="D1225" s="7" t="s">
        <v>96</v>
      </c>
      <c r="E1225" s="7" t="s">
        <v>2869</v>
      </c>
      <c r="F1225" s="18" t="n">
        <f aca="false">IF('Base de Datos SADI'!U143="","",'Base de Datos SADI'!U143)</f>
        <v>100</v>
      </c>
      <c r="G1225" s="14"/>
      <c r="H1225" s="28"/>
      <c r="I1225" s="29" t="str">
        <f aca="false">IF(OR($G1225="",$G1225=0),"",IFERROR(ROUND($F1225*$G1225*(1-IF($H1225="",0,$H1225)),2),""))</f>
        <v/>
      </c>
      <c r="J1225" s="7"/>
    </row>
    <row r="1226" customFormat="false" ht="21.75" hidden="false" customHeight="true" outlineLevel="0" collapsed="false">
      <c r="B1226" s="15" t="n">
        <v>140</v>
      </c>
      <c r="C1226" s="9" t="s">
        <v>79</v>
      </c>
      <c r="D1226" s="9" t="s">
        <v>96</v>
      </c>
      <c r="E1226" s="9" t="s">
        <v>2870</v>
      </c>
      <c r="F1226" s="19" t="n">
        <f aca="false">IF('Base de Datos SADI'!U144="","",'Base de Datos SADI'!U144)</f>
        <v>145</v>
      </c>
      <c r="G1226" s="15"/>
      <c r="H1226" s="30"/>
      <c r="I1226" s="31" t="str">
        <f aca="false">IF(OR($G1226="",$G1226=0),"",IFERROR(ROUND($F1226*$G1226*(1-IF($H1226="",0,$H1226)),2),""))</f>
        <v/>
      </c>
      <c r="J1226" s="9"/>
    </row>
    <row r="1227" customFormat="false" ht="21.75" hidden="false" customHeight="true" outlineLevel="0" collapsed="false">
      <c r="B1227" s="14" t="n">
        <v>141</v>
      </c>
      <c r="C1227" s="7" t="s">
        <v>79</v>
      </c>
      <c r="D1227" s="7" t="s">
        <v>97</v>
      </c>
      <c r="E1227" s="7" t="s">
        <v>2871</v>
      </c>
      <c r="F1227" s="18" t="n">
        <f aca="false">IF('Base de Datos SADI'!U145="","",'Base de Datos SADI'!U145)</f>
        <v>30</v>
      </c>
      <c r="G1227" s="14"/>
      <c r="H1227" s="28"/>
      <c r="I1227" s="29" t="str">
        <f aca="false">IF(OR($G1227="",$G1227=0),"",IFERROR(ROUND($F1227*$G1227*(1-IF($H1227="",0,$H1227)),2),""))</f>
        <v/>
      </c>
      <c r="J1227" s="7"/>
    </row>
    <row r="1228" customFormat="false" ht="21.75" hidden="false" customHeight="true" outlineLevel="0" collapsed="false">
      <c r="B1228" s="15" t="n">
        <v>142</v>
      </c>
      <c r="C1228" s="9" t="s">
        <v>79</v>
      </c>
      <c r="D1228" s="9" t="s">
        <v>97</v>
      </c>
      <c r="E1228" s="9" t="s">
        <v>2876</v>
      </c>
      <c r="F1228" s="19" t="n">
        <f aca="false">IF('Base de Datos SADI'!U146="","",'Base de Datos SADI'!U146)</f>
        <v>45</v>
      </c>
      <c r="G1228" s="15"/>
      <c r="H1228" s="30"/>
      <c r="I1228" s="31" t="str">
        <f aca="false">IF(OR($G1228="",$G1228=0),"",IFERROR(ROUND($F1228*$G1228*(1-IF($H1228="",0,$H1228)),2),""))</f>
        <v/>
      </c>
      <c r="J1228" s="9"/>
    </row>
    <row r="1229" customFormat="false" ht="21.75" hidden="false" customHeight="true" outlineLevel="0" collapsed="false">
      <c r="B1229" s="14" t="n">
        <v>143</v>
      </c>
      <c r="C1229" s="7" t="s">
        <v>79</v>
      </c>
      <c r="D1229" s="7" t="s">
        <v>97</v>
      </c>
      <c r="E1229" s="7" t="s">
        <v>2877</v>
      </c>
      <c r="F1229" s="18" t="n">
        <f aca="false">IF('Base de Datos SADI'!U147="","",'Base de Datos SADI'!U147)</f>
        <v>60</v>
      </c>
      <c r="G1229" s="14"/>
      <c r="H1229" s="28"/>
      <c r="I1229" s="29" t="str">
        <f aca="false">IF(OR($G1229="",$G1229=0),"",IFERROR(ROUND($F1229*$G1229*(1-IF($H1229="",0,$H1229)),2),""))</f>
        <v/>
      </c>
      <c r="J1229" s="7"/>
    </row>
    <row r="1230" customFormat="false" ht="21.75" hidden="false" customHeight="true" outlineLevel="0" collapsed="false">
      <c r="B1230" s="15" t="n">
        <v>144</v>
      </c>
      <c r="C1230" s="9" t="s">
        <v>79</v>
      </c>
      <c r="D1230" s="9" t="s">
        <v>97</v>
      </c>
      <c r="E1230" s="9" t="s">
        <v>2879</v>
      </c>
      <c r="F1230" s="19" t="n">
        <f aca="false">IF('Base de Datos SADI'!U148="","",'Base de Datos SADI'!U148)</f>
        <v>95</v>
      </c>
      <c r="G1230" s="15"/>
      <c r="H1230" s="30"/>
      <c r="I1230" s="31" t="str">
        <f aca="false">IF(OR($G1230="",$G1230=0),"",IFERROR(ROUND($F1230*$G1230*(1-IF($H1230="",0,$H1230)),2),""))</f>
        <v/>
      </c>
      <c r="J1230" s="9"/>
    </row>
    <row r="1231" customFormat="false" ht="21.75" hidden="false" customHeight="true" outlineLevel="0" collapsed="false">
      <c r="B1231" s="14" t="n">
        <v>145</v>
      </c>
      <c r="C1231" s="7" t="s">
        <v>79</v>
      </c>
      <c r="D1231" s="7" t="s">
        <v>97</v>
      </c>
      <c r="E1231" s="7" t="s">
        <v>2880</v>
      </c>
      <c r="F1231" s="18" t="n">
        <f aca="false">IF('Base de Datos SADI'!U149="","",'Base de Datos SADI'!U149)</f>
        <v>140</v>
      </c>
      <c r="G1231" s="14"/>
      <c r="H1231" s="28"/>
      <c r="I1231" s="29" t="str">
        <f aca="false">IF(OR($G1231="",$G1231=0),"",IFERROR(ROUND($F1231*$G1231*(1-IF($H1231="",0,$H1231)),2),""))</f>
        <v/>
      </c>
      <c r="J1231" s="7"/>
    </row>
    <row r="1232" customFormat="false" ht="21.75" hidden="false" customHeight="true" outlineLevel="0" collapsed="false">
      <c r="B1232" s="15" t="n">
        <v>146</v>
      </c>
      <c r="C1232" s="9" t="s">
        <v>79</v>
      </c>
      <c r="D1232" s="9" t="s">
        <v>98</v>
      </c>
      <c r="E1232" s="9" t="s">
        <v>2867</v>
      </c>
      <c r="F1232" s="19" t="n">
        <f aca="false">IF('Base de Datos SADI'!U150="","",'Base de Datos SADI'!U150)</f>
        <v>35</v>
      </c>
      <c r="G1232" s="15"/>
      <c r="H1232" s="30"/>
      <c r="I1232" s="31" t="str">
        <f aca="false">IF(OR($G1232="",$G1232=0),"",IFERROR(ROUND($F1232*$G1232*(1-IF($H1232="",0,$H1232)),2),""))</f>
        <v/>
      </c>
      <c r="J1232" s="9"/>
    </row>
    <row r="1233" customFormat="false" ht="21.75" hidden="false" customHeight="true" outlineLevel="0" collapsed="false">
      <c r="B1233" s="14" t="n">
        <v>147</v>
      </c>
      <c r="C1233" s="7" t="s">
        <v>79</v>
      </c>
      <c r="D1233" s="7" t="s">
        <v>98</v>
      </c>
      <c r="E1233" s="7" t="s">
        <v>2885</v>
      </c>
      <c r="F1233" s="18" t="n">
        <f aca="false">IF('Base de Datos SADI'!U151="","",'Base de Datos SADI'!U151)</f>
        <v>55</v>
      </c>
      <c r="G1233" s="14"/>
      <c r="H1233" s="28"/>
      <c r="I1233" s="29" t="str">
        <f aca="false">IF(OR($G1233="",$G1233=0),"",IFERROR(ROUND($F1233*$G1233*(1-IF($H1233="",0,$H1233)),2),""))</f>
        <v/>
      </c>
      <c r="J1233" s="7"/>
    </row>
    <row r="1234" customFormat="false" ht="21.75" hidden="false" customHeight="true" outlineLevel="0" collapsed="false">
      <c r="B1234" s="15" t="n">
        <v>148</v>
      </c>
      <c r="C1234" s="9" t="s">
        <v>79</v>
      </c>
      <c r="D1234" s="9" t="s">
        <v>98</v>
      </c>
      <c r="E1234" s="9" t="s">
        <v>2886</v>
      </c>
      <c r="F1234" s="19" t="n">
        <f aca="false">IF('Base de Datos SADI'!U152="","",'Base de Datos SADI'!U152)</f>
        <v>75</v>
      </c>
      <c r="G1234" s="15"/>
      <c r="H1234" s="30"/>
      <c r="I1234" s="31" t="str">
        <f aca="false">IF(OR($G1234="",$G1234=0),"",IFERROR(ROUND($F1234*$G1234*(1-IF($H1234="",0,$H1234)),2),""))</f>
        <v/>
      </c>
      <c r="J1234" s="9"/>
    </row>
    <row r="1235" customFormat="false" ht="21.75" hidden="false" customHeight="true" outlineLevel="0" collapsed="false">
      <c r="B1235" s="14" t="n">
        <v>149</v>
      </c>
      <c r="C1235" s="7" t="s">
        <v>79</v>
      </c>
      <c r="D1235" s="7" t="s">
        <v>98</v>
      </c>
      <c r="E1235" s="7" t="s">
        <v>2888</v>
      </c>
      <c r="F1235" s="18" t="n">
        <f aca="false">IF('Base de Datos SADI'!U153="","",'Base de Datos SADI'!U153)</f>
        <v>115</v>
      </c>
      <c r="G1235" s="14"/>
      <c r="H1235" s="28"/>
      <c r="I1235" s="29" t="str">
        <f aca="false">IF(OR($G1235="",$G1235=0),"",IFERROR(ROUND($F1235*$G1235*(1-IF($H1235="",0,$H1235)),2),""))</f>
        <v/>
      </c>
      <c r="J1235" s="7"/>
    </row>
    <row r="1236" customFormat="false" ht="21.75" hidden="false" customHeight="true" outlineLevel="0" collapsed="false">
      <c r="B1236" s="15" t="n">
        <v>150</v>
      </c>
      <c r="C1236" s="9" t="s">
        <v>79</v>
      </c>
      <c r="D1236" s="9" t="s">
        <v>98</v>
      </c>
      <c r="E1236" s="9" t="s">
        <v>2889</v>
      </c>
      <c r="F1236" s="19" t="n">
        <f aca="false">IF('Base de Datos SADI'!U154="","",'Base de Datos SADI'!U154)</f>
        <v>170</v>
      </c>
      <c r="G1236" s="15"/>
      <c r="H1236" s="30"/>
      <c r="I1236" s="31" t="str">
        <f aca="false">IF(OR($G1236="",$G1236=0),"",IFERROR(ROUND($F1236*$G1236*(1-IF($H1236="",0,$H1236)),2),""))</f>
        <v/>
      </c>
      <c r="J1236" s="9"/>
    </row>
    <row r="1237" customFormat="false" ht="21.75" hidden="false" customHeight="true" outlineLevel="0" collapsed="false">
      <c r="B1237" s="14" t="n">
        <v>151</v>
      </c>
      <c r="C1237" s="7" t="s">
        <v>79</v>
      </c>
      <c r="D1237" s="7" t="s">
        <v>99</v>
      </c>
      <c r="E1237" s="7" t="s">
        <v>391</v>
      </c>
      <c r="F1237" s="18" t="str">
        <f aca="false">IF('Base de Datos SADI'!U155="","",'Base de Datos SADI'!U155)</f>
        <v/>
      </c>
      <c r="G1237" s="14"/>
      <c r="H1237" s="28"/>
      <c r="I1237" s="29" t="str">
        <f aca="false">IF(OR($G1237="",$G1237=0),"",IFERROR(ROUND($F1237*$G1237*(1-IF($H1237="",0,$H1237)),2),""))</f>
        <v/>
      </c>
      <c r="J1237" s="7"/>
    </row>
    <row r="1238" customFormat="false" ht="21.75" hidden="false" customHeight="true" outlineLevel="0" collapsed="false">
      <c r="B1238" s="15" t="n">
        <v>152</v>
      </c>
      <c r="C1238" s="9" t="s">
        <v>79</v>
      </c>
      <c r="D1238" s="9" t="s">
        <v>100</v>
      </c>
      <c r="E1238" s="9" t="s">
        <v>391</v>
      </c>
      <c r="F1238" s="19" t="str">
        <f aca="false">IF('Base de Datos SADI'!U156="","",'Base de Datos SADI'!U156)</f>
        <v/>
      </c>
      <c r="G1238" s="15"/>
      <c r="H1238" s="30"/>
      <c r="I1238" s="31" t="str">
        <f aca="false">IF(OR($G1238="",$G1238=0),"",IFERROR(ROUND($F1238*$G1238*(1-IF($H1238="",0,$H1238)),2),""))</f>
        <v/>
      </c>
      <c r="J1238" s="9"/>
    </row>
    <row r="1239" customFormat="false" ht="21.75" hidden="false" customHeight="true" outlineLevel="0" collapsed="false">
      <c r="B1239" s="14" t="n">
        <v>153</v>
      </c>
      <c r="C1239" s="7" t="s">
        <v>79</v>
      </c>
      <c r="D1239" s="7" t="s">
        <v>101</v>
      </c>
      <c r="E1239" s="7" t="s">
        <v>2892</v>
      </c>
      <c r="F1239" s="18" t="n">
        <f aca="false">IF('Base de Datos SADI'!U157="","",'Base de Datos SADI'!U157)</f>
        <v>260</v>
      </c>
      <c r="G1239" s="14"/>
      <c r="H1239" s="28"/>
      <c r="I1239" s="29" t="str">
        <f aca="false">IF(OR($G1239="",$G1239=0),"",IFERROR(ROUND($F1239*$G1239*(1-IF($H1239="",0,$H1239)),2),""))</f>
        <v/>
      </c>
      <c r="J1239" s="7"/>
    </row>
    <row r="1240" customFormat="false" ht="21.75" hidden="false" customHeight="true" outlineLevel="0" collapsed="false">
      <c r="B1240" s="15" t="n">
        <v>154</v>
      </c>
      <c r="C1240" s="9" t="s">
        <v>79</v>
      </c>
      <c r="D1240" s="9" t="s">
        <v>101</v>
      </c>
      <c r="E1240" s="9" t="s">
        <v>2900</v>
      </c>
      <c r="F1240" s="19" t="n">
        <f aca="false">IF('Base de Datos SADI'!U158="","",'Base de Datos SADI'!U158)</f>
        <v>390</v>
      </c>
      <c r="G1240" s="15"/>
      <c r="H1240" s="30"/>
      <c r="I1240" s="31" t="str">
        <f aca="false">IF(OR($G1240="",$G1240=0),"",IFERROR(ROUND($F1240*$G1240*(1-IF($H1240="",0,$H1240)),2),""))</f>
        <v/>
      </c>
      <c r="J1240" s="9"/>
    </row>
    <row r="1241" customFormat="false" ht="21.75" hidden="false" customHeight="true" outlineLevel="0" collapsed="false">
      <c r="B1241" s="14" t="n">
        <v>155</v>
      </c>
      <c r="C1241" s="7" t="s">
        <v>79</v>
      </c>
      <c r="D1241" s="7" t="s">
        <v>101</v>
      </c>
      <c r="E1241" s="7" t="s">
        <v>2901</v>
      </c>
      <c r="F1241" s="18" t="n">
        <f aca="false">IF('Base de Datos SADI'!U159="","",'Base de Datos SADI'!U159)</f>
        <v>520</v>
      </c>
      <c r="G1241" s="14"/>
      <c r="H1241" s="28"/>
      <c r="I1241" s="29" t="str">
        <f aca="false">IF(OR($G1241="",$G1241=0),"",IFERROR(ROUND($F1241*$G1241*(1-IF($H1241="",0,$H1241)),2),""))</f>
        <v/>
      </c>
      <c r="J1241" s="7"/>
    </row>
    <row r="1242" customFormat="false" ht="21.75" hidden="false" customHeight="true" outlineLevel="0" collapsed="false">
      <c r="B1242" s="15" t="n">
        <v>156</v>
      </c>
      <c r="C1242" s="9" t="s">
        <v>79</v>
      </c>
      <c r="D1242" s="9" t="s">
        <v>101</v>
      </c>
      <c r="E1242" s="9" t="s">
        <v>2903</v>
      </c>
      <c r="F1242" s="19" t="n">
        <f aca="false">IF('Base de Datos SADI'!U160="","",'Base de Datos SADI'!U160)</f>
        <v>780</v>
      </c>
      <c r="G1242" s="15"/>
      <c r="H1242" s="30"/>
      <c r="I1242" s="31" t="str">
        <f aca="false">IF(OR($G1242="",$G1242=0),"",IFERROR(ROUND($F1242*$G1242*(1-IF($H1242="",0,$H1242)),2),""))</f>
        <v/>
      </c>
      <c r="J1242" s="9"/>
    </row>
    <row r="1243" customFormat="false" ht="21.75" hidden="false" customHeight="true" outlineLevel="0" collapsed="false">
      <c r="B1243" s="14" t="n">
        <v>157</v>
      </c>
      <c r="C1243" s="7" t="s">
        <v>79</v>
      </c>
      <c r="D1243" s="7" t="s">
        <v>101</v>
      </c>
      <c r="E1243" s="7" t="s">
        <v>2904</v>
      </c>
      <c r="F1243" s="18" t="n">
        <f aca="false">IF('Base de Datos SADI'!U161="","",'Base de Datos SADI'!U161)</f>
        <v>1140</v>
      </c>
      <c r="G1243" s="14"/>
      <c r="H1243" s="28"/>
      <c r="I1243" s="29" t="str">
        <f aca="false">IF(OR($G1243="",$G1243=0),"",IFERROR(ROUND($F1243*$G1243*(1-IF($H1243="",0,$H1243)),2),""))</f>
        <v/>
      </c>
      <c r="J1243" s="7"/>
    </row>
    <row r="1244" customFormat="false" ht="21.75" hidden="false" customHeight="true" outlineLevel="0" collapsed="false">
      <c r="B1244" s="15" t="n">
        <v>158</v>
      </c>
      <c r="C1244" s="9" t="s">
        <v>79</v>
      </c>
      <c r="D1244" s="9" t="s">
        <v>102</v>
      </c>
      <c r="E1244" s="9" t="s">
        <v>2905</v>
      </c>
      <c r="F1244" s="19" t="n">
        <f aca="false">IF('Base de Datos SADI'!U162="","",'Base de Datos SADI'!U162)</f>
        <v>19</v>
      </c>
      <c r="G1244" s="15"/>
      <c r="H1244" s="30"/>
      <c r="I1244" s="31" t="str">
        <f aca="false">IF(OR($G1244="",$G1244=0),"",IFERROR(ROUND($F1244*$G1244*(1-IF($H1244="",0,$H1244)),2),""))</f>
        <v/>
      </c>
      <c r="J1244" s="9"/>
    </row>
    <row r="1245" customFormat="false" ht="21.75" hidden="false" customHeight="true" outlineLevel="0" collapsed="false">
      <c r="B1245" s="14" t="n">
        <v>159</v>
      </c>
      <c r="C1245" s="7" t="s">
        <v>79</v>
      </c>
      <c r="D1245" s="7" t="s">
        <v>102</v>
      </c>
      <c r="E1245" s="7" t="s">
        <v>2910</v>
      </c>
      <c r="F1245" s="18" t="n">
        <f aca="false">IF('Base de Datos SADI'!U163="","",'Base de Datos SADI'!U163)</f>
        <v>25</v>
      </c>
      <c r="G1245" s="14"/>
      <c r="H1245" s="28"/>
      <c r="I1245" s="29" t="str">
        <f aca="false">IF(OR($G1245="",$G1245=0),"",IFERROR(ROUND($F1245*$G1245*(1-IF($H1245="",0,$H1245)),2),""))</f>
        <v/>
      </c>
      <c r="J1245" s="7"/>
    </row>
    <row r="1246" customFormat="false" ht="21.75" hidden="false" customHeight="true" outlineLevel="0" collapsed="false">
      <c r="B1246" s="15" t="n">
        <v>160</v>
      </c>
      <c r="C1246" s="9" t="s">
        <v>79</v>
      </c>
      <c r="D1246" s="9" t="s">
        <v>102</v>
      </c>
      <c r="E1246" s="9" t="s">
        <v>2911</v>
      </c>
      <c r="F1246" s="19" t="n">
        <f aca="false">IF('Base de Datos SADI'!U164="","",'Base de Datos SADI'!U164)</f>
        <v>35</v>
      </c>
      <c r="G1246" s="15"/>
      <c r="H1246" s="30"/>
      <c r="I1246" s="31" t="str">
        <f aca="false">IF(OR($G1246="",$G1246=0),"",IFERROR(ROUND($F1246*$G1246*(1-IF($H1246="",0,$H1246)),2),""))</f>
        <v/>
      </c>
      <c r="J1246" s="9"/>
    </row>
    <row r="1247" customFormat="false" ht="21.75" hidden="false" customHeight="true" outlineLevel="0" collapsed="false">
      <c r="B1247" s="14" t="n">
        <v>161</v>
      </c>
      <c r="C1247" s="7" t="s">
        <v>79</v>
      </c>
      <c r="D1247" s="7" t="s">
        <v>102</v>
      </c>
      <c r="E1247" s="7" t="s">
        <v>2913</v>
      </c>
      <c r="F1247" s="18" t="n">
        <f aca="false">IF('Base de Datos SADI'!U165="","",'Base de Datos SADI'!U165)</f>
        <v>55</v>
      </c>
      <c r="G1247" s="14"/>
      <c r="H1247" s="28"/>
      <c r="I1247" s="29" t="str">
        <f aca="false">IF(OR($G1247="",$G1247=0),"",IFERROR(ROUND($F1247*$G1247*(1-IF($H1247="",0,$H1247)),2),""))</f>
        <v/>
      </c>
      <c r="J1247" s="7"/>
    </row>
    <row r="1248" customFormat="false" ht="21.75" hidden="false" customHeight="true" outlineLevel="0" collapsed="false">
      <c r="B1248" s="15" t="n">
        <v>162</v>
      </c>
      <c r="C1248" s="9" t="s">
        <v>79</v>
      </c>
      <c r="D1248" s="9" t="s">
        <v>102</v>
      </c>
      <c r="E1248" s="9" t="s">
        <v>2914</v>
      </c>
      <c r="F1248" s="19" t="n">
        <f aca="false">IF('Base de Datos SADI'!U166="","",'Base de Datos SADI'!U166)</f>
        <v>80</v>
      </c>
      <c r="G1248" s="15"/>
      <c r="H1248" s="30"/>
      <c r="I1248" s="31" t="str">
        <f aca="false">IF(OR($G1248="",$G1248=0),"",IFERROR(ROUND($F1248*$G1248*(1-IF($H1248="",0,$H1248)),2),""))</f>
        <v/>
      </c>
      <c r="J1248" s="9"/>
    </row>
    <row r="1249" customFormat="false" ht="21.75" hidden="false" customHeight="true" outlineLevel="0" collapsed="false">
      <c r="B1249" s="14" t="n">
        <v>163</v>
      </c>
      <c r="C1249" s="7" t="s">
        <v>79</v>
      </c>
      <c r="D1249" s="7" t="s">
        <v>103</v>
      </c>
      <c r="E1249" s="7" t="s">
        <v>391</v>
      </c>
      <c r="F1249" s="18" t="str">
        <f aca="false">IF('Base de Datos SADI'!U167="","",'Base de Datos SADI'!U167)</f>
        <v/>
      </c>
      <c r="G1249" s="14"/>
      <c r="H1249" s="28"/>
      <c r="I1249" s="29" t="str">
        <f aca="false">IF(OR($G1249="",$G1249=0),"",IFERROR(ROUND($F1249*$G1249*(1-IF($H1249="",0,$H1249)),2),""))</f>
        <v/>
      </c>
      <c r="J1249" s="7"/>
    </row>
    <row r="1250" customFormat="false" ht="21.75" hidden="false" customHeight="true" outlineLevel="0" collapsed="false">
      <c r="B1250" s="15" t="n">
        <v>164</v>
      </c>
      <c r="C1250" s="9" t="s">
        <v>79</v>
      </c>
      <c r="D1250" s="9" t="s">
        <v>104</v>
      </c>
      <c r="E1250" s="9" t="s">
        <v>2916</v>
      </c>
      <c r="F1250" s="19" t="n">
        <f aca="false">IF('Base de Datos SADI'!U168="","",'Base de Datos SADI'!U168)</f>
        <v>35</v>
      </c>
      <c r="G1250" s="15"/>
      <c r="H1250" s="30"/>
      <c r="I1250" s="31" t="str">
        <f aca="false">IF(OR($G1250="",$G1250=0),"",IFERROR(ROUND($F1250*$G1250*(1-IF($H1250="",0,$H1250)),2),""))</f>
        <v/>
      </c>
      <c r="J1250" s="9"/>
    </row>
    <row r="1251" customFormat="false" ht="21.75" hidden="false" customHeight="true" outlineLevel="0" collapsed="false">
      <c r="B1251" s="14" t="n">
        <v>165</v>
      </c>
      <c r="C1251" s="7" t="s">
        <v>79</v>
      </c>
      <c r="D1251" s="7" t="s">
        <v>104</v>
      </c>
      <c r="E1251" s="7" t="s">
        <v>2919</v>
      </c>
      <c r="F1251" s="18" t="n">
        <f aca="false">IF('Base de Datos SADI'!U169="","",'Base de Datos SADI'!U169)</f>
        <v>55</v>
      </c>
      <c r="G1251" s="14"/>
      <c r="H1251" s="28"/>
      <c r="I1251" s="29" t="str">
        <f aca="false">IF(OR($G1251="",$G1251=0),"",IFERROR(ROUND($F1251*$G1251*(1-IF($H1251="",0,$H1251)),2),""))</f>
        <v/>
      </c>
      <c r="J1251" s="7"/>
    </row>
    <row r="1252" customFormat="false" ht="21.75" hidden="false" customHeight="true" outlineLevel="0" collapsed="false">
      <c r="B1252" s="15" t="n">
        <v>166</v>
      </c>
      <c r="C1252" s="9" t="s">
        <v>79</v>
      </c>
      <c r="D1252" s="9" t="s">
        <v>104</v>
      </c>
      <c r="E1252" s="9" t="s">
        <v>2616</v>
      </c>
      <c r="F1252" s="19" t="n">
        <f aca="false">IF('Base de Datos SADI'!U170="","",'Base de Datos SADI'!U170)</f>
        <v>75</v>
      </c>
      <c r="G1252" s="15"/>
      <c r="H1252" s="30"/>
      <c r="I1252" s="31" t="str">
        <f aca="false">IF(OR($G1252="",$G1252=0),"",IFERROR(ROUND($F1252*$G1252*(1-IF($H1252="",0,$H1252)),2),""))</f>
        <v/>
      </c>
      <c r="J1252" s="9"/>
    </row>
    <row r="1253" customFormat="false" ht="21.75" hidden="false" customHeight="true" outlineLevel="0" collapsed="false">
      <c r="B1253" s="14" t="n">
        <v>167</v>
      </c>
      <c r="C1253" s="7" t="s">
        <v>79</v>
      </c>
      <c r="D1253" s="7" t="s">
        <v>104</v>
      </c>
      <c r="E1253" s="7" t="s">
        <v>2921</v>
      </c>
      <c r="F1253" s="18" t="n">
        <f aca="false">IF('Base de Datos SADI'!U171="","",'Base de Datos SADI'!U171)</f>
        <v>115</v>
      </c>
      <c r="G1253" s="14"/>
      <c r="H1253" s="28"/>
      <c r="I1253" s="29" t="str">
        <f aca="false">IF(OR($G1253="",$G1253=0),"",IFERROR(ROUND($F1253*$G1253*(1-IF($H1253="",0,$H1253)),2),""))</f>
        <v/>
      </c>
      <c r="J1253" s="7"/>
    </row>
    <row r="1254" customFormat="false" ht="21.75" hidden="false" customHeight="true" outlineLevel="0" collapsed="false">
      <c r="B1254" s="15" t="n">
        <v>168</v>
      </c>
      <c r="C1254" s="9" t="s">
        <v>79</v>
      </c>
      <c r="D1254" s="9" t="s">
        <v>104</v>
      </c>
      <c r="E1254" s="9" t="s">
        <v>2922</v>
      </c>
      <c r="F1254" s="19" t="n">
        <f aca="false">IF('Base de Datos SADI'!U172="","",'Base de Datos SADI'!U172)</f>
        <v>170</v>
      </c>
      <c r="G1254" s="15"/>
      <c r="H1254" s="30"/>
      <c r="I1254" s="31" t="str">
        <f aca="false">IF(OR($G1254="",$G1254=0),"",IFERROR(ROUND($F1254*$G1254*(1-IF($H1254="",0,$H1254)),2),""))</f>
        <v/>
      </c>
      <c r="J1254" s="9"/>
    </row>
    <row r="1255" customFormat="false" ht="21.75" hidden="false" customHeight="true" outlineLevel="0" collapsed="false">
      <c r="B1255" s="14" t="n">
        <v>169</v>
      </c>
      <c r="C1255" s="7" t="s">
        <v>79</v>
      </c>
      <c r="D1255" s="7" t="s">
        <v>105</v>
      </c>
      <c r="E1255" s="7" t="s">
        <v>2923</v>
      </c>
      <c r="F1255" s="18" t="n">
        <f aca="false">IF('Base de Datos SADI'!U173="","",'Base de Datos SADI'!U173)</f>
        <v>40</v>
      </c>
      <c r="G1255" s="14"/>
      <c r="H1255" s="28"/>
      <c r="I1255" s="29" t="str">
        <f aca="false">IF(OR($G1255="",$G1255=0),"",IFERROR(ROUND($F1255*$G1255*(1-IF($H1255="",0,$H1255)),2),""))</f>
        <v/>
      </c>
      <c r="J1255" s="7"/>
    </row>
    <row r="1256" customFormat="false" ht="21.75" hidden="false" customHeight="true" outlineLevel="0" collapsed="false">
      <c r="B1256" s="15" t="n">
        <v>170</v>
      </c>
      <c r="C1256" s="9" t="s">
        <v>79</v>
      </c>
      <c r="D1256" s="9" t="s">
        <v>105</v>
      </c>
      <c r="E1256" s="9" t="s">
        <v>2927</v>
      </c>
      <c r="F1256" s="19" t="n">
        <f aca="false">IF('Base de Datos SADI'!U174="","",'Base de Datos SADI'!U174)</f>
        <v>60</v>
      </c>
      <c r="G1256" s="15"/>
      <c r="H1256" s="30"/>
      <c r="I1256" s="31" t="str">
        <f aca="false">IF(OR($G1256="",$G1256=0),"",IFERROR(ROUND($F1256*$G1256*(1-IF($H1256="",0,$H1256)),2),""))</f>
        <v/>
      </c>
      <c r="J1256" s="9"/>
    </row>
    <row r="1257" customFormat="false" ht="21.75" hidden="false" customHeight="true" outlineLevel="0" collapsed="false">
      <c r="B1257" s="14" t="n">
        <v>171</v>
      </c>
      <c r="C1257" s="7" t="s">
        <v>79</v>
      </c>
      <c r="D1257" s="7" t="s">
        <v>105</v>
      </c>
      <c r="E1257" s="7" t="s">
        <v>2928</v>
      </c>
      <c r="F1257" s="18" t="n">
        <f aca="false">IF('Base de Datos SADI'!U175="","",'Base de Datos SADI'!U175)</f>
        <v>85</v>
      </c>
      <c r="G1257" s="14"/>
      <c r="H1257" s="28"/>
      <c r="I1257" s="29" t="str">
        <f aca="false">IF(OR($G1257="",$G1257=0),"",IFERROR(ROUND($F1257*$G1257*(1-IF($H1257="",0,$H1257)),2),""))</f>
        <v/>
      </c>
      <c r="J1257" s="7"/>
    </row>
    <row r="1258" customFormat="false" ht="21.75" hidden="false" customHeight="true" outlineLevel="0" collapsed="false">
      <c r="B1258" s="15" t="n">
        <v>172</v>
      </c>
      <c r="C1258" s="9" t="s">
        <v>79</v>
      </c>
      <c r="D1258" s="9" t="s">
        <v>105</v>
      </c>
      <c r="E1258" s="9" t="s">
        <v>2930</v>
      </c>
      <c r="F1258" s="19" t="n">
        <f aca="false">IF('Base de Datos SADI'!U176="","",'Base de Datos SADI'!U176)</f>
        <v>125</v>
      </c>
      <c r="G1258" s="15"/>
      <c r="H1258" s="30"/>
      <c r="I1258" s="31" t="str">
        <f aca="false">IF(OR($G1258="",$G1258=0),"",IFERROR(ROUND($F1258*$G1258*(1-IF($H1258="",0,$H1258)),2),""))</f>
        <v/>
      </c>
      <c r="J1258" s="9"/>
    </row>
    <row r="1259" customFormat="false" ht="21.75" hidden="false" customHeight="true" outlineLevel="0" collapsed="false">
      <c r="B1259" s="14" t="n">
        <v>173</v>
      </c>
      <c r="C1259" s="7" t="s">
        <v>79</v>
      </c>
      <c r="D1259" s="7" t="s">
        <v>105</v>
      </c>
      <c r="E1259" s="7" t="s">
        <v>2931</v>
      </c>
      <c r="F1259" s="18" t="n">
        <f aca="false">IF('Base de Datos SADI'!U177="","",'Base de Datos SADI'!U177)</f>
        <v>185</v>
      </c>
      <c r="G1259" s="14"/>
      <c r="H1259" s="28"/>
      <c r="I1259" s="29" t="str">
        <f aca="false">IF(OR($G1259="",$G1259=0),"",IFERROR(ROUND($F1259*$G1259*(1-IF($H1259="",0,$H1259)),2),""))</f>
        <v/>
      </c>
      <c r="J1259" s="7"/>
    </row>
    <row r="1260" customFormat="false" ht="21.75" hidden="false" customHeight="true" outlineLevel="0" collapsed="false">
      <c r="B1260" s="15" t="n">
        <v>174</v>
      </c>
      <c r="C1260" s="9" t="s">
        <v>79</v>
      </c>
      <c r="D1260" s="9" t="s">
        <v>106</v>
      </c>
      <c r="E1260" s="9" t="s">
        <v>391</v>
      </c>
      <c r="F1260" s="19" t="str">
        <f aca="false">IF('Base de Datos SADI'!U178="","",'Base de Datos SADI'!U178)</f>
        <v/>
      </c>
      <c r="G1260" s="15"/>
      <c r="H1260" s="30"/>
      <c r="I1260" s="31" t="str">
        <f aca="false">IF(OR($G1260="",$G1260=0),"",IFERROR(ROUND($F1260*$G1260*(1-IF($H1260="",0,$H1260)),2),""))</f>
        <v/>
      </c>
      <c r="J1260" s="9"/>
    </row>
    <row r="1261" customFormat="false" ht="21.75" hidden="false" customHeight="true" outlineLevel="0" collapsed="false">
      <c r="B1261" s="14" t="n">
        <v>175</v>
      </c>
      <c r="C1261" s="7" t="s">
        <v>79</v>
      </c>
      <c r="D1261" s="7" t="s">
        <v>107</v>
      </c>
      <c r="E1261" s="7" t="s">
        <v>391</v>
      </c>
      <c r="F1261" s="18" t="str">
        <f aca="false">IF('Base de Datos SADI'!U179="","",'Base de Datos SADI'!U179)</f>
        <v/>
      </c>
      <c r="G1261" s="14"/>
      <c r="H1261" s="28"/>
      <c r="I1261" s="29" t="str">
        <f aca="false">IF(OR($G1261="",$G1261=0),"",IFERROR(ROUND($F1261*$G1261*(1-IF($H1261="",0,$H1261)),2),""))</f>
        <v/>
      </c>
      <c r="J1261" s="7"/>
    </row>
    <row r="1262" customFormat="false" ht="21.75" hidden="false" customHeight="true" outlineLevel="0" collapsed="false">
      <c r="B1262" s="15" t="n">
        <v>176</v>
      </c>
      <c r="C1262" s="9" t="s">
        <v>79</v>
      </c>
      <c r="D1262" s="9" t="s">
        <v>108</v>
      </c>
      <c r="E1262" s="9" t="s">
        <v>391</v>
      </c>
      <c r="F1262" s="19" t="str">
        <f aca="false">IF('Base de Datos SADI'!U180="","",'Base de Datos SADI'!U180)</f>
        <v/>
      </c>
      <c r="G1262" s="15"/>
      <c r="H1262" s="30"/>
      <c r="I1262" s="31" t="str">
        <f aca="false">IF(OR($G1262="",$G1262=0),"",IFERROR(ROUND($F1262*$G1262*(1-IF($H1262="",0,$H1262)),2),""))</f>
        <v/>
      </c>
      <c r="J1262" s="9"/>
    </row>
    <row r="1263" customFormat="false" ht="21.75" hidden="false" customHeight="true" outlineLevel="0" collapsed="false">
      <c r="B1263" s="14" t="n">
        <v>177</v>
      </c>
      <c r="C1263" s="7" t="s">
        <v>80</v>
      </c>
      <c r="D1263" s="7" t="s">
        <v>93</v>
      </c>
      <c r="E1263" s="7" t="s">
        <v>2935</v>
      </c>
      <c r="F1263" s="18" t="n">
        <f aca="false">IF('Base de Datos SADI'!U181="","",'Base de Datos SADI'!U181)</f>
        <v>1425</v>
      </c>
      <c r="G1263" s="14"/>
      <c r="H1263" s="28"/>
      <c r="I1263" s="29" t="str">
        <f aca="false">IF(OR($G1263="",$G1263=0),"",IFERROR(ROUND($F1263*$G1263*(1-IF($H1263="",0,$H1263)),2),""))</f>
        <v/>
      </c>
      <c r="J1263" s="7"/>
    </row>
    <row r="1264" customFormat="false" ht="21.75" hidden="false" customHeight="true" outlineLevel="0" collapsed="false">
      <c r="B1264" s="15" t="n">
        <v>178</v>
      </c>
      <c r="C1264" s="9" t="s">
        <v>80</v>
      </c>
      <c r="D1264" s="9" t="s">
        <v>93</v>
      </c>
      <c r="E1264" s="9" t="s">
        <v>2948</v>
      </c>
      <c r="F1264" s="19" t="n">
        <f aca="false">IF('Base de Datos SADI'!U182="","",'Base de Datos SADI'!U182)</f>
        <v>2135</v>
      </c>
      <c r="G1264" s="15"/>
      <c r="H1264" s="30"/>
      <c r="I1264" s="31" t="str">
        <f aca="false">IF(OR($G1264="",$G1264=0),"",IFERROR(ROUND($F1264*$G1264*(1-IF($H1264="",0,$H1264)),2),""))</f>
        <v/>
      </c>
      <c r="J1264" s="9"/>
    </row>
    <row r="1265" customFormat="false" ht="21.75" hidden="false" customHeight="true" outlineLevel="0" collapsed="false">
      <c r="B1265" s="14" t="n">
        <v>179</v>
      </c>
      <c r="C1265" s="7" t="s">
        <v>80</v>
      </c>
      <c r="D1265" s="7" t="s">
        <v>93</v>
      </c>
      <c r="E1265" s="7" t="s">
        <v>2949</v>
      </c>
      <c r="F1265" s="18" t="n">
        <f aca="false">IF('Base de Datos SADI'!U183="","",'Base de Datos SADI'!U183)</f>
        <v>2850</v>
      </c>
      <c r="G1265" s="14"/>
      <c r="H1265" s="28"/>
      <c r="I1265" s="29" t="str">
        <f aca="false">IF(OR($G1265="",$G1265=0),"",IFERROR(ROUND($F1265*$G1265*(1-IF($H1265="",0,$H1265)),2),""))</f>
        <v/>
      </c>
      <c r="J1265" s="7"/>
    </row>
    <row r="1266" customFormat="false" ht="21.75" hidden="false" customHeight="true" outlineLevel="0" collapsed="false">
      <c r="B1266" s="15" t="n">
        <v>180</v>
      </c>
      <c r="C1266" s="9" t="s">
        <v>80</v>
      </c>
      <c r="D1266" s="9" t="s">
        <v>93</v>
      </c>
      <c r="E1266" s="9" t="s">
        <v>2951</v>
      </c>
      <c r="F1266" s="19" t="n">
        <f aca="false">IF('Base de Datos SADI'!U184="","",'Base de Datos SADI'!U184)</f>
        <v>4275</v>
      </c>
      <c r="G1266" s="15"/>
      <c r="H1266" s="30"/>
      <c r="I1266" s="31" t="str">
        <f aca="false">IF(OR($G1266="",$G1266=0),"",IFERROR(ROUND($F1266*$G1266*(1-IF($H1266="",0,$H1266)),2),""))</f>
        <v/>
      </c>
      <c r="J1266" s="9"/>
    </row>
    <row r="1267" customFormat="false" ht="21.75" hidden="false" customHeight="true" outlineLevel="0" collapsed="false">
      <c r="B1267" s="14" t="n">
        <v>181</v>
      </c>
      <c r="C1267" s="7" t="s">
        <v>80</v>
      </c>
      <c r="D1267" s="7" t="s">
        <v>93</v>
      </c>
      <c r="E1267" s="7" t="s">
        <v>2952</v>
      </c>
      <c r="F1267" s="18" t="n">
        <f aca="false">IF('Base de Datos SADI'!U185="","",'Base de Datos SADI'!U185)</f>
        <v>6270</v>
      </c>
      <c r="G1267" s="14"/>
      <c r="H1267" s="28"/>
      <c r="I1267" s="29" t="str">
        <f aca="false">IF(OR($G1267="",$G1267=0),"",IFERROR(ROUND($F1267*$G1267*(1-IF($H1267="",0,$H1267)),2),""))</f>
        <v/>
      </c>
      <c r="J1267" s="7"/>
    </row>
    <row r="1268" customFormat="false" ht="21.75" hidden="false" customHeight="true" outlineLevel="0" collapsed="false">
      <c r="B1268" s="15" t="n">
        <v>182</v>
      </c>
      <c r="C1268" s="9" t="s">
        <v>80</v>
      </c>
      <c r="D1268" s="9" t="s">
        <v>94</v>
      </c>
      <c r="E1268" s="9" t="s">
        <v>2953</v>
      </c>
      <c r="F1268" s="19" t="n">
        <f aca="false">IF('Base de Datos SADI'!U186="","",'Base de Datos SADI'!U186)</f>
        <v>320</v>
      </c>
      <c r="G1268" s="15"/>
      <c r="H1268" s="30"/>
      <c r="I1268" s="31" t="str">
        <f aca="false">IF(OR($G1268="",$G1268=0),"",IFERROR(ROUND($F1268*$G1268*(1-IF($H1268="",0,$H1268)),2),""))</f>
        <v/>
      </c>
      <c r="J1268" s="9"/>
    </row>
    <row r="1269" customFormat="false" ht="21.75" hidden="false" customHeight="true" outlineLevel="0" collapsed="false">
      <c r="B1269" s="14" t="n">
        <v>183</v>
      </c>
      <c r="C1269" s="7" t="s">
        <v>80</v>
      </c>
      <c r="D1269" s="7" t="s">
        <v>94</v>
      </c>
      <c r="E1269" s="7" t="s">
        <v>2961</v>
      </c>
      <c r="F1269" s="18" t="n">
        <f aca="false">IF('Base de Datos SADI'!U187="","",'Base de Datos SADI'!U187)</f>
        <v>480</v>
      </c>
      <c r="G1269" s="14"/>
      <c r="H1269" s="28"/>
      <c r="I1269" s="29" t="str">
        <f aca="false">IF(OR($G1269="",$G1269=0),"",IFERROR(ROUND($F1269*$G1269*(1-IF($H1269="",0,$H1269)),2),""))</f>
        <v/>
      </c>
      <c r="J1269" s="7"/>
    </row>
    <row r="1270" customFormat="false" ht="21.75" hidden="false" customHeight="true" outlineLevel="0" collapsed="false">
      <c r="B1270" s="15" t="n">
        <v>184</v>
      </c>
      <c r="C1270" s="9" t="s">
        <v>80</v>
      </c>
      <c r="D1270" s="9" t="s">
        <v>94</v>
      </c>
      <c r="E1270" s="9" t="s">
        <v>2962</v>
      </c>
      <c r="F1270" s="19" t="n">
        <f aca="false">IF('Base de Datos SADI'!U188="","",'Base de Datos SADI'!U188)</f>
        <v>640</v>
      </c>
      <c r="G1270" s="15"/>
      <c r="H1270" s="30"/>
      <c r="I1270" s="31" t="str">
        <f aca="false">IF(OR($G1270="",$G1270=0),"",IFERROR(ROUND($F1270*$G1270*(1-IF($H1270="",0,$H1270)),2),""))</f>
        <v/>
      </c>
      <c r="J1270" s="9"/>
    </row>
    <row r="1271" customFormat="false" ht="21.75" hidden="false" customHeight="true" outlineLevel="0" collapsed="false">
      <c r="B1271" s="14" t="n">
        <v>185</v>
      </c>
      <c r="C1271" s="7" t="s">
        <v>80</v>
      </c>
      <c r="D1271" s="7" t="s">
        <v>94</v>
      </c>
      <c r="E1271" s="7" t="s">
        <v>2964</v>
      </c>
      <c r="F1271" s="18" t="n">
        <f aca="false">IF('Base de Datos SADI'!U189="","",'Base de Datos SADI'!U189)</f>
        <v>960</v>
      </c>
      <c r="G1271" s="14"/>
      <c r="H1271" s="28"/>
      <c r="I1271" s="29" t="str">
        <f aca="false">IF(OR($G1271="",$G1271=0),"",IFERROR(ROUND($F1271*$G1271*(1-IF($H1271="",0,$H1271)),2),""))</f>
        <v/>
      </c>
      <c r="J1271" s="7"/>
    </row>
    <row r="1272" customFormat="false" ht="21.75" hidden="false" customHeight="true" outlineLevel="0" collapsed="false">
      <c r="B1272" s="15" t="n">
        <v>186</v>
      </c>
      <c r="C1272" s="9" t="s">
        <v>80</v>
      </c>
      <c r="D1272" s="9" t="s">
        <v>94</v>
      </c>
      <c r="E1272" s="9" t="s">
        <v>2965</v>
      </c>
      <c r="F1272" s="19" t="n">
        <f aca="false">IF('Base de Datos SADI'!U190="","",'Base de Datos SADI'!U190)</f>
        <v>1405</v>
      </c>
      <c r="G1272" s="15"/>
      <c r="H1272" s="30"/>
      <c r="I1272" s="31" t="str">
        <f aca="false">IF(OR($G1272="",$G1272=0),"",IFERROR(ROUND($F1272*$G1272*(1-IF($H1272="",0,$H1272)),2),""))</f>
        <v/>
      </c>
      <c r="J1272" s="9"/>
    </row>
    <row r="1273" customFormat="false" ht="21.75" hidden="false" customHeight="true" outlineLevel="0" collapsed="false">
      <c r="B1273" s="14" t="n">
        <v>187</v>
      </c>
      <c r="C1273" s="7" t="s">
        <v>80</v>
      </c>
      <c r="D1273" s="7" t="s">
        <v>95</v>
      </c>
      <c r="E1273" s="7" t="s">
        <v>391</v>
      </c>
      <c r="F1273" s="18" t="str">
        <f aca="false">IF('Base de Datos SADI'!U191="","",'Base de Datos SADI'!U191)</f>
        <v/>
      </c>
      <c r="G1273" s="14"/>
      <c r="H1273" s="28"/>
      <c r="I1273" s="29" t="str">
        <f aca="false">IF(OR($G1273="",$G1273=0),"",IFERROR(ROUND($F1273*$G1273*(1-IF($H1273="",0,$H1273)),2),""))</f>
        <v/>
      </c>
      <c r="J1273" s="7"/>
    </row>
    <row r="1274" customFormat="false" ht="21.75" hidden="false" customHeight="true" outlineLevel="0" collapsed="false">
      <c r="B1274" s="15" t="n">
        <v>188</v>
      </c>
      <c r="C1274" s="9" t="s">
        <v>80</v>
      </c>
      <c r="D1274" s="9" t="s">
        <v>96</v>
      </c>
      <c r="E1274" s="9" t="s">
        <v>2967</v>
      </c>
      <c r="F1274" s="19" t="n">
        <f aca="false">IF('Base de Datos SADI'!U192="","",'Base de Datos SADI'!U192)</f>
        <v>35</v>
      </c>
      <c r="G1274" s="15"/>
      <c r="H1274" s="30"/>
      <c r="I1274" s="31" t="str">
        <f aca="false">IF(OR($G1274="",$G1274=0),"",IFERROR(ROUND($F1274*$G1274*(1-IF($H1274="",0,$H1274)),2),""))</f>
        <v/>
      </c>
      <c r="J1274" s="9"/>
    </row>
    <row r="1275" customFormat="false" ht="21.75" hidden="false" customHeight="true" outlineLevel="0" collapsed="false">
      <c r="B1275" s="14" t="n">
        <v>189</v>
      </c>
      <c r="C1275" s="7" t="s">
        <v>80</v>
      </c>
      <c r="D1275" s="7" t="s">
        <v>96</v>
      </c>
      <c r="E1275" s="7" t="s">
        <v>2971</v>
      </c>
      <c r="F1275" s="18" t="n">
        <f aca="false">IF('Base de Datos SADI'!U193="","",'Base de Datos SADI'!U193)</f>
        <v>55</v>
      </c>
      <c r="G1275" s="14"/>
      <c r="H1275" s="28"/>
      <c r="I1275" s="29" t="str">
        <f aca="false">IF(OR($G1275="",$G1275=0),"",IFERROR(ROUND($F1275*$G1275*(1-IF($H1275="",0,$H1275)),2),""))</f>
        <v/>
      </c>
      <c r="J1275" s="7"/>
    </row>
    <row r="1276" customFormat="false" ht="21.75" hidden="false" customHeight="true" outlineLevel="0" collapsed="false">
      <c r="B1276" s="15" t="n">
        <v>190</v>
      </c>
      <c r="C1276" s="9" t="s">
        <v>80</v>
      </c>
      <c r="D1276" s="9" t="s">
        <v>96</v>
      </c>
      <c r="E1276" s="9" t="s">
        <v>2972</v>
      </c>
      <c r="F1276" s="19" t="n">
        <f aca="false">IF('Base de Datos SADI'!U194="","",'Base de Datos SADI'!U194)</f>
        <v>75</v>
      </c>
      <c r="G1276" s="15"/>
      <c r="H1276" s="30"/>
      <c r="I1276" s="31" t="str">
        <f aca="false">IF(OR($G1276="",$G1276=0),"",IFERROR(ROUND($F1276*$G1276*(1-IF($H1276="",0,$H1276)),2),""))</f>
        <v/>
      </c>
      <c r="J1276" s="9"/>
    </row>
    <row r="1277" customFormat="false" ht="21.75" hidden="false" customHeight="true" outlineLevel="0" collapsed="false">
      <c r="B1277" s="14" t="n">
        <v>191</v>
      </c>
      <c r="C1277" s="7" t="s">
        <v>80</v>
      </c>
      <c r="D1277" s="7" t="s">
        <v>96</v>
      </c>
      <c r="E1277" s="7" t="s">
        <v>2974</v>
      </c>
      <c r="F1277" s="18" t="n">
        <f aca="false">IF('Base de Datos SADI'!U195="","",'Base de Datos SADI'!U195)</f>
        <v>115</v>
      </c>
      <c r="G1277" s="14"/>
      <c r="H1277" s="28"/>
      <c r="I1277" s="29" t="str">
        <f aca="false">IF(OR($G1277="",$G1277=0),"",IFERROR(ROUND($F1277*$G1277*(1-IF($H1277="",0,$H1277)),2),""))</f>
        <v/>
      </c>
      <c r="J1277" s="7"/>
    </row>
    <row r="1278" customFormat="false" ht="21.75" hidden="false" customHeight="true" outlineLevel="0" collapsed="false">
      <c r="B1278" s="15" t="n">
        <v>192</v>
      </c>
      <c r="C1278" s="9" t="s">
        <v>80</v>
      </c>
      <c r="D1278" s="9" t="s">
        <v>96</v>
      </c>
      <c r="E1278" s="9" t="s">
        <v>2975</v>
      </c>
      <c r="F1278" s="19" t="n">
        <f aca="false">IF('Base de Datos SADI'!U196="","",'Base de Datos SADI'!U196)</f>
        <v>170</v>
      </c>
      <c r="G1278" s="15"/>
      <c r="H1278" s="30"/>
      <c r="I1278" s="31" t="str">
        <f aca="false">IF(OR($G1278="",$G1278=0),"",IFERROR(ROUND($F1278*$G1278*(1-IF($H1278="",0,$H1278)),2),""))</f>
        <v/>
      </c>
      <c r="J1278" s="9"/>
    </row>
    <row r="1279" customFormat="false" ht="21.75" hidden="false" customHeight="true" outlineLevel="0" collapsed="false">
      <c r="B1279" s="14" t="n">
        <v>193</v>
      </c>
      <c r="C1279" s="7" t="s">
        <v>80</v>
      </c>
      <c r="D1279" s="7" t="s">
        <v>97</v>
      </c>
      <c r="E1279" s="7" t="s">
        <v>2976</v>
      </c>
      <c r="F1279" s="18" t="n">
        <f aca="false">IF('Base de Datos SADI'!U197="","",'Base de Datos SADI'!U197)</f>
        <v>35</v>
      </c>
      <c r="G1279" s="14"/>
      <c r="H1279" s="28"/>
      <c r="I1279" s="29" t="str">
        <f aca="false">IF(OR($G1279="",$G1279=0),"",IFERROR(ROUND($F1279*$G1279*(1-IF($H1279="",0,$H1279)),2),""))</f>
        <v/>
      </c>
      <c r="J1279" s="7"/>
    </row>
    <row r="1280" customFormat="false" ht="21.75" hidden="false" customHeight="true" outlineLevel="0" collapsed="false">
      <c r="B1280" s="15" t="n">
        <v>194</v>
      </c>
      <c r="C1280" s="9" t="s">
        <v>80</v>
      </c>
      <c r="D1280" s="9" t="s">
        <v>97</v>
      </c>
      <c r="E1280" s="9" t="s">
        <v>2979</v>
      </c>
      <c r="F1280" s="19" t="n">
        <f aca="false">IF('Base de Datos SADI'!U198="","",'Base de Datos SADI'!U198)</f>
        <v>55</v>
      </c>
      <c r="G1280" s="15"/>
      <c r="H1280" s="30"/>
      <c r="I1280" s="31" t="str">
        <f aca="false">IF(OR($G1280="",$G1280=0),"",IFERROR(ROUND($F1280*$G1280*(1-IF($H1280="",0,$H1280)),2),""))</f>
        <v/>
      </c>
      <c r="J1280" s="9"/>
    </row>
    <row r="1281" customFormat="false" ht="21.75" hidden="false" customHeight="true" outlineLevel="0" collapsed="false">
      <c r="B1281" s="14" t="n">
        <v>195</v>
      </c>
      <c r="C1281" s="7" t="s">
        <v>80</v>
      </c>
      <c r="D1281" s="7" t="s">
        <v>97</v>
      </c>
      <c r="E1281" s="7" t="s">
        <v>2980</v>
      </c>
      <c r="F1281" s="18" t="n">
        <f aca="false">IF('Base de Datos SADI'!U199="","",'Base de Datos SADI'!U199)</f>
        <v>75</v>
      </c>
      <c r="G1281" s="14"/>
      <c r="H1281" s="28"/>
      <c r="I1281" s="29" t="str">
        <f aca="false">IF(OR($G1281="",$G1281=0),"",IFERROR(ROUND($F1281*$G1281*(1-IF($H1281="",0,$H1281)),2),""))</f>
        <v/>
      </c>
      <c r="J1281" s="7"/>
    </row>
    <row r="1282" customFormat="false" ht="21.75" hidden="false" customHeight="true" outlineLevel="0" collapsed="false">
      <c r="B1282" s="15" t="n">
        <v>196</v>
      </c>
      <c r="C1282" s="9" t="s">
        <v>80</v>
      </c>
      <c r="D1282" s="9" t="s">
        <v>97</v>
      </c>
      <c r="E1282" s="9" t="s">
        <v>2982</v>
      </c>
      <c r="F1282" s="19" t="n">
        <f aca="false">IF('Base de Datos SADI'!U200="","",'Base de Datos SADI'!U200)</f>
        <v>110</v>
      </c>
      <c r="G1282" s="15"/>
      <c r="H1282" s="30"/>
      <c r="I1282" s="31" t="str">
        <f aca="false">IF(OR($G1282="",$G1282=0),"",IFERROR(ROUND($F1282*$G1282*(1-IF($H1282="",0,$H1282)),2),""))</f>
        <v/>
      </c>
      <c r="J1282" s="9"/>
    </row>
    <row r="1283" customFormat="false" ht="21.75" hidden="false" customHeight="true" outlineLevel="0" collapsed="false">
      <c r="B1283" s="14" t="n">
        <v>197</v>
      </c>
      <c r="C1283" s="7" t="s">
        <v>80</v>
      </c>
      <c r="D1283" s="7" t="s">
        <v>97</v>
      </c>
      <c r="E1283" s="7" t="s">
        <v>2983</v>
      </c>
      <c r="F1283" s="18" t="n">
        <f aca="false">IF('Base de Datos SADI'!U201="","",'Base de Datos SADI'!U201)</f>
        <v>165</v>
      </c>
      <c r="G1283" s="14"/>
      <c r="H1283" s="28"/>
      <c r="I1283" s="29" t="str">
        <f aca="false">IF(OR($G1283="",$G1283=0),"",IFERROR(ROUND($F1283*$G1283*(1-IF($H1283="",0,$H1283)),2),""))</f>
        <v/>
      </c>
      <c r="J1283" s="7"/>
    </row>
    <row r="1284" customFormat="false" ht="21.75" hidden="false" customHeight="true" outlineLevel="0" collapsed="false">
      <c r="B1284" s="15" t="n">
        <v>198</v>
      </c>
      <c r="C1284" s="9" t="s">
        <v>80</v>
      </c>
      <c r="D1284" s="9" t="s">
        <v>98</v>
      </c>
      <c r="E1284" s="9" t="s">
        <v>2971</v>
      </c>
      <c r="F1284" s="19" t="n">
        <f aca="false">IF('Base de Datos SADI'!U202="","",'Base de Datos SADI'!U202)</f>
        <v>40</v>
      </c>
      <c r="G1284" s="15"/>
      <c r="H1284" s="30"/>
      <c r="I1284" s="31" t="str">
        <f aca="false">IF(OR($G1284="",$G1284=0),"",IFERROR(ROUND($F1284*$G1284*(1-IF($H1284="",0,$H1284)),2),""))</f>
        <v/>
      </c>
      <c r="J1284" s="9"/>
    </row>
    <row r="1285" customFormat="false" ht="21.75" hidden="false" customHeight="true" outlineLevel="0" collapsed="false">
      <c r="B1285" s="14" t="n">
        <v>199</v>
      </c>
      <c r="C1285" s="7" t="s">
        <v>80</v>
      </c>
      <c r="D1285" s="7" t="s">
        <v>98</v>
      </c>
      <c r="E1285" s="7" t="s">
        <v>2987</v>
      </c>
      <c r="F1285" s="18" t="n">
        <f aca="false">IF('Base de Datos SADI'!U203="","",'Base de Datos SADI'!U203)</f>
        <v>65</v>
      </c>
      <c r="G1285" s="14"/>
      <c r="H1285" s="28"/>
      <c r="I1285" s="29" t="str">
        <f aca="false">IF(OR($G1285="",$G1285=0),"",IFERROR(ROUND($F1285*$G1285*(1-IF($H1285="",0,$H1285)),2),""))</f>
        <v/>
      </c>
      <c r="J1285" s="7"/>
    </row>
    <row r="1286" customFormat="false" ht="21.75" hidden="false" customHeight="true" outlineLevel="0" collapsed="false">
      <c r="B1286" s="15" t="n">
        <v>200</v>
      </c>
      <c r="C1286" s="9" t="s">
        <v>80</v>
      </c>
      <c r="D1286" s="9" t="s">
        <v>98</v>
      </c>
      <c r="E1286" s="9" t="s">
        <v>2974</v>
      </c>
      <c r="F1286" s="19" t="n">
        <f aca="false">IF('Base de Datos SADI'!U204="","",'Base de Datos SADI'!U204)</f>
        <v>85</v>
      </c>
      <c r="G1286" s="15"/>
      <c r="H1286" s="30"/>
      <c r="I1286" s="31" t="str">
        <f aca="false">IF(OR($G1286="",$G1286=0),"",IFERROR(ROUND($F1286*$G1286*(1-IF($H1286="",0,$H1286)),2),""))</f>
        <v/>
      </c>
      <c r="J1286" s="9"/>
    </row>
    <row r="1287" customFormat="false" ht="21.75" hidden="false" customHeight="true" outlineLevel="0" collapsed="false">
      <c r="B1287" s="14" t="n">
        <v>201</v>
      </c>
      <c r="C1287" s="7" t="s">
        <v>80</v>
      </c>
      <c r="D1287" s="7" t="s">
        <v>98</v>
      </c>
      <c r="E1287" s="7" t="s">
        <v>2989</v>
      </c>
      <c r="F1287" s="18" t="n">
        <f aca="false">IF('Base de Datos SADI'!U205="","",'Base de Datos SADI'!U205)</f>
        <v>130</v>
      </c>
      <c r="G1287" s="14"/>
      <c r="H1287" s="28"/>
      <c r="I1287" s="29" t="str">
        <f aca="false">IF(OR($G1287="",$G1287=0),"",IFERROR(ROUND($F1287*$G1287*(1-IF($H1287="",0,$H1287)),2),""))</f>
        <v/>
      </c>
      <c r="J1287" s="7"/>
    </row>
    <row r="1288" customFormat="false" ht="21.75" hidden="false" customHeight="true" outlineLevel="0" collapsed="false">
      <c r="B1288" s="15" t="n">
        <v>202</v>
      </c>
      <c r="C1288" s="9" t="s">
        <v>80</v>
      </c>
      <c r="D1288" s="9" t="s">
        <v>98</v>
      </c>
      <c r="E1288" s="9" t="s">
        <v>2990</v>
      </c>
      <c r="F1288" s="19" t="n">
        <f aca="false">IF('Base de Datos SADI'!U206="","",'Base de Datos SADI'!U206)</f>
        <v>190</v>
      </c>
      <c r="G1288" s="15"/>
      <c r="H1288" s="30"/>
      <c r="I1288" s="31" t="str">
        <f aca="false">IF(OR($G1288="",$G1288=0),"",IFERROR(ROUND($F1288*$G1288*(1-IF($H1288="",0,$H1288)),2),""))</f>
        <v/>
      </c>
      <c r="J1288" s="9"/>
    </row>
    <row r="1289" customFormat="false" ht="21.75" hidden="false" customHeight="true" outlineLevel="0" collapsed="false">
      <c r="B1289" s="14" t="n">
        <v>203</v>
      </c>
      <c r="C1289" s="7" t="s">
        <v>80</v>
      </c>
      <c r="D1289" s="7" t="s">
        <v>99</v>
      </c>
      <c r="E1289" s="7" t="s">
        <v>391</v>
      </c>
      <c r="F1289" s="18" t="str">
        <f aca="false">IF('Base de Datos SADI'!U207="","",'Base de Datos SADI'!U207)</f>
        <v/>
      </c>
      <c r="G1289" s="14"/>
      <c r="H1289" s="28"/>
      <c r="I1289" s="29" t="str">
        <f aca="false">IF(OR($G1289="",$G1289=0),"",IFERROR(ROUND($F1289*$G1289*(1-IF($H1289="",0,$H1289)),2),""))</f>
        <v/>
      </c>
      <c r="J1289" s="7"/>
    </row>
    <row r="1290" customFormat="false" ht="21.75" hidden="false" customHeight="true" outlineLevel="0" collapsed="false">
      <c r="B1290" s="15" t="n">
        <v>204</v>
      </c>
      <c r="C1290" s="9" t="s">
        <v>80</v>
      </c>
      <c r="D1290" s="9" t="s">
        <v>100</v>
      </c>
      <c r="E1290" s="9" t="s">
        <v>391</v>
      </c>
      <c r="F1290" s="19" t="str">
        <f aca="false">IF('Base de Datos SADI'!U208="","",'Base de Datos SADI'!U208)</f>
        <v/>
      </c>
      <c r="G1290" s="15"/>
      <c r="H1290" s="30"/>
      <c r="I1290" s="31" t="str">
        <f aca="false">IF(OR($G1290="",$G1290=0),"",IFERROR(ROUND($F1290*$G1290*(1-IF($H1290="",0,$H1290)),2),""))</f>
        <v/>
      </c>
      <c r="J1290" s="9"/>
    </row>
    <row r="1291" customFormat="false" ht="21.75" hidden="false" customHeight="true" outlineLevel="0" collapsed="false">
      <c r="B1291" s="14" t="n">
        <v>205</v>
      </c>
      <c r="C1291" s="7" t="s">
        <v>80</v>
      </c>
      <c r="D1291" s="7" t="s">
        <v>101</v>
      </c>
      <c r="E1291" s="7" t="s">
        <v>391</v>
      </c>
      <c r="F1291" s="18" t="str">
        <f aca="false">IF('Base de Datos SADI'!U209="","",'Base de Datos SADI'!U209)</f>
        <v/>
      </c>
      <c r="G1291" s="14"/>
      <c r="H1291" s="28"/>
      <c r="I1291" s="29" t="str">
        <f aca="false">IF(OR($G1291="",$G1291=0),"",IFERROR(ROUND($F1291*$G1291*(1-IF($H1291="",0,$H1291)),2),""))</f>
        <v/>
      </c>
      <c r="J1291" s="7"/>
    </row>
    <row r="1292" customFormat="false" ht="21.75" hidden="false" customHeight="true" outlineLevel="0" collapsed="false">
      <c r="B1292" s="15" t="n">
        <v>206</v>
      </c>
      <c r="C1292" s="9" t="s">
        <v>80</v>
      </c>
      <c r="D1292" s="9" t="s">
        <v>102</v>
      </c>
      <c r="E1292" s="9" t="s">
        <v>2994</v>
      </c>
      <c r="F1292" s="19" t="n">
        <f aca="false">IF('Base de Datos SADI'!U210="","",'Base de Datos SADI'!U210)</f>
        <v>35</v>
      </c>
      <c r="G1292" s="15"/>
      <c r="H1292" s="30"/>
      <c r="I1292" s="31" t="str">
        <f aca="false">IF(OR($G1292="",$G1292=0),"",IFERROR(ROUND($F1292*$G1292*(1-IF($H1292="",0,$H1292)),2),""))</f>
        <v/>
      </c>
      <c r="J1292" s="9"/>
    </row>
    <row r="1293" customFormat="false" ht="21.75" hidden="false" customHeight="true" outlineLevel="0" collapsed="false">
      <c r="B1293" s="14" t="n">
        <v>207</v>
      </c>
      <c r="C1293" s="7" t="s">
        <v>80</v>
      </c>
      <c r="D1293" s="7" t="s">
        <v>102</v>
      </c>
      <c r="E1293" s="7" t="s">
        <v>2998</v>
      </c>
      <c r="F1293" s="18" t="n">
        <f aca="false">IF('Base de Datos SADI'!U211="","",'Base de Datos SADI'!U211)</f>
        <v>50</v>
      </c>
      <c r="G1293" s="14"/>
      <c r="H1293" s="28"/>
      <c r="I1293" s="29" t="str">
        <f aca="false">IF(OR($G1293="",$G1293=0),"",IFERROR(ROUND($F1293*$G1293*(1-IF($H1293="",0,$H1293)),2),""))</f>
        <v/>
      </c>
      <c r="J1293" s="7"/>
    </row>
    <row r="1294" customFormat="false" ht="21.75" hidden="false" customHeight="true" outlineLevel="0" collapsed="false">
      <c r="B1294" s="15" t="n">
        <v>208</v>
      </c>
      <c r="C1294" s="9" t="s">
        <v>80</v>
      </c>
      <c r="D1294" s="9" t="s">
        <v>102</v>
      </c>
      <c r="E1294" s="9" t="s">
        <v>2999</v>
      </c>
      <c r="F1294" s="19" t="n">
        <f aca="false">IF('Base de Datos SADI'!U212="","",'Base de Datos SADI'!U212)</f>
        <v>70</v>
      </c>
      <c r="G1294" s="15"/>
      <c r="H1294" s="30"/>
      <c r="I1294" s="31" t="str">
        <f aca="false">IF(OR($G1294="",$G1294=0),"",IFERROR(ROUND($F1294*$G1294*(1-IF($H1294="",0,$H1294)),2),""))</f>
        <v/>
      </c>
      <c r="J1294" s="9"/>
    </row>
    <row r="1295" customFormat="false" ht="21.75" hidden="false" customHeight="true" outlineLevel="0" collapsed="false">
      <c r="B1295" s="14" t="n">
        <v>209</v>
      </c>
      <c r="C1295" s="7" t="s">
        <v>80</v>
      </c>
      <c r="D1295" s="7" t="s">
        <v>102</v>
      </c>
      <c r="E1295" s="7" t="s">
        <v>3001</v>
      </c>
      <c r="F1295" s="18" t="n">
        <f aca="false">IF('Base de Datos SADI'!U213="","",'Base de Datos SADI'!U213)</f>
        <v>105</v>
      </c>
      <c r="G1295" s="14"/>
      <c r="H1295" s="28"/>
      <c r="I1295" s="29" t="str">
        <f aca="false">IF(OR($G1295="",$G1295=0),"",IFERROR(ROUND($F1295*$G1295*(1-IF($H1295="",0,$H1295)),2),""))</f>
        <v/>
      </c>
      <c r="J1295" s="7"/>
    </row>
    <row r="1296" customFormat="false" ht="21.75" hidden="false" customHeight="true" outlineLevel="0" collapsed="false">
      <c r="B1296" s="15" t="n">
        <v>210</v>
      </c>
      <c r="C1296" s="9" t="s">
        <v>80</v>
      </c>
      <c r="D1296" s="9" t="s">
        <v>102</v>
      </c>
      <c r="E1296" s="9" t="s">
        <v>3002</v>
      </c>
      <c r="F1296" s="19" t="n">
        <f aca="false">IF('Base de Datos SADI'!U214="","",'Base de Datos SADI'!U214)</f>
        <v>155</v>
      </c>
      <c r="G1296" s="15"/>
      <c r="H1296" s="30"/>
      <c r="I1296" s="31" t="str">
        <f aca="false">IF(OR($G1296="",$G1296=0),"",IFERROR(ROUND($F1296*$G1296*(1-IF($H1296="",0,$H1296)),2),""))</f>
        <v/>
      </c>
      <c r="J1296" s="9"/>
    </row>
    <row r="1297" customFormat="false" ht="21.75" hidden="false" customHeight="true" outlineLevel="0" collapsed="false">
      <c r="B1297" s="14" t="n">
        <v>211</v>
      </c>
      <c r="C1297" s="7" t="s">
        <v>80</v>
      </c>
      <c r="D1297" s="7" t="s">
        <v>103</v>
      </c>
      <c r="E1297" s="7" t="s">
        <v>3003</v>
      </c>
      <c r="F1297" s="18" t="n">
        <f aca="false">IF('Base de Datos SADI'!U215="","",'Base de Datos SADI'!U215)</f>
        <v>25</v>
      </c>
      <c r="G1297" s="14"/>
      <c r="H1297" s="28"/>
      <c r="I1297" s="29" t="str">
        <f aca="false">IF(OR($G1297="",$G1297=0),"",IFERROR(ROUND($F1297*$G1297*(1-IF($H1297="",0,$H1297)),2),""))</f>
        <v/>
      </c>
      <c r="J1297" s="7"/>
    </row>
    <row r="1298" customFormat="false" ht="21.75" hidden="false" customHeight="true" outlineLevel="0" collapsed="false">
      <c r="B1298" s="15" t="n">
        <v>212</v>
      </c>
      <c r="C1298" s="9" t="s">
        <v>80</v>
      </c>
      <c r="D1298" s="9" t="s">
        <v>103</v>
      </c>
      <c r="E1298" s="9" t="s">
        <v>3012</v>
      </c>
      <c r="F1298" s="19" t="n">
        <f aca="false">IF('Base de Datos SADI'!U216="","",'Base de Datos SADI'!U216)</f>
        <v>40</v>
      </c>
      <c r="G1298" s="15"/>
      <c r="H1298" s="30"/>
      <c r="I1298" s="31" t="str">
        <f aca="false">IF(OR($G1298="",$G1298=0),"",IFERROR(ROUND($F1298*$G1298*(1-IF($H1298="",0,$H1298)),2),""))</f>
        <v/>
      </c>
      <c r="J1298" s="9"/>
    </row>
    <row r="1299" customFormat="false" ht="21.75" hidden="false" customHeight="true" outlineLevel="0" collapsed="false">
      <c r="B1299" s="14" t="n">
        <v>213</v>
      </c>
      <c r="C1299" s="7" t="s">
        <v>80</v>
      </c>
      <c r="D1299" s="7" t="s">
        <v>103</v>
      </c>
      <c r="E1299" s="7" t="s">
        <v>3014</v>
      </c>
      <c r="F1299" s="18" t="n">
        <f aca="false">IF('Base de Datos SADI'!U217="","",'Base de Datos SADI'!U217)</f>
        <v>55</v>
      </c>
      <c r="G1299" s="14"/>
      <c r="H1299" s="28"/>
      <c r="I1299" s="29" t="str">
        <f aca="false">IF(OR($G1299="",$G1299=0),"",IFERROR(ROUND($F1299*$G1299*(1-IF($H1299="",0,$H1299)),2),""))</f>
        <v/>
      </c>
      <c r="J1299" s="7"/>
    </row>
    <row r="1300" customFormat="false" ht="21.75" hidden="false" customHeight="true" outlineLevel="0" collapsed="false">
      <c r="B1300" s="15" t="n">
        <v>214</v>
      </c>
      <c r="C1300" s="9" t="s">
        <v>80</v>
      </c>
      <c r="D1300" s="9" t="s">
        <v>103</v>
      </c>
      <c r="E1300" s="9" t="s">
        <v>3017</v>
      </c>
      <c r="F1300" s="19" t="n">
        <f aca="false">IF('Base de Datos SADI'!U218="","",'Base de Datos SADI'!U218)</f>
        <v>85</v>
      </c>
      <c r="G1300" s="15"/>
      <c r="H1300" s="30"/>
      <c r="I1300" s="31" t="str">
        <f aca="false">IF(OR($G1300="",$G1300=0),"",IFERROR(ROUND($F1300*$G1300*(1-IF($H1300="",0,$H1300)),2),""))</f>
        <v/>
      </c>
      <c r="J1300" s="9"/>
    </row>
    <row r="1301" customFormat="false" ht="21.75" hidden="false" customHeight="true" outlineLevel="0" collapsed="false">
      <c r="B1301" s="14" t="n">
        <v>215</v>
      </c>
      <c r="C1301" s="7" t="s">
        <v>80</v>
      </c>
      <c r="D1301" s="7" t="s">
        <v>103</v>
      </c>
      <c r="E1301" s="7" t="s">
        <v>3019</v>
      </c>
      <c r="F1301" s="18" t="n">
        <f aca="false">IF('Base de Datos SADI'!U219="","",'Base de Datos SADI'!U219)</f>
        <v>125</v>
      </c>
      <c r="G1301" s="14"/>
      <c r="H1301" s="28"/>
      <c r="I1301" s="29" t="str">
        <f aca="false">IF(OR($G1301="",$G1301=0),"",IFERROR(ROUND($F1301*$G1301*(1-IF($H1301="",0,$H1301)),2),""))</f>
        <v/>
      </c>
      <c r="J1301" s="7"/>
    </row>
    <row r="1302" customFormat="false" ht="21.75" hidden="false" customHeight="true" outlineLevel="0" collapsed="false">
      <c r="B1302" s="15" t="n">
        <v>216</v>
      </c>
      <c r="C1302" s="9" t="s">
        <v>80</v>
      </c>
      <c r="D1302" s="9" t="s">
        <v>104</v>
      </c>
      <c r="E1302" s="9" t="s">
        <v>3021</v>
      </c>
      <c r="F1302" s="19" t="n">
        <f aca="false">IF('Base de Datos SADI'!U220="","",'Base de Datos SADI'!U220)</f>
        <v>40</v>
      </c>
      <c r="G1302" s="15"/>
      <c r="H1302" s="30"/>
      <c r="I1302" s="31" t="str">
        <f aca="false">IF(OR($G1302="",$G1302=0),"",IFERROR(ROUND($F1302*$G1302*(1-IF($H1302="",0,$H1302)),2),""))</f>
        <v/>
      </c>
      <c r="J1302" s="9"/>
    </row>
    <row r="1303" customFormat="false" ht="21.75" hidden="false" customHeight="true" outlineLevel="0" collapsed="false">
      <c r="B1303" s="14" t="n">
        <v>217</v>
      </c>
      <c r="C1303" s="7" t="s">
        <v>80</v>
      </c>
      <c r="D1303" s="7" t="s">
        <v>104</v>
      </c>
      <c r="E1303" s="7" t="s">
        <v>3025</v>
      </c>
      <c r="F1303" s="18" t="n">
        <f aca="false">IF('Base de Datos SADI'!U221="","",'Base de Datos SADI'!U221)</f>
        <v>60</v>
      </c>
      <c r="G1303" s="14"/>
      <c r="H1303" s="28"/>
      <c r="I1303" s="29" t="str">
        <f aca="false">IF(OR($G1303="",$G1303=0),"",IFERROR(ROUND($F1303*$G1303*(1-IF($H1303="",0,$H1303)),2),""))</f>
        <v/>
      </c>
      <c r="J1303" s="7"/>
    </row>
    <row r="1304" customFormat="false" ht="21.75" hidden="false" customHeight="true" outlineLevel="0" collapsed="false">
      <c r="B1304" s="15" t="n">
        <v>218</v>
      </c>
      <c r="C1304" s="9" t="s">
        <v>80</v>
      </c>
      <c r="D1304" s="9" t="s">
        <v>104</v>
      </c>
      <c r="E1304" s="9" t="s">
        <v>3026</v>
      </c>
      <c r="F1304" s="19" t="n">
        <f aca="false">IF('Base de Datos SADI'!U222="","",'Base de Datos SADI'!U222)</f>
        <v>80</v>
      </c>
      <c r="G1304" s="15"/>
      <c r="H1304" s="30"/>
      <c r="I1304" s="31" t="str">
        <f aca="false">IF(OR($G1304="",$G1304=0),"",IFERROR(ROUND($F1304*$G1304*(1-IF($H1304="",0,$H1304)),2),""))</f>
        <v/>
      </c>
      <c r="J1304" s="9"/>
    </row>
    <row r="1305" customFormat="false" ht="21.75" hidden="false" customHeight="true" outlineLevel="0" collapsed="false">
      <c r="B1305" s="14" t="n">
        <v>219</v>
      </c>
      <c r="C1305" s="7" t="s">
        <v>80</v>
      </c>
      <c r="D1305" s="7" t="s">
        <v>104</v>
      </c>
      <c r="E1305" s="7" t="s">
        <v>3028</v>
      </c>
      <c r="F1305" s="18" t="n">
        <f aca="false">IF('Base de Datos SADI'!U223="","",'Base de Datos SADI'!U223)</f>
        <v>120</v>
      </c>
      <c r="G1305" s="14"/>
      <c r="H1305" s="28"/>
      <c r="I1305" s="29" t="str">
        <f aca="false">IF(OR($G1305="",$G1305=0),"",IFERROR(ROUND($F1305*$G1305*(1-IF($H1305="",0,$H1305)),2),""))</f>
        <v/>
      </c>
      <c r="J1305" s="7"/>
    </row>
    <row r="1306" customFormat="false" ht="21.75" hidden="false" customHeight="true" outlineLevel="0" collapsed="false">
      <c r="B1306" s="15" t="n">
        <v>220</v>
      </c>
      <c r="C1306" s="9" t="s">
        <v>80</v>
      </c>
      <c r="D1306" s="9" t="s">
        <v>104</v>
      </c>
      <c r="E1306" s="9" t="s">
        <v>3029</v>
      </c>
      <c r="F1306" s="19" t="n">
        <f aca="false">IF('Base de Datos SADI'!U224="","",'Base de Datos SADI'!U224)</f>
        <v>180</v>
      </c>
      <c r="G1306" s="15"/>
      <c r="H1306" s="30"/>
      <c r="I1306" s="31" t="str">
        <f aca="false">IF(OR($G1306="",$G1306=0),"",IFERROR(ROUND($F1306*$G1306*(1-IF($H1306="",0,$H1306)),2),""))</f>
        <v/>
      </c>
      <c r="J1306" s="9"/>
    </row>
    <row r="1307" customFormat="false" ht="21.75" hidden="false" customHeight="true" outlineLevel="0" collapsed="false">
      <c r="B1307" s="14" t="n">
        <v>221</v>
      </c>
      <c r="C1307" s="7" t="s">
        <v>80</v>
      </c>
      <c r="D1307" s="7" t="s">
        <v>105</v>
      </c>
      <c r="E1307" s="7" t="s">
        <v>3030</v>
      </c>
      <c r="F1307" s="18" t="n">
        <f aca="false">IF('Base de Datos SADI'!U225="","",'Base de Datos SADI'!U225)</f>
        <v>40</v>
      </c>
      <c r="G1307" s="14"/>
      <c r="H1307" s="28"/>
      <c r="I1307" s="29" t="str">
        <f aca="false">IF(OR($G1307="",$G1307=0),"",IFERROR(ROUND($F1307*$G1307*(1-IF($H1307="",0,$H1307)),2),""))</f>
        <v/>
      </c>
      <c r="J1307" s="7"/>
    </row>
    <row r="1308" customFormat="false" ht="21.75" hidden="false" customHeight="true" outlineLevel="0" collapsed="false">
      <c r="B1308" s="15" t="n">
        <v>222</v>
      </c>
      <c r="C1308" s="9" t="s">
        <v>80</v>
      </c>
      <c r="D1308" s="9" t="s">
        <v>105</v>
      </c>
      <c r="E1308" s="9" t="s">
        <v>3033</v>
      </c>
      <c r="F1308" s="19" t="n">
        <f aca="false">IF('Base de Datos SADI'!U226="","",'Base de Datos SADI'!U226)</f>
        <v>60</v>
      </c>
      <c r="G1308" s="15"/>
      <c r="H1308" s="30"/>
      <c r="I1308" s="31" t="str">
        <f aca="false">IF(OR($G1308="",$G1308=0),"",IFERROR(ROUND($F1308*$G1308*(1-IF($H1308="",0,$H1308)),2),""))</f>
        <v/>
      </c>
      <c r="J1308" s="9"/>
    </row>
    <row r="1309" customFormat="false" ht="21.75" hidden="false" customHeight="true" outlineLevel="0" collapsed="false">
      <c r="B1309" s="14" t="n">
        <v>223</v>
      </c>
      <c r="C1309" s="7" t="s">
        <v>80</v>
      </c>
      <c r="D1309" s="7" t="s">
        <v>105</v>
      </c>
      <c r="E1309" s="7" t="s">
        <v>3034</v>
      </c>
      <c r="F1309" s="18" t="n">
        <f aca="false">IF('Base de Datos SADI'!U227="","",'Base de Datos SADI'!U227)</f>
        <v>80</v>
      </c>
      <c r="G1309" s="14"/>
      <c r="H1309" s="28"/>
      <c r="I1309" s="29" t="str">
        <f aca="false">IF(OR($G1309="",$G1309=0),"",IFERROR(ROUND($F1309*$G1309*(1-IF($H1309="",0,$H1309)),2),""))</f>
        <v/>
      </c>
      <c r="J1309" s="7"/>
    </row>
    <row r="1310" customFormat="false" ht="21.75" hidden="false" customHeight="true" outlineLevel="0" collapsed="false">
      <c r="B1310" s="15" t="n">
        <v>224</v>
      </c>
      <c r="C1310" s="9" t="s">
        <v>80</v>
      </c>
      <c r="D1310" s="9" t="s">
        <v>105</v>
      </c>
      <c r="E1310" s="9" t="s">
        <v>3036</v>
      </c>
      <c r="F1310" s="19" t="n">
        <f aca="false">IF('Base de Datos SADI'!U228="","",'Base de Datos SADI'!U228)</f>
        <v>120</v>
      </c>
      <c r="G1310" s="15"/>
      <c r="H1310" s="30"/>
      <c r="I1310" s="31" t="str">
        <f aca="false">IF(OR($G1310="",$G1310=0),"",IFERROR(ROUND($F1310*$G1310*(1-IF($H1310="",0,$H1310)),2),""))</f>
        <v/>
      </c>
      <c r="J1310" s="9"/>
    </row>
    <row r="1311" customFormat="false" ht="21.75" hidden="false" customHeight="true" outlineLevel="0" collapsed="false">
      <c r="B1311" s="14" t="n">
        <v>225</v>
      </c>
      <c r="C1311" s="7" t="s">
        <v>80</v>
      </c>
      <c r="D1311" s="7" t="s">
        <v>105</v>
      </c>
      <c r="E1311" s="7" t="s">
        <v>3037</v>
      </c>
      <c r="F1311" s="18" t="n">
        <f aca="false">IF('Base de Datos SADI'!U229="","",'Base de Datos SADI'!U229)</f>
        <v>175</v>
      </c>
      <c r="G1311" s="14"/>
      <c r="H1311" s="28"/>
      <c r="I1311" s="29" t="str">
        <f aca="false">IF(OR($G1311="",$G1311=0),"",IFERROR(ROUND($F1311*$G1311*(1-IF($H1311="",0,$H1311)),2),""))</f>
        <v/>
      </c>
      <c r="J1311" s="7"/>
    </row>
    <row r="1312" customFormat="false" ht="21.75" hidden="false" customHeight="true" outlineLevel="0" collapsed="false">
      <c r="B1312" s="15" t="n">
        <v>226</v>
      </c>
      <c r="C1312" s="9" t="s">
        <v>80</v>
      </c>
      <c r="D1312" s="9" t="s">
        <v>106</v>
      </c>
      <c r="E1312" s="9" t="s">
        <v>391</v>
      </c>
      <c r="F1312" s="19" t="str">
        <f aca="false">IF('Base de Datos SADI'!U230="","",'Base de Datos SADI'!U230)</f>
        <v/>
      </c>
      <c r="G1312" s="15"/>
      <c r="H1312" s="30"/>
      <c r="I1312" s="31" t="str">
        <f aca="false">IF(OR($G1312="",$G1312=0),"",IFERROR(ROUND($F1312*$G1312*(1-IF($H1312="",0,$H1312)),2),""))</f>
        <v/>
      </c>
      <c r="J1312" s="9"/>
    </row>
    <row r="1313" customFormat="false" ht="21.75" hidden="false" customHeight="true" outlineLevel="0" collapsed="false">
      <c r="B1313" s="14" t="n">
        <v>227</v>
      </c>
      <c r="C1313" s="7" t="s">
        <v>80</v>
      </c>
      <c r="D1313" s="7" t="s">
        <v>107</v>
      </c>
      <c r="E1313" s="7" t="s">
        <v>391</v>
      </c>
      <c r="F1313" s="18" t="str">
        <f aca="false">IF('Base de Datos SADI'!U231="","",'Base de Datos SADI'!U231)</f>
        <v/>
      </c>
      <c r="G1313" s="14"/>
      <c r="H1313" s="28"/>
      <c r="I1313" s="29" t="str">
        <f aca="false">IF(OR($G1313="",$G1313=0),"",IFERROR(ROUND($F1313*$G1313*(1-IF($H1313="",0,$H1313)),2),""))</f>
        <v/>
      </c>
      <c r="J1313" s="7"/>
    </row>
    <row r="1314" customFormat="false" ht="21.75" hidden="false" customHeight="true" outlineLevel="0" collapsed="false">
      <c r="B1314" s="15" t="n">
        <v>228</v>
      </c>
      <c r="C1314" s="9" t="s">
        <v>80</v>
      </c>
      <c r="D1314" s="9" t="s">
        <v>108</v>
      </c>
      <c r="E1314" s="9" t="s">
        <v>3040</v>
      </c>
      <c r="F1314" s="19" t="n">
        <f aca="false">IF('Base de Datos SADI'!U232="","",'Base de Datos SADI'!U232)</f>
        <v>20</v>
      </c>
      <c r="G1314" s="15"/>
      <c r="H1314" s="30"/>
      <c r="I1314" s="31" t="str">
        <f aca="false">IF(OR($G1314="",$G1314=0),"",IFERROR(ROUND($F1314*$G1314*(1-IF($H1314="",0,$H1314)),2),""))</f>
        <v/>
      </c>
      <c r="J1314" s="9"/>
    </row>
    <row r="1315" customFormat="false" ht="21.75" hidden="false" customHeight="true" outlineLevel="0" collapsed="false">
      <c r="B1315" s="14" t="n">
        <v>229</v>
      </c>
      <c r="C1315" s="7" t="s">
        <v>80</v>
      </c>
      <c r="D1315" s="7" t="s">
        <v>108</v>
      </c>
      <c r="E1315" s="7" t="s">
        <v>3045</v>
      </c>
      <c r="F1315" s="18" t="n">
        <f aca="false">IF('Base de Datos SADI'!U233="","",'Base de Datos SADI'!U233)</f>
        <v>30</v>
      </c>
      <c r="G1315" s="14"/>
      <c r="H1315" s="28"/>
      <c r="I1315" s="29" t="str">
        <f aca="false">IF(OR($G1315="",$G1315=0),"",IFERROR(ROUND($F1315*$G1315*(1-IF($H1315="",0,$H1315)),2),""))</f>
        <v/>
      </c>
      <c r="J1315" s="7"/>
    </row>
    <row r="1316" customFormat="false" ht="21.75" hidden="false" customHeight="true" outlineLevel="0" collapsed="false">
      <c r="B1316" s="15" t="n">
        <v>230</v>
      </c>
      <c r="C1316" s="9" t="s">
        <v>80</v>
      </c>
      <c r="D1316" s="9" t="s">
        <v>108</v>
      </c>
      <c r="E1316" s="9" t="s">
        <v>3046</v>
      </c>
      <c r="F1316" s="19" t="n">
        <f aca="false">IF('Base de Datos SADI'!U234="","",'Base de Datos SADI'!U234)</f>
        <v>40</v>
      </c>
      <c r="G1316" s="15"/>
      <c r="H1316" s="30"/>
      <c r="I1316" s="31" t="str">
        <f aca="false">IF(OR($G1316="",$G1316=0),"",IFERROR(ROUND($F1316*$G1316*(1-IF($H1316="",0,$H1316)),2),""))</f>
        <v/>
      </c>
      <c r="J1316" s="9"/>
    </row>
    <row r="1317" customFormat="false" ht="21.75" hidden="false" customHeight="true" outlineLevel="0" collapsed="false">
      <c r="B1317" s="14" t="n">
        <v>231</v>
      </c>
      <c r="C1317" s="7" t="s">
        <v>80</v>
      </c>
      <c r="D1317" s="7" t="s">
        <v>108</v>
      </c>
      <c r="E1317" s="7" t="s">
        <v>3047</v>
      </c>
      <c r="F1317" s="18" t="n">
        <f aca="false">IF('Base de Datos SADI'!U235="","",'Base de Datos SADI'!U235)</f>
        <v>60</v>
      </c>
      <c r="G1317" s="14"/>
      <c r="H1317" s="28"/>
      <c r="I1317" s="29" t="str">
        <f aca="false">IF(OR($G1317="",$G1317=0),"",IFERROR(ROUND($F1317*$G1317*(1-IF($H1317="",0,$H1317)),2),""))</f>
        <v/>
      </c>
      <c r="J1317" s="7"/>
    </row>
    <row r="1318" customFormat="false" ht="21.75" hidden="false" customHeight="true" outlineLevel="0" collapsed="false">
      <c r="B1318" s="15" t="n">
        <v>232</v>
      </c>
      <c r="C1318" s="9" t="s">
        <v>80</v>
      </c>
      <c r="D1318" s="9" t="s">
        <v>108</v>
      </c>
      <c r="E1318" s="9" t="s">
        <v>3048</v>
      </c>
      <c r="F1318" s="19" t="n">
        <f aca="false">IF('Base de Datos SADI'!U236="","",'Base de Datos SADI'!U236)</f>
        <v>90</v>
      </c>
      <c r="G1318" s="15"/>
      <c r="H1318" s="30"/>
      <c r="I1318" s="31" t="str">
        <f aca="false">IF(OR($G1318="",$G1318=0),"",IFERROR(ROUND($F1318*$G1318*(1-IF($H1318="",0,$H1318)),2),""))</f>
        <v/>
      </c>
      <c r="J1318" s="9"/>
    </row>
    <row r="1319" customFormat="false" ht="21.75" hidden="false" customHeight="true" outlineLevel="0" collapsed="false">
      <c r="B1319" s="14" t="n">
        <v>233</v>
      </c>
      <c r="C1319" s="7" t="s">
        <v>81</v>
      </c>
      <c r="D1319" s="7" t="s">
        <v>93</v>
      </c>
      <c r="E1319" s="7" t="s">
        <v>3049</v>
      </c>
      <c r="F1319" s="18" t="n">
        <f aca="false">IF('Base de Datos SADI'!U237="","",'Base de Datos SADI'!U237)</f>
        <v>1600</v>
      </c>
      <c r="G1319" s="14"/>
      <c r="H1319" s="28"/>
      <c r="I1319" s="29" t="str">
        <f aca="false">IF(OR($G1319="",$G1319=0),"",IFERROR(ROUND($F1319*$G1319*(1-IF($H1319="",0,$H1319)),2),""))</f>
        <v/>
      </c>
      <c r="J1319" s="7"/>
    </row>
    <row r="1320" customFormat="false" ht="21.75" hidden="false" customHeight="true" outlineLevel="0" collapsed="false">
      <c r="B1320" s="15" t="n">
        <v>234</v>
      </c>
      <c r="C1320" s="9" t="s">
        <v>81</v>
      </c>
      <c r="D1320" s="9" t="s">
        <v>93</v>
      </c>
      <c r="E1320" s="9" t="s">
        <v>3060</v>
      </c>
      <c r="F1320" s="19" t="n">
        <f aca="false">IF('Base de Datos SADI'!U238="","",'Base de Datos SADI'!U238)</f>
        <v>2400</v>
      </c>
      <c r="G1320" s="15"/>
      <c r="H1320" s="30"/>
      <c r="I1320" s="31" t="str">
        <f aca="false">IF(OR($G1320="",$G1320=0),"",IFERROR(ROUND($F1320*$G1320*(1-IF($H1320="",0,$H1320)),2),""))</f>
        <v/>
      </c>
      <c r="J1320" s="9"/>
    </row>
    <row r="1321" customFormat="false" ht="21.75" hidden="false" customHeight="true" outlineLevel="0" collapsed="false">
      <c r="B1321" s="14" t="n">
        <v>235</v>
      </c>
      <c r="C1321" s="7" t="s">
        <v>81</v>
      </c>
      <c r="D1321" s="7" t="s">
        <v>93</v>
      </c>
      <c r="E1321" s="7" t="s">
        <v>3061</v>
      </c>
      <c r="F1321" s="18" t="n">
        <f aca="false">IF('Base de Datos SADI'!U239="","",'Base de Datos SADI'!U239)</f>
        <v>3200</v>
      </c>
      <c r="G1321" s="14"/>
      <c r="H1321" s="28"/>
      <c r="I1321" s="29" t="str">
        <f aca="false">IF(OR($G1321="",$G1321=0),"",IFERROR(ROUND($F1321*$G1321*(1-IF($H1321="",0,$H1321)),2),""))</f>
        <v/>
      </c>
      <c r="J1321" s="7"/>
    </row>
    <row r="1322" customFormat="false" ht="21.75" hidden="false" customHeight="true" outlineLevel="0" collapsed="false">
      <c r="B1322" s="15" t="n">
        <v>236</v>
      </c>
      <c r="C1322" s="9" t="s">
        <v>81</v>
      </c>
      <c r="D1322" s="9" t="s">
        <v>93</v>
      </c>
      <c r="E1322" s="9" t="s">
        <v>3063</v>
      </c>
      <c r="F1322" s="19" t="n">
        <f aca="false">IF('Base de Datos SADI'!U240="","",'Base de Datos SADI'!U240)</f>
        <v>4800</v>
      </c>
      <c r="G1322" s="15"/>
      <c r="H1322" s="30"/>
      <c r="I1322" s="31" t="str">
        <f aca="false">IF(OR($G1322="",$G1322=0),"",IFERROR(ROUND($F1322*$G1322*(1-IF($H1322="",0,$H1322)),2),""))</f>
        <v/>
      </c>
      <c r="J1322" s="9"/>
    </row>
    <row r="1323" customFormat="false" ht="21.75" hidden="false" customHeight="true" outlineLevel="0" collapsed="false">
      <c r="B1323" s="14" t="n">
        <v>237</v>
      </c>
      <c r="C1323" s="7" t="s">
        <v>81</v>
      </c>
      <c r="D1323" s="7" t="s">
        <v>93</v>
      </c>
      <c r="E1323" s="7" t="s">
        <v>3064</v>
      </c>
      <c r="F1323" s="18" t="n">
        <f aca="false">IF('Base de Datos SADI'!U241="","",'Base de Datos SADI'!U241)</f>
        <v>7040</v>
      </c>
      <c r="G1323" s="14"/>
      <c r="H1323" s="28"/>
      <c r="I1323" s="29" t="str">
        <f aca="false">IF(OR($G1323="",$G1323=0),"",IFERROR(ROUND($F1323*$G1323*(1-IF($H1323="",0,$H1323)),2),""))</f>
        <v/>
      </c>
      <c r="J1323" s="7"/>
    </row>
    <row r="1324" customFormat="false" ht="21.75" hidden="false" customHeight="true" outlineLevel="0" collapsed="false">
      <c r="B1324" s="15" t="n">
        <v>238</v>
      </c>
      <c r="C1324" s="9" t="s">
        <v>81</v>
      </c>
      <c r="D1324" s="9" t="s">
        <v>94</v>
      </c>
      <c r="E1324" s="9" t="s">
        <v>3065</v>
      </c>
      <c r="F1324" s="19" t="n">
        <f aca="false">IF('Base de Datos SADI'!U242="","",'Base de Datos SADI'!U242)</f>
        <v>390</v>
      </c>
      <c r="G1324" s="15"/>
      <c r="H1324" s="30"/>
      <c r="I1324" s="31" t="str">
        <f aca="false">IF(OR($G1324="",$G1324=0),"",IFERROR(ROUND($F1324*$G1324*(1-IF($H1324="",0,$H1324)),2),""))</f>
        <v/>
      </c>
      <c r="J1324" s="9"/>
    </row>
    <row r="1325" customFormat="false" ht="21.75" hidden="false" customHeight="true" outlineLevel="0" collapsed="false">
      <c r="B1325" s="14" t="n">
        <v>239</v>
      </c>
      <c r="C1325" s="7" t="s">
        <v>81</v>
      </c>
      <c r="D1325" s="7" t="s">
        <v>94</v>
      </c>
      <c r="E1325" s="7" t="s">
        <v>3049</v>
      </c>
      <c r="F1325" s="18" t="n">
        <f aca="false">IF('Base de Datos SADI'!U243="","",'Base de Datos SADI'!U243)</f>
        <v>585</v>
      </c>
      <c r="G1325" s="14"/>
      <c r="H1325" s="28"/>
      <c r="I1325" s="29" t="str">
        <f aca="false">IF(OR($G1325="",$G1325=0),"",IFERROR(ROUND($F1325*$G1325*(1-IF($H1325="",0,$H1325)),2),""))</f>
        <v/>
      </c>
      <c r="J1325" s="7"/>
    </row>
    <row r="1326" customFormat="false" ht="21.75" hidden="false" customHeight="true" outlineLevel="0" collapsed="false">
      <c r="B1326" s="15" t="n">
        <v>240</v>
      </c>
      <c r="C1326" s="9" t="s">
        <v>81</v>
      </c>
      <c r="D1326" s="9" t="s">
        <v>94</v>
      </c>
      <c r="E1326" s="9" t="s">
        <v>3060</v>
      </c>
      <c r="F1326" s="19" t="n">
        <f aca="false">IF('Base de Datos SADI'!U244="","",'Base de Datos SADI'!U244)</f>
        <v>780</v>
      </c>
      <c r="G1326" s="15"/>
      <c r="H1326" s="30"/>
      <c r="I1326" s="31" t="str">
        <f aca="false">IF(OR($G1326="",$G1326=0),"",IFERROR(ROUND($F1326*$G1326*(1-IF($H1326="",0,$H1326)),2),""))</f>
        <v/>
      </c>
      <c r="J1326" s="9"/>
    </row>
    <row r="1327" customFormat="false" ht="21.75" hidden="false" customHeight="true" outlineLevel="0" collapsed="false">
      <c r="B1327" s="14" t="n">
        <v>241</v>
      </c>
      <c r="C1327" s="7" t="s">
        <v>81</v>
      </c>
      <c r="D1327" s="7" t="s">
        <v>94</v>
      </c>
      <c r="E1327" s="7" t="s">
        <v>3075</v>
      </c>
      <c r="F1327" s="18" t="n">
        <f aca="false">IF('Base de Datos SADI'!U245="","",'Base de Datos SADI'!U245)</f>
        <v>1170</v>
      </c>
      <c r="G1327" s="14"/>
      <c r="H1327" s="28"/>
      <c r="I1327" s="29" t="str">
        <f aca="false">IF(OR($G1327="",$G1327=0),"",IFERROR(ROUND($F1327*$G1327*(1-IF($H1327="",0,$H1327)),2),""))</f>
        <v/>
      </c>
      <c r="J1327" s="7"/>
    </row>
    <row r="1328" customFormat="false" ht="21.75" hidden="false" customHeight="true" outlineLevel="0" collapsed="false">
      <c r="B1328" s="15" t="n">
        <v>242</v>
      </c>
      <c r="C1328" s="9" t="s">
        <v>81</v>
      </c>
      <c r="D1328" s="9" t="s">
        <v>94</v>
      </c>
      <c r="E1328" s="9" t="s">
        <v>3076</v>
      </c>
      <c r="F1328" s="19" t="n">
        <f aca="false">IF('Base de Datos SADI'!U246="","",'Base de Datos SADI'!U246)</f>
        <v>1715</v>
      </c>
      <c r="G1328" s="15"/>
      <c r="H1328" s="30"/>
      <c r="I1328" s="31" t="str">
        <f aca="false">IF(OR($G1328="",$G1328=0),"",IFERROR(ROUND($F1328*$G1328*(1-IF($H1328="",0,$H1328)),2),""))</f>
        <v/>
      </c>
      <c r="J1328" s="9"/>
    </row>
    <row r="1329" customFormat="false" ht="21.75" hidden="false" customHeight="true" outlineLevel="0" collapsed="false">
      <c r="B1329" s="14" t="n">
        <v>243</v>
      </c>
      <c r="C1329" s="7" t="s">
        <v>81</v>
      </c>
      <c r="D1329" s="7" t="s">
        <v>95</v>
      </c>
      <c r="E1329" s="7" t="s">
        <v>391</v>
      </c>
      <c r="F1329" s="18" t="str">
        <f aca="false">IF('Base de Datos SADI'!U247="","",'Base de Datos SADI'!U247)</f>
        <v/>
      </c>
      <c r="G1329" s="14"/>
      <c r="H1329" s="28"/>
      <c r="I1329" s="29" t="str">
        <f aca="false">IF(OR($G1329="",$G1329=0),"",IFERROR(ROUND($F1329*$G1329*(1-IF($H1329="",0,$H1329)),2),""))</f>
        <v/>
      </c>
      <c r="J1329" s="7"/>
    </row>
    <row r="1330" customFormat="false" ht="21.75" hidden="false" customHeight="true" outlineLevel="0" collapsed="false">
      <c r="B1330" s="15" t="n">
        <v>244</v>
      </c>
      <c r="C1330" s="9" t="s">
        <v>81</v>
      </c>
      <c r="D1330" s="9" t="s">
        <v>96</v>
      </c>
      <c r="E1330" s="9" t="s">
        <v>3078</v>
      </c>
      <c r="F1330" s="19" t="n">
        <f aca="false">IF('Base de Datos SADI'!U248="","",'Base de Datos SADI'!U248)</f>
        <v>40</v>
      </c>
      <c r="G1330" s="15"/>
      <c r="H1330" s="30"/>
      <c r="I1330" s="31" t="str">
        <f aca="false">IF(OR($G1330="",$G1330=0),"",IFERROR(ROUND($F1330*$G1330*(1-IF($H1330="",0,$H1330)),2),""))</f>
        <v/>
      </c>
      <c r="J1330" s="9"/>
    </row>
    <row r="1331" customFormat="false" ht="21.75" hidden="false" customHeight="true" outlineLevel="0" collapsed="false">
      <c r="B1331" s="14" t="n">
        <v>245</v>
      </c>
      <c r="C1331" s="7" t="s">
        <v>81</v>
      </c>
      <c r="D1331" s="7" t="s">
        <v>96</v>
      </c>
      <c r="E1331" s="7" t="s">
        <v>3083</v>
      </c>
      <c r="F1331" s="18" t="n">
        <f aca="false">IF('Base de Datos SADI'!U249="","",'Base de Datos SADI'!U249)</f>
        <v>65</v>
      </c>
      <c r="G1331" s="14"/>
      <c r="H1331" s="28"/>
      <c r="I1331" s="29" t="str">
        <f aca="false">IF(OR($G1331="",$G1331=0),"",IFERROR(ROUND($F1331*$G1331*(1-IF($H1331="",0,$H1331)),2),""))</f>
        <v/>
      </c>
      <c r="J1331" s="7"/>
    </row>
    <row r="1332" customFormat="false" ht="21.75" hidden="false" customHeight="true" outlineLevel="0" collapsed="false">
      <c r="B1332" s="15" t="n">
        <v>246</v>
      </c>
      <c r="C1332" s="9" t="s">
        <v>81</v>
      </c>
      <c r="D1332" s="9" t="s">
        <v>96</v>
      </c>
      <c r="E1332" s="9" t="s">
        <v>3084</v>
      </c>
      <c r="F1332" s="19" t="n">
        <f aca="false">IF('Base de Datos SADI'!U250="","",'Base de Datos SADI'!U250)</f>
        <v>85</v>
      </c>
      <c r="G1332" s="15"/>
      <c r="H1332" s="30"/>
      <c r="I1332" s="31" t="str">
        <f aca="false">IF(OR($G1332="",$G1332=0),"",IFERROR(ROUND($F1332*$G1332*(1-IF($H1332="",0,$H1332)),2),""))</f>
        <v/>
      </c>
      <c r="J1332" s="9"/>
    </row>
    <row r="1333" customFormat="false" ht="21.75" hidden="false" customHeight="true" outlineLevel="0" collapsed="false">
      <c r="B1333" s="14" t="n">
        <v>247</v>
      </c>
      <c r="C1333" s="7" t="s">
        <v>81</v>
      </c>
      <c r="D1333" s="7" t="s">
        <v>96</v>
      </c>
      <c r="E1333" s="7" t="s">
        <v>3086</v>
      </c>
      <c r="F1333" s="18" t="n">
        <f aca="false">IF('Base de Datos SADI'!U251="","",'Base de Datos SADI'!U251)</f>
        <v>130</v>
      </c>
      <c r="G1333" s="14"/>
      <c r="H1333" s="28"/>
      <c r="I1333" s="29" t="str">
        <f aca="false">IF(OR($G1333="",$G1333=0),"",IFERROR(ROUND($F1333*$G1333*(1-IF($H1333="",0,$H1333)),2),""))</f>
        <v/>
      </c>
      <c r="J1333" s="7"/>
    </row>
    <row r="1334" customFormat="false" ht="21.75" hidden="false" customHeight="true" outlineLevel="0" collapsed="false">
      <c r="B1334" s="15" t="n">
        <v>248</v>
      </c>
      <c r="C1334" s="9" t="s">
        <v>81</v>
      </c>
      <c r="D1334" s="9" t="s">
        <v>96</v>
      </c>
      <c r="E1334" s="9" t="s">
        <v>3087</v>
      </c>
      <c r="F1334" s="19" t="n">
        <f aca="false">IF('Base de Datos SADI'!U252="","",'Base de Datos SADI'!U252)</f>
        <v>190</v>
      </c>
      <c r="G1334" s="15"/>
      <c r="H1334" s="30"/>
      <c r="I1334" s="31" t="str">
        <f aca="false">IF(OR($G1334="",$G1334=0),"",IFERROR(ROUND($F1334*$G1334*(1-IF($H1334="",0,$H1334)),2),""))</f>
        <v/>
      </c>
      <c r="J1334" s="9"/>
    </row>
    <row r="1335" customFormat="false" ht="21.75" hidden="false" customHeight="true" outlineLevel="0" collapsed="false">
      <c r="B1335" s="14" t="n">
        <v>249</v>
      </c>
      <c r="C1335" s="7" t="s">
        <v>81</v>
      </c>
      <c r="D1335" s="7" t="s">
        <v>97</v>
      </c>
      <c r="E1335" s="7" t="s">
        <v>3088</v>
      </c>
      <c r="F1335" s="18" t="n">
        <f aca="false">IF('Base de Datos SADI'!U253="","",'Base de Datos SADI'!U253)</f>
        <v>40</v>
      </c>
      <c r="G1335" s="14"/>
      <c r="H1335" s="28"/>
      <c r="I1335" s="29" t="str">
        <f aca="false">IF(OR($G1335="",$G1335=0),"",IFERROR(ROUND($F1335*$G1335*(1-IF($H1335="",0,$H1335)),2),""))</f>
        <v/>
      </c>
      <c r="J1335" s="7"/>
    </row>
    <row r="1336" customFormat="false" ht="21.75" hidden="false" customHeight="true" outlineLevel="0" collapsed="false">
      <c r="B1336" s="15" t="n">
        <v>250</v>
      </c>
      <c r="C1336" s="9" t="s">
        <v>81</v>
      </c>
      <c r="D1336" s="9" t="s">
        <v>97</v>
      </c>
      <c r="E1336" s="9" t="s">
        <v>3091</v>
      </c>
      <c r="F1336" s="19" t="n">
        <f aca="false">IF('Base de Datos SADI'!U254="","",'Base de Datos SADI'!U254)</f>
        <v>60</v>
      </c>
      <c r="G1336" s="15"/>
      <c r="H1336" s="30"/>
      <c r="I1336" s="31" t="str">
        <f aca="false">IF(OR($G1336="",$G1336=0),"",IFERROR(ROUND($F1336*$G1336*(1-IF($H1336="",0,$H1336)),2),""))</f>
        <v/>
      </c>
      <c r="J1336" s="9"/>
    </row>
    <row r="1337" customFormat="false" ht="21.75" hidden="false" customHeight="true" outlineLevel="0" collapsed="false">
      <c r="B1337" s="14" t="n">
        <v>251</v>
      </c>
      <c r="C1337" s="7" t="s">
        <v>81</v>
      </c>
      <c r="D1337" s="7" t="s">
        <v>97</v>
      </c>
      <c r="E1337" s="7" t="s">
        <v>3092</v>
      </c>
      <c r="F1337" s="18" t="n">
        <f aca="false">IF('Base de Datos SADI'!U255="","",'Base de Datos SADI'!U255)</f>
        <v>80</v>
      </c>
      <c r="G1337" s="14"/>
      <c r="H1337" s="28"/>
      <c r="I1337" s="29" t="str">
        <f aca="false">IF(OR($G1337="",$G1337=0),"",IFERROR(ROUND($F1337*$G1337*(1-IF($H1337="",0,$H1337)),2),""))</f>
        <v/>
      </c>
      <c r="J1337" s="7"/>
    </row>
    <row r="1338" customFormat="false" ht="21.75" hidden="false" customHeight="true" outlineLevel="0" collapsed="false">
      <c r="B1338" s="15" t="n">
        <v>252</v>
      </c>
      <c r="C1338" s="9" t="s">
        <v>81</v>
      </c>
      <c r="D1338" s="9" t="s">
        <v>97</v>
      </c>
      <c r="E1338" s="9" t="s">
        <v>3094</v>
      </c>
      <c r="F1338" s="19" t="n">
        <f aca="false">IF('Base de Datos SADI'!U256="","",'Base de Datos SADI'!U256)</f>
        <v>125</v>
      </c>
      <c r="G1338" s="15"/>
      <c r="H1338" s="30"/>
      <c r="I1338" s="31" t="str">
        <f aca="false">IF(OR($G1338="",$G1338=0),"",IFERROR(ROUND($F1338*$G1338*(1-IF($H1338="",0,$H1338)),2),""))</f>
        <v/>
      </c>
      <c r="J1338" s="9"/>
    </row>
    <row r="1339" customFormat="false" ht="21.75" hidden="false" customHeight="true" outlineLevel="0" collapsed="false">
      <c r="B1339" s="14" t="n">
        <v>253</v>
      </c>
      <c r="C1339" s="7" t="s">
        <v>81</v>
      </c>
      <c r="D1339" s="7" t="s">
        <v>97</v>
      </c>
      <c r="E1339" s="7" t="s">
        <v>3095</v>
      </c>
      <c r="F1339" s="18" t="n">
        <f aca="false">IF('Base de Datos SADI'!U257="","",'Base de Datos SADI'!U257)</f>
        <v>180</v>
      </c>
      <c r="G1339" s="14"/>
      <c r="H1339" s="28"/>
      <c r="I1339" s="29" t="str">
        <f aca="false">IF(OR($G1339="",$G1339=0),"",IFERROR(ROUND($F1339*$G1339*(1-IF($H1339="",0,$H1339)),2),""))</f>
        <v/>
      </c>
      <c r="J1339" s="7"/>
    </row>
    <row r="1340" customFormat="false" ht="21.75" hidden="false" customHeight="true" outlineLevel="0" collapsed="false">
      <c r="B1340" s="15" t="n">
        <v>254</v>
      </c>
      <c r="C1340" s="9" t="s">
        <v>81</v>
      </c>
      <c r="D1340" s="9" t="s">
        <v>98</v>
      </c>
      <c r="E1340" s="9" t="s">
        <v>3084</v>
      </c>
      <c r="F1340" s="19" t="n">
        <f aca="false">IF('Base de Datos SADI'!U258="","",'Base de Datos SADI'!U258)</f>
        <v>45</v>
      </c>
      <c r="G1340" s="15"/>
      <c r="H1340" s="30"/>
      <c r="I1340" s="31" t="str">
        <f aca="false">IF(OR($G1340="",$G1340=0),"",IFERROR(ROUND($F1340*$G1340*(1-IF($H1340="",0,$H1340)),2),""))</f>
        <v/>
      </c>
      <c r="J1340" s="9"/>
    </row>
    <row r="1341" customFormat="false" ht="21.75" hidden="false" customHeight="true" outlineLevel="0" collapsed="false">
      <c r="B1341" s="14" t="n">
        <v>255</v>
      </c>
      <c r="C1341" s="7" t="s">
        <v>81</v>
      </c>
      <c r="D1341" s="7" t="s">
        <v>98</v>
      </c>
      <c r="E1341" s="7" t="s">
        <v>3099</v>
      </c>
      <c r="F1341" s="18" t="n">
        <f aca="false">IF('Base de Datos SADI'!U259="","",'Base de Datos SADI'!U259)</f>
        <v>70</v>
      </c>
      <c r="G1341" s="14"/>
      <c r="H1341" s="28"/>
      <c r="I1341" s="29" t="str">
        <f aca="false">IF(OR($G1341="",$G1341=0),"",IFERROR(ROUND($F1341*$G1341*(1-IF($H1341="",0,$H1341)),2),""))</f>
        <v/>
      </c>
      <c r="J1341" s="7"/>
    </row>
    <row r="1342" customFormat="false" ht="21.75" hidden="false" customHeight="true" outlineLevel="0" collapsed="false">
      <c r="B1342" s="15" t="n">
        <v>256</v>
      </c>
      <c r="C1342" s="9" t="s">
        <v>81</v>
      </c>
      <c r="D1342" s="9" t="s">
        <v>98</v>
      </c>
      <c r="E1342" s="9" t="s">
        <v>3087</v>
      </c>
      <c r="F1342" s="19" t="n">
        <f aca="false">IF('Base de Datos SADI'!U260="","",'Base de Datos SADI'!U260)</f>
        <v>95</v>
      </c>
      <c r="G1342" s="15"/>
      <c r="H1342" s="30"/>
      <c r="I1342" s="31" t="str">
        <f aca="false">IF(OR($G1342="",$G1342=0),"",IFERROR(ROUND($F1342*$G1342*(1-IF($H1342="",0,$H1342)),2),""))</f>
        <v/>
      </c>
      <c r="J1342" s="9"/>
    </row>
    <row r="1343" customFormat="false" ht="21.75" hidden="false" customHeight="true" outlineLevel="0" collapsed="false">
      <c r="B1343" s="14" t="n">
        <v>257</v>
      </c>
      <c r="C1343" s="7" t="s">
        <v>81</v>
      </c>
      <c r="D1343" s="7" t="s">
        <v>98</v>
      </c>
      <c r="E1343" s="7" t="s">
        <v>3101</v>
      </c>
      <c r="F1343" s="18" t="n">
        <f aca="false">IF('Base de Datos SADI'!U261="","",'Base de Datos SADI'!U261)</f>
        <v>140</v>
      </c>
      <c r="G1343" s="14"/>
      <c r="H1343" s="28"/>
      <c r="I1343" s="29" t="str">
        <f aca="false">IF(OR($G1343="",$G1343=0),"",IFERROR(ROUND($F1343*$G1343*(1-IF($H1343="",0,$H1343)),2),""))</f>
        <v/>
      </c>
      <c r="J1343" s="7"/>
    </row>
    <row r="1344" customFormat="false" ht="21.75" hidden="false" customHeight="true" outlineLevel="0" collapsed="false">
      <c r="B1344" s="15" t="n">
        <v>258</v>
      </c>
      <c r="C1344" s="9" t="s">
        <v>81</v>
      </c>
      <c r="D1344" s="9" t="s">
        <v>98</v>
      </c>
      <c r="E1344" s="9" t="s">
        <v>3102</v>
      </c>
      <c r="F1344" s="19" t="n">
        <f aca="false">IF('Base de Datos SADI'!U262="","",'Base de Datos SADI'!U262)</f>
        <v>210</v>
      </c>
      <c r="G1344" s="15"/>
      <c r="H1344" s="30"/>
      <c r="I1344" s="31" t="str">
        <f aca="false">IF(OR($G1344="",$G1344=0),"",IFERROR(ROUND($F1344*$G1344*(1-IF($H1344="",0,$H1344)),2),""))</f>
        <v/>
      </c>
      <c r="J1344" s="9"/>
    </row>
    <row r="1345" customFormat="false" ht="21.75" hidden="false" customHeight="true" outlineLevel="0" collapsed="false">
      <c r="B1345" s="14" t="n">
        <v>259</v>
      </c>
      <c r="C1345" s="7" t="s">
        <v>81</v>
      </c>
      <c r="D1345" s="7" t="s">
        <v>99</v>
      </c>
      <c r="E1345" s="7" t="s">
        <v>391</v>
      </c>
      <c r="F1345" s="18" t="str">
        <f aca="false">IF('Base de Datos SADI'!U263="","",'Base de Datos SADI'!U263)</f>
        <v/>
      </c>
      <c r="G1345" s="14"/>
      <c r="H1345" s="28"/>
      <c r="I1345" s="29" t="str">
        <f aca="false">IF(OR($G1345="",$G1345=0),"",IFERROR(ROUND($F1345*$G1345*(1-IF($H1345="",0,$H1345)),2),""))</f>
        <v/>
      </c>
      <c r="J1345" s="7"/>
    </row>
    <row r="1346" customFormat="false" ht="21.75" hidden="false" customHeight="true" outlineLevel="0" collapsed="false">
      <c r="B1346" s="15" t="n">
        <v>260</v>
      </c>
      <c r="C1346" s="9" t="s">
        <v>81</v>
      </c>
      <c r="D1346" s="9" t="s">
        <v>100</v>
      </c>
      <c r="E1346" s="9" t="s">
        <v>391</v>
      </c>
      <c r="F1346" s="19" t="str">
        <f aca="false">IF('Base de Datos SADI'!U264="","",'Base de Datos SADI'!U264)</f>
        <v/>
      </c>
      <c r="G1346" s="15"/>
      <c r="H1346" s="30"/>
      <c r="I1346" s="31" t="str">
        <f aca="false">IF(OR($G1346="",$G1346=0),"",IFERROR(ROUND($F1346*$G1346*(1-IF($H1346="",0,$H1346)),2),""))</f>
        <v/>
      </c>
      <c r="J1346" s="9"/>
    </row>
    <row r="1347" customFormat="false" ht="21.75" hidden="false" customHeight="true" outlineLevel="0" collapsed="false">
      <c r="B1347" s="14" t="n">
        <v>261</v>
      </c>
      <c r="C1347" s="7" t="s">
        <v>81</v>
      </c>
      <c r="D1347" s="7" t="s">
        <v>101</v>
      </c>
      <c r="E1347" s="7" t="s">
        <v>391</v>
      </c>
      <c r="F1347" s="18" t="str">
        <f aca="false">IF('Base de Datos SADI'!U265="","",'Base de Datos SADI'!U265)</f>
        <v/>
      </c>
      <c r="G1347" s="14"/>
      <c r="H1347" s="28"/>
      <c r="I1347" s="29" t="str">
        <f aca="false">IF(OR($G1347="",$G1347=0),"",IFERROR(ROUND($F1347*$G1347*(1-IF($H1347="",0,$H1347)),2),""))</f>
        <v/>
      </c>
      <c r="J1347" s="7"/>
    </row>
    <row r="1348" customFormat="false" ht="21.75" hidden="false" customHeight="true" outlineLevel="0" collapsed="false">
      <c r="B1348" s="15" t="n">
        <v>262</v>
      </c>
      <c r="C1348" s="9" t="s">
        <v>81</v>
      </c>
      <c r="D1348" s="9" t="s">
        <v>102</v>
      </c>
      <c r="E1348" s="9" t="s">
        <v>3106</v>
      </c>
      <c r="F1348" s="19" t="n">
        <f aca="false">IF('Base de Datos SADI'!U266="","",'Base de Datos SADI'!U266)</f>
        <v>35</v>
      </c>
      <c r="G1348" s="15"/>
      <c r="H1348" s="30"/>
      <c r="I1348" s="31" t="str">
        <f aca="false">IF(OR($G1348="",$G1348=0),"",IFERROR(ROUND($F1348*$G1348*(1-IF($H1348="",0,$H1348)),2),""))</f>
        <v/>
      </c>
      <c r="J1348" s="9"/>
    </row>
    <row r="1349" customFormat="false" ht="21.75" hidden="false" customHeight="true" outlineLevel="0" collapsed="false">
      <c r="B1349" s="14" t="n">
        <v>263</v>
      </c>
      <c r="C1349" s="7" t="s">
        <v>81</v>
      </c>
      <c r="D1349" s="7" t="s">
        <v>102</v>
      </c>
      <c r="E1349" s="7" t="s">
        <v>3110</v>
      </c>
      <c r="F1349" s="18" t="n">
        <f aca="false">IF('Base de Datos SADI'!U267="","",'Base de Datos SADI'!U267)</f>
        <v>55</v>
      </c>
      <c r="G1349" s="14"/>
      <c r="H1349" s="28"/>
      <c r="I1349" s="29" t="str">
        <f aca="false">IF(OR($G1349="",$G1349=0),"",IFERROR(ROUND($F1349*$G1349*(1-IF($H1349="",0,$H1349)),2),""))</f>
        <v/>
      </c>
      <c r="J1349" s="7"/>
    </row>
    <row r="1350" customFormat="false" ht="21.75" hidden="false" customHeight="true" outlineLevel="0" collapsed="false">
      <c r="B1350" s="15" t="n">
        <v>264</v>
      </c>
      <c r="C1350" s="9" t="s">
        <v>81</v>
      </c>
      <c r="D1350" s="9" t="s">
        <v>102</v>
      </c>
      <c r="E1350" s="9" t="s">
        <v>3111</v>
      </c>
      <c r="F1350" s="19" t="n">
        <f aca="false">IF('Base de Datos SADI'!U268="","",'Base de Datos SADI'!U268)</f>
        <v>75</v>
      </c>
      <c r="G1350" s="15"/>
      <c r="H1350" s="30"/>
      <c r="I1350" s="31" t="str">
        <f aca="false">IF(OR($G1350="",$G1350=0),"",IFERROR(ROUND($F1350*$G1350*(1-IF($H1350="",0,$H1350)),2),""))</f>
        <v/>
      </c>
      <c r="J1350" s="9"/>
    </row>
    <row r="1351" customFormat="false" ht="21.75" hidden="false" customHeight="true" outlineLevel="0" collapsed="false">
      <c r="B1351" s="14" t="n">
        <v>265</v>
      </c>
      <c r="C1351" s="7" t="s">
        <v>81</v>
      </c>
      <c r="D1351" s="7" t="s">
        <v>102</v>
      </c>
      <c r="E1351" s="7" t="s">
        <v>3113</v>
      </c>
      <c r="F1351" s="18" t="n">
        <f aca="false">IF('Base de Datos SADI'!U269="","",'Base de Datos SADI'!U269)</f>
        <v>115</v>
      </c>
      <c r="G1351" s="14"/>
      <c r="H1351" s="28"/>
      <c r="I1351" s="29" t="str">
        <f aca="false">IF(OR($G1351="",$G1351=0),"",IFERROR(ROUND($F1351*$G1351*(1-IF($H1351="",0,$H1351)),2),""))</f>
        <v/>
      </c>
      <c r="J1351" s="7"/>
    </row>
    <row r="1352" customFormat="false" ht="21.75" hidden="false" customHeight="true" outlineLevel="0" collapsed="false">
      <c r="B1352" s="15" t="n">
        <v>266</v>
      </c>
      <c r="C1352" s="9" t="s">
        <v>81</v>
      </c>
      <c r="D1352" s="9" t="s">
        <v>102</v>
      </c>
      <c r="E1352" s="9" t="s">
        <v>3114</v>
      </c>
      <c r="F1352" s="19" t="n">
        <f aca="false">IF('Base de Datos SADI'!U270="","",'Base de Datos SADI'!U270)</f>
        <v>170</v>
      </c>
      <c r="G1352" s="15"/>
      <c r="H1352" s="30"/>
      <c r="I1352" s="31" t="str">
        <f aca="false">IF(OR($G1352="",$G1352=0),"",IFERROR(ROUND($F1352*$G1352*(1-IF($H1352="",0,$H1352)),2),""))</f>
        <v/>
      </c>
      <c r="J1352" s="9"/>
    </row>
    <row r="1353" customFormat="false" ht="21.75" hidden="false" customHeight="true" outlineLevel="0" collapsed="false">
      <c r="B1353" s="14" t="n">
        <v>267</v>
      </c>
      <c r="C1353" s="7" t="s">
        <v>81</v>
      </c>
      <c r="D1353" s="7" t="s">
        <v>103</v>
      </c>
      <c r="E1353" s="7" t="s">
        <v>3115</v>
      </c>
      <c r="F1353" s="18" t="n">
        <f aca="false">IF('Base de Datos SADI'!U271="","",'Base de Datos SADI'!U271)</f>
        <v>45</v>
      </c>
      <c r="G1353" s="14"/>
      <c r="H1353" s="28"/>
      <c r="I1353" s="29" t="str">
        <f aca="false">IF(OR($G1353="",$G1353=0),"",IFERROR(ROUND($F1353*$G1353*(1-IF($H1353="",0,$H1353)),2),""))</f>
        <v/>
      </c>
      <c r="J1353" s="7"/>
    </row>
    <row r="1354" customFormat="false" ht="21.75" hidden="false" customHeight="true" outlineLevel="0" collapsed="false">
      <c r="B1354" s="15" t="n">
        <v>268</v>
      </c>
      <c r="C1354" s="9" t="s">
        <v>81</v>
      </c>
      <c r="D1354" s="9" t="s">
        <v>103</v>
      </c>
      <c r="E1354" s="9" t="s">
        <v>3120</v>
      </c>
      <c r="F1354" s="19" t="n">
        <f aca="false">IF('Base de Datos SADI'!U272="","",'Base de Datos SADI'!U272)</f>
        <v>70</v>
      </c>
      <c r="G1354" s="15"/>
      <c r="H1354" s="30"/>
      <c r="I1354" s="31" t="str">
        <f aca="false">IF(OR($G1354="",$G1354=0),"",IFERROR(ROUND($F1354*$G1354*(1-IF($H1354="",0,$H1354)),2),""))</f>
        <v/>
      </c>
      <c r="J1354" s="9"/>
    </row>
    <row r="1355" customFormat="false" ht="21.75" hidden="false" customHeight="true" outlineLevel="0" collapsed="false">
      <c r="B1355" s="14" t="n">
        <v>269</v>
      </c>
      <c r="C1355" s="7" t="s">
        <v>81</v>
      </c>
      <c r="D1355" s="7" t="s">
        <v>103</v>
      </c>
      <c r="E1355" s="7" t="s">
        <v>3121</v>
      </c>
      <c r="F1355" s="18" t="n">
        <f aca="false">IF('Base de Datos SADI'!U273="","",'Base de Datos SADI'!U273)</f>
        <v>95</v>
      </c>
      <c r="G1355" s="14"/>
      <c r="H1355" s="28"/>
      <c r="I1355" s="29" t="str">
        <f aca="false">IF(OR($G1355="",$G1355=0),"",IFERROR(ROUND($F1355*$G1355*(1-IF($H1355="",0,$H1355)),2),""))</f>
        <v/>
      </c>
      <c r="J1355" s="7"/>
    </row>
    <row r="1356" customFormat="false" ht="21.75" hidden="false" customHeight="true" outlineLevel="0" collapsed="false">
      <c r="B1356" s="15" t="n">
        <v>270</v>
      </c>
      <c r="C1356" s="9" t="s">
        <v>81</v>
      </c>
      <c r="D1356" s="9" t="s">
        <v>103</v>
      </c>
      <c r="E1356" s="9" t="s">
        <v>3123</v>
      </c>
      <c r="F1356" s="19" t="n">
        <f aca="false">IF('Base de Datos SADI'!U274="","",'Base de Datos SADI'!U274)</f>
        <v>140</v>
      </c>
      <c r="G1356" s="15"/>
      <c r="H1356" s="30"/>
      <c r="I1356" s="31" t="str">
        <f aca="false">IF(OR($G1356="",$G1356=0),"",IFERROR(ROUND($F1356*$G1356*(1-IF($H1356="",0,$H1356)),2),""))</f>
        <v/>
      </c>
      <c r="J1356" s="9"/>
    </row>
    <row r="1357" customFormat="false" ht="21.75" hidden="false" customHeight="true" outlineLevel="0" collapsed="false">
      <c r="B1357" s="14" t="n">
        <v>271</v>
      </c>
      <c r="C1357" s="7" t="s">
        <v>81</v>
      </c>
      <c r="D1357" s="7" t="s">
        <v>103</v>
      </c>
      <c r="E1357" s="7" t="s">
        <v>3124</v>
      </c>
      <c r="F1357" s="18" t="n">
        <f aca="false">IF('Base de Datos SADI'!U275="","",'Base de Datos SADI'!U275)</f>
        <v>210</v>
      </c>
      <c r="G1357" s="14"/>
      <c r="H1357" s="28"/>
      <c r="I1357" s="29" t="str">
        <f aca="false">IF(OR($G1357="",$G1357=0),"",IFERROR(ROUND($F1357*$G1357*(1-IF($H1357="",0,$H1357)),2),""))</f>
        <v/>
      </c>
      <c r="J1357" s="7"/>
    </row>
    <row r="1358" customFormat="false" ht="21.75" hidden="false" customHeight="true" outlineLevel="0" collapsed="false">
      <c r="B1358" s="15" t="n">
        <v>272</v>
      </c>
      <c r="C1358" s="9" t="s">
        <v>81</v>
      </c>
      <c r="D1358" s="9" t="s">
        <v>104</v>
      </c>
      <c r="E1358" s="9" t="s">
        <v>3125</v>
      </c>
      <c r="F1358" s="19" t="n">
        <f aca="false">IF('Base de Datos SADI'!U276="","",'Base de Datos SADI'!U276)</f>
        <v>40</v>
      </c>
      <c r="G1358" s="15"/>
      <c r="H1358" s="30"/>
      <c r="I1358" s="31" t="str">
        <f aca="false">IF(OR($G1358="",$G1358=0),"",IFERROR(ROUND($F1358*$G1358*(1-IF($H1358="",0,$H1358)),2),""))</f>
        <v/>
      </c>
      <c r="J1358" s="9"/>
    </row>
    <row r="1359" customFormat="false" ht="21.75" hidden="false" customHeight="true" outlineLevel="0" collapsed="false">
      <c r="B1359" s="14" t="n">
        <v>273</v>
      </c>
      <c r="C1359" s="7" t="s">
        <v>81</v>
      </c>
      <c r="D1359" s="7" t="s">
        <v>104</v>
      </c>
      <c r="E1359" s="7" t="s">
        <v>3128</v>
      </c>
      <c r="F1359" s="18" t="n">
        <f aca="false">IF('Base de Datos SADI'!U277="","",'Base de Datos SADI'!U277)</f>
        <v>65</v>
      </c>
      <c r="G1359" s="14"/>
      <c r="H1359" s="28"/>
      <c r="I1359" s="29" t="str">
        <f aca="false">IF(OR($G1359="",$G1359=0),"",IFERROR(ROUND($F1359*$G1359*(1-IF($H1359="",0,$H1359)),2),""))</f>
        <v/>
      </c>
      <c r="J1359" s="7"/>
    </row>
    <row r="1360" customFormat="false" ht="21.75" hidden="false" customHeight="true" outlineLevel="0" collapsed="false">
      <c r="B1360" s="15" t="n">
        <v>274</v>
      </c>
      <c r="C1360" s="9" t="s">
        <v>81</v>
      </c>
      <c r="D1360" s="9" t="s">
        <v>104</v>
      </c>
      <c r="E1360" s="9" t="s">
        <v>3129</v>
      </c>
      <c r="F1360" s="19" t="n">
        <f aca="false">IF('Base de Datos SADI'!U278="","",'Base de Datos SADI'!U278)</f>
        <v>85</v>
      </c>
      <c r="G1360" s="15"/>
      <c r="H1360" s="30"/>
      <c r="I1360" s="31" t="str">
        <f aca="false">IF(OR($G1360="",$G1360=0),"",IFERROR(ROUND($F1360*$G1360*(1-IF($H1360="",0,$H1360)),2),""))</f>
        <v/>
      </c>
      <c r="J1360" s="9"/>
    </row>
    <row r="1361" customFormat="false" ht="21.75" hidden="false" customHeight="true" outlineLevel="0" collapsed="false">
      <c r="B1361" s="14" t="n">
        <v>275</v>
      </c>
      <c r="C1361" s="7" t="s">
        <v>81</v>
      </c>
      <c r="D1361" s="7" t="s">
        <v>104</v>
      </c>
      <c r="E1361" s="7" t="s">
        <v>3131</v>
      </c>
      <c r="F1361" s="18" t="n">
        <f aca="false">IF('Base de Datos SADI'!U279="","",'Base de Datos SADI'!U279)</f>
        <v>130</v>
      </c>
      <c r="G1361" s="14"/>
      <c r="H1361" s="28"/>
      <c r="I1361" s="29" t="str">
        <f aca="false">IF(OR($G1361="",$G1361=0),"",IFERROR(ROUND($F1361*$G1361*(1-IF($H1361="",0,$H1361)),2),""))</f>
        <v/>
      </c>
      <c r="J1361" s="7"/>
    </row>
    <row r="1362" customFormat="false" ht="21.75" hidden="false" customHeight="true" outlineLevel="0" collapsed="false">
      <c r="B1362" s="15" t="n">
        <v>276</v>
      </c>
      <c r="C1362" s="9" t="s">
        <v>81</v>
      </c>
      <c r="D1362" s="9" t="s">
        <v>104</v>
      </c>
      <c r="E1362" s="9" t="s">
        <v>3132</v>
      </c>
      <c r="F1362" s="19" t="n">
        <f aca="false">IF('Base de Datos SADI'!U280="","",'Base de Datos SADI'!U280)</f>
        <v>190</v>
      </c>
      <c r="G1362" s="15"/>
      <c r="H1362" s="30"/>
      <c r="I1362" s="31" t="str">
        <f aca="false">IF(OR($G1362="",$G1362=0),"",IFERROR(ROUND($F1362*$G1362*(1-IF($H1362="",0,$H1362)),2),""))</f>
        <v/>
      </c>
      <c r="J1362" s="9"/>
    </row>
    <row r="1363" customFormat="false" ht="21.75" hidden="false" customHeight="true" outlineLevel="0" collapsed="false">
      <c r="B1363" s="14" t="n">
        <v>277</v>
      </c>
      <c r="C1363" s="7" t="s">
        <v>81</v>
      </c>
      <c r="D1363" s="7" t="s">
        <v>105</v>
      </c>
      <c r="E1363" s="7" t="s">
        <v>3131</v>
      </c>
      <c r="F1363" s="18" t="n">
        <f aca="false">IF('Base de Datos SADI'!U281="","",'Base de Datos SADI'!U281)</f>
        <v>45</v>
      </c>
      <c r="G1363" s="14"/>
      <c r="H1363" s="28"/>
      <c r="I1363" s="29" t="str">
        <f aca="false">IF(OR($G1363="",$G1363=0),"",IFERROR(ROUND($F1363*$G1363*(1-IF($H1363="",0,$H1363)),2),""))</f>
        <v/>
      </c>
      <c r="J1363" s="7"/>
    </row>
    <row r="1364" customFormat="false" ht="21.75" hidden="false" customHeight="true" outlineLevel="0" collapsed="false">
      <c r="B1364" s="15" t="n">
        <v>278</v>
      </c>
      <c r="C1364" s="9" t="s">
        <v>81</v>
      </c>
      <c r="D1364" s="9" t="s">
        <v>105</v>
      </c>
      <c r="E1364" s="9" t="s">
        <v>3134</v>
      </c>
      <c r="F1364" s="19" t="n">
        <f aca="false">IF('Base de Datos SADI'!U282="","",'Base de Datos SADI'!U282)</f>
        <v>65</v>
      </c>
      <c r="G1364" s="15"/>
      <c r="H1364" s="30"/>
      <c r="I1364" s="31" t="str">
        <f aca="false">IF(OR($G1364="",$G1364=0),"",IFERROR(ROUND($F1364*$G1364*(1-IF($H1364="",0,$H1364)),2),""))</f>
        <v/>
      </c>
      <c r="J1364" s="9"/>
    </row>
    <row r="1365" customFormat="false" ht="21.75" hidden="false" customHeight="true" outlineLevel="0" collapsed="false">
      <c r="B1365" s="14" t="n">
        <v>279</v>
      </c>
      <c r="C1365" s="7" t="s">
        <v>81</v>
      </c>
      <c r="D1365" s="7" t="s">
        <v>105</v>
      </c>
      <c r="E1365" s="7" t="s">
        <v>3135</v>
      </c>
      <c r="F1365" s="18" t="n">
        <f aca="false">IF('Base de Datos SADI'!U283="","",'Base de Datos SADI'!U283)</f>
        <v>90</v>
      </c>
      <c r="G1365" s="14"/>
      <c r="H1365" s="28"/>
      <c r="I1365" s="29" t="str">
        <f aca="false">IF(OR($G1365="",$G1365=0),"",IFERROR(ROUND($F1365*$G1365*(1-IF($H1365="",0,$H1365)),2),""))</f>
        <v/>
      </c>
      <c r="J1365" s="7"/>
    </row>
    <row r="1366" customFormat="false" ht="21.75" hidden="false" customHeight="true" outlineLevel="0" collapsed="false">
      <c r="B1366" s="15" t="n">
        <v>280</v>
      </c>
      <c r="C1366" s="9" t="s">
        <v>81</v>
      </c>
      <c r="D1366" s="9" t="s">
        <v>105</v>
      </c>
      <c r="E1366" s="9" t="s">
        <v>3137</v>
      </c>
      <c r="F1366" s="19" t="n">
        <f aca="false">IF('Base de Datos SADI'!U284="","",'Base de Datos SADI'!U284)</f>
        <v>135</v>
      </c>
      <c r="G1366" s="15"/>
      <c r="H1366" s="30"/>
      <c r="I1366" s="31" t="str">
        <f aca="false">IF(OR($G1366="",$G1366=0),"",IFERROR(ROUND($F1366*$G1366*(1-IF($H1366="",0,$H1366)),2),""))</f>
        <v/>
      </c>
      <c r="J1366" s="9"/>
    </row>
    <row r="1367" customFormat="false" ht="21.75" hidden="false" customHeight="true" outlineLevel="0" collapsed="false">
      <c r="B1367" s="14" t="n">
        <v>281</v>
      </c>
      <c r="C1367" s="7" t="s">
        <v>81</v>
      </c>
      <c r="D1367" s="7" t="s">
        <v>105</v>
      </c>
      <c r="E1367" s="7" t="s">
        <v>3138</v>
      </c>
      <c r="F1367" s="18" t="n">
        <f aca="false">IF('Base de Datos SADI'!U285="","",'Base de Datos SADI'!U285)</f>
        <v>200</v>
      </c>
      <c r="G1367" s="14"/>
      <c r="H1367" s="28"/>
      <c r="I1367" s="29" t="str">
        <f aca="false">IF(OR($G1367="",$G1367=0),"",IFERROR(ROUND($F1367*$G1367*(1-IF($H1367="",0,$H1367)),2),""))</f>
        <v/>
      </c>
      <c r="J1367" s="7"/>
    </row>
    <row r="1368" customFormat="false" ht="21.75" hidden="false" customHeight="true" outlineLevel="0" collapsed="false">
      <c r="B1368" s="15" t="n">
        <v>282</v>
      </c>
      <c r="C1368" s="9" t="s">
        <v>81</v>
      </c>
      <c r="D1368" s="9" t="s">
        <v>106</v>
      </c>
      <c r="E1368" s="9" t="s">
        <v>391</v>
      </c>
      <c r="F1368" s="19" t="str">
        <f aca="false">IF('Base de Datos SADI'!U286="","",'Base de Datos SADI'!U286)</f>
        <v/>
      </c>
      <c r="G1368" s="15"/>
      <c r="H1368" s="30"/>
      <c r="I1368" s="31" t="str">
        <f aca="false">IF(OR($G1368="",$G1368=0),"",IFERROR(ROUND($F1368*$G1368*(1-IF($H1368="",0,$H1368)),2),""))</f>
        <v/>
      </c>
      <c r="J1368" s="9"/>
    </row>
    <row r="1369" customFormat="false" ht="21.75" hidden="false" customHeight="true" outlineLevel="0" collapsed="false">
      <c r="B1369" s="14" t="n">
        <v>283</v>
      </c>
      <c r="C1369" s="7" t="s">
        <v>81</v>
      </c>
      <c r="D1369" s="7" t="s">
        <v>107</v>
      </c>
      <c r="E1369" s="7" t="s">
        <v>391</v>
      </c>
      <c r="F1369" s="18" t="str">
        <f aca="false">IF('Base de Datos SADI'!U287="","",'Base de Datos SADI'!U287)</f>
        <v/>
      </c>
      <c r="G1369" s="14"/>
      <c r="H1369" s="28"/>
      <c r="I1369" s="29" t="str">
        <f aca="false">IF(OR($G1369="",$G1369=0),"",IFERROR(ROUND($F1369*$G1369*(1-IF($H1369="",0,$H1369)),2),""))</f>
        <v/>
      </c>
      <c r="J1369" s="7"/>
    </row>
    <row r="1370" customFormat="false" ht="21.75" hidden="false" customHeight="true" outlineLevel="0" collapsed="false">
      <c r="B1370" s="15" t="n">
        <v>284</v>
      </c>
      <c r="C1370" s="9" t="s">
        <v>81</v>
      </c>
      <c r="D1370" s="9" t="s">
        <v>108</v>
      </c>
      <c r="E1370" s="9" t="s">
        <v>391</v>
      </c>
      <c r="F1370" s="19" t="str">
        <f aca="false">IF('Base de Datos SADI'!U288="","",'Base de Datos SADI'!U288)</f>
        <v/>
      </c>
      <c r="G1370" s="15"/>
      <c r="H1370" s="30"/>
      <c r="I1370" s="31" t="str">
        <f aca="false">IF(OR($G1370="",$G1370=0),"",IFERROR(ROUND($F1370*$G1370*(1-IF($H1370="",0,$H1370)),2),""))</f>
        <v/>
      </c>
      <c r="J1370" s="9"/>
    </row>
    <row r="1371" customFormat="false" ht="21.75" hidden="false" customHeight="true" outlineLevel="0" collapsed="false">
      <c r="B1371" s="14" t="n">
        <v>285</v>
      </c>
      <c r="C1371" s="7" t="s">
        <v>82</v>
      </c>
      <c r="D1371" s="7" t="s">
        <v>93</v>
      </c>
      <c r="E1371" s="7" t="s">
        <v>3142</v>
      </c>
      <c r="F1371" s="18" t="n">
        <f aca="false">IF('Base de Datos SADI'!U289="","",'Base de Datos SADI'!U289)</f>
        <v>525</v>
      </c>
      <c r="G1371" s="14"/>
      <c r="H1371" s="28"/>
      <c r="I1371" s="29" t="str">
        <f aca="false">IF(OR($G1371="",$G1371=0),"",IFERROR(ROUND($F1371*$G1371*(1-IF($H1371="",0,$H1371)),2),""))</f>
        <v/>
      </c>
      <c r="J1371" s="7"/>
    </row>
    <row r="1372" customFormat="false" ht="21.75" hidden="false" customHeight="true" outlineLevel="0" collapsed="false">
      <c r="B1372" s="15" t="n">
        <v>286</v>
      </c>
      <c r="C1372" s="9" t="s">
        <v>82</v>
      </c>
      <c r="D1372" s="9" t="s">
        <v>93</v>
      </c>
      <c r="E1372" s="9" t="s">
        <v>3154</v>
      </c>
      <c r="F1372" s="19" t="n">
        <f aca="false">IF('Base de Datos SADI'!U290="","",'Base de Datos SADI'!U290)</f>
        <v>785</v>
      </c>
      <c r="G1372" s="15"/>
      <c r="H1372" s="30"/>
      <c r="I1372" s="31" t="str">
        <f aca="false">IF(OR($G1372="",$G1372=0),"",IFERROR(ROUND($F1372*$G1372*(1-IF($H1372="",0,$H1372)),2),""))</f>
        <v/>
      </c>
      <c r="J1372" s="9"/>
    </row>
    <row r="1373" customFormat="false" ht="21.75" hidden="false" customHeight="true" outlineLevel="0" collapsed="false">
      <c r="B1373" s="14" t="n">
        <v>287</v>
      </c>
      <c r="C1373" s="7" t="s">
        <v>82</v>
      </c>
      <c r="D1373" s="7" t="s">
        <v>93</v>
      </c>
      <c r="E1373" s="7" t="s">
        <v>3155</v>
      </c>
      <c r="F1373" s="18" t="n">
        <f aca="false">IF('Base de Datos SADI'!U291="","",'Base de Datos SADI'!U291)</f>
        <v>1050</v>
      </c>
      <c r="G1373" s="14"/>
      <c r="H1373" s="28"/>
      <c r="I1373" s="29" t="str">
        <f aca="false">IF(OR($G1373="",$G1373=0),"",IFERROR(ROUND($F1373*$G1373*(1-IF($H1373="",0,$H1373)),2),""))</f>
        <v/>
      </c>
      <c r="J1373" s="7"/>
    </row>
    <row r="1374" customFormat="false" ht="21.75" hidden="false" customHeight="true" outlineLevel="0" collapsed="false">
      <c r="B1374" s="15" t="n">
        <v>288</v>
      </c>
      <c r="C1374" s="9" t="s">
        <v>82</v>
      </c>
      <c r="D1374" s="9" t="s">
        <v>93</v>
      </c>
      <c r="E1374" s="9" t="s">
        <v>3157</v>
      </c>
      <c r="F1374" s="19" t="n">
        <f aca="false">IF('Base de Datos SADI'!U292="","",'Base de Datos SADI'!U292)</f>
        <v>1575</v>
      </c>
      <c r="G1374" s="15"/>
      <c r="H1374" s="30"/>
      <c r="I1374" s="31" t="str">
        <f aca="false">IF(OR($G1374="",$G1374=0),"",IFERROR(ROUND($F1374*$G1374*(1-IF($H1374="",0,$H1374)),2),""))</f>
        <v/>
      </c>
      <c r="J1374" s="9"/>
    </row>
    <row r="1375" customFormat="false" ht="21.75" hidden="false" customHeight="true" outlineLevel="0" collapsed="false">
      <c r="B1375" s="14" t="n">
        <v>289</v>
      </c>
      <c r="C1375" s="7" t="s">
        <v>82</v>
      </c>
      <c r="D1375" s="7" t="s">
        <v>93</v>
      </c>
      <c r="E1375" s="7" t="s">
        <v>3158</v>
      </c>
      <c r="F1375" s="18" t="n">
        <f aca="false">IF('Base de Datos SADI'!U293="","",'Base de Datos SADI'!U293)</f>
        <v>2310</v>
      </c>
      <c r="G1375" s="14"/>
      <c r="H1375" s="28"/>
      <c r="I1375" s="29" t="str">
        <f aca="false">IF(OR($G1375="",$G1375=0),"",IFERROR(ROUND($F1375*$G1375*(1-IF($H1375="",0,$H1375)),2),""))</f>
        <v/>
      </c>
      <c r="J1375" s="7"/>
    </row>
    <row r="1376" customFormat="false" ht="21.75" hidden="false" customHeight="true" outlineLevel="0" collapsed="false">
      <c r="B1376" s="15" t="n">
        <v>290</v>
      </c>
      <c r="C1376" s="9" t="s">
        <v>82</v>
      </c>
      <c r="D1376" s="9" t="s">
        <v>94</v>
      </c>
      <c r="E1376" s="9" t="s">
        <v>3159</v>
      </c>
      <c r="F1376" s="19" t="n">
        <f aca="false">IF('Base de Datos SADI'!U294="","",'Base de Datos SADI'!U294)</f>
        <v>130</v>
      </c>
      <c r="G1376" s="15"/>
      <c r="H1376" s="30"/>
      <c r="I1376" s="31" t="str">
        <f aca="false">IF(OR($G1376="",$G1376=0),"",IFERROR(ROUND($F1376*$G1376*(1-IF($H1376="",0,$H1376)),2),""))</f>
        <v/>
      </c>
      <c r="J1376" s="9"/>
    </row>
    <row r="1377" customFormat="false" ht="21.75" hidden="false" customHeight="true" outlineLevel="0" collapsed="false">
      <c r="B1377" s="14" t="n">
        <v>291</v>
      </c>
      <c r="C1377" s="7" t="s">
        <v>82</v>
      </c>
      <c r="D1377" s="7" t="s">
        <v>94</v>
      </c>
      <c r="E1377" s="7" t="s">
        <v>3167</v>
      </c>
      <c r="F1377" s="18" t="n">
        <f aca="false">IF('Base de Datos SADI'!U295="","",'Base de Datos SADI'!U295)</f>
        <v>195</v>
      </c>
      <c r="G1377" s="14"/>
      <c r="H1377" s="28"/>
      <c r="I1377" s="29" t="str">
        <f aca="false">IF(OR($G1377="",$G1377=0),"",IFERROR(ROUND($F1377*$G1377*(1-IF($H1377="",0,$H1377)),2),""))</f>
        <v/>
      </c>
      <c r="J1377" s="7"/>
    </row>
    <row r="1378" customFormat="false" ht="21.75" hidden="false" customHeight="true" outlineLevel="0" collapsed="false">
      <c r="B1378" s="15" t="n">
        <v>292</v>
      </c>
      <c r="C1378" s="9" t="s">
        <v>82</v>
      </c>
      <c r="D1378" s="9" t="s">
        <v>94</v>
      </c>
      <c r="E1378" s="9" t="s">
        <v>3168</v>
      </c>
      <c r="F1378" s="19" t="n">
        <f aca="false">IF('Base de Datos SADI'!U296="","",'Base de Datos SADI'!U296)</f>
        <v>260</v>
      </c>
      <c r="G1378" s="15"/>
      <c r="H1378" s="30"/>
      <c r="I1378" s="31" t="str">
        <f aca="false">IF(OR($G1378="",$G1378=0),"",IFERROR(ROUND($F1378*$G1378*(1-IF($H1378="",0,$H1378)),2),""))</f>
        <v/>
      </c>
      <c r="J1378" s="9"/>
    </row>
    <row r="1379" customFormat="false" ht="21.75" hidden="false" customHeight="true" outlineLevel="0" collapsed="false">
      <c r="B1379" s="14" t="n">
        <v>293</v>
      </c>
      <c r="C1379" s="7" t="s">
        <v>82</v>
      </c>
      <c r="D1379" s="7" t="s">
        <v>94</v>
      </c>
      <c r="E1379" s="7" t="s">
        <v>3170</v>
      </c>
      <c r="F1379" s="18" t="n">
        <f aca="false">IF('Base de Datos SADI'!U297="","",'Base de Datos SADI'!U297)</f>
        <v>390</v>
      </c>
      <c r="G1379" s="14"/>
      <c r="H1379" s="28"/>
      <c r="I1379" s="29" t="str">
        <f aca="false">IF(OR($G1379="",$G1379=0),"",IFERROR(ROUND($F1379*$G1379*(1-IF($H1379="",0,$H1379)),2),""))</f>
        <v/>
      </c>
      <c r="J1379" s="7"/>
    </row>
    <row r="1380" customFormat="false" ht="21.75" hidden="false" customHeight="true" outlineLevel="0" collapsed="false">
      <c r="B1380" s="15" t="n">
        <v>294</v>
      </c>
      <c r="C1380" s="9" t="s">
        <v>82</v>
      </c>
      <c r="D1380" s="9" t="s">
        <v>94</v>
      </c>
      <c r="E1380" s="9" t="s">
        <v>3171</v>
      </c>
      <c r="F1380" s="19" t="n">
        <f aca="false">IF('Base de Datos SADI'!U298="","",'Base de Datos SADI'!U298)</f>
        <v>575</v>
      </c>
      <c r="G1380" s="15"/>
      <c r="H1380" s="30"/>
      <c r="I1380" s="31" t="str">
        <f aca="false">IF(OR($G1380="",$G1380=0),"",IFERROR(ROUND($F1380*$G1380*(1-IF($H1380="",0,$H1380)),2),""))</f>
        <v/>
      </c>
      <c r="J1380" s="9"/>
    </row>
    <row r="1381" customFormat="false" ht="21.75" hidden="false" customHeight="true" outlineLevel="0" collapsed="false">
      <c r="B1381" s="14" t="n">
        <v>295</v>
      </c>
      <c r="C1381" s="7" t="s">
        <v>82</v>
      </c>
      <c r="D1381" s="7" t="s">
        <v>95</v>
      </c>
      <c r="E1381" s="7" t="s">
        <v>3172</v>
      </c>
      <c r="F1381" s="18" t="n">
        <f aca="false">IF('Base de Datos SADI'!U299="","",'Base de Datos SADI'!U299)</f>
        <v>17</v>
      </c>
      <c r="G1381" s="14"/>
      <c r="H1381" s="28"/>
      <c r="I1381" s="29" t="str">
        <f aca="false">IF(OR($G1381="",$G1381=0),"",IFERROR(ROUND($F1381*$G1381*(1-IF($H1381="",0,$H1381)),2),""))</f>
        <v/>
      </c>
      <c r="J1381" s="7"/>
    </row>
    <row r="1382" customFormat="false" ht="21.75" hidden="false" customHeight="true" outlineLevel="0" collapsed="false">
      <c r="B1382" s="15" t="n">
        <v>296</v>
      </c>
      <c r="C1382" s="9" t="s">
        <v>82</v>
      </c>
      <c r="D1382" s="9" t="s">
        <v>95</v>
      </c>
      <c r="E1382" s="9" t="s">
        <v>3175</v>
      </c>
      <c r="F1382" s="19" t="n">
        <f aca="false">IF('Base de Datos SADI'!U300="","",'Base de Datos SADI'!U300)</f>
        <v>25</v>
      </c>
      <c r="G1382" s="15"/>
      <c r="H1382" s="30"/>
      <c r="I1382" s="31" t="str">
        <f aca="false">IF(OR($G1382="",$G1382=0),"",IFERROR(ROUND($F1382*$G1382*(1-IF($H1382="",0,$H1382)),2),""))</f>
        <v/>
      </c>
      <c r="J1382" s="9"/>
    </row>
    <row r="1383" customFormat="false" ht="21.75" hidden="false" customHeight="true" outlineLevel="0" collapsed="false">
      <c r="B1383" s="14" t="n">
        <v>297</v>
      </c>
      <c r="C1383" s="7" t="s">
        <v>82</v>
      </c>
      <c r="D1383" s="7" t="s">
        <v>95</v>
      </c>
      <c r="E1383" s="7" t="s">
        <v>3176</v>
      </c>
      <c r="F1383" s="18" t="n">
        <f aca="false">IF('Base de Datos SADI'!U301="","",'Base de Datos SADI'!U301)</f>
        <v>30</v>
      </c>
      <c r="G1383" s="14"/>
      <c r="H1383" s="28"/>
      <c r="I1383" s="29" t="str">
        <f aca="false">IF(OR($G1383="",$G1383=0),"",IFERROR(ROUND($F1383*$G1383*(1-IF($H1383="",0,$H1383)),2),""))</f>
        <v/>
      </c>
      <c r="J1383" s="7"/>
    </row>
    <row r="1384" customFormat="false" ht="21.75" hidden="false" customHeight="true" outlineLevel="0" collapsed="false">
      <c r="B1384" s="15" t="n">
        <v>298</v>
      </c>
      <c r="C1384" s="9" t="s">
        <v>82</v>
      </c>
      <c r="D1384" s="9" t="s">
        <v>95</v>
      </c>
      <c r="E1384" s="9" t="s">
        <v>3178</v>
      </c>
      <c r="F1384" s="19" t="n">
        <f aca="false">IF('Base de Datos SADI'!U302="","",'Base de Datos SADI'!U302)</f>
        <v>50</v>
      </c>
      <c r="G1384" s="15"/>
      <c r="H1384" s="30"/>
      <c r="I1384" s="31" t="str">
        <f aca="false">IF(OR($G1384="",$G1384=0),"",IFERROR(ROUND($F1384*$G1384*(1-IF($H1384="",0,$H1384)),2),""))</f>
        <v/>
      </c>
      <c r="J1384" s="9"/>
    </row>
    <row r="1385" customFormat="false" ht="21.75" hidden="false" customHeight="true" outlineLevel="0" collapsed="false">
      <c r="B1385" s="14" t="n">
        <v>299</v>
      </c>
      <c r="C1385" s="7" t="s">
        <v>82</v>
      </c>
      <c r="D1385" s="7" t="s">
        <v>95</v>
      </c>
      <c r="E1385" s="7" t="s">
        <v>3179</v>
      </c>
      <c r="F1385" s="18" t="n">
        <f aca="false">IF('Base de Datos SADI'!U303="","",'Base de Datos SADI'!U303)</f>
        <v>70</v>
      </c>
      <c r="G1385" s="14"/>
      <c r="H1385" s="28"/>
      <c r="I1385" s="29" t="str">
        <f aca="false">IF(OR($G1385="",$G1385=0),"",IFERROR(ROUND($F1385*$G1385*(1-IF($H1385="",0,$H1385)),2),""))</f>
        <v/>
      </c>
      <c r="J1385" s="7"/>
    </row>
    <row r="1386" customFormat="false" ht="21.75" hidden="false" customHeight="true" outlineLevel="0" collapsed="false">
      <c r="B1386" s="15" t="n">
        <v>300</v>
      </c>
      <c r="C1386" s="9" t="s">
        <v>82</v>
      </c>
      <c r="D1386" s="9" t="s">
        <v>96</v>
      </c>
      <c r="E1386" s="9" t="s">
        <v>3180</v>
      </c>
      <c r="F1386" s="19" t="n">
        <f aca="false">IF('Base de Datos SADI'!U304="","",'Base de Datos SADI'!U304)</f>
        <v>20</v>
      </c>
      <c r="G1386" s="15"/>
      <c r="H1386" s="30"/>
      <c r="I1386" s="31" t="str">
        <f aca="false">IF(OR($G1386="",$G1386=0),"",IFERROR(ROUND($F1386*$G1386*(1-IF($H1386="",0,$H1386)),2),""))</f>
        <v/>
      </c>
      <c r="J1386" s="9"/>
    </row>
    <row r="1387" customFormat="false" ht="21.75" hidden="false" customHeight="true" outlineLevel="0" collapsed="false">
      <c r="B1387" s="14" t="n">
        <v>301</v>
      </c>
      <c r="C1387" s="7" t="s">
        <v>82</v>
      </c>
      <c r="D1387" s="7" t="s">
        <v>96</v>
      </c>
      <c r="E1387" s="7" t="s">
        <v>3186</v>
      </c>
      <c r="F1387" s="18" t="n">
        <f aca="false">IF('Base de Datos SADI'!U305="","",'Base de Datos SADI'!U305)</f>
        <v>35</v>
      </c>
      <c r="G1387" s="14"/>
      <c r="H1387" s="28"/>
      <c r="I1387" s="29" t="str">
        <f aca="false">IF(OR($G1387="",$G1387=0),"",IFERROR(ROUND($F1387*$G1387*(1-IF($H1387="",0,$H1387)),2),""))</f>
        <v/>
      </c>
      <c r="J1387" s="7"/>
    </row>
    <row r="1388" customFormat="false" ht="21.75" hidden="false" customHeight="true" outlineLevel="0" collapsed="false">
      <c r="B1388" s="15" t="n">
        <v>302</v>
      </c>
      <c r="C1388" s="9" t="s">
        <v>82</v>
      </c>
      <c r="D1388" s="9" t="s">
        <v>96</v>
      </c>
      <c r="E1388" s="9" t="s">
        <v>3187</v>
      </c>
      <c r="F1388" s="19" t="n">
        <f aca="false">IF('Base de Datos SADI'!U306="","",'Base de Datos SADI'!U306)</f>
        <v>45</v>
      </c>
      <c r="G1388" s="15"/>
      <c r="H1388" s="30"/>
      <c r="I1388" s="31" t="str">
        <f aca="false">IF(OR($G1388="",$G1388=0),"",IFERROR(ROUND($F1388*$G1388*(1-IF($H1388="",0,$H1388)),2),""))</f>
        <v/>
      </c>
      <c r="J1388" s="9"/>
    </row>
    <row r="1389" customFormat="false" ht="21.75" hidden="false" customHeight="true" outlineLevel="0" collapsed="false">
      <c r="B1389" s="14" t="n">
        <v>303</v>
      </c>
      <c r="C1389" s="7" t="s">
        <v>82</v>
      </c>
      <c r="D1389" s="7" t="s">
        <v>96</v>
      </c>
      <c r="E1389" s="7" t="s">
        <v>3189</v>
      </c>
      <c r="F1389" s="18" t="n">
        <f aca="false">IF('Base de Datos SADI'!U307="","",'Base de Datos SADI'!U307)</f>
        <v>70</v>
      </c>
      <c r="G1389" s="14"/>
      <c r="H1389" s="28"/>
      <c r="I1389" s="29" t="str">
        <f aca="false">IF(OR($G1389="",$G1389=0),"",IFERROR(ROUND($F1389*$G1389*(1-IF($H1389="",0,$H1389)),2),""))</f>
        <v/>
      </c>
      <c r="J1389" s="7"/>
    </row>
    <row r="1390" customFormat="false" ht="21.75" hidden="false" customHeight="true" outlineLevel="0" collapsed="false">
      <c r="B1390" s="15" t="n">
        <v>304</v>
      </c>
      <c r="C1390" s="9" t="s">
        <v>82</v>
      </c>
      <c r="D1390" s="9" t="s">
        <v>96</v>
      </c>
      <c r="E1390" s="9" t="s">
        <v>3190</v>
      </c>
      <c r="F1390" s="19" t="n">
        <f aca="false">IF('Base de Datos SADI'!U308="","",'Base de Datos SADI'!U308)</f>
        <v>105</v>
      </c>
      <c r="G1390" s="15"/>
      <c r="H1390" s="30"/>
      <c r="I1390" s="31" t="str">
        <f aca="false">IF(OR($G1390="",$G1390=0),"",IFERROR(ROUND($F1390*$G1390*(1-IF($H1390="",0,$H1390)),2),""))</f>
        <v/>
      </c>
      <c r="J1390" s="9"/>
    </row>
    <row r="1391" customFormat="false" ht="21.75" hidden="false" customHeight="true" outlineLevel="0" collapsed="false">
      <c r="B1391" s="14" t="n">
        <v>305</v>
      </c>
      <c r="C1391" s="7" t="s">
        <v>82</v>
      </c>
      <c r="D1391" s="7" t="s">
        <v>97</v>
      </c>
      <c r="E1391" s="7" t="s">
        <v>3191</v>
      </c>
      <c r="F1391" s="18" t="n">
        <f aca="false">IF('Base de Datos SADI'!U309="","",'Base de Datos SADI'!U309)</f>
        <v>20</v>
      </c>
      <c r="G1391" s="14"/>
      <c r="H1391" s="28"/>
      <c r="I1391" s="29" t="str">
        <f aca="false">IF(OR($G1391="",$G1391=0),"",IFERROR(ROUND($F1391*$G1391*(1-IF($H1391="",0,$H1391)),2),""))</f>
        <v/>
      </c>
      <c r="J1391" s="7"/>
    </row>
    <row r="1392" customFormat="false" ht="21.75" hidden="false" customHeight="true" outlineLevel="0" collapsed="false">
      <c r="B1392" s="15" t="n">
        <v>306</v>
      </c>
      <c r="C1392" s="9" t="s">
        <v>82</v>
      </c>
      <c r="D1392" s="9" t="s">
        <v>97</v>
      </c>
      <c r="E1392" s="9" t="s">
        <v>3193</v>
      </c>
      <c r="F1392" s="19" t="n">
        <f aca="false">IF('Base de Datos SADI'!U310="","",'Base de Datos SADI'!U310)</f>
        <v>30</v>
      </c>
      <c r="G1392" s="15"/>
      <c r="H1392" s="30"/>
      <c r="I1392" s="31" t="str">
        <f aca="false">IF(OR($G1392="",$G1392=0),"",IFERROR(ROUND($F1392*$G1392*(1-IF($H1392="",0,$H1392)),2),""))</f>
        <v/>
      </c>
      <c r="J1392" s="9"/>
    </row>
    <row r="1393" customFormat="false" ht="21.75" hidden="false" customHeight="true" outlineLevel="0" collapsed="false">
      <c r="B1393" s="14" t="n">
        <v>307</v>
      </c>
      <c r="C1393" s="7" t="s">
        <v>82</v>
      </c>
      <c r="D1393" s="7" t="s">
        <v>97</v>
      </c>
      <c r="E1393" s="7" t="s">
        <v>3194</v>
      </c>
      <c r="F1393" s="18" t="n">
        <f aca="false">IF('Base de Datos SADI'!U311="","",'Base de Datos SADI'!U311)</f>
        <v>40</v>
      </c>
      <c r="G1393" s="14"/>
      <c r="H1393" s="28"/>
      <c r="I1393" s="29" t="str">
        <f aca="false">IF(OR($G1393="",$G1393=0),"",IFERROR(ROUND($F1393*$G1393*(1-IF($H1393="",0,$H1393)),2),""))</f>
        <v/>
      </c>
      <c r="J1393" s="7"/>
    </row>
    <row r="1394" customFormat="false" ht="21.75" hidden="false" customHeight="true" outlineLevel="0" collapsed="false">
      <c r="B1394" s="15" t="n">
        <v>308</v>
      </c>
      <c r="C1394" s="9" t="s">
        <v>82</v>
      </c>
      <c r="D1394" s="9" t="s">
        <v>97</v>
      </c>
      <c r="E1394" s="9" t="s">
        <v>3196</v>
      </c>
      <c r="F1394" s="19" t="n">
        <f aca="false">IF('Base de Datos SADI'!U312="","",'Base de Datos SADI'!U312)</f>
        <v>60</v>
      </c>
      <c r="G1394" s="15"/>
      <c r="H1394" s="30"/>
      <c r="I1394" s="31" t="str">
        <f aca="false">IF(OR($G1394="",$G1394=0),"",IFERROR(ROUND($F1394*$G1394*(1-IF($H1394="",0,$H1394)),2),""))</f>
        <v/>
      </c>
      <c r="J1394" s="9"/>
    </row>
    <row r="1395" customFormat="false" ht="21.75" hidden="false" customHeight="true" outlineLevel="0" collapsed="false">
      <c r="B1395" s="14" t="n">
        <v>309</v>
      </c>
      <c r="C1395" s="7" t="s">
        <v>82</v>
      </c>
      <c r="D1395" s="7" t="s">
        <v>97</v>
      </c>
      <c r="E1395" s="7" t="s">
        <v>3197</v>
      </c>
      <c r="F1395" s="18" t="n">
        <f aca="false">IF('Base de Datos SADI'!U313="","",'Base de Datos SADI'!U313)</f>
        <v>90</v>
      </c>
      <c r="G1395" s="14"/>
      <c r="H1395" s="28"/>
      <c r="I1395" s="29" t="str">
        <f aca="false">IF(OR($G1395="",$G1395=0),"",IFERROR(ROUND($F1395*$G1395*(1-IF($H1395="",0,$H1395)),2),""))</f>
        <v/>
      </c>
      <c r="J1395" s="7"/>
    </row>
    <row r="1396" customFormat="false" ht="21.75" hidden="false" customHeight="true" outlineLevel="0" collapsed="false">
      <c r="B1396" s="15" t="n">
        <v>310</v>
      </c>
      <c r="C1396" s="9" t="s">
        <v>82</v>
      </c>
      <c r="D1396" s="9" t="s">
        <v>98</v>
      </c>
      <c r="E1396" s="9" t="s">
        <v>391</v>
      </c>
      <c r="F1396" s="19" t="str">
        <f aca="false">IF('Base de Datos SADI'!U314="","",'Base de Datos SADI'!U314)</f>
        <v/>
      </c>
      <c r="G1396" s="15"/>
      <c r="H1396" s="30"/>
      <c r="I1396" s="31" t="str">
        <f aca="false">IF(OR($G1396="",$G1396=0),"",IFERROR(ROUND($F1396*$G1396*(1-IF($H1396="",0,$H1396)),2),""))</f>
        <v/>
      </c>
      <c r="J1396" s="9"/>
    </row>
    <row r="1397" customFormat="false" ht="21.75" hidden="false" customHeight="true" outlineLevel="0" collapsed="false">
      <c r="B1397" s="14" t="n">
        <v>311</v>
      </c>
      <c r="C1397" s="7" t="s">
        <v>82</v>
      </c>
      <c r="D1397" s="7" t="s">
        <v>99</v>
      </c>
      <c r="E1397" s="7" t="s">
        <v>391</v>
      </c>
      <c r="F1397" s="18" t="str">
        <f aca="false">IF('Base de Datos SADI'!U315="","",'Base de Datos SADI'!U315)</f>
        <v/>
      </c>
      <c r="G1397" s="14"/>
      <c r="H1397" s="28"/>
      <c r="I1397" s="29" t="str">
        <f aca="false">IF(OR($G1397="",$G1397=0),"",IFERROR(ROUND($F1397*$G1397*(1-IF($H1397="",0,$H1397)),2),""))</f>
        <v/>
      </c>
      <c r="J1397" s="7"/>
    </row>
    <row r="1398" customFormat="false" ht="21.75" hidden="false" customHeight="true" outlineLevel="0" collapsed="false">
      <c r="B1398" s="15" t="n">
        <v>312</v>
      </c>
      <c r="C1398" s="9" t="s">
        <v>82</v>
      </c>
      <c r="D1398" s="9" t="s">
        <v>100</v>
      </c>
      <c r="E1398" s="9" t="s">
        <v>391</v>
      </c>
      <c r="F1398" s="19" t="str">
        <f aca="false">IF('Base de Datos SADI'!U316="","",'Base de Datos SADI'!U316)</f>
        <v/>
      </c>
      <c r="G1398" s="15"/>
      <c r="H1398" s="30"/>
      <c r="I1398" s="31" t="str">
        <f aca="false">IF(OR($G1398="",$G1398=0),"",IFERROR(ROUND($F1398*$G1398*(1-IF($H1398="",0,$H1398)),2),""))</f>
        <v/>
      </c>
      <c r="J1398" s="9"/>
    </row>
    <row r="1399" customFormat="false" ht="21.75" hidden="false" customHeight="true" outlineLevel="0" collapsed="false">
      <c r="B1399" s="14" t="n">
        <v>313</v>
      </c>
      <c r="C1399" s="7" t="s">
        <v>82</v>
      </c>
      <c r="D1399" s="7" t="s">
        <v>101</v>
      </c>
      <c r="E1399" s="7" t="s">
        <v>391</v>
      </c>
      <c r="F1399" s="18" t="str">
        <f aca="false">IF('Base de Datos SADI'!U317="","",'Base de Datos SADI'!U317)</f>
        <v/>
      </c>
      <c r="G1399" s="14"/>
      <c r="H1399" s="28"/>
      <c r="I1399" s="29" t="str">
        <f aca="false">IF(OR($G1399="",$G1399=0),"",IFERROR(ROUND($F1399*$G1399*(1-IF($H1399="",0,$H1399)),2),""))</f>
        <v/>
      </c>
      <c r="J1399" s="7"/>
    </row>
    <row r="1400" customFormat="false" ht="21.75" hidden="false" customHeight="true" outlineLevel="0" collapsed="false">
      <c r="B1400" s="15" t="n">
        <v>314</v>
      </c>
      <c r="C1400" s="9" t="s">
        <v>82</v>
      </c>
      <c r="D1400" s="9" t="s">
        <v>102</v>
      </c>
      <c r="E1400" s="9" t="s">
        <v>3202</v>
      </c>
      <c r="F1400" s="19" t="n">
        <f aca="false">IF('Base de Datos SADI'!U318="","",'Base de Datos SADI'!U318)</f>
        <v>19</v>
      </c>
      <c r="G1400" s="15"/>
      <c r="H1400" s="30"/>
      <c r="I1400" s="31" t="str">
        <f aca="false">IF(OR($G1400="",$G1400=0),"",IFERROR(ROUND($F1400*$G1400*(1-IF($H1400="",0,$H1400)),2),""))</f>
        <v/>
      </c>
      <c r="J1400" s="9"/>
    </row>
    <row r="1401" customFormat="false" ht="21.75" hidden="false" customHeight="true" outlineLevel="0" collapsed="false">
      <c r="B1401" s="14" t="n">
        <v>315</v>
      </c>
      <c r="C1401" s="7" t="s">
        <v>82</v>
      </c>
      <c r="D1401" s="7" t="s">
        <v>102</v>
      </c>
      <c r="E1401" s="7" t="s">
        <v>3207</v>
      </c>
      <c r="F1401" s="18" t="n">
        <f aca="false">IF('Base de Datos SADI'!U319="","",'Base de Datos SADI'!U319)</f>
        <v>25</v>
      </c>
      <c r="G1401" s="14"/>
      <c r="H1401" s="28"/>
      <c r="I1401" s="29" t="str">
        <f aca="false">IF(OR($G1401="",$G1401=0),"",IFERROR(ROUND($F1401*$G1401*(1-IF($H1401="",0,$H1401)),2),""))</f>
        <v/>
      </c>
      <c r="J1401" s="7"/>
    </row>
    <row r="1402" customFormat="false" ht="21.75" hidden="false" customHeight="true" outlineLevel="0" collapsed="false">
      <c r="B1402" s="15" t="n">
        <v>316</v>
      </c>
      <c r="C1402" s="9" t="s">
        <v>82</v>
      </c>
      <c r="D1402" s="9" t="s">
        <v>102</v>
      </c>
      <c r="E1402" s="9" t="s">
        <v>3208</v>
      </c>
      <c r="F1402" s="19" t="n">
        <f aca="false">IF('Base de Datos SADI'!U320="","",'Base de Datos SADI'!U320)</f>
        <v>35</v>
      </c>
      <c r="G1402" s="15"/>
      <c r="H1402" s="30"/>
      <c r="I1402" s="31" t="str">
        <f aca="false">IF(OR($G1402="",$G1402=0),"",IFERROR(ROUND($F1402*$G1402*(1-IF($H1402="",0,$H1402)),2),""))</f>
        <v/>
      </c>
      <c r="J1402" s="9"/>
    </row>
    <row r="1403" customFormat="false" ht="21.75" hidden="false" customHeight="true" outlineLevel="0" collapsed="false">
      <c r="B1403" s="14" t="n">
        <v>317</v>
      </c>
      <c r="C1403" s="7" t="s">
        <v>82</v>
      </c>
      <c r="D1403" s="7" t="s">
        <v>102</v>
      </c>
      <c r="E1403" s="7" t="s">
        <v>3210</v>
      </c>
      <c r="F1403" s="18" t="n">
        <f aca="false">IF('Base de Datos SADI'!U321="","",'Base de Datos SADI'!U321)</f>
        <v>55</v>
      </c>
      <c r="G1403" s="14"/>
      <c r="H1403" s="28"/>
      <c r="I1403" s="29" t="str">
        <f aca="false">IF(OR($G1403="",$G1403=0),"",IFERROR(ROUND($F1403*$G1403*(1-IF($H1403="",0,$H1403)),2),""))</f>
        <v/>
      </c>
      <c r="J1403" s="7"/>
    </row>
    <row r="1404" customFormat="false" ht="21.75" hidden="false" customHeight="true" outlineLevel="0" collapsed="false">
      <c r="B1404" s="15" t="n">
        <v>318</v>
      </c>
      <c r="C1404" s="9" t="s">
        <v>82</v>
      </c>
      <c r="D1404" s="9" t="s">
        <v>102</v>
      </c>
      <c r="E1404" s="9" t="s">
        <v>3211</v>
      </c>
      <c r="F1404" s="19" t="n">
        <f aca="false">IF('Base de Datos SADI'!U322="","",'Base de Datos SADI'!U322)</f>
        <v>80</v>
      </c>
      <c r="G1404" s="15"/>
      <c r="H1404" s="30"/>
      <c r="I1404" s="31" t="str">
        <f aca="false">IF(OR($G1404="",$G1404=0),"",IFERROR(ROUND($F1404*$G1404*(1-IF($H1404="",0,$H1404)),2),""))</f>
        <v/>
      </c>
      <c r="J1404" s="9"/>
    </row>
    <row r="1405" customFormat="false" ht="21.75" hidden="false" customHeight="true" outlineLevel="0" collapsed="false">
      <c r="B1405" s="14" t="n">
        <v>319</v>
      </c>
      <c r="C1405" s="7" t="s">
        <v>82</v>
      </c>
      <c r="D1405" s="7" t="s">
        <v>103</v>
      </c>
      <c r="E1405" s="7" t="s">
        <v>391</v>
      </c>
      <c r="F1405" s="18" t="str">
        <f aca="false">IF('Base de Datos SADI'!U323="","",'Base de Datos SADI'!U323)</f>
        <v/>
      </c>
      <c r="G1405" s="14"/>
      <c r="H1405" s="28"/>
      <c r="I1405" s="29" t="str">
        <f aca="false">IF(OR($G1405="",$G1405=0),"",IFERROR(ROUND($F1405*$G1405*(1-IF($H1405="",0,$H1405)),2),""))</f>
        <v/>
      </c>
      <c r="J1405" s="7"/>
    </row>
    <row r="1406" customFormat="false" ht="21.75" hidden="false" customHeight="true" outlineLevel="0" collapsed="false">
      <c r="B1406" s="15" t="n">
        <v>320</v>
      </c>
      <c r="C1406" s="9" t="s">
        <v>82</v>
      </c>
      <c r="D1406" s="9" t="s">
        <v>104</v>
      </c>
      <c r="E1406" s="9" t="s">
        <v>3213</v>
      </c>
      <c r="F1406" s="19" t="n">
        <f aca="false">IF('Base de Datos SADI'!U324="","",'Base de Datos SADI'!U324)</f>
        <v>25</v>
      </c>
      <c r="G1406" s="15"/>
      <c r="H1406" s="30"/>
      <c r="I1406" s="31" t="str">
        <f aca="false">IF(OR($G1406="",$G1406=0),"",IFERROR(ROUND($F1406*$G1406*(1-IF($H1406="",0,$H1406)),2),""))</f>
        <v/>
      </c>
      <c r="J1406" s="9"/>
    </row>
    <row r="1407" customFormat="false" ht="21.75" hidden="false" customHeight="true" outlineLevel="0" collapsed="false">
      <c r="B1407" s="14" t="n">
        <v>321</v>
      </c>
      <c r="C1407" s="7" t="s">
        <v>82</v>
      </c>
      <c r="D1407" s="7" t="s">
        <v>104</v>
      </c>
      <c r="E1407" s="7" t="s">
        <v>3216</v>
      </c>
      <c r="F1407" s="18" t="n">
        <f aca="false">IF('Base de Datos SADI'!U325="","",'Base de Datos SADI'!U325)</f>
        <v>35</v>
      </c>
      <c r="G1407" s="14"/>
      <c r="H1407" s="28"/>
      <c r="I1407" s="29" t="str">
        <f aca="false">IF(OR($G1407="",$G1407=0),"",IFERROR(ROUND($F1407*$G1407*(1-IF($H1407="",0,$H1407)),2),""))</f>
        <v/>
      </c>
      <c r="J1407" s="7"/>
    </row>
    <row r="1408" customFormat="false" ht="21.75" hidden="false" customHeight="true" outlineLevel="0" collapsed="false">
      <c r="B1408" s="15" t="n">
        <v>322</v>
      </c>
      <c r="C1408" s="9" t="s">
        <v>82</v>
      </c>
      <c r="D1408" s="9" t="s">
        <v>104</v>
      </c>
      <c r="E1408" s="9" t="s">
        <v>3217</v>
      </c>
      <c r="F1408" s="19" t="n">
        <f aca="false">IF('Base de Datos SADI'!U326="","",'Base de Datos SADI'!U326)</f>
        <v>50</v>
      </c>
      <c r="G1408" s="15"/>
      <c r="H1408" s="30"/>
      <c r="I1408" s="31" t="str">
        <f aca="false">IF(OR($G1408="",$G1408=0),"",IFERROR(ROUND($F1408*$G1408*(1-IF($H1408="",0,$H1408)),2),""))</f>
        <v/>
      </c>
      <c r="J1408" s="9"/>
    </row>
    <row r="1409" customFormat="false" ht="21.75" hidden="false" customHeight="true" outlineLevel="0" collapsed="false">
      <c r="B1409" s="14" t="n">
        <v>323</v>
      </c>
      <c r="C1409" s="7" t="s">
        <v>82</v>
      </c>
      <c r="D1409" s="7" t="s">
        <v>104</v>
      </c>
      <c r="E1409" s="7" t="s">
        <v>3219</v>
      </c>
      <c r="F1409" s="18" t="n">
        <f aca="false">IF('Base de Datos SADI'!U327="","",'Base de Datos SADI'!U327)</f>
        <v>75</v>
      </c>
      <c r="G1409" s="14"/>
      <c r="H1409" s="28"/>
      <c r="I1409" s="29" t="str">
        <f aca="false">IF(OR($G1409="",$G1409=0),"",IFERROR(ROUND($F1409*$G1409*(1-IF($H1409="",0,$H1409)),2),""))</f>
        <v/>
      </c>
      <c r="J1409" s="7"/>
    </row>
    <row r="1410" customFormat="false" ht="21.75" hidden="false" customHeight="true" outlineLevel="0" collapsed="false">
      <c r="B1410" s="15" t="n">
        <v>324</v>
      </c>
      <c r="C1410" s="9" t="s">
        <v>82</v>
      </c>
      <c r="D1410" s="9" t="s">
        <v>104</v>
      </c>
      <c r="E1410" s="9" t="s">
        <v>3220</v>
      </c>
      <c r="F1410" s="19" t="n">
        <f aca="false">IF('Base de Datos SADI'!U328="","",'Base de Datos SADI'!U328)</f>
        <v>110</v>
      </c>
      <c r="G1410" s="15"/>
      <c r="H1410" s="30"/>
      <c r="I1410" s="31" t="str">
        <f aca="false">IF(OR($G1410="",$G1410=0),"",IFERROR(ROUND($F1410*$G1410*(1-IF($H1410="",0,$H1410)),2),""))</f>
        <v/>
      </c>
      <c r="J1410" s="9"/>
    </row>
    <row r="1411" customFormat="false" ht="21.75" hidden="false" customHeight="true" outlineLevel="0" collapsed="false">
      <c r="B1411" s="14" t="n">
        <v>325</v>
      </c>
      <c r="C1411" s="7" t="s">
        <v>82</v>
      </c>
      <c r="D1411" s="7" t="s">
        <v>105</v>
      </c>
      <c r="E1411" s="7" t="s">
        <v>3221</v>
      </c>
      <c r="F1411" s="18" t="n">
        <f aca="false">IF('Base de Datos SADI'!U329="","",'Base de Datos SADI'!U329)</f>
        <v>25</v>
      </c>
      <c r="G1411" s="14"/>
      <c r="H1411" s="28"/>
      <c r="I1411" s="29" t="str">
        <f aca="false">IF(OR($G1411="",$G1411=0),"",IFERROR(ROUND($F1411*$G1411*(1-IF($H1411="",0,$H1411)),2),""))</f>
        <v/>
      </c>
      <c r="J1411" s="7"/>
    </row>
    <row r="1412" customFormat="false" ht="21.75" hidden="false" customHeight="true" outlineLevel="0" collapsed="false">
      <c r="B1412" s="15" t="n">
        <v>326</v>
      </c>
      <c r="C1412" s="9" t="s">
        <v>82</v>
      </c>
      <c r="D1412" s="9" t="s">
        <v>105</v>
      </c>
      <c r="E1412" s="9" t="s">
        <v>3223</v>
      </c>
      <c r="F1412" s="19" t="n">
        <f aca="false">IF('Base de Datos SADI'!U330="","",'Base de Datos SADI'!U330)</f>
        <v>40</v>
      </c>
      <c r="G1412" s="15"/>
      <c r="H1412" s="30"/>
      <c r="I1412" s="31" t="str">
        <f aca="false">IF(OR($G1412="",$G1412=0),"",IFERROR(ROUND($F1412*$G1412*(1-IF($H1412="",0,$H1412)),2),""))</f>
        <v/>
      </c>
      <c r="J1412" s="9"/>
    </row>
    <row r="1413" customFormat="false" ht="21.75" hidden="false" customHeight="true" outlineLevel="0" collapsed="false">
      <c r="B1413" s="14" t="n">
        <v>327</v>
      </c>
      <c r="C1413" s="7" t="s">
        <v>82</v>
      </c>
      <c r="D1413" s="7" t="s">
        <v>105</v>
      </c>
      <c r="E1413" s="7" t="s">
        <v>3224</v>
      </c>
      <c r="F1413" s="18" t="n">
        <f aca="false">IF('Base de Datos SADI'!U331="","",'Base de Datos SADI'!U331)</f>
        <v>55</v>
      </c>
      <c r="G1413" s="14"/>
      <c r="H1413" s="28"/>
      <c r="I1413" s="29" t="str">
        <f aca="false">IF(OR($G1413="",$G1413=0),"",IFERROR(ROUND($F1413*$G1413*(1-IF($H1413="",0,$H1413)),2),""))</f>
        <v/>
      </c>
      <c r="J1413" s="7"/>
    </row>
    <row r="1414" customFormat="false" ht="21.75" hidden="false" customHeight="true" outlineLevel="0" collapsed="false">
      <c r="B1414" s="15" t="n">
        <v>328</v>
      </c>
      <c r="C1414" s="9" t="s">
        <v>82</v>
      </c>
      <c r="D1414" s="9" t="s">
        <v>105</v>
      </c>
      <c r="E1414" s="9" t="s">
        <v>3226</v>
      </c>
      <c r="F1414" s="19" t="n">
        <f aca="false">IF('Base de Datos SADI'!U332="","",'Base de Datos SADI'!U332)</f>
        <v>80</v>
      </c>
      <c r="G1414" s="15"/>
      <c r="H1414" s="30"/>
      <c r="I1414" s="31" t="str">
        <f aca="false">IF(OR($G1414="",$G1414=0),"",IFERROR(ROUND($F1414*$G1414*(1-IF($H1414="",0,$H1414)),2),""))</f>
        <v/>
      </c>
      <c r="J1414" s="9"/>
    </row>
    <row r="1415" customFormat="false" ht="21.75" hidden="false" customHeight="true" outlineLevel="0" collapsed="false">
      <c r="B1415" s="14" t="n">
        <v>329</v>
      </c>
      <c r="C1415" s="7" t="s">
        <v>82</v>
      </c>
      <c r="D1415" s="7" t="s">
        <v>105</v>
      </c>
      <c r="E1415" s="7" t="s">
        <v>3227</v>
      </c>
      <c r="F1415" s="18" t="n">
        <f aca="false">IF('Base de Datos SADI'!U333="","",'Base de Datos SADI'!U333)</f>
        <v>120</v>
      </c>
      <c r="G1415" s="14"/>
      <c r="H1415" s="28"/>
      <c r="I1415" s="29" t="str">
        <f aca="false">IF(OR($G1415="",$G1415=0),"",IFERROR(ROUND($F1415*$G1415*(1-IF($H1415="",0,$H1415)),2),""))</f>
        <v/>
      </c>
      <c r="J1415" s="7"/>
    </row>
    <row r="1416" customFormat="false" ht="21.75" hidden="false" customHeight="true" outlineLevel="0" collapsed="false">
      <c r="B1416" s="15" t="n">
        <v>330</v>
      </c>
      <c r="C1416" s="9" t="s">
        <v>82</v>
      </c>
      <c r="D1416" s="9" t="s">
        <v>106</v>
      </c>
      <c r="E1416" s="9" t="s">
        <v>391</v>
      </c>
      <c r="F1416" s="19" t="str">
        <f aca="false">IF('Base de Datos SADI'!U334="","",'Base de Datos SADI'!U334)</f>
        <v/>
      </c>
      <c r="G1416" s="15"/>
      <c r="H1416" s="30"/>
      <c r="I1416" s="31" t="str">
        <f aca="false">IF(OR($G1416="",$G1416=0),"",IFERROR(ROUND($F1416*$G1416*(1-IF($H1416="",0,$H1416)),2),""))</f>
        <v/>
      </c>
      <c r="J1416" s="9"/>
    </row>
    <row r="1417" customFormat="false" ht="21.75" hidden="false" customHeight="true" outlineLevel="0" collapsed="false">
      <c r="B1417" s="14" t="n">
        <v>331</v>
      </c>
      <c r="C1417" s="7" t="s">
        <v>82</v>
      </c>
      <c r="D1417" s="7" t="s">
        <v>107</v>
      </c>
      <c r="E1417" s="7" t="s">
        <v>391</v>
      </c>
      <c r="F1417" s="18" t="str">
        <f aca="false">IF('Base de Datos SADI'!U335="","",'Base de Datos SADI'!U335)</f>
        <v/>
      </c>
      <c r="G1417" s="14"/>
      <c r="H1417" s="28"/>
      <c r="I1417" s="29" t="str">
        <f aca="false">IF(OR($G1417="",$G1417=0),"",IFERROR(ROUND($F1417*$G1417*(1-IF($H1417="",0,$H1417)),2),""))</f>
        <v/>
      </c>
      <c r="J1417" s="7"/>
    </row>
    <row r="1418" customFormat="false" ht="21.75" hidden="false" customHeight="true" outlineLevel="0" collapsed="false">
      <c r="B1418" s="15" t="n">
        <v>332</v>
      </c>
      <c r="C1418" s="9" t="s">
        <v>82</v>
      </c>
      <c r="D1418" s="9" t="s">
        <v>108</v>
      </c>
      <c r="E1418" s="9" t="s">
        <v>391</v>
      </c>
      <c r="F1418" s="19" t="str">
        <f aca="false">IF('Base de Datos SADI'!U336="","",'Base de Datos SADI'!U336)</f>
        <v/>
      </c>
      <c r="G1418" s="15"/>
      <c r="H1418" s="30"/>
      <c r="I1418" s="31" t="str">
        <f aca="false">IF(OR($G1418="",$G1418=0),"",IFERROR(ROUND($F1418*$G1418*(1-IF($H1418="",0,$H1418)),2),""))</f>
        <v/>
      </c>
      <c r="J1418" s="9"/>
    </row>
    <row r="1419" customFormat="false" ht="21.75" hidden="false" customHeight="true" outlineLevel="0" collapsed="false">
      <c r="B1419" s="14" t="n">
        <v>333</v>
      </c>
      <c r="C1419" s="7" t="s">
        <v>83</v>
      </c>
      <c r="D1419" s="7" t="s">
        <v>93</v>
      </c>
      <c r="E1419" s="7" t="s">
        <v>391</v>
      </c>
      <c r="F1419" s="18" t="str">
        <f aca="false">IF('Base de Datos SADI'!U337="","",'Base de Datos SADI'!U337)</f>
        <v/>
      </c>
      <c r="G1419" s="14"/>
      <c r="H1419" s="28"/>
      <c r="I1419" s="29" t="str">
        <f aca="false">IF(OR($G1419="",$G1419=0),"",IFERROR(ROUND($F1419*$G1419*(1-IF($H1419="",0,$H1419)),2),""))</f>
        <v/>
      </c>
      <c r="J1419" s="7"/>
    </row>
    <row r="1420" customFormat="false" ht="21.75" hidden="false" customHeight="true" outlineLevel="0" collapsed="false">
      <c r="B1420" s="15" t="n">
        <v>334</v>
      </c>
      <c r="C1420" s="9" t="s">
        <v>83</v>
      </c>
      <c r="D1420" s="9" t="s">
        <v>94</v>
      </c>
      <c r="E1420" s="9" t="s">
        <v>391</v>
      </c>
      <c r="F1420" s="19" t="str">
        <f aca="false">IF('Base de Datos SADI'!U338="","",'Base de Datos SADI'!U338)</f>
        <v/>
      </c>
      <c r="G1420" s="15"/>
      <c r="H1420" s="30"/>
      <c r="I1420" s="31" t="str">
        <f aca="false">IF(OR($G1420="",$G1420=0),"",IFERROR(ROUND($F1420*$G1420*(1-IF($H1420="",0,$H1420)),2),""))</f>
        <v/>
      </c>
      <c r="J1420" s="9"/>
    </row>
    <row r="1421" customFormat="false" ht="21.75" hidden="false" customHeight="true" outlineLevel="0" collapsed="false">
      <c r="B1421" s="14" t="n">
        <v>335</v>
      </c>
      <c r="C1421" s="7" t="s">
        <v>83</v>
      </c>
      <c r="D1421" s="7" t="s">
        <v>95</v>
      </c>
      <c r="E1421" s="7" t="s">
        <v>3233</v>
      </c>
      <c r="F1421" s="18" t="n">
        <f aca="false">IF('Base de Datos SADI'!U339="","",'Base de Datos SADI'!U339)</f>
        <v>9</v>
      </c>
      <c r="G1421" s="14"/>
      <c r="H1421" s="28"/>
      <c r="I1421" s="29" t="str">
        <f aca="false">IF(OR($G1421="",$G1421=0),"",IFERROR(ROUND($F1421*$G1421*(1-IF($H1421="",0,$H1421)),2),""))</f>
        <v/>
      </c>
      <c r="J1421" s="7"/>
    </row>
    <row r="1422" customFormat="false" ht="21.75" hidden="false" customHeight="true" outlineLevel="0" collapsed="false">
      <c r="B1422" s="15" t="n">
        <v>336</v>
      </c>
      <c r="C1422" s="9" t="s">
        <v>83</v>
      </c>
      <c r="D1422" s="9" t="s">
        <v>95</v>
      </c>
      <c r="E1422" s="9" t="s">
        <v>3238</v>
      </c>
      <c r="F1422" s="19" t="n">
        <f aca="false">IF('Base de Datos SADI'!U340="","",'Base de Datos SADI'!U340)</f>
        <v>14</v>
      </c>
      <c r="G1422" s="15"/>
      <c r="H1422" s="30"/>
      <c r="I1422" s="31" t="str">
        <f aca="false">IF(OR($G1422="",$G1422=0),"",IFERROR(ROUND($F1422*$G1422*(1-IF($H1422="",0,$H1422)),2),""))</f>
        <v/>
      </c>
      <c r="J1422" s="9"/>
    </row>
    <row r="1423" customFormat="false" ht="21.75" hidden="false" customHeight="true" outlineLevel="0" collapsed="false">
      <c r="B1423" s="14" t="n">
        <v>337</v>
      </c>
      <c r="C1423" s="7" t="s">
        <v>83</v>
      </c>
      <c r="D1423" s="7" t="s">
        <v>95</v>
      </c>
      <c r="E1423" s="7" t="s">
        <v>3239</v>
      </c>
      <c r="F1423" s="18" t="n">
        <f aca="false">IF('Base de Datos SADI'!U341="","",'Base de Datos SADI'!U341)</f>
        <v>18</v>
      </c>
      <c r="G1423" s="14"/>
      <c r="H1423" s="28"/>
      <c r="I1423" s="29" t="str">
        <f aca="false">IF(OR($G1423="",$G1423=0),"",IFERROR(ROUND($F1423*$G1423*(1-IF($H1423="",0,$H1423)),2),""))</f>
        <v/>
      </c>
      <c r="J1423" s="7"/>
    </row>
    <row r="1424" customFormat="false" ht="21.75" hidden="false" customHeight="true" outlineLevel="0" collapsed="false">
      <c r="B1424" s="15" t="n">
        <v>338</v>
      </c>
      <c r="C1424" s="9" t="s">
        <v>83</v>
      </c>
      <c r="D1424" s="9" t="s">
        <v>95</v>
      </c>
      <c r="E1424" s="9" t="s">
        <v>3241</v>
      </c>
      <c r="F1424" s="19" t="n">
        <f aca="false">IF('Base de Datos SADI'!U342="","",'Base de Datos SADI'!U342)</f>
        <v>25</v>
      </c>
      <c r="G1424" s="15"/>
      <c r="H1424" s="30"/>
      <c r="I1424" s="31" t="str">
        <f aca="false">IF(OR($G1424="",$G1424=0),"",IFERROR(ROUND($F1424*$G1424*(1-IF($H1424="",0,$H1424)),2),""))</f>
        <v/>
      </c>
      <c r="J1424" s="9"/>
    </row>
    <row r="1425" customFormat="false" ht="21.75" hidden="false" customHeight="true" outlineLevel="0" collapsed="false">
      <c r="B1425" s="14" t="n">
        <v>339</v>
      </c>
      <c r="C1425" s="7" t="s">
        <v>83</v>
      </c>
      <c r="D1425" s="7" t="s">
        <v>95</v>
      </c>
      <c r="E1425" s="7" t="s">
        <v>3242</v>
      </c>
      <c r="F1425" s="18" t="n">
        <f aca="false">IF('Base de Datos SADI'!U343="","",'Base de Datos SADI'!U343)</f>
        <v>35</v>
      </c>
      <c r="G1425" s="14"/>
      <c r="H1425" s="28"/>
      <c r="I1425" s="29" t="str">
        <f aca="false">IF(OR($G1425="",$G1425=0),"",IFERROR(ROUND($F1425*$G1425*(1-IF($H1425="",0,$H1425)),2),""))</f>
        <v/>
      </c>
      <c r="J1425" s="7"/>
    </row>
    <row r="1426" customFormat="false" ht="21.75" hidden="false" customHeight="true" outlineLevel="0" collapsed="false">
      <c r="B1426" s="15" t="n">
        <v>340</v>
      </c>
      <c r="C1426" s="9" t="s">
        <v>83</v>
      </c>
      <c r="D1426" s="9" t="s">
        <v>96</v>
      </c>
      <c r="E1426" s="9" t="s">
        <v>3243</v>
      </c>
      <c r="F1426" s="19" t="n">
        <f aca="false">IF('Base de Datos SADI'!U344="","",'Base de Datos SADI'!U344)</f>
        <v>20</v>
      </c>
      <c r="G1426" s="15"/>
      <c r="H1426" s="30"/>
      <c r="I1426" s="31" t="str">
        <f aca="false">IF(OR($G1426="",$G1426=0),"",IFERROR(ROUND($F1426*$G1426*(1-IF($H1426="",0,$H1426)),2),""))</f>
        <v/>
      </c>
      <c r="J1426" s="9"/>
    </row>
    <row r="1427" customFormat="false" ht="21.75" hidden="false" customHeight="true" outlineLevel="0" collapsed="false">
      <c r="B1427" s="14" t="n">
        <v>341</v>
      </c>
      <c r="C1427" s="7" t="s">
        <v>83</v>
      </c>
      <c r="D1427" s="7" t="s">
        <v>96</v>
      </c>
      <c r="E1427" s="7" t="s">
        <v>3249</v>
      </c>
      <c r="F1427" s="18" t="n">
        <f aca="false">IF('Base de Datos SADI'!U345="","",'Base de Datos SADI'!U345)</f>
        <v>30</v>
      </c>
      <c r="G1427" s="14"/>
      <c r="H1427" s="28"/>
      <c r="I1427" s="29" t="str">
        <f aca="false">IF(OR($G1427="",$G1427=0),"",IFERROR(ROUND($F1427*$G1427*(1-IF($H1427="",0,$H1427)),2),""))</f>
        <v/>
      </c>
      <c r="J1427" s="7"/>
    </row>
    <row r="1428" customFormat="false" ht="21.75" hidden="false" customHeight="true" outlineLevel="0" collapsed="false">
      <c r="B1428" s="15" t="n">
        <v>342</v>
      </c>
      <c r="C1428" s="9" t="s">
        <v>83</v>
      </c>
      <c r="D1428" s="9" t="s">
        <v>96</v>
      </c>
      <c r="E1428" s="9" t="s">
        <v>3250</v>
      </c>
      <c r="F1428" s="19" t="n">
        <f aca="false">IF('Base de Datos SADI'!U346="","",'Base de Datos SADI'!U346)</f>
        <v>40</v>
      </c>
      <c r="G1428" s="15"/>
      <c r="H1428" s="30"/>
      <c r="I1428" s="31" t="str">
        <f aca="false">IF(OR($G1428="",$G1428=0),"",IFERROR(ROUND($F1428*$G1428*(1-IF($H1428="",0,$H1428)),2),""))</f>
        <v/>
      </c>
      <c r="J1428" s="9"/>
    </row>
    <row r="1429" customFormat="false" ht="21.75" hidden="false" customHeight="true" outlineLevel="0" collapsed="false">
      <c r="B1429" s="14" t="n">
        <v>343</v>
      </c>
      <c r="C1429" s="7" t="s">
        <v>83</v>
      </c>
      <c r="D1429" s="7" t="s">
        <v>96</v>
      </c>
      <c r="E1429" s="7" t="s">
        <v>3252</v>
      </c>
      <c r="F1429" s="18" t="n">
        <f aca="false">IF('Base de Datos SADI'!U347="","",'Base de Datos SADI'!U347)</f>
        <v>60</v>
      </c>
      <c r="G1429" s="14"/>
      <c r="H1429" s="28"/>
      <c r="I1429" s="29" t="str">
        <f aca="false">IF(OR($G1429="",$G1429=0),"",IFERROR(ROUND($F1429*$G1429*(1-IF($H1429="",0,$H1429)),2),""))</f>
        <v/>
      </c>
      <c r="J1429" s="7"/>
    </row>
    <row r="1430" customFormat="false" ht="21.75" hidden="false" customHeight="true" outlineLevel="0" collapsed="false">
      <c r="B1430" s="15" t="n">
        <v>344</v>
      </c>
      <c r="C1430" s="9" t="s">
        <v>83</v>
      </c>
      <c r="D1430" s="9" t="s">
        <v>96</v>
      </c>
      <c r="E1430" s="9" t="s">
        <v>3253</v>
      </c>
      <c r="F1430" s="19" t="n">
        <f aca="false">IF('Base de Datos SADI'!U348="","",'Base de Datos SADI'!U348)</f>
        <v>90</v>
      </c>
      <c r="G1430" s="15"/>
      <c r="H1430" s="30"/>
      <c r="I1430" s="31" t="str">
        <f aca="false">IF(OR($G1430="",$G1430=0),"",IFERROR(ROUND($F1430*$G1430*(1-IF($H1430="",0,$H1430)),2),""))</f>
        <v/>
      </c>
      <c r="J1430" s="9"/>
    </row>
    <row r="1431" customFormat="false" ht="21.75" hidden="false" customHeight="true" outlineLevel="0" collapsed="false">
      <c r="B1431" s="14" t="n">
        <v>345</v>
      </c>
      <c r="C1431" s="7" t="s">
        <v>83</v>
      </c>
      <c r="D1431" s="7" t="s">
        <v>97</v>
      </c>
      <c r="E1431" s="7" t="s">
        <v>3254</v>
      </c>
      <c r="F1431" s="18" t="n">
        <f aca="false">IF('Base de Datos SADI'!U349="","",'Base de Datos SADI'!U349)</f>
        <v>19</v>
      </c>
      <c r="G1431" s="14"/>
      <c r="H1431" s="28"/>
      <c r="I1431" s="29" t="str">
        <f aca="false">IF(OR($G1431="",$G1431=0),"",IFERROR(ROUND($F1431*$G1431*(1-IF($H1431="",0,$H1431)),2),""))</f>
        <v/>
      </c>
      <c r="J1431" s="7"/>
    </row>
    <row r="1432" customFormat="false" ht="21.75" hidden="false" customHeight="true" outlineLevel="0" collapsed="false">
      <c r="B1432" s="15" t="n">
        <v>346</v>
      </c>
      <c r="C1432" s="9" t="s">
        <v>83</v>
      </c>
      <c r="D1432" s="9" t="s">
        <v>97</v>
      </c>
      <c r="E1432" s="9" t="s">
        <v>3257</v>
      </c>
      <c r="F1432" s="19" t="n">
        <f aca="false">IF('Base de Datos SADI'!U350="","",'Base de Datos SADI'!U350)</f>
        <v>25</v>
      </c>
      <c r="G1432" s="15"/>
      <c r="H1432" s="30"/>
      <c r="I1432" s="31" t="str">
        <f aca="false">IF(OR($G1432="",$G1432=0),"",IFERROR(ROUND($F1432*$G1432*(1-IF($H1432="",0,$H1432)),2),""))</f>
        <v/>
      </c>
      <c r="J1432" s="9"/>
    </row>
    <row r="1433" customFormat="false" ht="21.75" hidden="false" customHeight="true" outlineLevel="0" collapsed="false">
      <c r="B1433" s="14" t="n">
        <v>347</v>
      </c>
      <c r="C1433" s="7" t="s">
        <v>83</v>
      </c>
      <c r="D1433" s="7" t="s">
        <v>97</v>
      </c>
      <c r="E1433" s="7" t="s">
        <v>3258</v>
      </c>
      <c r="F1433" s="18" t="n">
        <f aca="false">IF('Base de Datos SADI'!U351="","",'Base de Datos SADI'!U351)</f>
        <v>35</v>
      </c>
      <c r="G1433" s="14"/>
      <c r="H1433" s="28"/>
      <c r="I1433" s="29" t="str">
        <f aca="false">IF(OR($G1433="",$G1433=0),"",IFERROR(ROUND($F1433*$G1433*(1-IF($H1433="",0,$H1433)),2),""))</f>
        <v/>
      </c>
      <c r="J1433" s="7"/>
    </row>
    <row r="1434" customFormat="false" ht="21.75" hidden="false" customHeight="true" outlineLevel="0" collapsed="false">
      <c r="B1434" s="15" t="n">
        <v>348</v>
      </c>
      <c r="C1434" s="9" t="s">
        <v>83</v>
      </c>
      <c r="D1434" s="9" t="s">
        <v>97</v>
      </c>
      <c r="E1434" s="9" t="s">
        <v>3260</v>
      </c>
      <c r="F1434" s="19" t="n">
        <f aca="false">IF('Base de Datos SADI'!U352="","",'Base de Datos SADI'!U352)</f>
        <v>55</v>
      </c>
      <c r="G1434" s="15"/>
      <c r="H1434" s="30"/>
      <c r="I1434" s="31" t="str">
        <f aca="false">IF(OR($G1434="",$G1434=0),"",IFERROR(ROUND($F1434*$G1434*(1-IF($H1434="",0,$H1434)),2),""))</f>
        <v/>
      </c>
      <c r="J1434" s="9"/>
    </row>
    <row r="1435" customFormat="false" ht="21.75" hidden="false" customHeight="true" outlineLevel="0" collapsed="false">
      <c r="B1435" s="14" t="n">
        <v>349</v>
      </c>
      <c r="C1435" s="7" t="s">
        <v>83</v>
      </c>
      <c r="D1435" s="7" t="s">
        <v>97</v>
      </c>
      <c r="E1435" s="7" t="s">
        <v>3261</v>
      </c>
      <c r="F1435" s="18" t="n">
        <f aca="false">IF('Base de Datos SADI'!U353="","",'Base de Datos SADI'!U353)</f>
        <v>80</v>
      </c>
      <c r="G1435" s="14"/>
      <c r="H1435" s="28"/>
      <c r="I1435" s="29" t="str">
        <f aca="false">IF(OR($G1435="",$G1435=0),"",IFERROR(ROUND($F1435*$G1435*(1-IF($H1435="",0,$H1435)),2),""))</f>
        <v/>
      </c>
      <c r="J1435" s="7"/>
    </row>
    <row r="1436" customFormat="false" ht="21.75" hidden="false" customHeight="true" outlineLevel="0" collapsed="false">
      <c r="B1436" s="15" t="n">
        <v>350</v>
      </c>
      <c r="C1436" s="9" t="s">
        <v>83</v>
      </c>
      <c r="D1436" s="9" t="s">
        <v>98</v>
      </c>
      <c r="E1436" s="9" t="s">
        <v>3262</v>
      </c>
      <c r="F1436" s="19" t="n">
        <f aca="false">IF('Base de Datos SADI'!U354="","",'Base de Datos SADI'!U354)</f>
        <v>35</v>
      </c>
      <c r="G1436" s="15"/>
      <c r="H1436" s="30"/>
      <c r="I1436" s="31" t="str">
        <f aca="false">IF(OR($G1436="",$G1436=0),"",IFERROR(ROUND($F1436*$G1436*(1-IF($H1436="",0,$H1436)),2),""))</f>
        <v/>
      </c>
      <c r="J1436" s="9"/>
    </row>
    <row r="1437" customFormat="false" ht="21.75" hidden="false" customHeight="true" outlineLevel="0" collapsed="false">
      <c r="B1437" s="14" t="n">
        <v>351</v>
      </c>
      <c r="C1437" s="7" t="s">
        <v>83</v>
      </c>
      <c r="D1437" s="7" t="s">
        <v>98</v>
      </c>
      <c r="E1437" s="7" t="s">
        <v>3266</v>
      </c>
      <c r="F1437" s="18" t="n">
        <f aca="false">IF('Base de Datos SADI'!U355="","",'Base de Datos SADI'!U355)</f>
        <v>50</v>
      </c>
      <c r="G1437" s="14"/>
      <c r="H1437" s="28"/>
      <c r="I1437" s="29" t="str">
        <f aca="false">IF(OR($G1437="",$G1437=0),"",IFERROR(ROUND($F1437*$G1437*(1-IF($H1437="",0,$H1437)),2),""))</f>
        <v/>
      </c>
      <c r="J1437" s="7"/>
    </row>
    <row r="1438" customFormat="false" ht="21.75" hidden="false" customHeight="true" outlineLevel="0" collapsed="false">
      <c r="B1438" s="15" t="n">
        <v>352</v>
      </c>
      <c r="C1438" s="9" t="s">
        <v>83</v>
      </c>
      <c r="D1438" s="9" t="s">
        <v>98</v>
      </c>
      <c r="E1438" s="9" t="s">
        <v>3267</v>
      </c>
      <c r="F1438" s="19" t="n">
        <f aca="false">IF('Base de Datos SADI'!U356="","",'Base de Datos SADI'!U356)</f>
        <v>70</v>
      </c>
      <c r="G1438" s="15"/>
      <c r="H1438" s="30"/>
      <c r="I1438" s="31" t="str">
        <f aca="false">IF(OR($G1438="",$G1438=0),"",IFERROR(ROUND($F1438*$G1438*(1-IF($H1438="",0,$H1438)),2),""))</f>
        <v/>
      </c>
      <c r="J1438" s="9"/>
    </row>
    <row r="1439" customFormat="false" ht="21.75" hidden="false" customHeight="true" outlineLevel="0" collapsed="false">
      <c r="B1439" s="14" t="n">
        <v>353</v>
      </c>
      <c r="C1439" s="7" t="s">
        <v>83</v>
      </c>
      <c r="D1439" s="7" t="s">
        <v>98</v>
      </c>
      <c r="E1439" s="7" t="s">
        <v>3269</v>
      </c>
      <c r="F1439" s="18" t="n">
        <f aca="false">IF('Base de Datos SADI'!U357="","",'Base de Datos SADI'!U357)</f>
        <v>105</v>
      </c>
      <c r="G1439" s="14"/>
      <c r="H1439" s="28"/>
      <c r="I1439" s="29" t="str">
        <f aca="false">IF(OR($G1439="",$G1439=0),"",IFERROR(ROUND($F1439*$G1439*(1-IF($H1439="",0,$H1439)),2),""))</f>
        <v/>
      </c>
      <c r="J1439" s="7"/>
    </row>
    <row r="1440" customFormat="false" ht="21.75" hidden="false" customHeight="true" outlineLevel="0" collapsed="false">
      <c r="B1440" s="15" t="n">
        <v>354</v>
      </c>
      <c r="C1440" s="9" t="s">
        <v>83</v>
      </c>
      <c r="D1440" s="9" t="s">
        <v>98</v>
      </c>
      <c r="E1440" s="9" t="s">
        <v>3270</v>
      </c>
      <c r="F1440" s="19" t="n">
        <f aca="false">IF('Base de Datos SADI'!U358="","",'Base de Datos SADI'!U358)</f>
        <v>155</v>
      </c>
      <c r="G1440" s="15"/>
      <c r="H1440" s="30"/>
      <c r="I1440" s="31" t="str">
        <f aca="false">IF(OR($G1440="",$G1440=0),"",IFERROR(ROUND($F1440*$G1440*(1-IF($H1440="",0,$H1440)),2),""))</f>
        <v/>
      </c>
      <c r="J1440" s="9"/>
    </row>
    <row r="1441" customFormat="false" ht="21.75" hidden="false" customHeight="true" outlineLevel="0" collapsed="false">
      <c r="B1441" s="14" t="n">
        <v>355</v>
      </c>
      <c r="C1441" s="7" t="s">
        <v>83</v>
      </c>
      <c r="D1441" s="7" t="s">
        <v>99</v>
      </c>
      <c r="E1441" s="7" t="s">
        <v>391</v>
      </c>
      <c r="F1441" s="18" t="str">
        <f aca="false">IF('Base de Datos SADI'!U359="","",'Base de Datos SADI'!U359)</f>
        <v/>
      </c>
      <c r="G1441" s="14"/>
      <c r="H1441" s="28"/>
      <c r="I1441" s="29" t="str">
        <f aca="false">IF(OR($G1441="",$G1441=0),"",IFERROR(ROUND($F1441*$G1441*(1-IF($H1441="",0,$H1441)),2),""))</f>
        <v/>
      </c>
      <c r="J1441" s="7"/>
    </row>
    <row r="1442" customFormat="false" ht="21.75" hidden="false" customHeight="true" outlineLevel="0" collapsed="false">
      <c r="B1442" s="15" t="n">
        <v>356</v>
      </c>
      <c r="C1442" s="9" t="s">
        <v>83</v>
      </c>
      <c r="D1442" s="9" t="s">
        <v>100</v>
      </c>
      <c r="E1442" s="9" t="s">
        <v>391</v>
      </c>
      <c r="F1442" s="19" t="str">
        <f aca="false">IF('Base de Datos SADI'!U360="","",'Base de Datos SADI'!U360)</f>
        <v/>
      </c>
      <c r="G1442" s="15"/>
      <c r="H1442" s="30"/>
      <c r="I1442" s="31" t="str">
        <f aca="false">IF(OR($G1442="",$G1442=0),"",IFERROR(ROUND($F1442*$G1442*(1-IF($H1442="",0,$H1442)),2),""))</f>
        <v/>
      </c>
      <c r="J1442" s="9"/>
    </row>
    <row r="1443" customFormat="false" ht="21.75" hidden="false" customHeight="true" outlineLevel="0" collapsed="false">
      <c r="B1443" s="14" t="n">
        <v>357</v>
      </c>
      <c r="C1443" s="7" t="s">
        <v>83</v>
      </c>
      <c r="D1443" s="7" t="s">
        <v>101</v>
      </c>
      <c r="E1443" s="7" t="s">
        <v>3273</v>
      </c>
      <c r="F1443" s="18" t="n">
        <f aca="false">IF('Base de Datos SADI'!U361="","",'Base de Datos SADI'!U361)</f>
        <v>320</v>
      </c>
      <c r="G1443" s="14"/>
      <c r="H1443" s="28"/>
      <c r="I1443" s="29" t="str">
        <f aca="false">IF(OR($G1443="",$G1443=0),"",IFERROR(ROUND($F1443*$G1443*(1-IF($H1443="",0,$H1443)),2),""))</f>
        <v/>
      </c>
      <c r="J1443" s="7"/>
    </row>
    <row r="1444" customFormat="false" ht="21.75" hidden="false" customHeight="true" outlineLevel="0" collapsed="false">
      <c r="B1444" s="15" t="n">
        <v>358</v>
      </c>
      <c r="C1444" s="9" t="s">
        <v>83</v>
      </c>
      <c r="D1444" s="9" t="s">
        <v>101</v>
      </c>
      <c r="E1444" s="9" t="s">
        <v>3280</v>
      </c>
      <c r="F1444" s="19" t="n">
        <f aca="false">IF('Base de Datos SADI'!U362="","",'Base de Datos SADI'!U362)</f>
        <v>480</v>
      </c>
      <c r="G1444" s="15"/>
      <c r="H1444" s="30"/>
      <c r="I1444" s="31" t="str">
        <f aca="false">IF(OR($G1444="",$G1444=0),"",IFERROR(ROUND($F1444*$G1444*(1-IF($H1444="",0,$H1444)),2),""))</f>
        <v/>
      </c>
      <c r="J1444" s="9"/>
    </row>
    <row r="1445" customFormat="false" ht="21.75" hidden="false" customHeight="true" outlineLevel="0" collapsed="false">
      <c r="B1445" s="14" t="n">
        <v>359</v>
      </c>
      <c r="C1445" s="7" t="s">
        <v>83</v>
      </c>
      <c r="D1445" s="7" t="s">
        <v>101</v>
      </c>
      <c r="E1445" s="7" t="s">
        <v>3281</v>
      </c>
      <c r="F1445" s="18" t="n">
        <f aca="false">IF('Base de Datos SADI'!U363="","",'Base de Datos SADI'!U363)</f>
        <v>640</v>
      </c>
      <c r="G1445" s="14"/>
      <c r="H1445" s="28"/>
      <c r="I1445" s="29" t="str">
        <f aca="false">IF(OR($G1445="",$G1445=0),"",IFERROR(ROUND($F1445*$G1445*(1-IF($H1445="",0,$H1445)),2),""))</f>
        <v/>
      </c>
      <c r="J1445" s="7"/>
    </row>
    <row r="1446" customFormat="false" ht="21.75" hidden="false" customHeight="true" outlineLevel="0" collapsed="false">
      <c r="B1446" s="15" t="n">
        <v>360</v>
      </c>
      <c r="C1446" s="9" t="s">
        <v>83</v>
      </c>
      <c r="D1446" s="9" t="s">
        <v>101</v>
      </c>
      <c r="E1446" s="9" t="s">
        <v>3283</v>
      </c>
      <c r="F1446" s="19" t="n">
        <f aca="false">IF('Base de Datos SADI'!U364="","",'Base de Datos SADI'!U364)</f>
        <v>960</v>
      </c>
      <c r="G1446" s="15"/>
      <c r="H1446" s="30"/>
      <c r="I1446" s="31" t="str">
        <f aca="false">IF(OR($G1446="",$G1446=0),"",IFERROR(ROUND($F1446*$G1446*(1-IF($H1446="",0,$H1446)),2),""))</f>
        <v/>
      </c>
      <c r="J1446" s="9"/>
    </row>
    <row r="1447" customFormat="false" ht="21.75" hidden="false" customHeight="true" outlineLevel="0" collapsed="false">
      <c r="B1447" s="14" t="n">
        <v>361</v>
      </c>
      <c r="C1447" s="7" t="s">
        <v>83</v>
      </c>
      <c r="D1447" s="7" t="s">
        <v>101</v>
      </c>
      <c r="E1447" s="7" t="s">
        <v>3284</v>
      </c>
      <c r="F1447" s="18" t="n">
        <f aca="false">IF('Base de Datos SADI'!U365="","",'Base de Datos SADI'!U365)</f>
        <v>1405</v>
      </c>
      <c r="G1447" s="14"/>
      <c r="H1447" s="28"/>
      <c r="I1447" s="29" t="str">
        <f aca="false">IF(OR($G1447="",$G1447=0),"",IFERROR(ROUND($F1447*$G1447*(1-IF($H1447="",0,$H1447)),2),""))</f>
        <v/>
      </c>
      <c r="J1447" s="7"/>
    </row>
    <row r="1448" customFormat="false" ht="21.75" hidden="false" customHeight="true" outlineLevel="0" collapsed="false">
      <c r="B1448" s="15" t="n">
        <v>362</v>
      </c>
      <c r="C1448" s="9" t="s">
        <v>83</v>
      </c>
      <c r="D1448" s="9" t="s">
        <v>102</v>
      </c>
      <c r="E1448" s="9" t="s">
        <v>391</v>
      </c>
      <c r="F1448" s="19" t="str">
        <f aca="false">IF('Base de Datos SADI'!U366="","",'Base de Datos SADI'!U366)</f>
        <v/>
      </c>
      <c r="G1448" s="15"/>
      <c r="H1448" s="30"/>
      <c r="I1448" s="31" t="str">
        <f aca="false">IF(OR($G1448="",$G1448=0),"",IFERROR(ROUND($F1448*$G1448*(1-IF($H1448="",0,$H1448)),2),""))</f>
        <v/>
      </c>
      <c r="J1448" s="9"/>
    </row>
    <row r="1449" customFormat="false" ht="21.75" hidden="false" customHeight="true" outlineLevel="0" collapsed="false">
      <c r="B1449" s="14" t="n">
        <v>363</v>
      </c>
      <c r="C1449" s="7" t="s">
        <v>83</v>
      </c>
      <c r="D1449" s="7" t="s">
        <v>103</v>
      </c>
      <c r="E1449" s="7" t="s">
        <v>391</v>
      </c>
      <c r="F1449" s="18" t="str">
        <f aca="false">IF('Base de Datos SADI'!U367="","",'Base de Datos SADI'!U367)</f>
        <v/>
      </c>
      <c r="G1449" s="14"/>
      <c r="H1449" s="28"/>
      <c r="I1449" s="29" t="str">
        <f aca="false">IF(OR($G1449="",$G1449=0),"",IFERROR(ROUND($F1449*$G1449*(1-IF($H1449="",0,$H1449)),2),""))</f>
        <v/>
      </c>
      <c r="J1449" s="7"/>
    </row>
    <row r="1450" customFormat="false" ht="21.75" hidden="false" customHeight="true" outlineLevel="0" collapsed="false">
      <c r="B1450" s="15" t="n">
        <v>364</v>
      </c>
      <c r="C1450" s="9" t="s">
        <v>83</v>
      </c>
      <c r="D1450" s="9" t="s">
        <v>104</v>
      </c>
      <c r="E1450" s="9" t="s">
        <v>3287</v>
      </c>
      <c r="F1450" s="19" t="n">
        <f aca="false">IF('Base de Datos SADI'!U368="","",'Base de Datos SADI'!U368)</f>
        <v>30</v>
      </c>
      <c r="G1450" s="15"/>
      <c r="H1450" s="30"/>
      <c r="I1450" s="31" t="str">
        <f aca="false">IF(OR($G1450="",$G1450=0),"",IFERROR(ROUND($F1450*$G1450*(1-IF($H1450="",0,$H1450)),2),""))</f>
        <v/>
      </c>
      <c r="J1450" s="9"/>
    </row>
    <row r="1451" customFormat="false" ht="21.75" hidden="false" customHeight="true" outlineLevel="0" collapsed="false">
      <c r="B1451" s="14" t="n">
        <v>365</v>
      </c>
      <c r="C1451" s="7" t="s">
        <v>83</v>
      </c>
      <c r="D1451" s="7" t="s">
        <v>104</v>
      </c>
      <c r="E1451" s="7" t="s">
        <v>3291</v>
      </c>
      <c r="F1451" s="18" t="n">
        <f aca="false">IF('Base de Datos SADI'!U369="","",'Base de Datos SADI'!U369)</f>
        <v>45</v>
      </c>
      <c r="G1451" s="14"/>
      <c r="H1451" s="28"/>
      <c r="I1451" s="29" t="str">
        <f aca="false">IF(OR($G1451="",$G1451=0),"",IFERROR(ROUND($F1451*$G1451*(1-IF($H1451="",0,$H1451)),2),""))</f>
        <v/>
      </c>
      <c r="J1451" s="7"/>
    </row>
    <row r="1452" customFormat="false" ht="21.75" hidden="false" customHeight="true" outlineLevel="0" collapsed="false">
      <c r="B1452" s="15" t="n">
        <v>366</v>
      </c>
      <c r="C1452" s="9" t="s">
        <v>83</v>
      </c>
      <c r="D1452" s="9" t="s">
        <v>104</v>
      </c>
      <c r="E1452" s="9" t="s">
        <v>3292</v>
      </c>
      <c r="F1452" s="19" t="n">
        <f aca="false">IF('Base de Datos SADI'!U370="","",'Base de Datos SADI'!U370)</f>
        <v>60</v>
      </c>
      <c r="G1452" s="15"/>
      <c r="H1452" s="30"/>
      <c r="I1452" s="31" t="str">
        <f aca="false">IF(OR($G1452="",$G1452=0),"",IFERROR(ROUND($F1452*$G1452*(1-IF($H1452="",0,$H1452)),2),""))</f>
        <v/>
      </c>
      <c r="J1452" s="9"/>
    </row>
    <row r="1453" customFormat="false" ht="21.75" hidden="false" customHeight="true" outlineLevel="0" collapsed="false">
      <c r="B1453" s="14" t="n">
        <v>367</v>
      </c>
      <c r="C1453" s="7" t="s">
        <v>83</v>
      </c>
      <c r="D1453" s="7" t="s">
        <v>104</v>
      </c>
      <c r="E1453" s="7" t="s">
        <v>3294</v>
      </c>
      <c r="F1453" s="18" t="n">
        <f aca="false">IF('Base de Datos SADI'!U371="","",'Base de Datos SADI'!U371)</f>
        <v>90</v>
      </c>
      <c r="G1453" s="14"/>
      <c r="H1453" s="28"/>
      <c r="I1453" s="29" t="str">
        <f aca="false">IF(OR($G1453="",$G1453=0),"",IFERROR(ROUND($F1453*$G1453*(1-IF($H1453="",0,$H1453)),2),""))</f>
        <v/>
      </c>
      <c r="J1453" s="7"/>
    </row>
    <row r="1454" customFormat="false" ht="21.75" hidden="false" customHeight="true" outlineLevel="0" collapsed="false">
      <c r="B1454" s="15" t="n">
        <v>368</v>
      </c>
      <c r="C1454" s="9" t="s">
        <v>83</v>
      </c>
      <c r="D1454" s="9" t="s">
        <v>104</v>
      </c>
      <c r="E1454" s="9" t="s">
        <v>3295</v>
      </c>
      <c r="F1454" s="19" t="n">
        <f aca="false">IF('Base de Datos SADI'!U372="","",'Base de Datos SADI'!U372)</f>
        <v>135</v>
      </c>
      <c r="G1454" s="15"/>
      <c r="H1454" s="30"/>
      <c r="I1454" s="31" t="str">
        <f aca="false">IF(OR($G1454="",$G1454=0),"",IFERROR(ROUND($F1454*$G1454*(1-IF($H1454="",0,$H1454)),2),""))</f>
        <v/>
      </c>
      <c r="J1454" s="9"/>
    </row>
    <row r="1455" customFormat="false" ht="21.75" hidden="false" customHeight="true" outlineLevel="0" collapsed="false">
      <c r="B1455" s="14" t="n">
        <v>369</v>
      </c>
      <c r="C1455" s="7" t="s">
        <v>83</v>
      </c>
      <c r="D1455" s="7" t="s">
        <v>105</v>
      </c>
      <c r="E1455" s="7" t="s">
        <v>3296</v>
      </c>
      <c r="F1455" s="18" t="n">
        <f aca="false">IF('Base de Datos SADI'!U373="","",'Base de Datos SADI'!U373)</f>
        <v>30</v>
      </c>
      <c r="G1455" s="14"/>
      <c r="H1455" s="28"/>
      <c r="I1455" s="29" t="str">
        <f aca="false">IF(OR($G1455="",$G1455=0),"",IFERROR(ROUND($F1455*$G1455*(1-IF($H1455="",0,$H1455)),2),""))</f>
        <v/>
      </c>
      <c r="J1455" s="7"/>
    </row>
    <row r="1456" customFormat="false" ht="21.75" hidden="false" customHeight="true" outlineLevel="0" collapsed="false">
      <c r="B1456" s="15" t="n">
        <v>370</v>
      </c>
      <c r="C1456" s="9" t="s">
        <v>83</v>
      </c>
      <c r="D1456" s="9" t="s">
        <v>105</v>
      </c>
      <c r="E1456" s="9" t="s">
        <v>3292</v>
      </c>
      <c r="F1456" s="19" t="n">
        <f aca="false">IF('Base de Datos SADI'!U374="","",'Base de Datos SADI'!U374)</f>
        <v>50</v>
      </c>
      <c r="G1456" s="15"/>
      <c r="H1456" s="30"/>
      <c r="I1456" s="31" t="str">
        <f aca="false">IF(OR($G1456="",$G1456=0),"",IFERROR(ROUND($F1456*$G1456*(1-IF($H1456="",0,$H1456)),2),""))</f>
        <v/>
      </c>
      <c r="J1456" s="9"/>
    </row>
    <row r="1457" customFormat="false" ht="21.75" hidden="false" customHeight="true" outlineLevel="0" collapsed="false">
      <c r="B1457" s="14" t="n">
        <v>371</v>
      </c>
      <c r="C1457" s="7" t="s">
        <v>83</v>
      </c>
      <c r="D1457" s="7" t="s">
        <v>105</v>
      </c>
      <c r="E1457" s="7" t="s">
        <v>3298</v>
      </c>
      <c r="F1457" s="18" t="n">
        <f aca="false">IF('Base de Datos SADI'!U375="","",'Base de Datos SADI'!U375)</f>
        <v>65</v>
      </c>
      <c r="G1457" s="14"/>
      <c r="H1457" s="28"/>
      <c r="I1457" s="29" t="str">
        <f aca="false">IF(OR($G1457="",$G1457=0),"",IFERROR(ROUND($F1457*$G1457*(1-IF($H1457="",0,$H1457)),2),""))</f>
        <v/>
      </c>
      <c r="J1457" s="7"/>
    </row>
    <row r="1458" customFormat="false" ht="21.75" hidden="false" customHeight="true" outlineLevel="0" collapsed="false">
      <c r="B1458" s="15" t="n">
        <v>372</v>
      </c>
      <c r="C1458" s="9" t="s">
        <v>83</v>
      </c>
      <c r="D1458" s="9" t="s">
        <v>105</v>
      </c>
      <c r="E1458" s="9" t="s">
        <v>3300</v>
      </c>
      <c r="F1458" s="19" t="n">
        <f aca="false">IF('Base de Datos SADI'!U376="","",'Base de Datos SADI'!U376)</f>
        <v>100</v>
      </c>
      <c r="G1458" s="15"/>
      <c r="H1458" s="30"/>
      <c r="I1458" s="31" t="str">
        <f aca="false">IF(OR($G1458="",$G1458=0),"",IFERROR(ROUND($F1458*$G1458*(1-IF($H1458="",0,$H1458)),2),""))</f>
        <v/>
      </c>
      <c r="J1458" s="9"/>
    </row>
    <row r="1459" customFormat="false" ht="21.75" hidden="false" customHeight="true" outlineLevel="0" collapsed="false">
      <c r="B1459" s="14" t="n">
        <v>373</v>
      </c>
      <c r="C1459" s="7" t="s">
        <v>83</v>
      </c>
      <c r="D1459" s="7" t="s">
        <v>105</v>
      </c>
      <c r="E1459" s="7" t="s">
        <v>3301</v>
      </c>
      <c r="F1459" s="18" t="n">
        <f aca="false">IF('Base de Datos SADI'!U377="","",'Base de Datos SADI'!U377)</f>
        <v>145</v>
      </c>
      <c r="G1459" s="14"/>
      <c r="H1459" s="28"/>
      <c r="I1459" s="29" t="str">
        <f aca="false">IF(OR($G1459="",$G1459=0),"",IFERROR(ROUND($F1459*$G1459*(1-IF($H1459="",0,$H1459)),2),""))</f>
        <v/>
      </c>
      <c r="J1459" s="7"/>
    </row>
    <row r="1460" customFormat="false" ht="21.75" hidden="false" customHeight="true" outlineLevel="0" collapsed="false">
      <c r="B1460" s="15" t="n">
        <v>374</v>
      </c>
      <c r="C1460" s="9" t="s">
        <v>83</v>
      </c>
      <c r="D1460" s="9" t="s">
        <v>106</v>
      </c>
      <c r="E1460" s="9" t="s">
        <v>391</v>
      </c>
      <c r="F1460" s="19" t="str">
        <f aca="false">IF('Base de Datos SADI'!U378="","",'Base de Datos SADI'!U378)</f>
        <v/>
      </c>
      <c r="G1460" s="15"/>
      <c r="H1460" s="30"/>
      <c r="I1460" s="31" t="str">
        <f aca="false">IF(OR($G1460="",$G1460=0),"",IFERROR(ROUND($F1460*$G1460*(1-IF($H1460="",0,$H1460)),2),""))</f>
        <v/>
      </c>
      <c r="J1460" s="9"/>
    </row>
    <row r="1461" customFormat="false" ht="21.75" hidden="false" customHeight="true" outlineLevel="0" collapsed="false">
      <c r="B1461" s="14" t="n">
        <v>375</v>
      </c>
      <c r="C1461" s="7" t="s">
        <v>83</v>
      </c>
      <c r="D1461" s="7" t="s">
        <v>107</v>
      </c>
      <c r="E1461" s="7" t="s">
        <v>391</v>
      </c>
      <c r="F1461" s="18" t="str">
        <f aca="false">IF('Base de Datos SADI'!U379="","",'Base de Datos SADI'!U379)</f>
        <v/>
      </c>
      <c r="G1461" s="14"/>
      <c r="H1461" s="28"/>
      <c r="I1461" s="29" t="str">
        <f aca="false">IF(OR($G1461="",$G1461=0),"",IFERROR(ROUND($F1461*$G1461*(1-IF($H1461="",0,$H1461)),2),""))</f>
        <v/>
      </c>
      <c r="J1461" s="7"/>
    </row>
    <row r="1462" customFormat="false" ht="21.75" hidden="false" customHeight="true" outlineLevel="0" collapsed="false">
      <c r="B1462" s="15" t="n">
        <v>376</v>
      </c>
      <c r="C1462" s="9" t="s">
        <v>83</v>
      </c>
      <c r="D1462" s="9" t="s">
        <v>108</v>
      </c>
      <c r="E1462" s="9" t="s">
        <v>3304</v>
      </c>
      <c r="F1462" s="19" t="n">
        <f aca="false">IF('Base de Datos SADI'!U380="","",'Base de Datos SADI'!U380)</f>
        <v>12</v>
      </c>
      <c r="G1462" s="15"/>
      <c r="H1462" s="30"/>
      <c r="I1462" s="31" t="str">
        <f aca="false">IF(OR($G1462="",$G1462=0),"",IFERROR(ROUND($F1462*$G1462*(1-IF($H1462="",0,$H1462)),2),""))</f>
        <v/>
      </c>
      <c r="J1462" s="9"/>
    </row>
    <row r="1463" customFormat="false" ht="21.75" hidden="false" customHeight="true" outlineLevel="0" collapsed="false">
      <c r="B1463" s="14" t="n">
        <v>377</v>
      </c>
      <c r="C1463" s="7" t="s">
        <v>83</v>
      </c>
      <c r="D1463" s="7" t="s">
        <v>108</v>
      </c>
      <c r="E1463" s="7" t="s">
        <v>3309</v>
      </c>
      <c r="F1463" s="18" t="n">
        <f aca="false">IF('Base de Datos SADI'!U381="","",'Base de Datos SADI'!U381)</f>
        <v>18</v>
      </c>
      <c r="G1463" s="14"/>
      <c r="H1463" s="28"/>
      <c r="I1463" s="29" t="str">
        <f aca="false">IF(OR($G1463="",$G1463=0),"",IFERROR(ROUND($F1463*$G1463*(1-IF($H1463="",0,$H1463)),2),""))</f>
        <v/>
      </c>
      <c r="J1463" s="7"/>
    </row>
    <row r="1464" customFormat="false" ht="21.75" hidden="false" customHeight="true" outlineLevel="0" collapsed="false">
      <c r="B1464" s="15" t="n">
        <v>378</v>
      </c>
      <c r="C1464" s="9" t="s">
        <v>83</v>
      </c>
      <c r="D1464" s="9" t="s">
        <v>108</v>
      </c>
      <c r="E1464" s="9" t="s">
        <v>3310</v>
      </c>
      <c r="F1464" s="19" t="n">
        <f aca="false">IF('Base de Datos SADI'!U382="","",'Base de Datos SADI'!U382)</f>
        <v>20</v>
      </c>
      <c r="G1464" s="15"/>
      <c r="H1464" s="30"/>
      <c r="I1464" s="31" t="str">
        <f aca="false">IF(OR($G1464="",$G1464=0),"",IFERROR(ROUND($F1464*$G1464*(1-IF($H1464="",0,$H1464)),2),""))</f>
        <v/>
      </c>
      <c r="J1464" s="9"/>
    </row>
    <row r="1465" customFormat="false" ht="21.75" hidden="false" customHeight="true" outlineLevel="0" collapsed="false">
      <c r="B1465" s="14" t="n">
        <v>379</v>
      </c>
      <c r="C1465" s="7" t="s">
        <v>83</v>
      </c>
      <c r="D1465" s="7" t="s">
        <v>108</v>
      </c>
      <c r="E1465" s="7" t="s">
        <v>3312</v>
      </c>
      <c r="F1465" s="18" t="n">
        <f aca="false">IF('Base de Datos SADI'!U383="","",'Base de Datos SADI'!U383)</f>
        <v>35</v>
      </c>
      <c r="G1465" s="14"/>
      <c r="H1465" s="28"/>
      <c r="I1465" s="29" t="str">
        <f aca="false">IF(OR($G1465="",$G1465=0),"",IFERROR(ROUND($F1465*$G1465*(1-IF($H1465="",0,$H1465)),2),""))</f>
        <v/>
      </c>
      <c r="J1465" s="7"/>
    </row>
    <row r="1466" customFormat="false" ht="21.75" hidden="false" customHeight="true" outlineLevel="0" collapsed="false">
      <c r="B1466" s="15" t="n">
        <v>380</v>
      </c>
      <c r="C1466" s="9" t="s">
        <v>83</v>
      </c>
      <c r="D1466" s="9" t="s">
        <v>108</v>
      </c>
      <c r="E1466" s="9" t="s">
        <v>3313</v>
      </c>
      <c r="F1466" s="19" t="n">
        <f aca="false">IF('Base de Datos SADI'!U384="","",'Base de Datos SADI'!U384)</f>
        <v>50</v>
      </c>
      <c r="G1466" s="15"/>
      <c r="H1466" s="30"/>
      <c r="I1466" s="31" t="str">
        <f aca="false">IF(OR($G1466="",$G1466=0),"",IFERROR(ROUND($F1466*$G1466*(1-IF($H1466="",0,$H1466)),2),""))</f>
        <v/>
      </c>
      <c r="J1466" s="9"/>
    </row>
    <row r="1467" customFormat="false" ht="21.75" hidden="false" customHeight="true" outlineLevel="0" collapsed="false">
      <c r="B1467" s="14" t="n">
        <v>381</v>
      </c>
      <c r="C1467" s="7" t="s">
        <v>84</v>
      </c>
      <c r="D1467" s="7" t="s">
        <v>93</v>
      </c>
      <c r="E1467" s="7" t="s">
        <v>391</v>
      </c>
      <c r="F1467" s="18" t="str">
        <f aca="false">IF('Base de Datos SADI'!U385="","",'Base de Datos SADI'!U385)</f>
        <v/>
      </c>
      <c r="G1467" s="14"/>
      <c r="H1467" s="28"/>
      <c r="I1467" s="29" t="str">
        <f aca="false">IF(OR($G1467="",$G1467=0),"",IFERROR(ROUND($F1467*$G1467*(1-IF($H1467="",0,$H1467)),2),""))</f>
        <v/>
      </c>
      <c r="J1467" s="7"/>
    </row>
    <row r="1468" customFormat="false" ht="21.75" hidden="false" customHeight="true" outlineLevel="0" collapsed="false">
      <c r="B1468" s="15" t="n">
        <v>382</v>
      </c>
      <c r="C1468" s="9" t="s">
        <v>84</v>
      </c>
      <c r="D1468" s="9" t="s">
        <v>94</v>
      </c>
      <c r="E1468" s="9" t="s">
        <v>391</v>
      </c>
      <c r="F1468" s="19" t="str">
        <f aca="false">IF('Base de Datos SADI'!U386="","",'Base de Datos SADI'!U386)</f>
        <v/>
      </c>
      <c r="G1468" s="15"/>
      <c r="H1468" s="30"/>
      <c r="I1468" s="31" t="str">
        <f aca="false">IF(OR($G1468="",$G1468=0),"",IFERROR(ROUND($F1468*$G1468*(1-IF($H1468="",0,$H1468)),2),""))</f>
        <v/>
      </c>
      <c r="J1468" s="9"/>
    </row>
    <row r="1469" customFormat="false" ht="21.75" hidden="false" customHeight="true" outlineLevel="0" collapsed="false">
      <c r="B1469" s="14" t="n">
        <v>383</v>
      </c>
      <c r="C1469" s="7" t="s">
        <v>84</v>
      </c>
      <c r="D1469" s="7" t="s">
        <v>95</v>
      </c>
      <c r="E1469" s="7" t="s">
        <v>3316</v>
      </c>
      <c r="F1469" s="18" t="n">
        <f aca="false">IF('Base de Datos SADI'!U387="","",'Base de Datos SADI'!U387)</f>
        <v>11</v>
      </c>
      <c r="G1469" s="14"/>
      <c r="H1469" s="28"/>
      <c r="I1469" s="29" t="str">
        <f aca="false">IF(OR($G1469="",$G1469=0),"",IFERROR(ROUND($F1469*$G1469*(1-IF($H1469="",0,$H1469)),2),""))</f>
        <v/>
      </c>
      <c r="J1469" s="7"/>
    </row>
    <row r="1470" customFormat="false" ht="21.75" hidden="false" customHeight="true" outlineLevel="0" collapsed="false">
      <c r="B1470" s="15" t="n">
        <v>384</v>
      </c>
      <c r="C1470" s="9" t="s">
        <v>84</v>
      </c>
      <c r="D1470" s="9" t="s">
        <v>95</v>
      </c>
      <c r="E1470" s="9" t="s">
        <v>3322</v>
      </c>
      <c r="F1470" s="19" t="n">
        <f aca="false">IF('Base de Datos SADI'!U388="","",'Base de Datos SADI'!U388)</f>
        <v>16</v>
      </c>
      <c r="G1470" s="15"/>
      <c r="H1470" s="30"/>
      <c r="I1470" s="31" t="str">
        <f aca="false">IF(OR($G1470="",$G1470=0),"",IFERROR(ROUND($F1470*$G1470*(1-IF($H1470="",0,$H1470)),2),""))</f>
        <v/>
      </c>
      <c r="J1470" s="9"/>
    </row>
    <row r="1471" customFormat="false" ht="21.75" hidden="false" customHeight="true" outlineLevel="0" collapsed="false">
      <c r="B1471" s="14" t="n">
        <v>385</v>
      </c>
      <c r="C1471" s="7" t="s">
        <v>84</v>
      </c>
      <c r="D1471" s="7" t="s">
        <v>95</v>
      </c>
      <c r="E1471" s="7" t="s">
        <v>3323</v>
      </c>
      <c r="F1471" s="18" t="n">
        <f aca="false">IF('Base de Datos SADI'!U389="","",'Base de Datos SADI'!U389)</f>
        <v>20</v>
      </c>
      <c r="G1471" s="14"/>
      <c r="H1471" s="28"/>
      <c r="I1471" s="29" t="str">
        <f aca="false">IF(OR($G1471="",$G1471=0),"",IFERROR(ROUND($F1471*$G1471*(1-IF($H1471="",0,$H1471)),2),""))</f>
        <v/>
      </c>
      <c r="J1471" s="7"/>
    </row>
    <row r="1472" customFormat="false" ht="21.75" hidden="false" customHeight="true" outlineLevel="0" collapsed="false">
      <c r="B1472" s="15" t="n">
        <v>386</v>
      </c>
      <c r="C1472" s="9" t="s">
        <v>84</v>
      </c>
      <c r="D1472" s="9" t="s">
        <v>95</v>
      </c>
      <c r="E1472" s="9" t="s">
        <v>3325</v>
      </c>
      <c r="F1472" s="19" t="n">
        <f aca="false">IF('Base de Datos SADI'!U390="","",'Base de Datos SADI'!U390)</f>
        <v>30</v>
      </c>
      <c r="G1472" s="15"/>
      <c r="H1472" s="30"/>
      <c r="I1472" s="31" t="str">
        <f aca="false">IF(OR($G1472="",$G1472=0),"",IFERROR(ROUND($F1472*$G1472*(1-IF($H1472="",0,$H1472)),2),""))</f>
        <v/>
      </c>
      <c r="J1472" s="9"/>
    </row>
    <row r="1473" customFormat="false" ht="21.75" hidden="false" customHeight="true" outlineLevel="0" collapsed="false">
      <c r="B1473" s="14" t="n">
        <v>387</v>
      </c>
      <c r="C1473" s="7" t="s">
        <v>84</v>
      </c>
      <c r="D1473" s="7" t="s">
        <v>95</v>
      </c>
      <c r="E1473" s="7" t="s">
        <v>3326</v>
      </c>
      <c r="F1473" s="18" t="n">
        <f aca="false">IF('Base de Datos SADI'!U391="","",'Base de Datos SADI'!U391)</f>
        <v>45</v>
      </c>
      <c r="G1473" s="14"/>
      <c r="H1473" s="28"/>
      <c r="I1473" s="29" t="str">
        <f aca="false">IF(OR($G1473="",$G1473=0),"",IFERROR(ROUND($F1473*$G1473*(1-IF($H1473="",0,$H1473)),2),""))</f>
        <v/>
      </c>
      <c r="J1473" s="7"/>
    </row>
    <row r="1474" customFormat="false" ht="21.75" hidden="false" customHeight="true" outlineLevel="0" collapsed="false">
      <c r="B1474" s="15" t="n">
        <v>388</v>
      </c>
      <c r="C1474" s="9" t="s">
        <v>84</v>
      </c>
      <c r="D1474" s="9" t="s">
        <v>96</v>
      </c>
      <c r="E1474" s="9" t="s">
        <v>3327</v>
      </c>
      <c r="F1474" s="19" t="n">
        <f aca="false">IF('Base de Datos SADI'!U392="","",'Base de Datos SADI'!U392)</f>
        <v>20</v>
      </c>
      <c r="G1474" s="15"/>
      <c r="H1474" s="30"/>
      <c r="I1474" s="31" t="str">
        <f aca="false">IF(OR($G1474="",$G1474=0),"",IFERROR(ROUND($F1474*$G1474*(1-IF($H1474="",0,$H1474)),2),""))</f>
        <v/>
      </c>
      <c r="J1474" s="9"/>
    </row>
    <row r="1475" customFormat="false" ht="21.75" hidden="false" customHeight="true" outlineLevel="0" collapsed="false">
      <c r="B1475" s="14" t="n">
        <v>389</v>
      </c>
      <c r="C1475" s="7" t="s">
        <v>84</v>
      </c>
      <c r="D1475" s="7" t="s">
        <v>96</v>
      </c>
      <c r="E1475" s="7" t="s">
        <v>3331</v>
      </c>
      <c r="F1475" s="18" t="n">
        <f aca="false">IF('Base de Datos SADI'!U393="","",'Base de Datos SADI'!U393)</f>
        <v>30</v>
      </c>
      <c r="G1475" s="14"/>
      <c r="H1475" s="28"/>
      <c r="I1475" s="29" t="str">
        <f aca="false">IF(OR($G1475="",$G1475=0),"",IFERROR(ROUND($F1475*$G1475*(1-IF($H1475="",0,$H1475)),2),""))</f>
        <v/>
      </c>
      <c r="J1475" s="7"/>
    </row>
    <row r="1476" customFormat="false" ht="21.75" hidden="false" customHeight="true" outlineLevel="0" collapsed="false">
      <c r="B1476" s="15" t="n">
        <v>390</v>
      </c>
      <c r="C1476" s="9" t="s">
        <v>84</v>
      </c>
      <c r="D1476" s="9" t="s">
        <v>96</v>
      </c>
      <c r="E1476" s="9" t="s">
        <v>3332</v>
      </c>
      <c r="F1476" s="19" t="n">
        <f aca="false">IF('Base de Datos SADI'!U394="","",'Base de Datos SADI'!U394)</f>
        <v>45</v>
      </c>
      <c r="G1476" s="15"/>
      <c r="H1476" s="30"/>
      <c r="I1476" s="31" t="str">
        <f aca="false">IF(OR($G1476="",$G1476=0),"",IFERROR(ROUND($F1476*$G1476*(1-IF($H1476="",0,$H1476)),2),""))</f>
        <v/>
      </c>
      <c r="J1476" s="9"/>
    </row>
    <row r="1477" customFormat="false" ht="21.75" hidden="false" customHeight="true" outlineLevel="0" collapsed="false">
      <c r="B1477" s="14" t="n">
        <v>391</v>
      </c>
      <c r="C1477" s="7" t="s">
        <v>84</v>
      </c>
      <c r="D1477" s="7" t="s">
        <v>96</v>
      </c>
      <c r="E1477" s="7" t="s">
        <v>3334</v>
      </c>
      <c r="F1477" s="18" t="n">
        <f aca="false">IF('Base de Datos SADI'!U395="","",'Base de Datos SADI'!U395)</f>
        <v>65</v>
      </c>
      <c r="G1477" s="14"/>
      <c r="H1477" s="28"/>
      <c r="I1477" s="29" t="str">
        <f aca="false">IF(OR($G1477="",$G1477=0),"",IFERROR(ROUND($F1477*$G1477*(1-IF($H1477="",0,$H1477)),2),""))</f>
        <v/>
      </c>
      <c r="J1477" s="7"/>
    </row>
    <row r="1478" customFormat="false" ht="21.75" hidden="false" customHeight="true" outlineLevel="0" collapsed="false">
      <c r="B1478" s="15" t="n">
        <v>392</v>
      </c>
      <c r="C1478" s="9" t="s">
        <v>84</v>
      </c>
      <c r="D1478" s="9" t="s">
        <v>96</v>
      </c>
      <c r="E1478" s="9" t="s">
        <v>3335</v>
      </c>
      <c r="F1478" s="19" t="n">
        <f aca="false">IF('Base de Datos SADI'!U396="","",'Base de Datos SADI'!U396)</f>
        <v>100</v>
      </c>
      <c r="G1478" s="15"/>
      <c r="H1478" s="30"/>
      <c r="I1478" s="31" t="str">
        <f aca="false">IF(OR($G1478="",$G1478=0),"",IFERROR(ROUND($F1478*$G1478*(1-IF($H1478="",0,$H1478)),2),""))</f>
        <v/>
      </c>
      <c r="J1478" s="9"/>
    </row>
    <row r="1479" customFormat="false" ht="21.75" hidden="false" customHeight="true" outlineLevel="0" collapsed="false">
      <c r="B1479" s="14" t="n">
        <v>393</v>
      </c>
      <c r="C1479" s="7" t="s">
        <v>84</v>
      </c>
      <c r="D1479" s="7" t="s">
        <v>97</v>
      </c>
      <c r="E1479" s="7" t="s">
        <v>3336</v>
      </c>
      <c r="F1479" s="18" t="n">
        <f aca="false">IF('Base de Datos SADI'!U397="","",'Base de Datos SADI'!U397)</f>
        <v>20</v>
      </c>
      <c r="G1479" s="14"/>
      <c r="H1479" s="28"/>
      <c r="I1479" s="29" t="str">
        <f aca="false">IF(OR($G1479="",$G1479=0),"",IFERROR(ROUND($F1479*$G1479*(1-IF($H1479="",0,$H1479)),2),""))</f>
        <v/>
      </c>
      <c r="J1479" s="7"/>
    </row>
    <row r="1480" customFormat="false" ht="21.75" hidden="false" customHeight="true" outlineLevel="0" collapsed="false">
      <c r="B1480" s="15" t="n">
        <v>394</v>
      </c>
      <c r="C1480" s="9" t="s">
        <v>84</v>
      </c>
      <c r="D1480" s="9" t="s">
        <v>97</v>
      </c>
      <c r="E1480" s="9" t="s">
        <v>3337</v>
      </c>
      <c r="F1480" s="19" t="n">
        <f aca="false">IF('Base de Datos SADI'!U398="","",'Base de Datos SADI'!U398)</f>
        <v>30</v>
      </c>
      <c r="G1480" s="15"/>
      <c r="H1480" s="30"/>
      <c r="I1480" s="31" t="str">
        <f aca="false">IF(OR($G1480="",$G1480=0),"",IFERROR(ROUND($F1480*$G1480*(1-IF($H1480="",0,$H1480)),2),""))</f>
        <v/>
      </c>
      <c r="J1480" s="9"/>
    </row>
    <row r="1481" customFormat="false" ht="21.75" hidden="false" customHeight="true" outlineLevel="0" collapsed="false">
      <c r="B1481" s="14" t="n">
        <v>395</v>
      </c>
      <c r="C1481" s="7" t="s">
        <v>84</v>
      </c>
      <c r="D1481" s="7" t="s">
        <v>97</v>
      </c>
      <c r="E1481" s="7" t="s">
        <v>3338</v>
      </c>
      <c r="F1481" s="18" t="n">
        <f aca="false">IF('Base de Datos SADI'!U399="","",'Base de Datos SADI'!U399)</f>
        <v>40</v>
      </c>
      <c r="G1481" s="14"/>
      <c r="H1481" s="28"/>
      <c r="I1481" s="29" t="str">
        <f aca="false">IF(OR($G1481="",$G1481=0),"",IFERROR(ROUND($F1481*$G1481*(1-IF($H1481="",0,$H1481)),2),""))</f>
        <v/>
      </c>
      <c r="J1481" s="7"/>
    </row>
    <row r="1482" customFormat="false" ht="21.75" hidden="false" customHeight="true" outlineLevel="0" collapsed="false">
      <c r="B1482" s="15" t="n">
        <v>396</v>
      </c>
      <c r="C1482" s="9" t="s">
        <v>84</v>
      </c>
      <c r="D1482" s="9" t="s">
        <v>97</v>
      </c>
      <c r="E1482" s="9" t="s">
        <v>3340</v>
      </c>
      <c r="F1482" s="19" t="n">
        <f aca="false">IF('Base de Datos SADI'!U400="","",'Base de Datos SADI'!U400)</f>
        <v>60</v>
      </c>
      <c r="G1482" s="15"/>
      <c r="H1482" s="30"/>
      <c r="I1482" s="31" t="str">
        <f aca="false">IF(OR($G1482="",$G1482=0),"",IFERROR(ROUND($F1482*$G1482*(1-IF($H1482="",0,$H1482)),2),""))</f>
        <v/>
      </c>
      <c r="J1482" s="9"/>
    </row>
    <row r="1483" customFormat="false" ht="21.75" hidden="false" customHeight="true" outlineLevel="0" collapsed="false">
      <c r="B1483" s="14" t="n">
        <v>397</v>
      </c>
      <c r="C1483" s="7" t="s">
        <v>84</v>
      </c>
      <c r="D1483" s="7" t="s">
        <v>97</v>
      </c>
      <c r="E1483" s="7" t="s">
        <v>3341</v>
      </c>
      <c r="F1483" s="18" t="n">
        <f aca="false">IF('Base de Datos SADI'!U401="","",'Base de Datos SADI'!U401)</f>
        <v>85</v>
      </c>
      <c r="G1483" s="14"/>
      <c r="H1483" s="28"/>
      <c r="I1483" s="29" t="str">
        <f aca="false">IF(OR($G1483="",$G1483=0),"",IFERROR(ROUND($F1483*$G1483*(1-IF($H1483="",0,$H1483)),2),""))</f>
        <v/>
      </c>
      <c r="J1483" s="7"/>
    </row>
    <row r="1484" customFormat="false" ht="21.75" hidden="false" customHeight="true" outlineLevel="0" collapsed="false">
      <c r="B1484" s="15" t="n">
        <v>398</v>
      </c>
      <c r="C1484" s="9" t="s">
        <v>84</v>
      </c>
      <c r="D1484" s="9" t="s">
        <v>98</v>
      </c>
      <c r="E1484" s="9" t="s">
        <v>3334</v>
      </c>
      <c r="F1484" s="19" t="n">
        <f aca="false">IF('Base de Datos SADI'!U402="","",'Base de Datos SADI'!U402)</f>
        <v>30</v>
      </c>
      <c r="G1484" s="15"/>
      <c r="H1484" s="30"/>
      <c r="I1484" s="31" t="str">
        <f aca="false">IF(OR($G1484="",$G1484=0),"",IFERROR(ROUND($F1484*$G1484*(1-IF($H1484="",0,$H1484)),2),""))</f>
        <v/>
      </c>
      <c r="J1484" s="9"/>
    </row>
    <row r="1485" customFormat="false" ht="21.75" hidden="false" customHeight="true" outlineLevel="0" collapsed="false">
      <c r="B1485" s="14" t="n">
        <v>399</v>
      </c>
      <c r="C1485" s="7" t="s">
        <v>84</v>
      </c>
      <c r="D1485" s="7" t="s">
        <v>98</v>
      </c>
      <c r="E1485" s="7" t="s">
        <v>3345</v>
      </c>
      <c r="F1485" s="18" t="n">
        <f aca="false">IF('Base de Datos SADI'!U403="","",'Base de Datos SADI'!U403)</f>
        <v>45</v>
      </c>
      <c r="G1485" s="14"/>
      <c r="H1485" s="28"/>
      <c r="I1485" s="29" t="str">
        <f aca="false">IF(OR($G1485="",$G1485=0),"",IFERROR(ROUND($F1485*$G1485*(1-IF($H1485="",0,$H1485)),2),""))</f>
        <v/>
      </c>
      <c r="J1485" s="7"/>
    </row>
    <row r="1486" customFormat="false" ht="21.75" hidden="false" customHeight="true" outlineLevel="0" collapsed="false">
      <c r="B1486" s="15" t="n">
        <v>400</v>
      </c>
      <c r="C1486" s="9" t="s">
        <v>84</v>
      </c>
      <c r="D1486" s="9" t="s">
        <v>98</v>
      </c>
      <c r="E1486" s="9" t="s">
        <v>3346</v>
      </c>
      <c r="F1486" s="19" t="n">
        <f aca="false">IF('Base de Datos SADI'!U404="","",'Base de Datos SADI'!U404)</f>
        <v>60</v>
      </c>
      <c r="G1486" s="15"/>
      <c r="H1486" s="30"/>
      <c r="I1486" s="31" t="str">
        <f aca="false">IF(OR($G1486="",$G1486=0),"",IFERROR(ROUND($F1486*$G1486*(1-IF($H1486="",0,$H1486)),2),""))</f>
        <v/>
      </c>
      <c r="J1486" s="9"/>
    </row>
    <row r="1487" customFormat="false" ht="21.75" hidden="false" customHeight="true" outlineLevel="0" collapsed="false">
      <c r="B1487" s="14" t="n">
        <v>401</v>
      </c>
      <c r="C1487" s="7" t="s">
        <v>84</v>
      </c>
      <c r="D1487" s="7" t="s">
        <v>98</v>
      </c>
      <c r="E1487" s="7" t="s">
        <v>3348</v>
      </c>
      <c r="F1487" s="18" t="n">
        <f aca="false">IF('Base de Datos SADI'!U405="","",'Base de Datos SADI'!U405)</f>
        <v>95</v>
      </c>
      <c r="G1487" s="14"/>
      <c r="H1487" s="28"/>
      <c r="I1487" s="29" t="str">
        <f aca="false">IF(OR($G1487="",$G1487=0),"",IFERROR(ROUND($F1487*$G1487*(1-IF($H1487="",0,$H1487)),2),""))</f>
        <v/>
      </c>
      <c r="J1487" s="7"/>
    </row>
    <row r="1488" customFormat="false" ht="21.75" hidden="false" customHeight="true" outlineLevel="0" collapsed="false">
      <c r="B1488" s="15" t="n">
        <v>402</v>
      </c>
      <c r="C1488" s="9" t="s">
        <v>84</v>
      </c>
      <c r="D1488" s="9" t="s">
        <v>98</v>
      </c>
      <c r="E1488" s="9" t="s">
        <v>3349</v>
      </c>
      <c r="F1488" s="19" t="n">
        <f aca="false">IF('Base de Datos SADI'!U406="","",'Base de Datos SADI'!U406)</f>
        <v>140</v>
      </c>
      <c r="G1488" s="15"/>
      <c r="H1488" s="30"/>
      <c r="I1488" s="31" t="str">
        <f aca="false">IF(OR($G1488="",$G1488=0),"",IFERROR(ROUND($F1488*$G1488*(1-IF($H1488="",0,$H1488)),2),""))</f>
        <v/>
      </c>
      <c r="J1488" s="9"/>
    </row>
    <row r="1489" customFormat="false" ht="21.75" hidden="false" customHeight="true" outlineLevel="0" collapsed="false">
      <c r="B1489" s="14" t="n">
        <v>403</v>
      </c>
      <c r="C1489" s="7" t="s">
        <v>84</v>
      </c>
      <c r="D1489" s="7" t="s">
        <v>99</v>
      </c>
      <c r="E1489" s="7" t="s">
        <v>391</v>
      </c>
      <c r="F1489" s="18" t="str">
        <f aca="false">IF('Base de Datos SADI'!U407="","",'Base de Datos SADI'!U407)</f>
        <v/>
      </c>
      <c r="G1489" s="14"/>
      <c r="H1489" s="28"/>
      <c r="I1489" s="29" t="str">
        <f aca="false">IF(OR($G1489="",$G1489=0),"",IFERROR(ROUND($F1489*$G1489*(1-IF($H1489="",0,$H1489)),2),""))</f>
        <v/>
      </c>
      <c r="J1489" s="7"/>
    </row>
    <row r="1490" customFormat="false" ht="21.75" hidden="false" customHeight="true" outlineLevel="0" collapsed="false">
      <c r="B1490" s="15" t="n">
        <v>404</v>
      </c>
      <c r="C1490" s="9" t="s">
        <v>84</v>
      </c>
      <c r="D1490" s="9" t="s">
        <v>100</v>
      </c>
      <c r="E1490" s="9" t="s">
        <v>391</v>
      </c>
      <c r="F1490" s="19" t="str">
        <f aca="false">IF('Base de Datos SADI'!U408="","",'Base de Datos SADI'!U408)</f>
        <v/>
      </c>
      <c r="G1490" s="15"/>
      <c r="H1490" s="30"/>
      <c r="I1490" s="31" t="str">
        <f aca="false">IF(OR($G1490="",$G1490=0),"",IFERROR(ROUND($F1490*$G1490*(1-IF($H1490="",0,$H1490)),2),""))</f>
        <v/>
      </c>
      <c r="J1490" s="9"/>
    </row>
    <row r="1491" customFormat="false" ht="21.75" hidden="false" customHeight="true" outlineLevel="0" collapsed="false">
      <c r="B1491" s="14" t="n">
        <v>405</v>
      </c>
      <c r="C1491" s="7" t="s">
        <v>84</v>
      </c>
      <c r="D1491" s="7" t="s">
        <v>101</v>
      </c>
      <c r="E1491" s="7" t="s">
        <v>391</v>
      </c>
      <c r="F1491" s="18" t="str">
        <f aca="false">IF('Base de Datos SADI'!U409="","",'Base de Datos SADI'!U409)</f>
        <v/>
      </c>
      <c r="G1491" s="14"/>
      <c r="H1491" s="28"/>
      <c r="I1491" s="29" t="str">
        <f aca="false">IF(OR($G1491="",$G1491=0),"",IFERROR(ROUND($F1491*$G1491*(1-IF($H1491="",0,$H1491)),2),""))</f>
        <v/>
      </c>
      <c r="J1491" s="7"/>
    </row>
    <row r="1492" customFormat="false" ht="21.75" hidden="false" customHeight="true" outlineLevel="0" collapsed="false">
      <c r="B1492" s="15" t="n">
        <v>406</v>
      </c>
      <c r="C1492" s="9" t="s">
        <v>84</v>
      </c>
      <c r="D1492" s="9" t="s">
        <v>102</v>
      </c>
      <c r="E1492" s="9" t="s">
        <v>3353</v>
      </c>
      <c r="F1492" s="19" t="n">
        <f aca="false">IF('Base de Datos SADI'!U410="","",'Base de Datos SADI'!U410)</f>
        <v>25</v>
      </c>
      <c r="G1492" s="15"/>
      <c r="H1492" s="30"/>
      <c r="I1492" s="31" t="str">
        <f aca="false">IF(OR($G1492="",$G1492=0),"",IFERROR(ROUND($F1492*$G1492*(1-IF($H1492="",0,$H1492)),2),""))</f>
        <v/>
      </c>
      <c r="J1492" s="9"/>
    </row>
    <row r="1493" customFormat="false" ht="21.75" hidden="false" customHeight="true" outlineLevel="0" collapsed="false">
      <c r="B1493" s="14" t="n">
        <v>407</v>
      </c>
      <c r="C1493" s="7" t="s">
        <v>84</v>
      </c>
      <c r="D1493" s="7" t="s">
        <v>102</v>
      </c>
      <c r="E1493" s="7" t="s">
        <v>3355</v>
      </c>
      <c r="F1493" s="18" t="n">
        <f aca="false">IF('Base de Datos SADI'!U411="","",'Base de Datos SADI'!U411)</f>
        <v>35</v>
      </c>
      <c r="G1493" s="14"/>
      <c r="H1493" s="28"/>
      <c r="I1493" s="29" t="str">
        <f aca="false">IF(OR($G1493="",$G1493=0),"",IFERROR(ROUND($F1493*$G1493*(1-IF($H1493="",0,$H1493)),2),""))</f>
        <v/>
      </c>
      <c r="J1493" s="7"/>
    </row>
    <row r="1494" customFormat="false" ht="21.75" hidden="false" customHeight="true" outlineLevel="0" collapsed="false">
      <c r="B1494" s="15" t="n">
        <v>408</v>
      </c>
      <c r="C1494" s="9" t="s">
        <v>84</v>
      </c>
      <c r="D1494" s="9" t="s">
        <v>102</v>
      </c>
      <c r="E1494" s="9" t="s">
        <v>3356</v>
      </c>
      <c r="F1494" s="19" t="n">
        <f aca="false">IF('Base de Datos SADI'!U412="","",'Base de Datos SADI'!U412)</f>
        <v>50</v>
      </c>
      <c r="G1494" s="15"/>
      <c r="H1494" s="30"/>
      <c r="I1494" s="31" t="str">
        <f aca="false">IF(OR($G1494="",$G1494=0),"",IFERROR(ROUND($F1494*$G1494*(1-IF($H1494="",0,$H1494)),2),""))</f>
        <v/>
      </c>
      <c r="J1494" s="9"/>
    </row>
    <row r="1495" customFormat="false" ht="21.75" hidden="false" customHeight="true" outlineLevel="0" collapsed="false">
      <c r="B1495" s="14" t="n">
        <v>409</v>
      </c>
      <c r="C1495" s="7" t="s">
        <v>84</v>
      </c>
      <c r="D1495" s="7" t="s">
        <v>102</v>
      </c>
      <c r="E1495" s="7" t="s">
        <v>3358</v>
      </c>
      <c r="F1495" s="18" t="n">
        <f aca="false">IF('Base de Datos SADI'!U413="","",'Base de Datos SADI'!U413)</f>
        <v>75</v>
      </c>
      <c r="G1495" s="14"/>
      <c r="H1495" s="28"/>
      <c r="I1495" s="29" t="str">
        <f aca="false">IF(OR($G1495="",$G1495=0),"",IFERROR(ROUND($F1495*$G1495*(1-IF($H1495="",0,$H1495)),2),""))</f>
        <v/>
      </c>
      <c r="J1495" s="7"/>
    </row>
    <row r="1496" customFormat="false" ht="21.75" hidden="false" customHeight="true" outlineLevel="0" collapsed="false">
      <c r="B1496" s="15" t="n">
        <v>410</v>
      </c>
      <c r="C1496" s="9" t="s">
        <v>84</v>
      </c>
      <c r="D1496" s="9" t="s">
        <v>102</v>
      </c>
      <c r="E1496" s="9" t="s">
        <v>3359</v>
      </c>
      <c r="F1496" s="19" t="n">
        <f aca="false">IF('Base de Datos SADI'!U414="","",'Base de Datos SADI'!U414)</f>
        <v>110</v>
      </c>
      <c r="G1496" s="15"/>
      <c r="H1496" s="30"/>
      <c r="I1496" s="31" t="str">
        <f aca="false">IF(OR($G1496="",$G1496=0),"",IFERROR(ROUND($F1496*$G1496*(1-IF($H1496="",0,$H1496)),2),""))</f>
        <v/>
      </c>
      <c r="J1496" s="9"/>
    </row>
    <row r="1497" customFormat="false" ht="21.75" hidden="false" customHeight="true" outlineLevel="0" collapsed="false">
      <c r="B1497" s="14" t="n">
        <v>411</v>
      </c>
      <c r="C1497" s="7" t="s">
        <v>84</v>
      </c>
      <c r="D1497" s="7" t="s">
        <v>103</v>
      </c>
      <c r="E1497" s="7" t="s">
        <v>3360</v>
      </c>
      <c r="F1497" s="18" t="n">
        <f aca="false">IF('Base de Datos SADI'!U415="","",'Base de Datos SADI'!U415)</f>
        <v>30</v>
      </c>
      <c r="G1497" s="14"/>
      <c r="H1497" s="28"/>
      <c r="I1497" s="29" t="str">
        <f aca="false">IF(OR($G1497="",$G1497=0),"",IFERROR(ROUND($F1497*$G1497*(1-IF($H1497="",0,$H1497)),2),""))</f>
        <v/>
      </c>
      <c r="J1497" s="7"/>
    </row>
    <row r="1498" customFormat="false" ht="21.75" hidden="false" customHeight="true" outlineLevel="0" collapsed="false">
      <c r="B1498" s="15" t="n">
        <v>412</v>
      </c>
      <c r="C1498" s="9" t="s">
        <v>84</v>
      </c>
      <c r="D1498" s="9" t="s">
        <v>103</v>
      </c>
      <c r="E1498" s="9" t="s">
        <v>3366</v>
      </c>
      <c r="F1498" s="19" t="n">
        <f aca="false">IF('Base de Datos SADI'!U416="","",'Base de Datos SADI'!U416)</f>
        <v>45</v>
      </c>
      <c r="G1498" s="15"/>
      <c r="H1498" s="30"/>
      <c r="I1498" s="31" t="str">
        <f aca="false">IF(OR($G1498="",$G1498=0),"",IFERROR(ROUND($F1498*$G1498*(1-IF($H1498="",0,$H1498)),2),""))</f>
        <v/>
      </c>
      <c r="J1498" s="9"/>
    </row>
    <row r="1499" customFormat="false" ht="21.75" hidden="false" customHeight="true" outlineLevel="0" collapsed="false">
      <c r="B1499" s="14" t="n">
        <v>413</v>
      </c>
      <c r="C1499" s="7" t="s">
        <v>84</v>
      </c>
      <c r="D1499" s="7" t="s">
        <v>103</v>
      </c>
      <c r="E1499" s="7" t="s">
        <v>3367</v>
      </c>
      <c r="F1499" s="18" t="n">
        <f aca="false">IF('Base de Datos SADI'!U417="","",'Base de Datos SADI'!U417)</f>
        <v>60</v>
      </c>
      <c r="G1499" s="14"/>
      <c r="H1499" s="28"/>
      <c r="I1499" s="29" t="str">
        <f aca="false">IF(OR($G1499="",$G1499=0),"",IFERROR(ROUND($F1499*$G1499*(1-IF($H1499="",0,$H1499)),2),""))</f>
        <v/>
      </c>
      <c r="J1499" s="7"/>
    </row>
    <row r="1500" customFormat="false" ht="21.75" hidden="false" customHeight="true" outlineLevel="0" collapsed="false">
      <c r="B1500" s="15" t="n">
        <v>414</v>
      </c>
      <c r="C1500" s="9" t="s">
        <v>84</v>
      </c>
      <c r="D1500" s="9" t="s">
        <v>103</v>
      </c>
      <c r="E1500" s="9" t="s">
        <v>3369</v>
      </c>
      <c r="F1500" s="19" t="n">
        <f aca="false">IF('Base de Datos SADI'!U418="","",'Base de Datos SADI'!U418)</f>
        <v>90</v>
      </c>
      <c r="G1500" s="15"/>
      <c r="H1500" s="30"/>
      <c r="I1500" s="31" t="str">
        <f aca="false">IF(OR($G1500="",$G1500=0),"",IFERROR(ROUND($F1500*$G1500*(1-IF($H1500="",0,$H1500)),2),""))</f>
        <v/>
      </c>
      <c r="J1500" s="9"/>
    </row>
    <row r="1501" customFormat="false" ht="21.75" hidden="false" customHeight="true" outlineLevel="0" collapsed="false">
      <c r="B1501" s="14" t="n">
        <v>415</v>
      </c>
      <c r="C1501" s="7" t="s">
        <v>84</v>
      </c>
      <c r="D1501" s="7" t="s">
        <v>103</v>
      </c>
      <c r="E1501" s="7" t="s">
        <v>3370</v>
      </c>
      <c r="F1501" s="18" t="n">
        <f aca="false">IF('Base de Datos SADI'!U419="","",'Base de Datos SADI'!U419)</f>
        <v>135</v>
      </c>
      <c r="G1501" s="14"/>
      <c r="H1501" s="28"/>
      <c r="I1501" s="29" t="str">
        <f aca="false">IF(OR($G1501="",$G1501=0),"",IFERROR(ROUND($F1501*$G1501*(1-IF($H1501="",0,$H1501)),2),""))</f>
        <v/>
      </c>
      <c r="J1501" s="7"/>
    </row>
    <row r="1502" customFormat="false" ht="21.75" hidden="false" customHeight="true" outlineLevel="0" collapsed="false">
      <c r="B1502" s="15" t="n">
        <v>416</v>
      </c>
      <c r="C1502" s="9" t="s">
        <v>84</v>
      </c>
      <c r="D1502" s="9" t="s">
        <v>104</v>
      </c>
      <c r="E1502" s="9" t="s">
        <v>3371</v>
      </c>
      <c r="F1502" s="19" t="n">
        <f aca="false">IF('Base de Datos SADI'!U420="","",'Base de Datos SADI'!U420)</f>
        <v>25</v>
      </c>
      <c r="G1502" s="15"/>
      <c r="H1502" s="30"/>
      <c r="I1502" s="31" t="str">
        <f aca="false">IF(OR($G1502="",$G1502=0),"",IFERROR(ROUND($F1502*$G1502*(1-IF($H1502="",0,$H1502)),2),""))</f>
        <v/>
      </c>
      <c r="J1502" s="9"/>
    </row>
    <row r="1503" customFormat="false" ht="21.75" hidden="false" customHeight="true" outlineLevel="0" collapsed="false">
      <c r="B1503" s="14" t="n">
        <v>417</v>
      </c>
      <c r="C1503" s="7" t="s">
        <v>84</v>
      </c>
      <c r="D1503" s="7" t="s">
        <v>104</v>
      </c>
      <c r="E1503" s="7" t="s">
        <v>3374</v>
      </c>
      <c r="F1503" s="18" t="n">
        <f aca="false">IF('Base de Datos SADI'!U421="","",'Base de Datos SADI'!U421)</f>
        <v>40</v>
      </c>
      <c r="G1503" s="14"/>
      <c r="H1503" s="28"/>
      <c r="I1503" s="29" t="str">
        <f aca="false">IF(OR($G1503="",$G1503=0),"",IFERROR(ROUND($F1503*$G1503*(1-IF($H1503="",0,$H1503)),2),""))</f>
        <v/>
      </c>
      <c r="J1503" s="7"/>
    </row>
    <row r="1504" customFormat="false" ht="21.75" hidden="false" customHeight="true" outlineLevel="0" collapsed="false">
      <c r="B1504" s="15" t="n">
        <v>418</v>
      </c>
      <c r="C1504" s="9" t="s">
        <v>84</v>
      </c>
      <c r="D1504" s="9" t="s">
        <v>104</v>
      </c>
      <c r="E1504" s="9" t="s">
        <v>3375</v>
      </c>
      <c r="F1504" s="19" t="n">
        <f aca="false">IF('Base de Datos SADI'!U422="","",'Base de Datos SADI'!U422)</f>
        <v>55</v>
      </c>
      <c r="G1504" s="15"/>
      <c r="H1504" s="30"/>
      <c r="I1504" s="31" t="str">
        <f aca="false">IF(OR($G1504="",$G1504=0),"",IFERROR(ROUND($F1504*$G1504*(1-IF($H1504="",0,$H1504)),2),""))</f>
        <v/>
      </c>
      <c r="J1504" s="9"/>
    </row>
    <row r="1505" customFormat="false" ht="21.75" hidden="false" customHeight="true" outlineLevel="0" collapsed="false">
      <c r="B1505" s="14" t="n">
        <v>419</v>
      </c>
      <c r="C1505" s="7" t="s">
        <v>84</v>
      </c>
      <c r="D1505" s="7" t="s">
        <v>104</v>
      </c>
      <c r="E1505" s="7" t="s">
        <v>3377</v>
      </c>
      <c r="F1505" s="18" t="n">
        <f aca="false">IF('Base de Datos SADI'!U423="","",'Base de Datos SADI'!U423)</f>
        <v>85</v>
      </c>
      <c r="G1505" s="14"/>
      <c r="H1505" s="28"/>
      <c r="I1505" s="29" t="str">
        <f aca="false">IF(OR($G1505="",$G1505=0),"",IFERROR(ROUND($F1505*$G1505*(1-IF($H1505="",0,$H1505)),2),""))</f>
        <v/>
      </c>
      <c r="J1505" s="7"/>
    </row>
    <row r="1506" customFormat="false" ht="21.75" hidden="false" customHeight="true" outlineLevel="0" collapsed="false">
      <c r="B1506" s="15" t="n">
        <v>420</v>
      </c>
      <c r="C1506" s="9" t="s">
        <v>84</v>
      </c>
      <c r="D1506" s="9" t="s">
        <v>104</v>
      </c>
      <c r="E1506" s="9" t="s">
        <v>3378</v>
      </c>
      <c r="F1506" s="19" t="n">
        <f aca="false">IF('Base de Datos SADI'!U424="","",'Base de Datos SADI'!U424)</f>
        <v>125</v>
      </c>
      <c r="G1506" s="15"/>
      <c r="H1506" s="30"/>
      <c r="I1506" s="31" t="str">
        <f aca="false">IF(OR($G1506="",$G1506=0),"",IFERROR(ROUND($F1506*$G1506*(1-IF($H1506="",0,$H1506)),2),""))</f>
        <v/>
      </c>
      <c r="J1506" s="9"/>
    </row>
    <row r="1507" customFormat="false" ht="21.75" hidden="false" customHeight="true" outlineLevel="0" collapsed="false">
      <c r="B1507" s="14" t="n">
        <v>421</v>
      </c>
      <c r="C1507" s="7" t="s">
        <v>84</v>
      </c>
      <c r="D1507" s="7" t="s">
        <v>105</v>
      </c>
      <c r="E1507" s="7" t="s">
        <v>3379</v>
      </c>
      <c r="F1507" s="18" t="n">
        <f aca="false">IF('Base de Datos SADI'!U425="","",'Base de Datos SADI'!U425)</f>
        <v>30</v>
      </c>
      <c r="G1507" s="14"/>
      <c r="H1507" s="28"/>
      <c r="I1507" s="29" t="str">
        <f aca="false">IF(OR($G1507="",$G1507=0),"",IFERROR(ROUND($F1507*$G1507*(1-IF($H1507="",0,$H1507)),2),""))</f>
        <v/>
      </c>
      <c r="J1507" s="7"/>
    </row>
    <row r="1508" customFormat="false" ht="21.75" hidden="false" customHeight="true" outlineLevel="0" collapsed="false">
      <c r="B1508" s="15" t="n">
        <v>422</v>
      </c>
      <c r="C1508" s="9" t="s">
        <v>84</v>
      </c>
      <c r="D1508" s="9" t="s">
        <v>105</v>
      </c>
      <c r="E1508" s="9" t="s">
        <v>3381</v>
      </c>
      <c r="F1508" s="19" t="n">
        <f aca="false">IF('Base de Datos SADI'!U426="","",'Base de Datos SADI'!U426)</f>
        <v>45</v>
      </c>
      <c r="G1508" s="15"/>
      <c r="H1508" s="30"/>
      <c r="I1508" s="31" t="str">
        <f aca="false">IF(OR($G1508="",$G1508=0),"",IFERROR(ROUND($F1508*$G1508*(1-IF($H1508="",0,$H1508)),2),""))</f>
        <v/>
      </c>
      <c r="J1508" s="9"/>
    </row>
    <row r="1509" customFormat="false" ht="21.75" hidden="false" customHeight="true" outlineLevel="0" collapsed="false">
      <c r="B1509" s="14" t="n">
        <v>423</v>
      </c>
      <c r="C1509" s="7" t="s">
        <v>84</v>
      </c>
      <c r="D1509" s="7" t="s">
        <v>105</v>
      </c>
      <c r="E1509" s="7" t="s">
        <v>3382</v>
      </c>
      <c r="F1509" s="18" t="n">
        <f aca="false">IF('Base de Datos SADI'!U427="","",'Base de Datos SADI'!U427)</f>
        <v>60</v>
      </c>
      <c r="G1509" s="14"/>
      <c r="H1509" s="28"/>
      <c r="I1509" s="29" t="str">
        <f aca="false">IF(OR($G1509="",$G1509=0),"",IFERROR(ROUND($F1509*$G1509*(1-IF($H1509="",0,$H1509)),2),""))</f>
        <v/>
      </c>
      <c r="J1509" s="7"/>
    </row>
    <row r="1510" customFormat="false" ht="21.75" hidden="false" customHeight="true" outlineLevel="0" collapsed="false">
      <c r="B1510" s="15" t="n">
        <v>424</v>
      </c>
      <c r="C1510" s="9" t="s">
        <v>84</v>
      </c>
      <c r="D1510" s="9" t="s">
        <v>105</v>
      </c>
      <c r="E1510" s="9" t="s">
        <v>3384</v>
      </c>
      <c r="F1510" s="19" t="n">
        <f aca="false">IF('Base de Datos SADI'!U428="","",'Base de Datos SADI'!U428)</f>
        <v>90</v>
      </c>
      <c r="G1510" s="15"/>
      <c r="H1510" s="30"/>
      <c r="I1510" s="31" t="str">
        <f aca="false">IF(OR($G1510="",$G1510=0),"",IFERROR(ROUND($F1510*$G1510*(1-IF($H1510="",0,$H1510)),2),""))</f>
        <v/>
      </c>
      <c r="J1510" s="9"/>
    </row>
    <row r="1511" customFormat="false" ht="21.75" hidden="false" customHeight="true" outlineLevel="0" collapsed="false">
      <c r="B1511" s="14" t="n">
        <v>425</v>
      </c>
      <c r="C1511" s="7" t="s">
        <v>84</v>
      </c>
      <c r="D1511" s="7" t="s">
        <v>105</v>
      </c>
      <c r="E1511" s="7" t="s">
        <v>3385</v>
      </c>
      <c r="F1511" s="18" t="n">
        <f aca="false">IF('Base de Datos SADI'!U429="","",'Base de Datos SADI'!U429)</f>
        <v>130</v>
      </c>
      <c r="G1511" s="14"/>
      <c r="H1511" s="28"/>
      <c r="I1511" s="29" t="str">
        <f aca="false">IF(OR($G1511="",$G1511=0),"",IFERROR(ROUND($F1511*$G1511*(1-IF($H1511="",0,$H1511)),2),""))</f>
        <v/>
      </c>
      <c r="J1511" s="7"/>
    </row>
    <row r="1512" customFormat="false" ht="21.75" hidden="false" customHeight="true" outlineLevel="0" collapsed="false">
      <c r="B1512" s="15" t="n">
        <v>426</v>
      </c>
      <c r="C1512" s="9" t="s">
        <v>84</v>
      </c>
      <c r="D1512" s="9" t="s">
        <v>106</v>
      </c>
      <c r="E1512" s="9" t="s">
        <v>391</v>
      </c>
      <c r="F1512" s="19" t="str">
        <f aca="false">IF('Base de Datos SADI'!U430="","",'Base de Datos SADI'!U430)</f>
        <v/>
      </c>
      <c r="G1512" s="15"/>
      <c r="H1512" s="30"/>
      <c r="I1512" s="31" t="str">
        <f aca="false">IF(OR($G1512="",$G1512=0),"",IFERROR(ROUND($F1512*$G1512*(1-IF($H1512="",0,$H1512)),2),""))</f>
        <v/>
      </c>
      <c r="J1512" s="9"/>
    </row>
    <row r="1513" customFormat="false" ht="21.75" hidden="false" customHeight="true" outlineLevel="0" collapsed="false">
      <c r="B1513" s="14" t="n">
        <v>427</v>
      </c>
      <c r="C1513" s="7" t="s">
        <v>84</v>
      </c>
      <c r="D1513" s="7" t="s">
        <v>107</v>
      </c>
      <c r="E1513" s="7" t="s">
        <v>3387</v>
      </c>
      <c r="F1513" s="18" t="n">
        <f aca="false">IF('Base de Datos SADI'!U431="","",'Base de Datos SADI'!U431)</f>
        <v>80</v>
      </c>
      <c r="G1513" s="14"/>
      <c r="H1513" s="28"/>
      <c r="I1513" s="29" t="str">
        <f aca="false">IF(OR($G1513="",$G1513=0),"",IFERROR(ROUND($F1513*$G1513*(1-IF($H1513="",0,$H1513)),2),""))</f>
        <v/>
      </c>
      <c r="J1513" s="7"/>
    </row>
    <row r="1514" customFormat="false" ht="21.75" hidden="false" customHeight="true" outlineLevel="0" collapsed="false">
      <c r="B1514" s="15" t="n">
        <v>428</v>
      </c>
      <c r="C1514" s="9" t="s">
        <v>84</v>
      </c>
      <c r="D1514" s="9" t="s">
        <v>107</v>
      </c>
      <c r="E1514" s="9" t="s">
        <v>3393</v>
      </c>
      <c r="F1514" s="19" t="n">
        <f aca="false">IF('Base de Datos SADI'!U432="","",'Base de Datos SADI'!U432)</f>
        <v>120</v>
      </c>
      <c r="G1514" s="15"/>
      <c r="H1514" s="30"/>
      <c r="I1514" s="31" t="str">
        <f aca="false">IF(OR($G1514="",$G1514=0),"",IFERROR(ROUND($F1514*$G1514*(1-IF($H1514="",0,$H1514)),2),""))</f>
        <v/>
      </c>
      <c r="J1514" s="9"/>
    </row>
    <row r="1515" customFormat="false" ht="21.75" hidden="false" customHeight="true" outlineLevel="0" collapsed="false">
      <c r="B1515" s="14" t="n">
        <v>429</v>
      </c>
      <c r="C1515" s="7" t="s">
        <v>84</v>
      </c>
      <c r="D1515" s="7" t="s">
        <v>107</v>
      </c>
      <c r="E1515" s="7" t="s">
        <v>3394</v>
      </c>
      <c r="F1515" s="18" t="n">
        <f aca="false">IF('Base de Datos SADI'!U433="","",'Base de Datos SADI'!U433)</f>
        <v>165</v>
      </c>
      <c r="G1515" s="14"/>
      <c r="H1515" s="28"/>
      <c r="I1515" s="29" t="str">
        <f aca="false">IF(OR($G1515="",$G1515=0),"",IFERROR(ROUND($F1515*$G1515*(1-IF($H1515="",0,$H1515)),2),""))</f>
        <v/>
      </c>
      <c r="J1515" s="7"/>
    </row>
    <row r="1516" customFormat="false" ht="21.75" hidden="false" customHeight="true" outlineLevel="0" collapsed="false">
      <c r="B1516" s="15" t="n">
        <v>430</v>
      </c>
      <c r="C1516" s="9" t="s">
        <v>84</v>
      </c>
      <c r="D1516" s="9" t="s">
        <v>107</v>
      </c>
      <c r="E1516" s="9" t="s">
        <v>3396</v>
      </c>
      <c r="F1516" s="19" t="n">
        <f aca="false">IF('Base de Datos SADI'!U434="","",'Base de Datos SADI'!U434)</f>
        <v>245</v>
      </c>
      <c r="G1516" s="15"/>
      <c r="H1516" s="30"/>
      <c r="I1516" s="31" t="str">
        <f aca="false">IF(OR($G1516="",$G1516=0),"",IFERROR(ROUND($F1516*$G1516*(1-IF($H1516="",0,$H1516)),2),""))</f>
        <v/>
      </c>
      <c r="J1516" s="9"/>
    </row>
    <row r="1517" customFormat="false" ht="21.75" hidden="false" customHeight="true" outlineLevel="0" collapsed="false">
      <c r="B1517" s="14" t="n">
        <v>431</v>
      </c>
      <c r="C1517" s="7" t="s">
        <v>84</v>
      </c>
      <c r="D1517" s="7" t="s">
        <v>107</v>
      </c>
      <c r="E1517" s="7" t="s">
        <v>3397</v>
      </c>
      <c r="F1517" s="18" t="n">
        <f aca="false">IF('Base de Datos SADI'!U435="","",'Base de Datos SADI'!U435)</f>
        <v>360</v>
      </c>
      <c r="G1517" s="14"/>
      <c r="H1517" s="28"/>
      <c r="I1517" s="29" t="str">
        <f aca="false">IF(OR($G1517="",$G1517=0),"",IFERROR(ROUND($F1517*$G1517*(1-IF($H1517="",0,$H1517)),2),""))</f>
        <v/>
      </c>
      <c r="J1517" s="7"/>
    </row>
    <row r="1518" customFormat="false" ht="21.75" hidden="false" customHeight="true" outlineLevel="0" collapsed="false">
      <c r="B1518" s="15" t="n">
        <v>432</v>
      </c>
      <c r="C1518" s="9" t="s">
        <v>84</v>
      </c>
      <c r="D1518" s="9" t="s">
        <v>108</v>
      </c>
      <c r="E1518" s="9" t="s">
        <v>3398</v>
      </c>
      <c r="F1518" s="19" t="n">
        <f aca="false">IF('Base de Datos SADI'!U436="","",'Base de Datos SADI'!U436)</f>
        <v>11</v>
      </c>
      <c r="G1518" s="15"/>
      <c r="H1518" s="30"/>
      <c r="I1518" s="31" t="str">
        <f aca="false">IF(OR($G1518="",$G1518=0),"",IFERROR(ROUND($F1518*$G1518*(1-IF($H1518="",0,$H1518)),2),""))</f>
        <v/>
      </c>
      <c r="J1518" s="9"/>
    </row>
    <row r="1519" customFormat="false" ht="21.75" hidden="false" customHeight="true" outlineLevel="0" collapsed="false">
      <c r="B1519" s="14" t="n">
        <v>433</v>
      </c>
      <c r="C1519" s="7" t="s">
        <v>84</v>
      </c>
      <c r="D1519" s="7" t="s">
        <v>108</v>
      </c>
      <c r="E1519" s="7" t="s">
        <v>3401</v>
      </c>
      <c r="F1519" s="18" t="n">
        <f aca="false">IF('Base de Datos SADI'!U437="","",'Base de Datos SADI'!U437)</f>
        <v>16</v>
      </c>
      <c r="G1519" s="14"/>
      <c r="H1519" s="28"/>
      <c r="I1519" s="29" t="str">
        <f aca="false">IF(OR($G1519="",$G1519=0),"",IFERROR(ROUND($F1519*$G1519*(1-IF($H1519="",0,$H1519)),2),""))</f>
        <v/>
      </c>
      <c r="J1519" s="7"/>
    </row>
    <row r="1520" customFormat="false" ht="21.75" hidden="false" customHeight="true" outlineLevel="0" collapsed="false">
      <c r="B1520" s="15" t="n">
        <v>434</v>
      </c>
      <c r="C1520" s="9" t="s">
        <v>84</v>
      </c>
      <c r="D1520" s="9" t="s">
        <v>108</v>
      </c>
      <c r="E1520" s="9" t="s">
        <v>3402</v>
      </c>
      <c r="F1520" s="19" t="n">
        <f aca="false">IF('Base de Datos SADI'!U438="","",'Base de Datos SADI'!U438)</f>
        <v>20</v>
      </c>
      <c r="G1520" s="15"/>
      <c r="H1520" s="30"/>
      <c r="I1520" s="31" t="str">
        <f aca="false">IF(OR($G1520="",$G1520=0),"",IFERROR(ROUND($F1520*$G1520*(1-IF($H1520="",0,$H1520)),2),""))</f>
        <v/>
      </c>
      <c r="J1520" s="9"/>
    </row>
    <row r="1521" customFormat="false" ht="21.75" hidden="false" customHeight="true" outlineLevel="0" collapsed="false">
      <c r="B1521" s="14" t="n">
        <v>435</v>
      </c>
      <c r="C1521" s="7" t="s">
        <v>84</v>
      </c>
      <c r="D1521" s="7" t="s">
        <v>108</v>
      </c>
      <c r="E1521" s="7" t="s">
        <v>3404</v>
      </c>
      <c r="F1521" s="18" t="n">
        <f aca="false">IF('Base de Datos SADI'!U439="","",'Base de Datos SADI'!U439)</f>
        <v>30</v>
      </c>
      <c r="G1521" s="14"/>
      <c r="H1521" s="28"/>
      <c r="I1521" s="29" t="str">
        <f aca="false">IF(OR($G1521="",$G1521=0),"",IFERROR(ROUND($F1521*$G1521*(1-IF($H1521="",0,$H1521)),2),""))</f>
        <v/>
      </c>
      <c r="J1521" s="7"/>
    </row>
    <row r="1522" customFormat="false" ht="21.75" hidden="false" customHeight="true" outlineLevel="0" collapsed="false">
      <c r="B1522" s="15" t="n">
        <v>436</v>
      </c>
      <c r="C1522" s="9" t="s">
        <v>84</v>
      </c>
      <c r="D1522" s="9" t="s">
        <v>108</v>
      </c>
      <c r="E1522" s="9" t="s">
        <v>3405</v>
      </c>
      <c r="F1522" s="19" t="n">
        <f aca="false">IF('Base de Datos SADI'!U440="","",'Base de Datos SADI'!U440)</f>
        <v>45</v>
      </c>
      <c r="G1522" s="15"/>
      <c r="H1522" s="30"/>
      <c r="I1522" s="31" t="str">
        <f aca="false">IF(OR($G1522="",$G1522=0),"",IFERROR(ROUND($F1522*$G1522*(1-IF($H1522="",0,$H1522)),2),""))</f>
        <v/>
      </c>
      <c r="J1522" s="9"/>
    </row>
    <row r="1523" customFormat="false" ht="21.75" hidden="false" customHeight="true" outlineLevel="0" collapsed="false">
      <c r="B1523" s="14" t="n">
        <v>437</v>
      </c>
      <c r="C1523" s="7" t="s">
        <v>85</v>
      </c>
      <c r="D1523" s="7" t="s">
        <v>93</v>
      </c>
      <c r="E1523" s="7" t="s">
        <v>391</v>
      </c>
      <c r="F1523" s="18" t="str">
        <f aca="false">IF('Base de Datos SADI'!U441="","",'Base de Datos SADI'!U441)</f>
        <v/>
      </c>
      <c r="G1523" s="14"/>
      <c r="H1523" s="28"/>
      <c r="I1523" s="29" t="str">
        <f aca="false">IF(OR($G1523="",$G1523=0),"",IFERROR(ROUND($F1523*$G1523*(1-IF($H1523="",0,$H1523)),2),""))</f>
        <v/>
      </c>
      <c r="J1523" s="7"/>
    </row>
    <row r="1524" customFormat="false" ht="21.75" hidden="false" customHeight="true" outlineLevel="0" collapsed="false">
      <c r="B1524" s="15" t="n">
        <v>438</v>
      </c>
      <c r="C1524" s="9" t="s">
        <v>85</v>
      </c>
      <c r="D1524" s="9" t="s">
        <v>94</v>
      </c>
      <c r="E1524" s="9" t="s">
        <v>391</v>
      </c>
      <c r="F1524" s="19" t="str">
        <f aca="false">IF('Base de Datos SADI'!U442="","",'Base de Datos SADI'!U442)</f>
        <v/>
      </c>
      <c r="G1524" s="15"/>
      <c r="H1524" s="30"/>
      <c r="I1524" s="31" t="str">
        <f aca="false">IF(OR($G1524="",$G1524=0),"",IFERROR(ROUND($F1524*$G1524*(1-IF($H1524="",0,$H1524)),2),""))</f>
        <v/>
      </c>
      <c r="J1524" s="9"/>
    </row>
    <row r="1525" customFormat="false" ht="21.75" hidden="false" customHeight="true" outlineLevel="0" collapsed="false">
      <c r="B1525" s="14" t="n">
        <v>439</v>
      </c>
      <c r="C1525" s="7" t="s">
        <v>85</v>
      </c>
      <c r="D1525" s="7" t="s">
        <v>95</v>
      </c>
      <c r="E1525" s="7" t="s">
        <v>3407</v>
      </c>
      <c r="F1525" s="18" t="n">
        <f aca="false">IF('Base de Datos SADI'!U443="","",'Base de Datos SADI'!U443)</f>
        <v>13</v>
      </c>
      <c r="G1525" s="14"/>
      <c r="H1525" s="28"/>
      <c r="I1525" s="29" t="str">
        <f aca="false">IF(OR($G1525="",$G1525=0),"",IFERROR(ROUND($F1525*$G1525*(1-IF($H1525="",0,$H1525)),2),""))</f>
        <v/>
      </c>
      <c r="J1525" s="7"/>
    </row>
    <row r="1526" customFormat="false" ht="21.75" hidden="false" customHeight="true" outlineLevel="0" collapsed="false">
      <c r="B1526" s="15" t="n">
        <v>440</v>
      </c>
      <c r="C1526" s="9" t="s">
        <v>85</v>
      </c>
      <c r="D1526" s="9" t="s">
        <v>95</v>
      </c>
      <c r="E1526" s="9" t="s">
        <v>3416</v>
      </c>
      <c r="F1526" s="19" t="n">
        <f aca="false">IF('Base de Datos SADI'!U444="","",'Base de Datos SADI'!U444)</f>
        <v>20</v>
      </c>
      <c r="G1526" s="15"/>
      <c r="H1526" s="30"/>
      <c r="I1526" s="31" t="str">
        <f aca="false">IF(OR($G1526="",$G1526=0),"",IFERROR(ROUND($F1526*$G1526*(1-IF($H1526="",0,$H1526)),2),""))</f>
        <v/>
      </c>
      <c r="J1526" s="9"/>
    </row>
    <row r="1527" customFormat="false" ht="21.75" hidden="false" customHeight="true" outlineLevel="0" collapsed="false">
      <c r="B1527" s="14" t="n">
        <v>441</v>
      </c>
      <c r="C1527" s="7" t="s">
        <v>85</v>
      </c>
      <c r="D1527" s="7" t="s">
        <v>95</v>
      </c>
      <c r="E1527" s="7" t="s">
        <v>3417</v>
      </c>
      <c r="F1527" s="18" t="n">
        <f aca="false">IF('Base de Datos SADI'!U445="","",'Base de Datos SADI'!U445)</f>
        <v>25</v>
      </c>
      <c r="G1527" s="14"/>
      <c r="H1527" s="28"/>
      <c r="I1527" s="29" t="str">
        <f aca="false">IF(OR($G1527="",$G1527=0),"",IFERROR(ROUND($F1527*$G1527*(1-IF($H1527="",0,$H1527)),2),""))</f>
        <v/>
      </c>
      <c r="J1527" s="7"/>
    </row>
    <row r="1528" customFormat="false" ht="21.75" hidden="false" customHeight="true" outlineLevel="0" collapsed="false">
      <c r="B1528" s="15" t="n">
        <v>442</v>
      </c>
      <c r="C1528" s="9" t="s">
        <v>85</v>
      </c>
      <c r="D1528" s="9" t="s">
        <v>95</v>
      </c>
      <c r="E1528" s="9" t="s">
        <v>3419</v>
      </c>
      <c r="F1528" s="19" t="n">
        <f aca="false">IF('Base de Datos SADI'!U446="","",'Base de Datos SADI'!U446)</f>
        <v>35</v>
      </c>
      <c r="G1528" s="15"/>
      <c r="H1528" s="30"/>
      <c r="I1528" s="31" t="str">
        <f aca="false">IF(OR($G1528="",$G1528=0),"",IFERROR(ROUND($F1528*$G1528*(1-IF($H1528="",0,$H1528)),2),""))</f>
        <v/>
      </c>
      <c r="J1528" s="9"/>
    </row>
    <row r="1529" customFormat="false" ht="21.75" hidden="false" customHeight="true" outlineLevel="0" collapsed="false">
      <c r="B1529" s="14" t="n">
        <v>443</v>
      </c>
      <c r="C1529" s="7" t="s">
        <v>85</v>
      </c>
      <c r="D1529" s="7" t="s">
        <v>95</v>
      </c>
      <c r="E1529" s="7" t="s">
        <v>3420</v>
      </c>
      <c r="F1529" s="18" t="n">
        <f aca="false">IF('Base de Datos SADI'!U447="","",'Base de Datos SADI'!U447)</f>
        <v>55</v>
      </c>
      <c r="G1529" s="14"/>
      <c r="H1529" s="28"/>
      <c r="I1529" s="29" t="str">
        <f aca="false">IF(OR($G1529="",$G1529=0),"",IFERROR(ROUND($F1529*$G1529*(1-IF($H1529="",0,$H1529)),2),""))</f>
        <v/>
      </c>
      <c r="J1529" s="7"/>
    </row>
    <row r="1530" customFormat="false" ht="21.75" hidden="false" customHeight="true" outlineLevel="0" collapsed="false">
      <c r="B1530" s="15" t="n">
        <v>444</v>
      </c>
      <c r="C1530" s="9" t="s">
        <v>85</v>
      </c>
      <c r="D1530" s="9" t="s">
        <v>96</v>
      </c>
      <c r="E1530" s="9" t="s">
        <v>391</v>
      </c>
      <c r="F1530" s="19" t="str">
        <f aca="false">IF('Base de Datos SADI'!U448="","",'Base de Datos SADI'!U448)</f>
        <v/>
      </c>
      <c r="G1530" s="15"/>
      <c r="H1530" s="30"/>
      <c r="I1530" s="31" t="str">
        <f aca="false">IF(OR($G1530="",$G1530=0),"",IFERROR(ROUND($F1530*$G1530*(1-IF($H1530="",0,$H1530)),2),""))</f>
        <v/>
      </c>
      <c r="J1530" s="9"/>
    </row>
    <row r="1531" customFormat="false" ht="21.75" hidden="false" customHeight="true" outlineLevel="0" collapsed="false">
      <c r="B1531" s="14" t="n">
        <v>445</v>
      </c>
      <c r="C1531" s="7" t="s">
        <v>85</v>
      </c>
      <c r="D1531" s="7" t="s">
        <v>97</v>
      </c>
      <c r="E1531" s="7" t="s">
        <v>391</v>
      </c>
      <c r="F1531" s="18" t="str">
        <f aca="false">IF('Base de Datos SADI'!U449="","",'Base de Datos SADI'!U449)</f>
        <v/>
      </c>
      <c r="G1531" s="14"/>
      <c r="H1531" s="28"/>
      <c r="I1531" s="29" t="str">
        <f aca="false">IF(OR($G1531="",$G1531=0),"",IFERROR(ROUND($F1531*$G1531*(1-IF($H1531="",0,$H1531)),2),""))</f>
        <v/>
      </c>
      <c r="J1531" s="7"/>
    </row>
    <row r="1532" customFormat="false" ht="21.75" hidden="false" customHeight="true" outlineLevel="0" collapsed="false">
      <c r="B1532" s="15" t="n">
        <v>446</v>
      </c>
      <c r="C1532" s="9" t="s">
        <v>85</v>
      </c>
      <c r="D1532" s="9" t="s">
        <v>98</v>
      </c>
      <c r="E1532" s="9" t="s">
        <v>391</v>
      </c>
      <c r="F1532" s="19" t="str">
        <f aca="false">IF('Base de Datos SADI'!U450="","",'Base de Datos SADI'!U450)</f>
        <v/>
      </c>
      <c r="G1532" s="15"/>
      <c r="H1532" s="30"/>
      <c r="I1532" s="31" t="str">
        <f aca="false">IF(OR($G1532="",$G1532=0),"",IFERROR(ROUND($F1532*$G1532*(1-IF($H1532="",0,$H1532)),2),""))</f>
        <v/>
      </c>
      <c r="J1532" s="9"/>
    </row>
    <row r="1533" customFormat="false" ht="21.75" hidden="false" customHeight="true" outlineLevel="0" collapsed="false">
      <c r="B1533" s="14" t="n">
        <v>447</v>
      </c>
      <c r="C1533" s="7" t="s">
        <v>85</v>
      </c>
      <c r="D1533" s="7" t="s">
        <v>99</v>
      </c>
      <c r="E1533" s="7" t="s">
        <v>391</v>
      </c>
      <c r="F1533" s="18" t="str">
        <f aca="false">IF('Base de Datos SADI'!U451="","",'Base de Datos SADI'!U451)</f>
        <v/>
      </c>
      <c r="G1533" s="14"/>
      <c r="H1533" s="28"/>
      <c r="I1533" s="29" t="str">
        <f aca="false">IF(OR($G1533="",$G1533=0),"",IFERROR(ROUND($F1533*$G1533*(1-IF($H1533="",0,$H1533)),2),""))</f>
        <v/>
      </c>
      <c r="J1533" s="7"/>
    </row>
    <row r="1534" customFormat="false" ht="21.75" hidden="false" customHeight="true" outlineLevel="0" collapsed="false">
      <c r="B1534" s="15" t="n">
        <v>448</v>
      </c>
      <c r="C1534" s="9" t="s">
        <v>85</v>
      </c>
      <c r="D1534" s="9" t="s">
        <v>100</v>
      </c>
      <c r="E1534" s="9" t="s">
        <v>391</v>
      </c>
      <c r="F1534" s="19" t="str">
        <f aca="false">IF('Base de Datos SADI'!U452="","",'Base de Datos SADI'!U452)</f>
        <v/>
      </c>
      <c r="G1534" s="15"/>
      <c r="H1534" s="30"/>
      <c r="I1534" s="31" t="str">
        <f aca="false">IF(OR($G1534="",$G1534=0),"",IFERROR(ROUND($F1534*$G1534*(1-IF($H1534="",0,$H1534)),2),""))</f>
        <v/>
      </c>
      <c r="J1534" s="9"/>
    </row>
    <row r="1535" customFormat="false" ht="21.75" hidden="false" customHeight="true" outlineLevel="0" collapsed="false">
      <c r="B1535" s="14" t="n">
        <v>449</v>
      </c>
      <c r="C1535" s="7" t="s">
        <v>85</v>
      </c>
      <c r="D1535" s="7" t="s">
        <v>101</v>
      </c>
      <c r="E1535" s="7" t="s">
        <v>3426</v>
      </c>
      <c r="F1535" s="18" t="n">
        <f aca="false">IF('Base de Datos SADI'!U453="","",'Base de Datos SADI'!U453)</f>
        <v>310</v>
      </c>
      <c r="G1535" s="14"/>
      <c r="H1535" s="28"/>
      <c r="I1535" s="29" t="str">
        <f aca="false">IF(OR($G1535="",$G1535=0),"",IFERROR(ROUND($F1535*$G1535*(1-IF($H1535="",0,$H1535)),2),""))</f>
        <v/>
      </c>
      <c r="J1535" s="7"/>
    </row>
    <row r="1536" customFormat="false" ht="21.75" hidden="false" customHeight="true" outlineLevel="0" collapsed="false">
      <c r="B1536" s="15" t="n">
        <v>450</v>
      </c>
      <c r="C1536" s="9" t="s">
        <v>85</v>
      </c>
      <c r="D1536" s="9" t="s">
        <v>101</v>
      </c>
      <c r="E1536" s="9" t="s">
        <v>3433</v>
      </c>
      <c r="F1536" s="19" t="n">
        <f aca="false">IF('Base de Datos SADI'!U454="","",'Base de Datos SADI'!U454)</f>
        <v>465</v>
      </c>
      <c r="G1536" s="15"/>
      <c r="H1536" s="30"/>
      <c r="I1536" s="31" t="str">
        <f aca="false">IF(OR($G1536="",$G1536=0),"",IFERROR(ROUND($F1536*$G1536*(1-IF($H1536="",0,$H1536)),2),""))</f>
        <v/>
      </c>
      <c r="J1536" s="9"/>
    </row>
    <row r="1537" customFormat="false" ht="21.75" hidden="false" customHeight="true" outlineLevel="0" collapsed="false">
      <c r="B1537" s="14" t="n">
        <v>451</v>
      </c>
      <c r="C1537" s="7" t="s">
        <v>85</v>
      </c>
      <c r="D1537" s="7" t="s">
        <v>101</v>
      </c>
      <c r="E1537" s="7" t="s">
        <v>3434</v>
      </c>
      <c r="F1537" s="18" t="n">
        <f aca="false">IF('Base de Datos SADI'!U455="","",'Base de Datos SADI'!U455)</f>
        <v>620</v>
      </c>
      <c r="G1537" s="14"/>
      <c r="H1537" s="28"/>
      <c r="I1537" s="29" t="str">
        <f aca="false">IF(OR($G1537="",$G1537=0),"",IFERROR(ROUND($F1537*$G1537*(1-IF($H1537="",0,$H1537)),2),""))</f>
        <v/>
      </c>
      <c r="J1537" s="7"/>
    </row>
    <row r="1538" customFormat="false" ht="21.75" hidden="false" customHeight="true" outlineLevel="0" collapsed="false">
      <c r="B1538" s="15" t="n">
        <v>452</v>
      </c>
      <c r="C1538" s="9" t="s">
        <v>85</v>
      </c>
      <c r="D1538" s="9" t="s">
        <v>101</v>
      </c>
      <c r="E1538" s="9" t="s">
        <v>3436</v>
      </c>
      <c r="F1538" s="19" t="n">
        <f aca="false">IF('Base de Datos SADI'!U456="","",'Base de Datos SADI'!U456)</f>
        <v>930</v>
      </c>
      <c r="G1538" s="15"/>
      <c r="H1538" s="30"/>
      <c r="I1538" s="31" t="str">
        <f aca="false">IF(OR($G1538="",$G1538=0),"",IFERROR(ROUND($F1538*$G1538*(1-IF($H1538="",0,$H1538)),2),""))</f>
        <v/>
      </c>
      <c r="J1538" s="9"/>
    </row>
    <row r="1539" customFormat="false" ht="21.75" hidden="false" customHeight="true" outlineLevel="0" collapsed="false">
      <c r="B1539" s="14" t="n">
        <v>453</v>
      </c>
      <c r="C1539" s="7" t="s">
        <v>85</v>
      </c>
      <c r="D1539" s="7" t="s">
        <v>101</v>
      </c>
      <c r="E1539" s="7" t="s">
        <v>3437</v>
      </c>
      <c r="F1539" s="18" t="n">
        <f aca="false">IF('Base de Datos SADI'!U457="","",'Base de Datos SADI'!U457)</f>
        <v>1360</v>
      </c>
      <c r="G1539" s="14"/>
      <c r="H1539" s="28"/>
      <c r="I1539" s="29" t="str">
        <f aca="false">IF(OR($G1539="",$G1539=0),"",IFERROR(ROUND($F1539*$G1539*(1-IF($H1539="",0,$H1539)),2),""))</f>
        <v/>
      </c>
      <c r="J1539" s="7"/>
    </row>
    <row r="1540" customFormat="false" ht="21.75" hidden="false" customHeight="true" outlineLevel="0" collapsed="false">
      <c r="B1540" s="15" t="n">
        <v>454</v>
      </c>
      <c r="C1540" s="9" t="s">
        <v>85</v>
      </c>
      <c r="D1540" s="9" t="s">
        <v>102</v>
      </c>
      <c r="E1540" s="9" t="s">
        <v>391</v>
      </c>
      <c r="F1540" s="19" t="str">
        <f aca="false">IF('Base de Datos SADI'!U458="","",'Base de Datos SADI'!U458)</f>
        <v/>
      </c>
      <c r="G1540" s="15"/>
      <c r="H1540" s="30"/>
      <c r="I1540" s="31" t="str">
        <f aca="false">IF(OR($G1540="",$G1540=0),"",IFERROR(ROUND($F1540*$G1540*(1-IF($H1540="",0,$H1540)),2),""))</f>
        <v/>
      </c>
      <c r="J1540" s="9"/>
    </row>
    <row r="1541" customFormat="false" ht="21.75" hidden="false" customHeight="true" outlineLevel="0" collapsed="false">
      <c r="B1541" s="14" t="n">
        <v>455</v>
      </c>
      <c r="C1541" s="7" t="s">
        <v>85</v>
      </c>
      <c r="D1541" s="7" t="s">
        <v>103</v>
      </c>
      <c r="E1541" s="7" t="s">
        <v>3439</v>
      </c>
      <c r="F1541" s="18" t="n">
        <f aca="false">IF('Base de Datos SADI'!U459="","",'Base de Datos SADI'!U459)</f>
        <v>25</v>
      </c>
      <c r="G1541" s="14"/>
      <c r="H1541" s="28"/>
      <c r="I1541" s="29" t="str">
        <f aca="false">IF(OR($G1541="",$G1541=0),"",IFERROR(ROUND($F1541*$G1541*(1-IF($H1541="",0,$H1541)),2),""))</f>
        <v/>
      </c>
      <c r="J1541" s="7"/>
    </row>
    <row r="1542" customFormat="false" ht="21.75" hidden="false" customHeight="true" outlineLevel="0" collapsed="false">
      <c r="B1542" s="15" t="n">
        <v>456</v>
      </c>
      <c r="C1542" s="9" t="s">
        <v>85</v>
      </c>
      <c r="D1542" s="9" t="s">
        <v>103</v>
      </c>
      <c r="E1542" s="9" t="s">
        <v>3447</v>
      </c>
      <c r="F1542" s="19" t="n">
        <f aca="false">IF('Base de Datos SADI'!U460="","",'Base de Datos SADI'!U460)</f>
        <v>40</v>
      </c>
      <c r="G1542" s="15"/>
      <c r="H1542" s="30"/>
      <c r="I1542" s="31" t="str">
        <f aca="false">IF(OR($G1542="",$G1542=0),"",IFERROR(ROUND($F1542*$G1542*(1-IF($H1542="",0,$H1542)),2),""))</f>
        <v/>
      </c>
      <c r="J1542" s="9"/>
    </row>
    <row r="1543" customFormat="false" ht="21.75" hidden="false" customHeight="true" outlineLevel="0" collapsed="false">
      <c r="B1543" s="14" t="n">
        <v>457</v>
      </c>
      <c r="C1543" s="7" t="s">
        <v>85</v>
      </c>
      <c r="D1543" s="7" t="s">
        <v>103</v>
      </c>
      <c r="E1543" s="7" t="s">
        <v>3448</v>
      </c>
      <c r="F1543" s="18" t="n">
        <f aca="false">IF('Base de Datos SADI'!U461="","",'Base de Datos SADI'!U461)</f>
        <v>50</v>
      </c>
      <c r="G1543" s="14"/>
      <c r="H1543" s="28"/>
      <c r="I1543" s="29" t="str">
        <f aca="false">IF(OR($G1543="",$G1543=0),"",IFERROR(ROUND($F1543*$G1543*(1-IF($H1543="",0,$H1543)),2),""))</f>
        <v/>
      </c>
      <c r="J1543" s="7"/>
    </row>
    <row r="1544" customFormat="false" ht="21.75" hidden="false" customHeight="true" outlineLevel="0" collapsed="false">
      <c r="B1544" s="15" t="n">
        <v>458</v>
      </c>
      <c r="C1544" s="9" t="s">
        <v>85</v>
      </c>
      <c r="D1544" s="9" t="s">
        <v>103</v>
      </c>
      <c r="E1544" s="9" t="s">
        <v>3450</v>
      </c>
      <c r="F1544" s="19" t="n">
        <f aca="false">IF('Base de Datos SADI'!U462="","",'Base de Datos SADI'!U462)</f>
        <v>80</v>
      </c>
      <c r="G1544" s="15"/>
      <c r="H1544" s="30"/>
      <c r="I1544" s="31" t="str">
        <f aca="false">IF(OR($G1544="",$G1544=0),"",IFERROR(ROUND($F1544*$G1544*(1-IF($H1544="",0,$H1544)),2),""))</f>
        <v/>
      </c>
      <c r="J1544" s="9"/>
    </row>
    <row r="1545" customFormat="false" ht="21.75" hidden="false" customHeight="true" outlineLevel="0" collapsed="false">
      <c r="B1545" s="14" t="n">
        <v>459</v>
      </c>
      <c r="C1545" s="7" t="s">
        <v>85</v>
      </c>
      <c r="D1545" s="7" t="s">
        <v>103</v>
      </c>
      <c r="E1545" s="7" t="s">
        <v>3451</v>
      </c>
      <c r="F1545" s="18" t="n">
        <f aca="false">IF('Base de Datos SADI'!U463="","",'Base de Datos SADI'!U463)</f>
        <v>115</v>
      </c>
      <c r="G1545" s="14"/>
      <c r="H1545" s="28"/>
      <c r="I1545" s="29" t="str">
        <f aca="false">IF(OR($G1545="",$G1545=0),"",IFERROR(ROUND($F1545*$G1545*(1-IF($H1545="",0,$H1545)),2),""))</f>
        <v/>
      </c>
      <c r="J1545" s="7"/>
    </row>
    <row r="1546" customFormat="false" ht="21.75" hidden="false" customHeight="true" outlineLevel="0" collapsed="false">
      <c r="B1546" s="15" t="n">
        <v>460</v>
      </c>
      <c r="C1546" s="9" t="s">
        <v>85</v>
      </c>
      <c r="D1546" s="9" t="s">
        <v>104</v>
      </c>
      <c r="E1546" s="9" t="s">
        <v>391</v>
      </c>
      <c r="F1546" s="19" t="str">
        <f aca="false">IF('Base de Datos SADI'!U464="","",'Base de Datos SADI'!U464)</f>
        <v/>
      </c>
      <c r="G1546" s="15"/>
      <c r="H1546" s="30"/>
      <c r="I1546" s="31" t="str">
        <f aca="false">IF(OR($G1546="",$G1546=0),"",IFERROR(ROUND($F1546*$G1546*(1-IF($H1546="",0,$H1546)),2),""))</f>
        <v/>
      </c>
      <c r="J1546" s="9"/>
    </row>
    <row r="1547" customFormat="false" ht="21.75" hidden="false" customHeight="true" outlineLevel="0" collapsed="false">
      <c r="B1547" s="14" t="n">
        <v>461</v>
      </c>
      <c r="C1547" s="7" t="s">
        <v>85</v>
      </c>
      <c r="D1547" s="7" t="s">
        <v>105</v>
      </c>
      <c r="E1547" s="7" t="s">
        <v>391</v>
      </c>
      <c r="F1547" s="18" t="str">
        <f aca="false">IF('Base de Datos SADI'!U465="","",'Base de Datos SADI'!U465)</f>
        <v/>
      </c>
      <c r="G1547" s="14"/>
      <c r="H1547" s="28"/>
      <c r="I1547" s="29" t="str">
        <f aca="false">IF(OR($G1547="",$G1547=0),"",IFERROR(ROUND($F1547*$G1547*(1-IF($H1547="",0,$H1547)),2),""))</f>
        <v/>
      </c>
      <c r="J1547" s="7"/>
    </row>
    <row r="1548" customFormat="false" ht="21.75" hidden="false" customHeight="true" outlineLevel="0" collapsed="false">
      <c r="B1548" s="15" t="n">
        <v>462</v>
      </c>
      <c r="C1548" s="9" t="s">
        <v>85</v>
      </c>
      <c r="D1548" s="9" t="s">
        <v>106</v>
      </c>
      <c r="E1548" s="9" t="s">
        <v>391</v>
      </c>
      <c r="F1548" s="19" t="str">
        <f aca="false">IF('Base de Datos SADI'!U466="","",'Base de Datos SADI'!U466)</f>
        <v/>
      </c>
      <c r="G1548" s="15"/>
      <c r="H1548" s="30"/>
      <c r="I1548" s="31" t="str">
        <f aca="false">IF(OR($G1548="",$G1548=0),"",IFERROR(ROUND($F1548*$G1548*(1-IF($H1548="",0,$H1548)),2),""))</f>
        <v/>
      </c>
      <c r="J1548" s="9"/>
    </row>
    <row r="1549" customFormat="false" ht="21.75" hidden="false" customHeight="true" outlineLevel="0" collapsed="false">
      <c r="B1549" s="14" t="n">
        <v>463</v>
      </c>
      <c r="C1549" s="7" t="s">
        <v>85</v>
      </c>
      <c r="D1549" s="7" t="s">
        <v>107</v>
      </c>
      <c r="E1549" s="7" t="s">
        <v>3455</v>
      </c>
      <c r="F1549" s="18" t="n">
        <f aca="false">IF('Base de Datos SADI'!U467="","",'Base de Datos SADI'!U467)</f>
        <v>95</v>
      </c>
      <c r="G1549" s="14"/>
      <c r="H1549" s="28"/>
      <c r="I1549" s="29" t="str">
        <f aca="false">IF(OR($G1549="",$G1549=0),"",IFERROR(ROUND($F1549*$G1549*(1-IF($H1549="",0,$H1549)),2),""))</f>
        <v/>
      </c>
      <c r="J1549" s="7"/>
    </row>
    <row r="1550" customFormat="false" ht="21.75" hidden="false" customHeight="true" outlineLevel="0" collapsed="false">
      <c r="B1550" s="15" t="n">
        <v>464</v>
      </c>
      <c r="C1550" s="9" t="s">
        <v>85</v>
      </c>
      <c r="D1550" s="9" t="s">
        <v>107</v>
      </c>
      <c r="E1550" s="9" t="s">
        <v>3461</v>
      </c>
      <c r="F1550" s="19" t="n">
        <f aca="false">IF('Base de Datos SADI'!U468="","",'Base de Datos SADI'!U468)</f>
        <v>145</v>
      </c>
      <c r="G1550" s="15"/>
      <c r="H1550" s="30"/>
      <c r="I1550" s="31" t="str">
        <f aca="false">IF(OR($G1550="",$G1550=0),"",IFERROR(ROUND($F1550*$G1550*(1-IF($H1550="",0,$H1550)),2),""))</f>
        <v/>
      </c>
      <c r="J1550" s="9"/>
    </row>
    <row r="1551" customFormat="false" ht="21.75" hidden="false" customHeight="true" outlineLevel="0" collapsed="false">
      <c r="B1551" s="14" t="n">
        <v>465</v>
      </c>
      <c r="C1551" s="7" t="s">
        <v>85</v>
      </c>
      <c r="D1551" s="7" t="s">
        <v>107</v>
      </c>
      <c r="E1551" s="7" t="s">
        <v>3462</v>
      </c>
      <c r="F1551" s="18" t="n">
        <f aca="false">IF('Base de Datos SADI'!U469="","",'Base de Datos SADI'!U469)</f>
        <v>195</v>
      </c>
      <c r="G1551" s="14"/>
      <c r="H1551" s="28"/>
      <c r="I1551" s="29" t="str">
        <f aca="false">IF(OR($G1551="",$G1551=0),"",IFERROR(ROUND($F1551*$G1551*(1-IF($H1551="",0,$H1551)),2),""))</f>
        <v/>
      </c>
      <c r="J1551" s="7"/>
    </row>
    <row r="1552" customFormat="false" ht="21.75" hidden="false" customHeight="true" outlineLevel="0" collapsed="false">
      <c r="B1552" s="15" t="n">
        <v>466</v>
      </c>
      <c r="C1552" s="9" t="s">
        <v>85</v>
      </c>
      <c r="D1552" s="9" t="s">
        <v>107</v>
      </c>
      <c r="E1552" s="9" t="s">
        <v>3464</v>
      </c>
      <c r="F1552" s="19" t="n">
        <f aca="false">IF('Base de Datos SADI'!U470="","",'Base de Datos SADI'!U470)</f>
        <v>290</v>
      </c>
      <c r="G1552" s="15"/>
      <c r="H1552" s="30"/>
      <c r="I1552" s="31" t="str">
        <f aca="false">IF(OR($G1552="",$G1552=0),"",IFERROR(ROUND($F1552*$G1552*(1-IF($H1552="",0,$H1552)),2),""))</f>
        <v/>
      </c>
      <c r="J1552" s="9"/>
    </row>
    <row r="1553" customFormat="false" ht="21.75" hidden="false" customHeight="true" outlineLevel="0" collapsed="false">
      <c r="B1553" s="14" t="n">
        <v>467</v>
      </c>
      <c r="C1553" s="7" t="s">
        <v>85</v>
      </c>
      <c r="D1553" s="7" t="s">
        <v>107</v>
      </c>
      <c r="E1553" s="7" t="s">
        <v>3465</v>
      </c>
      <c r="F1553" s="18" t="n">
        <f aca="false">IF('Base de Datos SADI'!U471="","",'Base de Datos SADI'!U471)</f>
        <v>425</v>
      </c>
      <c r="G1553" s="14"/>
      <c r="H1553" s="28"/>
      <c r="I1553" s="29" t="str">
        <f aca="false">IF(OR($G1553="",$G1553=0),"",IFERROR(ROUND($F1553*$G1553*(1-IF($H1553="",0,$H1553)),2),""))</f>
        <v/>
      </c>
      <c r="J1553" s="7"/>
    </row>
    <row r="1554" customFormat="false" ht="21.75" hidden="false" customHeight="true" outlineLevel="0" collapsed="false">
      <c r="B1554" s="15" t="n">
        <v>468</v>
      </c>
      <c r="C1554" s="9" t="s">
        <v>85</v>
      </c>
      <c r="D1554" s="9" t="s">
        <v>108</v>
      </c>
      <c r="E1554" s="9" t="s">
        <v>391</v>
      </c>
      <c r="F1554" s="19" t="str">
        <f aca="false">IF('Base de Datos SADI'!U472="","",'Base de Datos SADI'!U472)</f>
        <v/>
      </c>
      <c r="G1554" s="15"/>
      <c r="H1554" s="30"/>
      <c r="I1554" s="31" t="str">
        <f aca="false">IF(OR($G1554="",$G1554=0),"",IFERROR(ROUND($F1554*$G1554*(1-IF($H1554="",0,$H1554)),2),""))</f>
        <v/>
      </c>
      <c r="J1554" s="9"/>
    </row>
    <row r="1555" customFormat="false" ht="21.75" hidden="false" customHeight="true" outlineLevel="0" collapsed="false">
      <c r="B1555" s="14" t="n">
        <v>469</v>
      </c>
      <c r="C1555" s="7" t="s">
        <v>86</v>
      </c>
      <c r="D1555" s="7" t="s">
        <v>93</v>
      </c>
      <c r="E1555" s="7" t="s">
        <v>3467</v>
      </c>
      <c r="F1555" s="18" t="n">
        <f aca="false">IF('Base de Datos SADI'!U473="","",'Base de Datos SADI'!U473)</f>
        <v>490</v>
      </c>
      <c r="G1555" s="14"/>
      <c r="H1555" s="28"/>
      <c r="I1555" s="29" t="str">
        <f aca="false">IF(OR($G1555="",$G1555=0),"",IFERROR(ROUND($F1555*$G1555*(1-IF($H1555="",0,$H1555)),2),""))</f>
        <v/>
      </c>
      <c r="J1555" s="7"/>
    </row>
    <row r="1556" customFormat="false" ht="21.75" hidden="false" customHeight="true" outlineLevel="0" collapsed="false">
      <c r="B1556" s="15" t="n">
        <v>470</v>
      </c>
      <c r="C1556" s="9" t="s">
        <v>86</v>
      </c>
      <c r="D1556" s="9" t="s">
        <v>93</v>
      </c>
      <c r="E1556" s="9" t="s">
        <v>3480</v>
      </c>
      <c r="F1556" s="19" t="n">
        <f aca="false">IF('Base de Datos SADI'!U474="","",'Base de Datos SADI'!U474)</f>
        <v>735</v>
      </c>
      <c r="G1556" s="15"/>
      <c r="H1556" s="30"/>
      <c r="I1556" s="31" t="str">
        <f aca="false">IF(OR($G1556="",$G1556=0),"",IFERROR(ROUND($F1556*$G1556*(1-IF($H1556="",0,$H1556)),2),""))</f>
        <v/>
      </c>
      <c r="J1556" s="9"/>
    </row>
    <row r="1557" customFormat="false" ht="21.75" hidden="false" customHeight="true" outlineLevel="0" collapsed="false">
      <c r="B1557" s="14" t="n">
        <v>471</v>
      </c>
      <c r="C1557" s="7" t="s">
        <v>86</v>
      </c>
      <c r="D1557" s="7" t="s">
        <v>93</v>
      </c>
      <c r="E1557" s="7" t="s">
        <v>3481</v>
      </c>
      <c r="F1557" s="18" t="n">
        <f aca="false">IF('Base de Datos SADI'!U475="","",'Base de Datos SADI'!U475)</f>
        <v>980</v>
      </c>
      <c r="G1557" s="14"/>
      <c r="H1557" s="28"/>
      <c r="I1557" s="29" t="str">
        <f aca="false">IF(OR($G1557="",$G1557=0),"",IFERROR(ROUND($F1557*$G1557*(1-IF($H1557="",0,$H1557)),2),""))</f>
        <v/>
      </c>
      <c r="J1557" s="7"/>
    </row>
    <row r="1558" customFormat="false" ht="21.75" hidden="false" customHeight="true" outlineLevel="0" collapsed="false">
      <c r="B1558" s="15" t="n">
        <v>472</v>
      </c>
      <c r="C1558" s="9" t="s">
        <v>86</v>
      </c>
      <c r="D1558" s="9" t="s">
        <v>93</v>
      </c>
      <c r="E1558" s="9" t="s">
        <v>3483</v>
      </c>
      <c r="F1558" s="19" t="n">
        <f aca="false">IF('Base de Datos SADI'!U476="","",'Base de Datos SADI'!U476)</f>
        <v>1470</v>
      </c>
      <c r="G1558" s="15"/>
      <c r="H1558" s="30"/>
      <c r="I1558" s="31" t="str">
        <f aca="false">IF(OR($G1558="",$G1558=0),"",IFERROR(ROUND($F1558*$G1558*(1-IF($H1558="",0,$H1558)),2),""))</f>
        <v/>
      </c>
      <c r="J1558" s="9"/>
    </row>
    <row r="1559" customFormat="false" ht="21.75" hidden="false" customHeight="true" outlineLevel="0" collapsed="false">
      <c r="B1559" s="14" t="n">
        <v>473</v>
      </c>
      <c r="C1559" s="7" t="s">
        <v>86</v>
      </c>
      <c r="D1559" s="7" t="s">
        <v>93</v>
      </c>
      <c r="E1559" s="7" t="s">
        <v>3484</v>
      </c>
      <c r="F1559" s="18" t="n">
        <f aca="false">IF('Base de Datos SADI'!U477="","",'Base de Datos SADI'!U477)</f>
        <v>2155</v>
      </c>
      <c r="G1559" s="14"/>
      <c r="H1559" s="28"/>
      <c r="I1559" s="29" t="str">
        <f aca="false">IF(OR($G1559="",$G1559=0),"",IFERROR(ROUND($F1559*$G1559*(1-IF($H1559="",0,$H1559)),2),""))</f>
        <v/>
      </c>
      <c r="J1559" s="7"/>
    </row>
    <row r="1560" customFormat="false" ht="21.75" hidden="false" customHeight="true" outlineLevel="0" collapsed="false">
      <c r="B1560" s="15" t="n">
        <v>474</v>
      </c>
      <c r="C1560" s="9" t="s">
        <v>86</v>
      </c>
      <c r="D1560" s="9" t="s">
        <v>94</v>
      </c>
      <c r="E1560" s="9" t="s">
        <v>3467</v>
      </c>
      <c r="F1560" s="19" t="n">
        <f aca="false">IF('Base de Datos SADI'!U478="","",'Base de Datos SADI'!U478)</f>
        <v>145</v>
      </c>
      <c r="G1560" s="15"/>
      <c r="H1560" s="30"/>
      <c r="I1560" s="31" t="str">
        <f aca="false">IF(OR($G1560="",$G1560=0),"",IFERROR(ROUND($F1560*$G1560*(1-IF($H1560="",0,$H1560)),2),""))</f>
        <v/>
      </c>
      <c r="J1560" s="9"/>
    </row>
    <row r="1561" customFormat="false" ht="21.75" hidden="false" customHeight="true" outlineLevel="0" collapsed="false">
      <c r="B1561" s="14" t="n">
        <v>475</v>
      </c>
      <c r="C1561" s="7" t="s">
        <v>86</v>
      </c>
      <c r="D1561" s="7" t="s">
        <v>94</v>
      </c>
      <c r="E1561" s="7" t="s">
        <v>3490</v>
      </c>
      <c r="F1561" s="18" t="n">
        <f aca="false">IF('Base de Datos SADI'!U479="","",'Base de Datos SADI'!U479)</f>
        <v>220</v>
      </c>
      <c r="G1561" s="14"/>
      <c r="H1561" s="28"/>
      <c r="I1561" s="29" t="str">
        <f aca="false">IF(OR($G1561="",$G1561=0),"",IFERROR(ROUND($F1561*$G1561*(1-IF($H1561="",0,$H1561)),2),""))</f>
        <v/>
      </c>
      <c r="J1561" s="7"/>
    </row>
    <row r="1562" customFormat="false" ht="21.75" hidden="false" customHeight="true" outlineLevel="0" collapsed="false">
      <c r="B1562" s="15" t="n">
        <v>476</v>
      </c>
      <c r="C1562" s="9" t="s">
        <v>86</v>
      </c>
      <c r="D1562" s="9" t="s">
        <v>94</v>
      </c>
      <c r="E1562" s="9" t="s">
        <v>3491</v>
      </c>
      <c r="F1562" s="19" t="n">
        <f aca="false">IF('Base de Datos SADI'!U480="","",'Base de Datos SADI'!U480)</f>
        <v>295</v>
      </c>
      <c r="G1562" s="15"/>
      <c r="H1562" s="30"/>
      <c r="I1562" s="31" t="str">
        <f aca="false">IF(OR($G1562="",$G1562=0),"",IFERROR(ROUND($F1562*$G1562*(1-IF($H1562="",0,$H1562)),2),""))</f>
        <v/>
      </c>
      <c r="J1562" s="9"/>
    </row>
    <row r="1563" customFormat="false" ht="21.75" hidden="false" customHeight="true" outlineLevel="0" collapsed="false">
      <c r="B1563" s="14" t="n">
        <v>477</v>
      </c>
      <c r="C1563" s="7" t="s">
        <v>86</v>
      </c>
      <c r="D1563" s="7" t="s">
        <v>94</v>
      </c>
      <c r="E1563" s="7" t="s">
        <v>3493</v>
      </c>
      <c r="F1563" s="18" t="n">
        <f aca="false">IF('Base de Datos SADI'!U481="","",'Base de Datos SADI'!U481)</f>
        <v>440</v>
      </c>
      <c r="G1563" s="14"/>
      <c r="H1563" s="28"/>
      <c r="I1563" s="29" t="str">
        <f aca="false">IF(OR($G1563="",$G1563=0),"",IFERROR(ROUND($F1563*$G1563*(1-IF($H1563="",0,$H1563)),2),""))</f>
        <v/>
      </c>
      <c r="J1563" s="7"/>
    </row>
    <row r="1564" customFormat="false" ht="21.75" hidden="false" customHeight="true" outlineLevel="0" collapsed="false">
      <c r="B1564" s="15" t="n">
        <v>478</v>
      </c>
      <c r="C1564" s="9" t="s">
        <v>86</v>
      </c>
      <c r="D1564" s="9" t="s">
        <v>94</v>
      </c>
      <c r="E1564" s="9" t="s">
        <v>3494</v>
      </c>
      <c r="F1564" s="19" t="n">
        <f aca="false">IF('Base de Datos SADI'!U482="","",'Base de Datos SADI'!U482)</f>
        <v>645</v>
      </c>
      <c r="G1564" s="15"/>
      <c r="H1564" s="30"/>
      <c r="I1564" s="31" t="str">
        <f aca="false">IF(OR($G1564="",$G1564=0),"",IFERROR(ROUND($F1564*$G1564*(1-IF($H1564="",0,$H1564)),2),""))</f>
        <v/>
      </c>
      <c r="J1564" s="9"/>
    </row>
    <row r="1565" customFormat="false" ht="21.75" hidden="false" customHeight="true" outlineLevel="0" collapsed="false">
      <c r="B1565" s="14" t="n">
        <v>479</v>
      </c>
      <c r="C1565" s="7" t="s">
        <v>86</v>
      </c>
      <c r="D1565" s="7" t="s">
        <v>95</v>
      </c>
      <c r="E1565" s="7" t="s">
        <v>3495</v>
      </c>
      <c r="F1565" s="18" t="n">
        <f aca="false">IF('Base de Datos SADI'!U483="","",'Base de Datos SADI'!U483)</f>
        <v>8</v>
      </c>
      <c r="G1565" s="14"/>
      <c r="H1565" s="28"/>
      <c r="I1565" s="29" t="str">
        <f aca="false">IF(OR($G1565="",$G1565=0),"",IFERROR(ROUND($F1565*$G1565*(1-IF($H1565="",0,$H1565)),2),""))</f>
        <v/>
      </c>
      <c r="J1565" s="7"/>
    </row>
    <row r="1566" customFormat="false" ht="21.75" hidden="false" customHeight="true" outlineLevel="0" collapsed="false">
      <c r="B1566" s="15" t="n">
        <v>480</v>
      </c>
      <c r="C1566" s="9" t="s">
        <v>86</v>
      </c>
      <c r="D1566" s="9" t="s">
        <v>95</v>
      </c>
      <c r="E1566" s="9" t="s">
        <v>3496</v>
      </c>
      <c r="F1566" s="19" t="n">
        <f aca="false">IF('Base de Datos SADI'!U484="","",'Base de Datos SADI'!U484)</f>
        <v>12</v>
      </c>
      <c r="G1566" s="15"/>
      <c r="H1566" s="30"/>
      <c r="I1566" s="31" t="str">
        <f aca="false">IF(OR($G1566="",$G1566=0),"",IFERROR(ROUND($F1566*$G1566*(1-IF($H1566="",0,$H1566)),2),""))</f>
        <v/>
      </c>
      <c r="J1566" s="9"/>
    </row>
    <row r="1567" customFormat="false" ht="21.75" hidden="false" customHeight="true" outlineLevel="0" collapsed="false">
      <c r="B1567" s="14" t="n">
        <v>481</v>
      </c>
      <c r="C1567" s="7" t="s">
        <v>86</v>
      </c>
      <c r="D1567" s="7" t="s">
        <v>95</v>
      </c>
      <c r="E1567" s="7" t="s">
        <v>3497</v>
      </c>
      <c r="F1567" s="18" t="n">
        <f aca="false">IF('Base de Datos SADI'!U485="","",'Base de Datos SADI'!U485)</f>
        <v>16</v>
      </c>
      <c r="G1567" s="14"/>
      <c r="H1567" s="28"/>
      <c r="I1567" s="29" t="str">
        <f aca="false">IF(OR($G1567="",$G1567=0),"",IFERROR(ROUND($F1567*$G1567*(1-IF($H1567="",0,$H1567)),2),""))</f>
        <v/>
      </c>
      <c r="J1567" s="7"/>
    </row>
    <row r="1568" customFormat="false" ht="21.75" hidden="false" customHeight="true" outlineLevel="0" collapsed="false">
      <c r="B1568" s="15" t="n">
        <v>482</v>
      </c>
      <c r="C1568" s="9" t="s">
        <v>86</v>
      </c>
      <c r="D1568" s="9" t="s">
        <v>95</v>
      </c>
      <c r="E1568" s="9" t="s">
        <v>3499</v>
      </c>
      <c r="F1568" s="19" t="n">
        <f aca="false">IF('Base de Datos SADI'!U486="","",'Base de Datos SADI'!U486)</f>
        <v>20</v>
      </c>
      <c r="G1568" s="15"/>
      <c r="H1568" s="30"/>
      <c r="I1568" s="31" t="str">
        <f aca="false">IF(OR($G1568="",$G1568=0),"",IFERROR(ROUND($F1568*$G1568*(1-IF($H1568="",0,$H1568)),2),""))</f>
        <v/>
      </c>
      <c r="J1568" s="9"/>
    </row>
    <row r="1569" customFormat="false" ht="21.75" hidden="false" customHeight="true" outlineLevel="0" collapsed="false">
      <c r="B1569" s="14" t="n">
        <v>483</v>
      </c>
      <c r="C1569" s="7" t="s">
        <v>86</v>
      </c>
      <c r="D1569" s="7" t="s">
        <v>95</v>
      </c>
      <c r="E1569" s="7" t="s">
        <v>3500</v>
      </c>
      <c r="F1569" s="18" t="n">
        <f aca="false">IF('Base de Datos SADI'!U487="","",'Base de Datos SADI'!U487)</f>
        <v>35</v>
      </c>
      <c r="G1569" s="14"/>
      <c r="H1569" s="28"/>
      <c r="I1569" s="29" t="str">
        <f aca="false">IF(OR($G1569="",$G1569=0),"",IFERROR(ROUND($F1569*$G1569*(1-IF($H1569="",0,$H1569)),2),""))</f>
        <v/>
      </c>
      <c r="J1569" s="7"/>
    </row>
    <row r="1570" customFormat="false" ht="21.75" hidden="false" customHeight="true" outlineLevel="0" collapsed="false">
      <c r="B1570" s="15" t="n">
        <v>484</v>
      </c>
      <c r="C1570" s="9" t="s">
        <v>86</v>
      </c>
      <c r="D1570" s="9" t="s">
        <v>96</v>
      </c>
      <c r="E1570" s="9" t="s">
        <v>3501</v>
      </c>
      <c r="F1570" s="19" t="n">
        <f aca="false">IF('Base de Datos SADI'!U488="","",'Base de Datos SADI'!U488)</f>
        <v>14</v>
      </c>
      <c r="G1570" s="15"/>
      <c r="H1570" s="30"/>
      <c r="I1570" s="31" t="str">
        <f aca="false">IF(OR($G1570="",$G1570=0),"",IFERROR(ROUND($F1570*$G1570*(1-IF($H1570="",0,$H1570)),2),""))</f>
        <v/>
      </c>
      <c r="J1570" s="9"/>
    </row>
    <row r="1571" customFormat="false" ht="21.75" hidden="false" customHeight="true" outlineLevel="0" collapsed="false">
      <c r="B1571" s="14" t="n">
        <v>485</v>
      </c>
      <c r="C1571" s="7" t="s">
        <v>86</v>
      </c>
      <c r="D1571" s="7" t="s">
        <v>96</v>
      </c>
      <c r="E1571" s="7" t="s">
        <v>3506</v>
      </c>
      <c r="F1571" s="18" t="n">
        <f aca="false">IF('Base de Datos SADI'!U489="","",'Base de Datos SADI'!U489)</f>
        <v>20</v>
      </c>
      <c r="G1571" s="14"/>
      <c r="H1571" s="28"/>
      <c r="I1571" s="29" t="str">
        <f aca="false">IF(OR($G1571="",$G1571=0),"",IFERROR(ROUND($F1571*$G1571*(1-IF($H1571="",0,$H1571)),2),""))</f>
        <v/>
      </c>
      <c r="J1571" s="7"/>
    </row>
    <row r="1572" customFormat="false" ht="21.75" hidden="false" customHeight="true" outlineLevel="0" collapsed="false">
      <c r="B1572" s="15" t="n">
        <v>486</v>
      </c>
      <c r="C1572" s="9" t="s">
        <v>86</v>
      </c>
      <c r="D1572" s="9" t="s">
        <v>96</v>
      </c>
      <c r="E1572" s="9" t="s">
        <v>3507</v>
      </c>
      <c r="F1572" s="19" t="n">
        <f aca="false">IF('Base de Datos SADI'!U490="","",'Base de Datos SADI'!U490)</f>
        <v>25</v>
      </c>
      <c r="G1572" s="15"/>
      <c r="H1572" s="30"/>
      <c r="I1572" s="31" t="str">
        <f aca="false">IF(OR($G1572="",$G1572=0),"",IFERROR(ROUND($F1572*$G1572*(1-IF($H1572="",0,$H1572)),2),""))</f>
        <v/>
      </c>
      <c r="J1572" s="9"/>
    </row>
    <row r="1573" customFormat="false" ht="21.75" hidden="false" customHeight="true" outlineLevel="0" collapsed="false">
      <c r="B1573" s="14" t="n">
        <v>487</v>
      </c>
      <c r="C1573" s="7" t="s">
        <v>86</v>
      </c>
      <c r="D1573" s="7" t="s">
        <v>96</v>
      </c>
      <c r="E1573" s="7" t="s">
        <v>3509</v>
      </c>
      <c r="F1573" s="18" t="n">
        <f aca="false">IF('Base de Datos SADI'!U491="","",'Base de Datos SADI'!U491)</f>
        <v>40</v>
      </c>
      <c r="G1573" s="14"/>
      <c r="H1573" s="28"/>
      <c r="I1573" s="29" t="str">
        <f aca="false">IF(OR($G1573="",$G1573=0),"",IFERROR(ROUND($F1573*$G1573*(1-IF($H1573="",0,$H1573)),2),""))</f>
        <v/>
      </c>
      <c r="J1573" s="7"/>
    </row>
    <row r="1574" customFormat="false" ht="21.75" hidden="false" customHeight="true" outlineLevel="0" collapsed="false">
      <c r="B1574" s="15" t="n">
        <v>488</v>
      </c>
      <c r="C1574" s="9" t="s">
        <v>86</v>
      </c>
      <c r="D1574" s="9" t="s">
        <v>96</v>
      </c>
      <c r="E1574" s="9" t="s">
        <v>3510</v>
      </c>
      <c r="F1574" s="19" t="n">
        <f aca="false">IF('Base de Datos SADI'!U492="","",'Base de Datos SADI'!U492)</f>
        <v>60</v>
      </c>
      <c r="G1574" s="15"/>
      <c r="H1574" s="30"/>
      <c r="I1574" s="31" t="str">
        <f aca="false">IF(OR($G1574="",$G1574=0),"",IFERROR(ROUND($F1574*$G1574*(1-IF($H1574="",0,$H1574)),2),""))</f>
        <v/>
      </c>
      <c r="J1574" s="9"/>
    </row>
    <row r="1575" customFormat="false" ht="21.75" hidden="false" customHeight="true" outlineLevel="0" collapsed="false">
      <c r="B1575" s="14" t="n">
        <v>489</v>
      </c>
      <c r="C1575" s="7" t="s">
        <v>86</v>
      </c>
      <c r="D1575" s="7" t="s">
        <v>97</v>
      </c>
      <c r="E1575" s="7" t="s">
        <v>3511</v>
      </c>
      <c r="F1575" s="18" t="n">
        <f aca="false">IF('Base de Datos SADI'!U493="","",'Base de Datos SADI'!U493)</f>
        <v>13</v>
      </c>
      <c r="G1575" s="14"/>
      <c r="H1575" s="28"/>
      <c r="I1575" s="29" t="str">
        <f aca="false">IF(OR($G1575="",$G1575=0),"",IFERROR(ROUND($F1575*$G1575*(1-IF($H1575="",0,$H1575)),2),""))</f>
        <v/>
      </c>
      <c r="J1575" s="7"/>
    </row>
    <row r="1576" customFormat="false" ht="21.75" hidden="false" customHeight="true" outlineLevel="0" collapsed="false">
      <c r="B1576" s="15" t="n">
        <v>490</v>
      </c>
      <c r="C1576" s="9" t="s">
        <v>86</v>
      </c>
      <c r="D1576" s="9" t="s">
        <v>97</v>
      </c>
      <c r="E1576" s="9" t="s">
        <v>3512</v>
      </c>
      <c r="F1576" s="19" t="n">
        <f aca="false">IF('Base de Datos SADI'!U494="","",'Base de Datos SADI'!U494)</f>
        <v>20</v>
      </c>
      <c r="G1576" s="15"/>
      <c r="H1576" s="30"/>
      <c r="I1576" s="31" t="str">
        <f aca="false">IF(OR($G1576="",$G1576=0),"",IFERROR(ROUND($F1576*$G1576*(1-IF($H1576="",0,$H1576)),2),""))</f>
        <v/>
      </c>
      <c r="J1576" s="9"/>
    </row>
    <row r="1577" customFormat="false" ht="21.75" hidden="false" customHeight="true" outlineLevel="0" collapsed="false">
      <c r="B1577" s="14" t="n">
        <v>491</v>
      </c>
      <c r="C1577" s="7" t="s">
        <v>86</v>
      </c>
      <c r="D1577" s="7" t="s">
        <v>97</v>
      </c>
      <c r="E1577" s="7" t="s">
        <v>3513</v>
      </c>
      <c r="F1577" s="18" t="n">
        <f aca="false">IF('Base de Datos SADI'!U495="","",'Base de Datos SADI'!U495)</f>
        <v>25</v>
      </c>
      <c r="G1577" s="14"/>
      <c r="H1577" s="28"/>
      <c r="I1577" s="29" t="str">
        <f aca="false">IF(OR($G1577="",$G1577=0),"",IFERROR(ROUND($F1577*$G1577*(1-IF($H1577="",0,$H1577)),2),""))</f>
        <v/>
      </c>
      <c r="J1577" s="7"/>
    </row>
    <row r="1578" customFormat="false" ht="21.75" hidden="false" customHeight="true" outlineLevel="0" collapsed="false">
      <c r="B1578" s="15" t="n">
        <v>492</v>
      </c>
      <c r="C1578" s="9" t="s">
        <v>86</v>
      </c>
      <c r="D1578" s="9" t="s">
        <v>97</v>
      </c>
      <c r="E1578" s="9" t="s">
        <v>3515</v>
      </c>
      <c r="F1578" s="19" t="n">
        <f aca="false">IF('Base de Datos SADI'!U496="","",'Base de Datos SADI'!U496)</f>
        <v>35</v>
      </c>
      <c r="G1578" s="15"/>
      <c r="H1578" s="30"/>
      <c r="I1578" s="31" t="str">
        <f aca="false">IF(OR($G1578="",$G1578=0),"",IFERROR(ROUND($F1578*$G1578*(1-IF($H1578="",0,$H1578)),2),""))</f>
        <v/>
      </c>
      <c r="J1578" s="9"/>
    </row>
    <row r="1579" customFormat="false" ht="21.75" hidden="false" customHeight="true" outlineLevel="0" collapsed="false">
      <c r="B1579" s="14" t="n">
        <v>493</v>
      </c>
      <c r="C1579" s="7" t="s">
        <v>86</v>
      </c>
      <c r="D1579" s="7" t="s">
        <v>97</v>
      </c>
      <c r="E1579" s="7" t="s">
        <v>3516</v>
      </c>
      <c r="F1579" s="18" t="n">
        <f aca="false">IF('Base de Datos SADI'!U497="","",'Base de Datos SADI'!U497)</f>
        <v>55</v>
      </c>
      <c r="G1579" s="14"/>
      <c r="H1579" s="28"/>
      <c r="I1579" s="29" t="str">
        <f aca="false">IF(OR($G1579="",$G1579=0),"",IFERROR(ROUND($F1579*$G1579*(1-IF($H1579="",0,$H1579)),2),""))</f>
        <v/>
      </c>
      <c r="J1579" s="7"/>
    </row>
    <row r="1580" customFormat="false" ht="21.75" hidden="false" customHeight="true" outlineLevel="0" collapsed="false">
      <c r="B1580" s="15" t="n">
        <v>494</v>
      </c>
      <c r="C1580" s="9" t="s">
        <v>86</v>
      </c>
      <c r="D1580" s="9" t="s">
        <v>98</v>
      </c>
      <c r="E1580" s="9" t="s">
        <v>391</v>
      </c>
      <c r="F1580" s="19" t="str">
        <f aca="false">IF('Base de Datos SADI'!U498="","",'Base de Datos SADI'!U498)</f>
        <v/>
      </c>
      <c r="G1580" s="15"/>
      <c r="H1580" s="30"/>
      <c r="I1580" s="31" t="str">
        <f aca="false">IF(OR($G1580="",$G1580=0),"",IFERROR(ROUND($F1580*$G1580*(1-IF($H1580="",0,$H1580)),2),""))</f>
        <v/>
      </c>
      <c r="J1580" s="9"/>
    </row>
    <row r="1581" customFormat="false" ht="21.75" hidden="false" customHeight="true" outlineLevel="0" collapsed="false">
      <c r="B1581" s="14" t="n">
        <v>495</v>
      </c>
      <c r="C1581" s="7" t="s">
        <v>86</v>
      </c>
      <c r="D1581" s="7" t="s">
        <v>99</v>
      </c>
      <c r="E1581" s="7" t="s">
        <v>391</v>
      </c>
      <c r="F1581" s="18" t="str">
        <f aca="false">IF('Base de Datos SADI'!U499="","",'Base de Datos SADI'!U499)</f>
        <v/>
      </c>
      <c r="G1581" s="14"/>
      <c r="H1581" s="28"/>
      <c r="I1581" s="29" t="str">
        <f aca="false">IF(OR($G1581="",$G1581=0),"",IFERROR(ROUND($F1581*$G1581*(1-IF($H1581="",0,$H1581)),2),""))</f>
        <v/>
      </c>
      <c r="J1581" s="7"/>
    </row>
    <row r="1582" customFormat="false" ht="21.75" hidden="false" customHeight="true" outlineLevel="0" collapsed="false">
      <c r="B1582" s="15" t="n">
        <v>496</v>
      </c>
      <c r="C1582" s="9" t="s">
        <v>86</v>
      </c>
      <c r="D1582" s="9" t="s">
        <v>100</v>
      </c>
      <c r="E1582" s="9" t="s">
        <v>391</v>
      </c>
      <c r="F1582" s="19" t="str">
        <f aca="false">IF('Base de Datos SADI'!U500="","",'Base de Datos SADI'!U500)</f>
        <v/>
      </c>
      <c r="G1582" s="15"/>
      <c r="H1582" s="30"/>
      <c r="I1582" s="31" t="str">
        <f aca="false">IF(OR($G1582="",$G1582=0),"",IFERROR(ROUND($F1582*$G1582*(1-IF($H1582="",0,$H1582)),2),""))</f>
        <v/>
      </c>
      <c r="J1582" s="9"/>
    </row>
    <row r="1583" customFormat="false" ht="21.75" hidden="false" customHeight="true" outlineLevel="0" collapsed="false">
      <c r="B1583" s="14" t="n">
        <v>497</v>
      </c>
      <c r="C1583" s="7" t="s">
        <v>86</v>
      </c>
      <c r="D1583" s="7" t="s">
        <v>101</v>
      </c>
      <c r="E1583" s="7" t="s">
        <v>391</v>
      </c>
      <c r="F1583" s="18" t="str">
        <f aca="false">IF('Base de Datos SADI'!U501="","",'Base de Datos SADI'!U501)</f>
        <v/>
      </c>
      <c r="G1583" s="14"/>
      <c r="H1583" s="28"/>
      <c r="I1583" s="29" t="str">
        <f aca="false">IF(OR($G1583="",$G1583=0),"",IFERROR(ROUND($F1583*$G1583*(1-IF($H1583="",0,$H1583)),2),""))</f>
        <v/>
      </c>
      <c r="J1583" s="7"/>
    </row>
    <row r="1584" customFormat="false" ht="21.75" hidden="false" customHeight="true" outlineLevel="0" collapsed="false">
      <c r="B1584" s="15" t="n">
        <v>498</v>
      </c>
      <c r="C1584" s="9" t="s">
        <v>86</v>
      </c>
      <c r="D1584" s="9" t="s">
        <v>102</v>
      </c>
      <c r="E1584" s="9" t="s">
        <v>3521</v>
      </c>
      <c r="F1584" s="19" t="n">
        <f aca="false">IF('Base de Datos SADI'!U502="","",'Base de Datos SADI'!U502)</f>
        <v>11</v>
      </c>
      <c r="G1584" s="15"/>
      <c r="H1584" s="30"/>
      <c r="I1584" s="31" t="str">
        <f aca="false">IF(OR($G1584="",$G1584=0),"",IFERROR(ROUND($F1584*$G1584*(1-IF($H1584="",0,$H1584)),2),""))</f>
        <v/>
      </c>
      <c r="J1584" s="9"/>
    </row>
    <row r="1585" customFormat="false" ht="21.75" hidden="false" customHeight="true" outlineLevel="0" collapsed="false">
      <c r="B1585" s="14" t="n">
        <v>499</v>
      </c>
      <c r="C1585" s="7" t="s">
        <v>86</v>
      </c>
      <c r="D1585" s="7" t="s">
        <v>102</v>
      </c>
      <c r="E1585" s="7" t="s">
        <v>3525</v>
      </c>
      <c r="F1585" s="18" t="n">
        <f aca="false">IF('Base de Datos SADI'!U503="","",'Base de Datos SADI'!U503)</f>
        <v>16</v>
      </c>
      <c r="G1585" s="14"/>
      <c r="H1585" s="28"/>
      <c r="I1585" s="29" t="str">
        <f aca="false">IF(OR($G1585="",$G1585=0),"",IFERROR(ROUND($F1585*$G1585*(1-IF($H1585="",0,$H1585)),2),""))</f>
        <v/>
      </c>
      <c r="J1585" s="7"/>
    </row>
    <row r="1586" customFormat="false" ht="21.75" hidden="false" customHeight="true" outlineLevel="0" collapsed="false">
      <c r="B1586" s="15" t="n">
        <v>500</v>
      </c>
      <c r="C1586" s="9" t="s">
        <v>86</v>
      </c>
      <c r="D1586" s="9" t="s">
        <v>102</v>
      </c>
      <c r="E1586" s="9" t="s">
        <v>3526</v>
      </c>
      <c r="F1586" s="19" t="n">
        <f aca="false">IF('Base de Datos SADI'!U504="","",'Base de Datos SADI'!U504)</f>
        <v>20</v>
      </c>
      <c r="G1586" s="15"/>
      <c r="H1586" s="30"/>
      <c r="I1586" s="31" t="str">
        <f aca="false">IF(OR($G1586="",$G1586=0),"",IFERROR(ROUND($F1586*$G1586*(1-IF($H1586="",0,$H1586)),2),""))</f>
        <v/>
      </c>
      <c r="J1586" s="9"/>
    </row>
    <row r="1587" customFormat="false" ht="21.75" hidden="false" customHeight="true" outlineLevel="0" collapsed="false">
      <c r="B1587" s="14" t="n">
        <v>501</v>
      </c>
      <c r="C1587" s="7" t="s">
        <v>86</v>
      </c>
      <c r="D1587" s="7" t="s">
        <v>102</v>
      </c>
      <c r="E1587" s="7" t="s">
        <v>3528</v>
      </c>
      <c r="F1587" s="18" t="n">
        <f aca="false">IF('Base de Datos SADI'!U505="","",'Base de Datos SADI'!U505)</f>
        <v>30</v>
      </c>
      <c r="G1587" s="14"/>
      <c r="H1587" s="28"/>
      <c r="I1587" s="29" t="str">
        <f aca="false">IF(OR($G1587="",$G1587=0),"",IFERROR(ROUND($F1587*$G1587*(1-IF($H1587="",0,$H1587)),2),""))</f>
        <v/>
      </c>
      <c r="J1587" s="7"/>
    </row>
    <row r="1588" customFormat="false" ht="21.75" hidden="false" customHeight="true" outlineLevel="0" collapsed="false">
      <c r="B1588" s="15" t="n">
        <v>502</v>
      </c>
      <c r="C1588" s="9" t="s">
        <v>86</v>
      </c>
      <c r="D1588" s="9" t="s">
        <v>102</v>
      </c>
      <c r="E1588" s="9" t="s">
        <v>3529</v>
      </c>
      <c r="F1588" s="19" t="n">
        <f aca="false">IF('Base de Datos SADI'!U506="","",'Base de Datos SADI'!U506)</f>
        <v>45</v>
      </c>
      <c r="G1588" s="15"/>
      <c r="H1588" s="30"/>
      <c r="I1588" s="31" t="str">
        <f aca="false">IF(OR($G1588="",$G1588=0),"",IFERROR(ROUND($F1588*$G1588*(1-IF($H1588="",0,$H1588)),2),""))</f>
        <v/>
      </c>
      <c r="J1588" s="9"/>
    </row>
    <row r="1589" customFormat="false" ht="21.75" hidden="false" customHeight="true" outlineLevel="0" collapsed="false">
      <c r="B1589" s="14" t="n">
        <v>503</v>
      </c>
      <c r="C1589" s="7" t="s">
        <v>86</v>
      </c>
      <c r="D1589" s="7" t="s">
        <v>103</v>
      </c>
      <c r="E1589" s="7" t="s">
        <v>3530</v>
      </c>
      <c r="F1589" s="18" t="n">
        <f aca="false">IF('Base de Datos SADI'!U507="","",'Base de Datos SADI'!U507)</f>
        <v>14</v>
      </c>
      <c r="G1589" s="14"/>
      <c r="H1589" s="28"/>
      <c r="I1589" s="29" t="str">
        <f aca="false">IF(OR($G1589="",$G1589=0),"",IFERROR(ROUND($F1589*$G1589*(1-IF($H1589="",0,$H1589)),2),""))</f>
        <v/>
      </c>
      <c r="J1589" s="7"/>
    </row>
    <row r="1590" customFormat="false" ht="21.75" hidden="false" customHeight="true" outlineLevel="0" collapsed="false">
      <c r="B1590" s="15" t="n">
        <v>504</v>
      </c>
      <c r="C1590" s="9" t="s">
        <v>86</v>
      </c>
      <c r="D1590" s="9" t="s">
        <v>103</v>
      </c>
      <c r="E1590" s="9" t="s">
        <v>3535</v>
      </c>
      <c r="F1590" s="19" t="n">
        <f aca="false">IF('Base de Datos SADI'!U508="","",'Base de Datos SADI'!U508)</f>
        <v>20</v>
      </c>
      <c r="G1590" s="15"/>
      <c r="H1590" s="30"/>
      <c r="I1590" s="31" t="str">
        <f aca="false">IF(OR($G1590="",$G1590=0),"",IFERROR(ROUND($F1590*$G1590*(1-IF($H1590="",0,$H1590)),2),""))</f>
        <v/>
      </c>
      <c r="J1590" s="9"/>
    </row>
    <row r="1591" customFormat="false" ht="21.75" hidden="false" customHeight="true" outlineLevel="0" collapsed="false">
      <c r="B1591" s="14" t="n">
        <v>505</v>
      </c>
      <c r="C1591" s="7" t="s">
        <v>86</v>
      </c>
      <c r="D1591" s="7" t="s">
        <v>103</v>
      </c>
      <c r="E1591" s="7" t="s">
        <v>3536</v>
      </c>
      <c r="F1591" s="18" t="n">
        <f aca="false">IF('Base de Datos SADI'!U509="","",'Base de Datos SADI'!U509)</f>
        <v>25</v>
      </c>
      <c r="G1591" s="14"/>
      <c r="H1591" s="28"/>
      <c r="I1591" s="29" t="str">
        <f aca="false">IF(OR($G1591="",$G1591=0),"",IFERROR(ROUND($F1591*$G1591*(1-IF($H1591="",0,$H1591)),2),""))</f>
        <v/>
      </c>
      <c r="J1591" s="7"/>
    </row>
    <row r="1592" customFormat="false" ht="21.75" hidden="false" customHeight="true" outlineLevel="0" collapsed="false">
      <c r="B1592" s="15" t="n">
        <v>506</v>
      </c>
      <c r="C1592" s="9" t="s">
        <v>86</v>
      </c>
      <c r="D1592" s="9" t="s">
        <v>103</v>
      </c>
      <c r="E1592" s="9" t="s">
        <v>3538</v>
      </c>
      <c r="F1592" s="19" t="n">
        <f aca="false">IF('Base de Datos SADI'!U510="","",'Base de Datos SADI'!U510)</f>
        <v>40</v>
      </c>
      <c r="G1592" s="15"/>
      <c r="H1592" s="30"/>
      <c r="I1592" s="31" t="str">
        <f aca="false">IF(OR($G1592="",$G1592=0),"",IFERROR(ROUND($F1592*$G1592*(1-IF($H1592="",0,$H1592)),2),""))</f>
        <v/>
      </c>
      <c r="J1592" s="9"/>
    </row>
    <row r="1593" customFormat="false" ht="21.75" hidden="false" customHeight="true" outlineLevel="0" collapsed="false">
      <c r="B1593" s="14" t="n">
        <v>507</v>
      </c>
      <c r="C1593" s="7" t="s">
        <v>86</v>
      </c>
      <c r="D1593" s="7" t="s">
        <v>103</v>
      </c>
      <c r="E1593" s="7" t="s">
        <v>3539</v>
      </c>
      <c r="F1593" s="18" t="n">
        <f aca="false">IF('Base de Datos SADI'!U511="","",'Base de Datos SADI'!U511)</f>
        <v>60</v>
      </c>
      <c r="G1593" s="14"/>
      <c r="H1593" s="28"/>
      <c r="I1593" s="29" t="str">
        <f aca="false">IF(OR($G1593="",$G1593=0),"",IFERROR(ROUND($F1593*$G1593*(1-IF($H1593="",0,$H1593)),2),""))</f>
        <v/>
      </c>
      <c r="J1593" s="7"/>
    </row>
    <row r="1594" customFormat="false" ht="21.75" hidden="false" customHeight="true" outlineLevel="0" collapsed="false">
      <c r="B1594" s="15" t="n">
        <v>508</v>
      </c>
      <c r="C1594" s="9" t="s">
        <v>86</v>
      </c>
      <c r="D1594" s="9" t="s">
        <v>104</v>
      </c>
      <c r="E1594" s="9" t="s">
        <v>3540</v>
      </c>
      <c r="F1594" s="19" t="n">
        <f aca="false">IF('Base de Datos SADI'!U512="","",'Base de Datos SADI'!U512)</f>
        <v>16</v>
      </c>
      <c r="G1594" s="15"/>
      <c r="H1594" s="30"/>
      <c r="I1594" s="31" t="str">
        <f aca="false">IF(OR($G1594="",$G1594=0),"",IFERROR(ROUND($F1594*$G1594*(1-IF($H1594="",0,$H1594)),2),""))</f>
        <v/>
      </c>
      <c r="J1594" s="9"/>
    </row>
    <row r="1595" customFormat="false" ht="21.75" hidden="false" customHeight="true" outlineLevel="0" collapsed="false">
      <c r="B1595" s="14" t="n">
        <v>509</v>
      </c>
      <c r="C1595" s="7" t="s">
        <v>86</v>
      </c>
      <c r="D1595" s="7" t="s">
        <v>104</v>
      </c>
      <c r="E1595" s="7" t="s">
        <v>3543</v>
      </c>
      <c r="F1595" s="18" t="n">
        <f aca="false">IF('Base de Datos SADI'!U513="","",'Base de Datos SADI'!U513)</f>
        <v>20</v>
      </c>
      <c r="G1595" s="14"/>
      <c r="H1595" s="28"/>
      <c r="I1595" s="29" t="str">
        <f aca="false">IF(OR($G1595="",$G1595=0),"",IFERROR(ROUND($F1595*$G1595*(1-IF($H1595="",0,$H1595)),2),""))</f>
        <v/>
      </c>
      <c r="J1595" s="7"/>
    </row>
    <row r="1596" customFormat="false" ht="21.75" hidden="false" customHeight="true" outlineLevel="0" collapsed="false">
      <c r="B1596" s="15" t="n">
        <v>510</v>
      </c>
      <c r="C1596" s="9" t="s">
        <v>86</v>
      </c>
      <c r="D1596" s="9" t="s">
        <v>104</v>
      </c>
      <c r="E1596" s="9" t="s">
        <v>3544</v>
      </c>
      <c r="F1596" s="19" t="n">
        <f aca="false">IF('Base de Datos SADI'!U514="","",'Base de Datos SADI'!U514)</f>
        <v>30</v>
      </c>
      <c r="G1596" s="15"/>
      <c r="H1596" s="30"/>
      <c r="I1596" s="31" t="str">
        <f aca="false">IF(OR($G1596="",$G1596=0),"",IFERROR(ROUND($F1596*$G1596*(1-IF($H1596="",0,$H1596)),2),""))</f>
        <v/>
      </c>
      <c r="J1596" s="9"/>
    </row>
    <row r="1597" customFormat="false" ht="21.75" hidden="false" customHeight="true" outlineLevel="0" collapsed="false">
      <c r="B1597" s="14" t="n">
        <v>511</v>
      </c>
      <c r="C1597" s="7" t="s">
        <v>86</v>
      </c>
      <c r="D1597" s="7" t="s">
        <v>104</v>
      </c>
      <c r="E1597" s="7" t="s">
        <v>3546</v>
      </c>
      <c r="F1597" s="18" t="n">
        <f aca="false">IF('Base de Datos SADI'!U515="","",'Base de Datos SADI'!U515)</f>
        <v>45</v>
      </c>
      <c r="G1597" s="14"/>
      <c r="H1597" s="28"/>
      <c r="I1597" s="29" t="str">
        <f aca="false">IF(OR($G1597="",$G1597=0),"",IFERROR(ROUND($F1597*$G1597*(1-IF($H1597="",0,$H1597)),2),""))</f>
        <v/>
      </c>
      <c r="J1597" s="7"/>
    </row>
    <row r="1598" customFormat="false" ht="21.75" hidden="false" customHeight="true" outlineLevel="0" collapsed="false">
      <c r="B1598" s="15" t="n">
        <v>512</v>
      </c>
      <c r="C1598" s="9" t="s">
        <v>86</v>
      </c>
      <c r="D1598" s="9" t="s">
        <v>104</v>
      </c>
      <c r="E1598" s="9" t="s">
        <v>3547</v>
      </c>
      <c r="F1598" s="19" t="n">
        <f aca="false">IF('Base de Datos SADI'!U516="","",'Base de Datos SADI'!U516)</f>
        <v>70</v>
      </c>
      <c r="G1598" s="15"/>
      <c r="H1598" s="30"/>
      <c r="I1598" s="31" t="str">
        <f aca="false">IF(OR($G1598="",$G1598=0),"",IFERROR(ROUND($F1598*$G1598*(1-IF($H1598="",0,$H1598)),2),""))</f>
        <v/>
      </c>
      <c r="J1598" s="9"/>
    </row>
    <row r="1599" customFormat="false" ht="21.75" hidden="false" customHeight="true" outlineLevel="0" collapsed="false">
      <c r="B1599" s="14" t="n">
        <v>513</v>
      </c>
      <c r="C1599" s="7" t="s">
        <v>86</v>
      </c>
      <c r="D1599" s="7" t="s">
        <v>105</v>
      </c>
      <c r="E1599" s="7" t="s">
        <v>3548</v>
      </c>
      <c r="F1599" s="18" t="n">
        <f aca="false">IF('Base de Datos SADI'!U517="","",'Base de Datos SADI'!U517)</f>
        <v>17</v>
      </c>
      <c r="G1599" s="14"/>
      <c r="H1599" s="28"/>
      <c r="I1599" s="29" t="str">
        <f aca="false">IF(OR($G1599="",$G1599=0),"",IFERROR(ROUND($F1599*$G1599*(1-IF($H1599="",0,$H1599)),2),""))</f>
        <v/>
      </c>
      <c r="J1599" s="7"/>
    </row>
    <row r="1600" customFormat="false" ht="21.75" hidden="false" customHeight="true" outlineLevel="0" collapsed="false">
      <c r="B1600" s="15" t="n">
        <v>514</v>
      </c>
      <c r="C1600" s="9" t="s">
        <v>86</v>
      </c>
      <c r="D1600" s="9" t="s">
        <v>105</v>
      </c>
      <c r="E1600" s="9" t="s">
        <v>3550</v>
      </c>
      <c r="F1600" s="19" t="n">
        <f aca="false">IF('Base de Datos SADI'!U518="","",'Base de Datos SADI'!U518)</f>
        <v>25</v>
      </c>
      <c r="G1600" s="15"/>
      <c r="H1600" s="30"/>
      <c r="I1600" s="31" t="str">
        <f aca="false">IF(OR($G1600="",$G1600=0),"",IFERROR(ROUND($F1600*$G1600*(1-IF($H1600="",0,$H1600)),2),""))</f>
        <v/>
      </c>
      <c r="J1600" s="9"/>
    </row>
    <row r="1601" customFormat="false" ht="21.75" hidden="false" customHeight="true" outlineLevel="0" collapsed="false">
      <c r="B1601" s="14" t="n">
        <v>515</v>
      </c>
      <c r="C1601" s="7" t="s">
        <v>86</v>
      </c>
      <c r="D1601" s="7" t="s">
        <v>105</v>
      </c>
      <c r="E1601" s="7" t="s">
        <v>3551</v>
      </c>
      <c r="F1601" s="18" t="n">
        <f aca="false">IF('Base de Datos SADI'!U519="","",'Base de Datos SADI'!U519)</f>
        <v>30</v>
      </c>
      <c r="G1601" s="14"/>
      <c r="H1601" s="28"/>
      <c r="I1601" s="29" t="str">
        <f aca="false">IF(OR($G1601="",$G1601=0),"",IFERROR(ROUND($F1601*$G1601*(1-IF($H1601="",0,$H1601)),2),""))</f>
        <v/>
      </c>
      <c r="J1601" s="7"/>
    </row>
    <row r="1602" customFormat="false" ht="21.75" hidden="false" customHeight="true" outlineLevel="0" collapsed="false">
      <c r="B1602" s="15" t="n">
        <v>516</v>
      </c>
      <c r="C1602" s="9" t="s">
        <v>86</v>
      </c>
      <c r="D1602" s="9" t="s">
        <v>105</v>
      </c>
      <c r="E1602" s="9" t="s">
        <v>3553</v>
      </c>
      <c r="F1602" s="19" t="n">
        <f aca="false">IF('Base de Datos SADI'!U520="","",'Base de Datos SADI'!U520)</f>
        <v>50</v>
      </c>
      <c r="G1602" s="15"/>
      <c r="H1602" s="30"/>
      <c r="I1602" s="31" t="str">
        <f aca="false">IF(OR($G1602="",$G1602=0),"",IFERROR(ROUND($F1602*$G1602*(1-IF($H1602="",0,$H1602)),2),""))</f>
        <v/>
      </c>
      <c r="J1602" s="9"/>
    </row>
    <row r="1603" customFormat="false" ht="21.75" hidden="false" customHeight="true" outlineLevel="0" collapsed="false">
      <c r="B1603" s="14" t="n">
        <v>517</v>
      </c>
      <c r="C1603" s="7" t="s">
        <v>86</v>
      </c>
      <c r="D1603" s="7" t="s">
        <v>105</v>
      </c>
      <c r="E1603" s="7" t="s">
        <v>3554</v>
      </c>
      <c r="F1603" s="18" t="n">
        <f aca="false">IF('Base de Datos SADI'!U521="","",'Base de Datos SADI'!U521)</f>
        <v>70</v>
      </c>
      <c r="G1603" s="14"/>
      <c r="H1603" s="28"/>
      <c r="I1603" s="29" t="str">
        <f aca="false">IF(OR($G1603="",$G1603=0),"",IFERROR(ROUND($F1603*$G1603*(1-IF($H1603="",0,$H1603)),2),""))</f>
        <v/>
      </c>
      <c r="J1603" s="7"/>
    </row>
    <row r="1604" customFormat="false" ht="21.75" hidden="false" customHeight="true" outlineLevel="0" collapsed="false">
      <c r="B1604" s="15" t="n">
        <v>518</v>
      </c>
      <c r="C1604" s="9" t="s">
        <v>86</v>
      </c>
      <c r="D1604" s="9" t="s">
        <v>106</v>
      </c>
      <c r="E1604" s="9" t="s">
        <v>391</v>
      </c>
      <c r="F1604" s="19" t="str">
        <f aca="false">IF('Base de Datos SADI'!U522="","",'Base de Datos SADI'!U522)</f>
        <v/>
      </c>
      <c r="G1604" s="15"/>
      <c r="H1604" s="30"/>
      <c r="I1604" s="31" t="str">
        <f aca="false">IF(OR($G1604="",$G1604=0),"",IFERROR(ROUND($F1604*$G1604*(1-IF($H1604="",0,$H1604)),2),""))</f>
        <v/>
      </c>
      <c r="J1604" s="9"/>
    </row>
    <row r="1605" customFormat="false" ht="21.75" hidden="false" customHeight="true" outlineLevel="0" collapsed="false">
      <c r="B1605" s="14" t="n">
        <v>519</v>
      </c>
      <c r="C1605" s="7" t="s">
        <v>86</v>
      </c>
      <c r="D1605" s="7" t="s">
        <v>107</v>
      </c>
      <c r="E1605" s="7" t="s">
        <v>391</v>
      </c>
      <c r="F1605" s="18" t="str">
        <f aca="false">IF('Base de Datos SADI'!U523="","",'Base de Datos SADI'!U523)</f>
        <v/>
      </c>
      <c r="G1605" s="14"/>
      <c r="H1605" s="28"/>
      <c r="I1605" s="29" t="str">
        <f aca="false">IF(OR($G1605="",$G1605=0),"",IFERROR(ROUND($F1605*$G1605*(1-IF($H1605="",0,$H1605)),2),""))</f>
        <v/>
      </c>
      <c r="J1605" s="7"/>
    </row>
    <row r="1606" customFormat="false" ht="21.75" hidden="false" customHeight="true" outlineLevel="0" collapsed="false">
      <c r="B1606" s="15" t="n">
        <v>520</v>
      </c>
      <c r="C1606" s="9" t="s">
        <v>86</v>
      </c>
      <c r="D1606" s="9" t="s">
        <v>108</v>
      </c>
      <c r="E1606" s="9" t="s">
        <v>391</v>
      </c>
      <c r="F1606" s="19" t="str">
        <f aca="false">IF('Base de Datos SADI'!U524="","",'Base de Datos SADI'!U524)</f>
        <v/>
      </c>
      <c r="G1606" s="15"/>
      <c r="H1606" s="30"/>
      <c r="I1606" s="31" t="str">
        <f aca="false">IF(OR($G1606="",$G1606=0),"",IFERROR(ROUND($F1606*$G1606*(1-IF($H1606="",0,$H1606)),2),""))</f>
        <v/>
      </c>
      <c r="J1606" s="9"/>
    </row>
    <row r="1607" customFormat="false" ht="21.75" hidden="false" customHeight="true" outlineLevel="0" collapsed="false">
      <c r="B1607" s="14" t="n">
        <v>521</v>
      </c>
      <c r="C1607" s="7" t="s">
        <v>87</v>
      </c>
      <c r="D1607" s="7" t="s">
        <v>93</v>
      </c>
      <c r="E1607" s="7" t="s">
        <v>3558</v>
      </c>
      <c r="F1607" s="18" t="n">
        <f aca="false">IF('Base de Datos SADI'!U525="","",'Base de Datos SADI'!U525)</f>
        <v>575</v>
      </c>
      <c r="G1607" s="14"/>
      <c r="H1607" s="28"/>
      <c r="I1607" s="29" t="str">
        <f aca="false">IF(OR($G1607="",$G1607=0),"",IFERROR(ROUND($F1607*$G1607*(1-IF($H1607="",0,$H1607)),2),""))</f>
        <v/>
      </c>
      <c r="J1607" s="7"/>
    </row>
    <row r="1608" customFormat="false" ht="21.75" hidden="false" customHeight="true" outlineLevel="0" collapsed="false">
      <c r="B1608" s="15" t="n">
        <v>522</v>
      </c>
      <c r="C1608" s="9" t="s">
        <v>87</v>
      </c>
      <c r="D1608" s="9" t="s">
        <v>93</v>
      </c>
      <c r="E1608" s="9" t="s">
        <v>3569</v>
      </c>
      <c r="F1608" s="19" t="n">
        <f aca="false">IF('Base de Datos SADI'!U526="","",'Base de Datos SADI'!U526)</f>
        <v>860</v>
      </c>
      <c r="G1608" s="15"/>
      <c r="H1608" s="30"/>
      <c r="I1608" s="31" t="str">
        <f aca="false">IF(OR($G1608="",$G1608=0),"",IFERROR(ROUND($F1608*$G1608*(1-IF($H1608="",0,$H1608)),2),""))</f>
        <v/>
      </c>
      <c r="J1608" s="9"/>
    </row>
    <row r="1609" customFormat="false" ht="21.75" hidden="false" customHeight="true" outlineLevel="0" collapsed="false">
      <c r="B1609" s="14" t="n">
        <v>523</v>
      </c>
      <c r="C1609" s="7" t="s">
        <v>87</v>
      </c>
      <c r="D1609" s="7" t="s">
        <v>93</v>
      </c>
      <c r="E1609" s="7" t="s">
        <v>3570</v>
      </c>
      <c r="F1609" s="18" t="n">
        <f aca="false">IF('Base de Datos SADI'!U527="","",'Base de Datos SADI'!U527)</f>
        <v>1150</v>
      </c>
      <c r="G1609" s="14"/>
      <c r="H1609" s="28"/>
      <c r="I1609" s="29" t="str">
        <f aca="false">IF(OR($G1609="",$G1609=0),"",IFERROR(ROUND($F1609*$G1609*(1-IF($H1609="",0,$H1609)),2),""))</f>
        <v/>
      </c>
      <c r="J1609" s="7"/>
    </row>
    <row r="1610" customFormat="false" ht="21.75" hidden="false" customHeight="true" outlineLevel="0" collapsed="false">
      <c r="B1610" s="15" t="n">
        <v>524</v>
      </c>
      <c r="C1610" s="9" t="s">
        <v>87</v>
      </c>
      <c r="D1610" s="9" t="s">
        <v>93</v>
      </c>
      <c r="E1610" s="9" t="s">
        <v>3572</v>
      </c>
      <c r="F1610" s="19" t="n">
        <f aca="false">IF('Base de Datos SADI'!U528="","",'Base de Datos SADI'!U528)</f>
        <v>1725</v>
      </c>
      <c r="G1610" s="15"/>
      <c r="H1610" s="30"/>
      <c r="I1610" s="31" t="str">
        <f aca="false">IF(OR($G1610="",$G1610=0),"",IFERROR(ROUND($F1610*$G1610*(1-IF($H1610="",0,$H1610)),2),""))</f>
        <v/>
      </c>
      <c r="J1610" s="9"/>
    </row>
    <row r="1611" customFormat="false" ht="21.75" hidden="false" customHeight="true" outlineLevel="0" collapsed="false">
      <c r="B1611" s="14" t="n">
        <v>525</v>
      </c>
      <c r="C1611" s="7" t="s">
        <v>87</v>
      </c>
      <c r="D1611" s="7" t="s">
        <v>93</v>
      </c>
      <c r="E1611" s="7" t="s">
        <v>3573</v>
      </c>
      <c r="F1611" s="18" t="n">
        <f aca="false">IF('Base de Datos SADI'!U529="","",'Base de Datos SADI'!U529)</f>
        <v>2530</v>
      </c>
      <c r="G1611" s="14"/>
      <c r="H1611" s="28"/>
      <c r="I1611" s="29" t="str">
        <f aca="false">IF(OR($G1611="",$G1611=0),"",IFERROR(ROUND($F1611*$G1611*(1-IF($H1611="",0,$H1611)),2),""))</f>
        <v/>
      </c>
      <c r="J1611" s="7"/>
    </row>
    <row r="1612" customFormat="false" ht="21.75" hidden="false" customHeight="true" outlineLevel="0" collapsed="false">
      <c r="B1612" s="15" t="n">
        <v>526</v>
      </c>
      <c r="C1612" s="9" t="s">
        <v>87</v>
      </c>
      <c r="D1612" s="9" t="s">
        <v>94</v>
      </c>
      <c r="E1612" s="9" t="s">
        <v>3574</v>
      </c>
      <c r="F1612" s="19" t="n">
        <f aca="false">IF('Base de Datos SADI'!U530="","",'Base de Datos SADI'!U530)</f>
        <v>260</v>
      </c>
      <c r="G1612" s="15"/>
      <c r="H1612" s="30"/>
      <c r="I1612" s="31" t="str">
        <f aca="false">IF(OR($G1612="",$G1612=0),"",IFERROR(ROUND($F1612*$G1612*(1-IF($H1612="",0,$H1612)),2),""))</f>
        <v/>
      </c>
      <c r="J1612" s="9"/>
    </row>
    <row r="1613" customFormat="false" ht="21.75" hidden="false" customHeight="true" outlineLevel="0" collapsed="false">
      <c r="B1613" s="14" t="n">
        <v>527</v>
      </c>
      <c r="C1613" s="7" t="s">
        <v>87</v>
      </c>
      <c r="D1613" s="7" t="s">
        <v>94</v>
      </c>
      <c r="E1613" s="7" t="s">
        <v>3581</v>
      </c>
      <c r="F1613" s="18" t="n">
        <f aca="false">IF('Base de Datos SADI'!U531="","",'Base de Datos SADI'!U531)</f>
        <v>390</v>
      </c>
      <c r="G1613" s="14"/>
      <c r="H1613" s="28"/>
      <c r="I1613" s="29" t="str">
        <f aca="false">IF(OR($G1613="",$G1613=0),"",IFERROR(ROUND($F1613*$G1613*(1-IF($H1613="",0,$H1613)),2),""))</f>
        <v/>
      </c>
      <c r="J1613" s="7"/>
    </row>
    <row r="1614" customFormat="false" ht="21.75" hidden="false" customHeight="true" outlineLevel="0" collapsed="false">
      <c r="B1614" s="15" t="n">
        <v>528</v>
      </c>
      <c r="C1614" s="9" t="s">
        <v>87</v>
      </c>
      <c r="D1614" s="9" t="s">
        <v>94</v>
      </c>
      <c r="E1614" s="9" t="s">
        <v>3582</v>
      </c>
      <c r="F1614" s="19" t="n">
        <f aca="false">IF('Base de Datos SADI'!U532="","",'Base de Datos SADI'!U532)</f>
        <v>520</v>
      </c>
      <c r="G1614" s="15"/>
      <c r="H1614" s="30"/>
      <c r="I1614" s="31" t="str">
        <f aca="false">IF(OR($G1614="",$G1614=0),"",IFERROR(ROUND($F1614*$G1614*(1-IF($H1614="",0,$H1614)),2),""))</f>
        <v/>
      </c>
      <c r="J1614" s="9"/>
    </row>
    <row r="1615" customFormat="false" ht="21.75" hidden="false" customHeight="true" outlineLevel="0" collapsed="false">
      <c r="B1615" s="14" t="n">
        <v>529</v>
      </c>
      <c r="C1615" s="7" t="s">
        <v>87</v>
      </c>
      <c r="D1615" s="7" t="s">
        <v>94</v>
      </c>
      <c r="E1615" s="7" t="s">
        <v>2489</v>
      </c>
      <c r="F1615" s="18" t="n">
        <f aca="false">IF('Base de Datos SADI'!U533="","",'Base de Datos SADI'!U533)</f>
        <v>780</v>
      </c>
      <c r="G1615" s="14"/>
      <c r="H1615" s="28"/>
      <c r="I1615" s="29" t="str">
        <f aca="false">IF(OR($G1615="",$G1615=0),"",IFERROR(ROUND($F1615*$G1615*(1-IF($H1615="",0,$H1615)),2),""))</f>
        <v/>
      </c>
      <c r="J1615" s="7"/>
    </row>
    <row r="1616" customFormat="false" ht="21.75" hidden="false" customHeight="true" outlineLevel="0" collapsed="false">
      <c r="B1616" s="15" t="n">
        <v>530</v>
      </c>
      <c r="C1616" s="9" t="s">
        <v>87</v>
      </c>
      <c r="D1616" s="9" t="s">
        <v>94</v>
      </c>
      <c r="E1616" s="9" t="s">
        <v>3584</v>
      </c>
      <c r="F1616" s="19" t="n">
        <f aca="false">IF('Base de Datos SADI'!U534="","",'Base de Datos SADI'!U534)</f>
        <v>1140</v>
      </c>
      <c r="G1616" s="15"/>
      <c r="H1616" s="30"/>
      <c r="I1616" s="31" t="str">
        <f aca="false">IF(OR($G1616="",$G1616=0),"",IFERROR(ROUND($F1616*$G1616*(1-IF($H1616="",0,$H1616)),2),""))</f>
        <v/>
      </c>
      <c r="J1616" s="9"/>
    </row>
    <row r="1617" customFormat="false" ht="21.75" hidden="false" customHeight="true" outlineLevel="0" collapsed="false">
      <c r="B1617" s="14" t="n">
        <v>531</v>
      </c>
      <c r="C1617" s="7" t="s">
        <v>87</v>
      </c>
      <c r="D1617" s="7" t="s">
        <v>95</v>
      </c>
      <c r="E1617" s="7" t="s">
        <v>391</v>
      </c>
      <c r="F1617" s="18" t="str">
        <f aca="false">IF('Base de Datos SADI'!U535="","",'Base de Datos SADI'!U535)</f>
        <v/>
      </c>
      <c r="G1617" s="14"/>
      <c r="H1617" s="28"/>
      <c r="I1617" s="29" t="str">
        <f aca="false">IF(OR($G1617="",$G1617=0),"",IFERROR(ROUND($F1617*$G1617*(1-IF($H1617="",0,$H1617)),2),""))</f>
        <v/>
      </c>
      <c r="J1617" s="7"/>
    </row>
    <row r="1618" customFormat="false" ht="21.75" hidden="false" customHeight="true" outlineLevel="0" collapsed="false">
      <c r="B1618" s="15" t="n">
        <v>532</v>
      </c>
      <c r="C1618" s="9" t="s">
        <v>87</v>
      </c>
      <c r="D1618" s="9" t="s">
        <v>96</v>
      </c>
      <c r="E1618" s="9" t="s">
        <v>3586</v>
      </c>
      <c r="F1618" s="19" t="n">
        <f aca="false">IF('Base de Datos SADI'!U536="","",'Base de Datos SADI'!U536)</f>
        <v>30</v>
      </c>
      <c r="G1618" s="15"/>
      <c r="H1618" s="30"/>
      <c r="I1618" s="31" t="str">
        <f aca="false">IF(OR($G1618="",$G1618=0),"",IFERROR(ROUND($F1618*$G1618*(1-IF($H1618="",0,$H1618)),2),""))</f>
        <v/>
      </c>
      <c r="J1618" s="9"/>
    </row>
    <row r="1619" customFormat="false" ht="21.75" hidden="false" customHeight="true" outlineLevel="0" collapsed="false">
      <c r="B1619" s="14" t="n">
        <v>533</v>
      </c>
      <c r="C1619" s="7" t="s">
        <v>87</v>
      </c>
      <c r="D1619" s="7" t="s">
        <v>96</v>
      </c>
      <c r="E1619" s="7" t="s">
        <v>3591</v>
      </c>
      <c r="F1619" s="18" t="n">
        <f aca="false">IF('Base de Datos SADI'!U537="","",'Base de Datos SADI'!U537)</f>
        <v>45</v>
      </c>
      <c r="G1619" s="14"/>
      <c r="H1619" s="28"/>
      <c r="I1619" s="29" t="str">
        <f aca="false">IF(OR($G1619="",$G1619=0),"",IFERROR(ROUND($F1619*$G1619*(1-IF($H1619="",0,$H1619)),2),""))</f>
        <v/>
      </c>
      <c r="J1619" s="7"/>
    </row>
    <row r="1620" customFormat="false" ht="21.75" hidden="false" customHeight="true" outlineLevel="0" collapsed="false">
      <c r="B1620" s="15" t="n">
        <v>534</v>
      </c>
      <c r="C1620" s="9" t="s">
        <v>87</v>
      </c>
      <c r="D1620" s="9" t="s">
        <v>96</v>
      </c>
      <c r="E1620" s="9" t="s">
        <v>3592</v>
      </c>
      <c r="F1620" s="19" t="n">
        <f aca="false">IF('Base de Datos SADI'!U538="","",'Base de Datos SADI'!U538)</f>
        <v>60</v>
      </c>
      <c r="G1620" s="15"/>
      <c r="H1620" s="30"/>
      <c r="I1620" s="31" t="str">
        <f aca="false">IF(OR($G1620="",$G1620=0),"",IFERROR(ROUND($F1620*$G1620*(1-IF($H1620="",0,$H1620)),2),""))</f>
        <v/>
      </c>
      <c r="J1620" s="9"/>
    </row>
    <row r="1621" customFormat="false" ht="21.75" hidden="false" customHeight="true" outlineLevel="0" collapsed="false">
      <c r="B1621" s="14" t="n">
        <v>535</v>
      </c>
      <c r="C1621" s="7" t="s">
        <v>87</v>
      </c>
      <c r="D1621" s="7" t="s">
        <v>96</v>
      </c>
      <c r="E1621" s="7" t="s">
        <v>3594</v>
      </c>
      <c r="F1621" s="18" t="n">
        <f aca="false">IF('Base de Datos SADI'!U539="","",'Base de Datos SADI'!U539)</f>
        <v>90</v>
      </c>
      <c r="G1621" s="14"/>
      <c r="H1621" s="28"/>
      <c r="I1621" s="29" t="str">
        <f aca="false">IF(OR($G1621="",$G1621=0),"",IFERROR(ROUND($F1621*$G1621*(1-IF($H1621="",0,$H1621)),2),""))</f>
        <v/>
      </c>
      <c r="J1621" s="7"/>
    </row>
    <row r="1622" customFormat="false" ht="21.75" hidden="false" customHeight="true" outlineLevel="0" collapsed="false">
      <c r="B1622" s="15" t="n">
        <v>536</v>
      </c>
      <c r="C1622" s="9" t="s">
        <v>87</v>
      </c>
      <c r="D1622" s="9" t="s">
        <v>96</v>
      </c>
      <c r="E1622" s="9" t="s">
        <v>3595</v>
      </c>
      <c r="F1622" s="19" t="n">
        <f aca="false">IF('Base de Datos SADI'!U540="","",'Base de Datos SADI'!U540)</f>
        <v>135</v>
      </c>
      <c r="G1622" s="15"/>
      <c r="H1622" s="30"/>
      <c r="I1622" s="31" t="str">
        <f aca="false">IF(OR($G1622="",$G1622=0),"",IFERROR(ROUND($F1622*$G1622*(1-IF($H1622="",0,$H1622)),2),""))</f>
        <v/>
      </c>
      <c r="J1622" s="9"/>
    </row>
    <row r="1623" customFormat="false" ht="21.75" hidden="false" customHeight="true" outlineLevel="0" collapsed="false">
      <c r="B1623" s="14" t="n">
        <v>537</v>
      </c>
      <c r="C1623" s="7" t="s">
        <v>87</v>
      </c>
      <c r="D1623" s="7" t="s">
        <v>97</v>
      </c>
      <c r="E1623" s="7" t="s">
        <v>3596</v>
      </c>
      <c r="F1623" s="18" t="n">
        <f aca="false">IF('Base de Datos SADI'!U541="","",'Base de Datos SADI'!U541)</f>
        <v>25</v>
      </c>
      <c r="G1623" s="14"/>
      <c r="H1623" s="28"/>
      <c r="I1623" s="29" t="str">
        <f aca="false">IF(OR($G1623="",$G1623=0),"",IFERROR(ROUND($F1623*$G1623*(1-IF($H1623="",0,$H1623)),2),""))</f>
        <v/>
      </c>
      <c r="J1623" s="7"/>
    </row>
    <row r="1624" customFormat="false" ht="21.75" hidden="false" customHeight="true" outlineLevel="0" collapsed="false">
      <c r="B1624" s="15" t="n">
        <v>538</v>
      </c>
      <c r="C1624" s="9" t="s">
        <v>87</v>
      </c>
      <c r="D1624" s="9" t="s">
        <v>97</v>
      </c>
      <c r="E1624" s="9" t="s">
        <v>3599</v>
      </c>
      <c r="F1624" s="19" t="n">
        <f aca="false">IF('Base de Datos SADI'!U542="","",'Base de Datos SADI'!U542)</f>
        <v>40</v>
      </c>
      <c r="G1624" s="15"/>
      <c r="H1624" s="30"/>
      <c r="I1624" s="31" t="str">
        <f aca="false">IF(OR($G1624="",$G1624=0),"",IFERROR(ROUND($F1624*$G1624*(1-IF($H1624="",0,$H1624)),2),""))</f>
        <v/>
      </c>
      <c r="J1624" s="9"/>
    </row>
    <row r="1625" customFormat="false" ht="21.75" hidden="false" customHeight="true" outlineLevel="0" collapsed="false">
      <c r="B1625" s="14" t="n">
        <v>539</v>
      </c>
      <c r="C1625" s="7" t="s">
        <v>87</v>
      </c>
      <c r="D1625" s="7" t="s">
        <v>97</v>
      </c>
      <c r="E1625" s="7" t="s">
        <v>3600</v>
      </c>
      <c r="F1625" s="18" t="n">
        <f aca="false">IF('Base de Datos SADI'!U543="","",'Base de Datos SADI'!U543)</f>
        <v>55</v>
      </c>
      <c r="G1625" s="14"/>
      <c r="H1625" s="28"/>
      <c r="I1625" s="29" t="str">
        <f aca="false">IF(OR($G1625="",$G1625=0),"",IFERROR(ROUND($F1625*$G1625*(1-IF($H1625="",0,$H1625)),2),""))</f>
        <v/>
      </c>
      <c r="J1625" s="7"/>
    </row>
    <row r="1626" customFormat="false" ht="21.75" hidden="false" customHeight="true" outlineLevel="0" collapsed="false">
      <c r="B1626" s="15" t="n">
        <v>540</v>
      </c>
      <c r="C1626" s="9" t="s">
        <v>87</v>
      </c>
      <c r="D1626" s="9" t="s">
        <v>97</v>
      </c>
      <c r="E1626" s="9" t="s">
        <v>3602</v>
      </c>
      <c r="F1626" s="19" t="n">
        <f aca="false">IF('Base de Datos SADI'!U544="","",'Base de Datos SADI'!U544)</f>
        <v>85</v>
      </c>
      <c r="G1626" s="15"/>
      <c r="H1626" s="30"/>
      <c r="I1626" s="31" t="str">
        <f aca="false">IF(OR($G1626="",$G1626=0),"",IFERROR(ROUND($F1626*$G1626*(1-IF($H1626="",0,$H1626)),2),""))</f>
        <v/>
      </c>
      <c r="J1626" s="9"/>
    </row>
    <row r="1627" customFormat="false" ht="21.75" hidden="false" customHeight="true" outlineLevel="0" collapsed="false">
      <c r="B1627" s="14" t="n">
        <v>541</v>
      </c>
      <c r="C1627" s="7" t="s">
        <v>87</v>
      </c>
      <c r="D1627" s="7" t="s">
        <v>97</v>
      </c>
      <c r="E1627" s="7" t="s">
        <v>3603</v>
      </c>
      <c r="F1627" s="18" t="n">
        <f aca="false">IF('Base de Datos SADI'!U545="","",'Base de Datos SADI'!U545)</f>
        <v>125</v>
      </c>
      <c r="G1627" s="14"/>
      <c r="H1627" s="28"/>
      <c r="I1627" s="29" t="str">
        <f aca="false">IF(OR($G1627="",$G1627=0),"",IFERROR(ROUND($F1627*$G1627*(1-IF($H1627="",0,$H1627)),2),""))</f>
        <v/>
      </c>
      <c r="J1627" s="7"/>
    </row>
    <row r="1628" customFormat="false" ht="21.75" hidden="false" customHeight="true" outlineLevel="0" collapsed="false">
      <c r="B1628" s="15" t="n">
        <v>542</v>
      </c>
      <c r="C1628" s="9" t="s">
        <v>87</v>
      </c>
      <c r="D1628" s="9" t="s">
        <v>98</v>
      </c>
      <c r="E1628" s="9" t="s">
        <v>391</v>
      </c>
      <c r="F1628" s="19" t="str">
        <f aca="false">IF('Base de Datos SADI'!U546="","",'Base de Datos SADI'!U546)</f>
        <v/>
      </c>
      <c r="G1628" s="15"/>
      <c r="H1628" s="30"/>
      <c r="I1628" s="31" t="str">
        <f aca="false">IF(OR($G1628="",$G1628=0),"",IFERROR(ROUND($F1628*$G1628*(1-IF($H1628="",0,$H1628)),2),""))</f>
        <v/>
      </c>
      <c r="J1628" s="9"/>
    </row>
    <row r="1629" customFormat="false" ht="21.75" hidden="false" customHeight="true" outlineLevel="0" collapsed="false">
      <c r="B1629" s="14" t="n">
        <v>543</v>
      </c>
      <c r="C1629" s="7" t="s">
        <v>87</v>
      </c>
      <c r="D1629" s="7" t="s">
        <v>99</v>
      </c>
      <c r="E1629" s="7" t="s">
        <v>391</v>
      </c>
      <c r="F1629" s="18" t="str">
        <f aca="false">IF('Base de Datos SADI'!U547="","",'Base de Datos SADI'!U547)</f>
        <v/>
      </c>
      <c r="G1629" s="14"/>
      <c r="H1629" s="28"/>
      <c r="I1629" s="29" t="str">
        <f aca="false">IF(OR($G1629="",$G1629=0),"",IFERROR(ROUND($F1629*$G1629*(1-IF($H1629="",0,$H1629)),2),""))</f>
        <v/>
      </c>
      <c r="J1629" s="7"/>
    </row>
    <row r="1630" customFormat="false" ht="21.75" hidden="false" customHeight="true" outlineLevel="0" collapsed="false">
      <c r="B1630" s="15" t="n">
        <v>544</v>
      </c>
      <c r="C1630" s="9" t="s">
        <v>87</v>
      </c>
      <c r="D1630" s="9" t="s">
        <v>100</v>
      </c>
      <c r="E1630" s="9" t="s">
        <v>391</v>
      </c>
      <c r="F1630" s="19" t="str">
        <f aca="false">IF('Base de Datos SADI'!U548="","",'Base de Datos SADI'!U548)</f>
        <v/>
      </c>
      <c r="G1630" s="15"/>
      <c r="H1630" s="30"/>
      <c r="I1630" s="31" t="str">
        <f aca="false">IF(OR($G1630="",$G1630=0),"",IFERROR(ROUND($F1630*$G1630*(1-IF($H1630="",0,$H1630)),2),""))</f>
        <v/>
      </c>
      <c r="J1630" s="9"/>
    </row>
    <row r="1631" customFormat="false" ht="21.75" hidden="false" customHeight="true" outlineLevel="0" collapsed="false">
      <c r="B1631" s="14" t="n">
        <v>545</v>
      </c>
      <c r="C1631" s="7" t="s">
        <v>87</v>
      </c>
      <c r="D1631" s="7" t="s">
        <v>101</v>
      </c>
      <c r="E1631" s="7" t="s">
        <v>391</v>
      </c>
      <c r="F1631" s="18" t="str">
        <f aca="false">IF('Base de Datos SADI'!U549="","",'Base de Datos SADI'!U549)</f>
        <v/>
      </c>
      <c r="G1631" s="14"/>
      <c r="H1631" s="28"/>
      <c r="I1631" s="29" t="str">
        <f aca="false">IF(OR($G1631="",$G1631=0),"",IFERROR(ROUND($F1631*$G1631*(1-IF($H1631="",0,$H1631)),2),""))</f>
        <v/>
      </c>
      <c r="J1631" s="7"/>
    </row>
    <row r="1632" customFormat="false" ht="21.75" hidden="false" customHeight="true" outlineLevel="0" collapsed="false">
      <c r="B1632" s="15" t="n">
        <v>546</v>
      </c>
      <c r="C1632" s="9" t="s">
        <v>87</v>
      </c>
      <c r="D1632" s="9" t="s">
        <v>102</v>
      </c>
      <c r="E1632" s="9" t="s">
        <v>3608</v>
      </c>
      <c r="F1632" s="19" t="n">
        <f aca="false">IF('Base de Datos SADI'!U550="","",'Base de Datos SADI'!U550)</f>
        <v>25</v>
      </c>
      <c r="G1632" s="15"/>
      <c r="H1632" s="30"/>
      <c r="I1632" s="31" t="str">
        <f aca="false">IF(OR($G1632="",$G1632=0),"",IFERROR(ROUND($F1632*$G1632*(1-IF($H1632="",0,$H1632)),2),""))</f>
        <v/>
      </c>
      <c r="J1632" s="9"/>
    </row>
    <row r="1633" customFormat="false" ht="21.75" hidden="false" customHeight="true" outlineLevel="0" collapsed="false">
      <c r="B1633" s="14" t="n">
        <v>547</v>
      </c>
      <c r="C1633" s="7" t="s">
        <v>87</v>
      </c>
      <c r="D1633" s="7" t="s">
        <v>102</v>
      </c>
      <c r="E1633" s="7" t="s">
        <v>3610</v>
      </c>
      <c r="F1633" s="18" t="n">
        <f aca="false">IF('Base de Datos SADI'!U551="","",'Base de Datos SADI'!U551)</f>
        <v>40</v>
      </c>
      <c r="G1633" s="14"/>
      <c r="H1633" s="28"/>
      <c r="I1633" s="29" t="str">
        <f aca="false">IF(OR($G1633="",$G1633=0),"",IFERROR(ROUND($F1633*$G1633*(1-IF($H1633="",0,$H1633)),2),""))</f>
        <v/>
      </c>
      <c r="J1633" s="7"/>
    </row>
    <row r="1634" customFormat="false" ht="21.75" hidden="false" customHeight="true" outlineLevel="0" collapsed="false">
      <c r="B1634" s="15" t="n">
        <v>548</v>
      </c>
      <c r="C1634" s="9" t="s">
        <v>87</v>
      </c>
      <c r="D1634" s="9" t="s">
        <v>102</v>
      </c>
      <c r="E1634" s="9" t="s">
        <v>3611</v>
      </c>
      <c r="F1634" s="19" t="n">
        <f aca="false">IF('Base de Datos SADI'!U552="","",'Base de Datos SADI'!U552)</f>
        <v>55</v>
      </c>
      <c r="G1634" s="15"/>
      <c r="H1634" s="30"/>
      <c r="I1634" s="31" t="str">
        <f aca="false">IF(OR($G1634="",$G1634=0),"",IFERROR(ROUND($F1634*$G1634*(1-IF($H1634="",0,$H1634)),2),""))</f>
        <v/>
      </c>
      <c r="J1634" s="9"/>
    </row>
    <row r="1635" customFormat="false" ht="21.75" hidden="false" customHeight="true" outlineLevel="0" collapsed="false">
      <c r="B1635" s="14" t="n">
        <v>549</v>
      </c>
      <c r="C1635" s="7" t="s">
        <v>87</v>
      </c>
      <c r="D1635" s="7" t="s">
        <v>102</v>
      </c>
      <c r="E1635" s="7" t="s">
        <v>3613</v>
      </c>
      <c r="F1635" s="18" t="n">
        <f aca="false">IF('Base de Datos SADI'!U553="","",'Base de Datos SADI'!U553)</f>
        <v>85</v>
      </c>
      <c r="G1635" s="14"/>
      <c r="H1635" s="28"/>
      <c r="I1635" s="29" t="str">
        <f aca="false">IF(OR($G1635="",$G1635=0),"",IFERROR(ROUND($F1635*$G1635*(1-IF($H1635="",0,$H1635)),2),""))</f>
        <v/>
      </c>
      <c r="J1635" s="7"/>
    </row>
    <row r="1636" customFormat="false" ht="21.75" hidden="false" customHeight="true" outlineLevel="0" collapsed="false">
      <c r="B1636" s="15" t="n">
        <v>550</v>
      </c>
      <c r="C1636" s="9" t="s">
        <v>87</v>
      </c>
      <c r="D1636" s="9" t="s">
        <v>102</v>
      </c>
      <c r="E1636" s="9" t="s">
        <v>3614</v>
      </c>
      <c r="F1636" s="19" t="n">
        <f aca="false">IF('Base de Datos SADI'!U554="","",'Base de Datos SADI'!U554)</f>
        <v>125</v>
      </c>
      <c r="G1636" s="15"/>
      <c r="H1636" s="30"/>
      <c r="I1636" s="31" t="str">
        <f aca="false">IF(OR($G1636="",$G1636=0),"",IFERROR(ROUND($F1636*$G1636*(1-IF($H1636="",0,$H1636)),2),""))</f>
        <v/>
      </c>
      <c r="J1636" s="9"/>
    </row>
    <row r="1637" customFormat="false" ht="21.75" hidden="false" customHeight="true" outlineLevel="0" collapsed="false">
      <c r="B1637" s="14" t="n">
        <v>551</v>
      </c>
      <c r="C1637" s="7" t="s">
        <v>87</v>
      </c>
      <c r="D1637" s="7" t="s">
        <v>103</v>
      </c>
      <c r="E1637" s="7" t="s">
        <v>391</v>
      </c>
      <c r="F1637" s="18" t="str">
        <f aca="false">IF('Base de Datos SADI'!U555="","",'Base de Datos SADI'!U555)</f>
        <v/>
      </c>
      <c r="G1637" s="14"/>
      <c r="H1637" s="28"/>
      <c r="I1637" s="29" t="str">
        <f aca="false">IF(OR($G1637="",$G1637=0),"",IFERROR(ROUND($F1637*$G1637*(1-IF($H1637="",0,$H1637)),2),""))</f>
        <v/>
      </c>
      <c r="J1637" s="7"/>
    </row>
    <row r="1638" customFormat="false" ht="21.75" hidden="false" customHeight="true" outlineLevel="0" collapsed="false">
      <c r="B1638" s="15" t="n">
        <v>552</v>
      </c>
      <c r="C1638" s="9" t="s">
        <v>87</v>
      </c>
      <c r="D1638" s="9" t="s">
        <v>104</v>
      </c>
      <c r="E1638" s="9" t="s">
        <v>2616</v>
      </c>
      <c r="F1638" s="19" t="n">
        <f aca="false">IF('Base de Datos SADI'!U556="","",'Base de Datos SADI'!U556)</f>
        <v>25</v>
      </c>
      <c r="G1638" s="15"/>
      <c r="H1638" s="30"/>
      <c r="I1638" s="31" t="str">
        <f aca="false">IF(OR($G1638="",$G1638=0),"",IFERROR(ROUND($F1638*$G1638*(1-IF($H1638="",0,$H1638)),2),""))</f>
        <v/>
      </c>
      <c r="J1638" s="9"/>
    </row>
    <row r="1639" customFormat="false" ht="21.75" hidden="false" customHeight="true" outlineLevel="0" collapsed="false">
      <c r="B1639" s="14" t="n">
        <v>553</v>
      </c>
      <c r="C1639" s="7" t="s">
        <v>87</v>
      </c>
      <c r="D1639" s="7" t="s">
        <v>104</v>
      </c>
      <c r="E1639" s="7" t="s">
        <v>2627</v>
      </c>
      <c r="F1639" s="18" t="n">
        <f aca="false">IF('Base de Datos SADI'!U557="","",'Base de Datos SADI'!U557)</f>
        <v>40</v>
      </c>
      <c r="G1639" s="14"/>
      <c r="H1639" s="28"/>
      <c r="I1639" s="29" t="str">
        <f aca="false">IF(OR($G1639="",$G1639=0),"",IFERROR(ROUND($F1639*$G1639*(1-IF($H1639="",0,$H1639)),2),""))</f>
        <v/>
      </c>
      <c r="J1639" s="7"/>
    </row>
    <row r="1640" customFormat="false" ht="21.75" hidden="false" customHeight="true" outlineLevel="0" collapsed="false">
      <c r="B1640" s="15" t="n">
        <v>554</v>
      </c>
      <c r="C1640" s="9" t="s">
        <v>87</v>
      </c>
      <c r="D1640" s="9" t="s">
        <v>104</v>
      </c>
      <c r="E1640" s="9" t="s">
        <v>2622</v>
      </c>
      <c r="F1640" s="19" t="n">
        <f aca="false">IF('Base de Datos SADI'!U558="","",'Base de Datos SADI'!U558)</f>
        <v>55</v>
      </c>
      <c r="G1640" s="15"/>
      <c r="H1640" s="30"/>
      <c r="I1640" s="31" t="str">
        <f aca="false">IF(OR($G1640="",$G1640=0),"",IFERROR(ROUND($F1640*$G1640*(1-IF($H1640="",0,$H1640)),2),""))</f>
        <v/>
      </c>
      <c r="J1640" s="9"/>
    </row>
    <row r="1641" customFormat="false" ht="21.75" hidden="false" customHeight="true" outlineLevel="0" collapsed="false">
      <c r="B1641" s="14" t="n">
        <v>555</v>
      </c>
      <c r="C1641" s="7" t="s">
        <v>87</v>
      </c>
      <c r="D1641" s="7" t="s">
        <v>104</v>
      </c>
      <c r="E1641" s="7" t="s">
        <v>3617</v>
      </c>
      <c r="F1641" s="18" t="n">
        <f aca="false">IF('Base de Datos SADI'!U559="","",'Base de Datos SADI'!U559)</f>
        <v>85</v>
      </c>
      <c r="G1641" s="14"/>
      <c r="H1641" s="28"/>
      <c r="I1641" s="29" t="str">
        <f aca="false">IF(OR($G1641="",$G1641=0),"",IFERROR(ROUND($F1641*$G1641*(1-IF($H1641="",0,$H1641)),2),""))</f>
        <v/>
      </c>
      <c r="J1641" s="7"/>
    </row>
    <row r="1642" customFormat="false" ht="21.75" hidden="false" customHeight="true" outlineLevel="0" collapsed="false">
      <c r="B1642" s="15" t="n">
        <v>556</v>
      </c>
      <c r="C1642" s="9" t="s">
        <v>87</v>
      </c>
      <c r="D1642" s="9" t="s">
        <v>104</v>
      </c>
      <c r="E1642" s="9" t="s">
        <v>3618</v>
      </c>
      <c r="F1642" s="19" t="n">
        <f aca="false">IF('Base de Datos SADI'!U560="","",'Base de Datos SADI'!U560)</f>
        <v>125</v>
      </c>
      <c r="G1642" s="15"/>
      <c r="H1642" s="30"/>
      <c r="I1642" s="31" t="str">
        <f aca="false">IF(OR($G1642="",$G1642=0),"",IFERROR(ROUND($F1642*$G1642*(1-IF($H1642="",0,$H1642)),2),""))</f>
        <v/>
      </c>
      <c r="J1642" s="9"/>
    </row>
    <row r="1643" customFormat="false" ht="21.75" hidden="false" customHeight="true" outlineLevel="0" collapsed="false">
      <c r="B1643" s="14" t="n">
        <v>557</v>
      </c>
      <c r="C1643" s="7" t="s">
        <v>87</v>
      </c>
      <c r="D1643" s="7" t="s">
        <v>105</v>
      </c>
      <c r="E1643" s="7" t="s">
        <v>2631</v>
      </c>
      <c r="F1643" s="18" t="n">
        <f aca="false">IF('Base de Datos SADI'!U561="","",'Base de Datos SADI'!U561)</f>
        <v>30</v>
      </c>
      <c r="G1643" s="14"/>
      <c r="H1643" s="28"/>
      <c r="I1643" s="29" t="str">
        <f aca="false">IF(OR($G1643="",$G1643=0),"",IFERROR(ROUND($F1643*$G1643*(1-IF($H1643="",0,$H1643)),2),""))</f>
        <v/>
      </c>
      <c r="J1643" s="7"/>
    </row>
    <row r="1644" customFormat="false" ht="21.75" hidden="false" customHeight="true" outlineLevel="0" collapsed="false">
      <c r="B1644" s="15" t="n">
        <v>558</v>
      </c>
      <c r="C1644" s="9" t="s">
        <v>87</v>
      </c>
      <c r="D1644" s="9" t="s">
        <v>105</v>
      </c>
      <c r="E1644" s="9" t="s">
        <v>3620</v>
      </c>
      <c r="F1644" s="19" t="n">
        <f aca="false">IF('Base de Datos SADI'!U562="","",'Base de Datos SADI'!U562)</f>
        <v>45</v>
      </c>
      <c r="G1644" s="15"/>
      <c r="H1644" s="30"/>
      <c r="I1644" s="31" t="str">
        <f aca="false">IF(OR($G1644="",$G1644=0),"",IFERROR(ROUND($F1644*$G1644*(1-IF($H1644="",0,$H1644)),2),""))</f>
        <v/>
      </c>
      <c r="J1644" s="9"/>
    </row>
    <row r="1645" customFormat="false" ht="21.75" hidden="false" customHeight="true" outlineLevel="0" collapsed="false">
      <c r="B1645" s="14" t="n">
        <v>559</v>
      </c>
      <c r="C1645" s="7" t="s">
        <v>87</v>
      </c>
      <c r="D1645" s="7" t="s">
        <v>105</v>
      </c>
      <c r="E1645" s="7" t="s">
        <v>3621</v>
      </c>
      <c r="F1645" s="18" t="n">
        <f aca="false">IF('Base de Datos SADI'!U563="","",'Base de Datos SADI'!U563)</f>
        <v>65</v>
      </c>
      <c r="G1645" s="14"/>
      <c r="H1645" s="28"/>
      <c r="I1645" s="29" t="str">
        <f aca="false">IF(OR($G1645="",$G1645=0),"",IFERROR(ROUND($F1645*$G1645*(1-IF($H1645="",0,$H1645)),2),""))</f>
        <v/>
      </c>
      <c r="J1645" s="7"/>
    </row>
    <row r="1646" customFormat="false" ht="21.75" hidden="false" customHeight="true" outlineLevel="0" collapsed="false">
      <c r="B1646" s="15" t="n">
        <v>560</v>
      </c>
      <c r="C1646" s="9" t="s">
        <v>87</v>
      </c>
      <c r="D1646" s="9" t="s">
        <v>105</v>
      </c>
      <c r="E1646" s="9" t="s">
        <v>3623</v>
      </c>
      <c r="F1646" s="19" t="n">
        <f aca="false">IF('Base de Datos SADI'!U564="","",'Base de Datos SADI'!U564)</f>
        <v>95</v>
      </c>
      <c r="G1646" s="15"/>
      <c r="H1646" s="30"/>
      <c r="I1646" s="31" t="str">
        <f aca="false">IF(OR($G1646="",$G1646=0),"",IFERROR(ROUND($F1646*$G1646*(1-IF($H1646="",0,$H1646)),2),""))</f>
        <v/>
      </c>
      <c r="J1646" s="9"/>
    </row>
    <row r="1647" customFormat="false" ht="21.75" hidden="false" customHeight="true" outlineLevel="0" collapsed="false">
      <c r="B1647" s="14" t="n">
        <v>561</v>
      </c>
      <c r="C1647" s="7" t="s">
        <v>87</v>
      </c>
      <c r="D1647" s="7" t="s">
        <v>105</v>
      </c>
      <c r="E1647" s="7" t="s">
        <v>3624</v>
      </c>
      <c r="F1647" s="18" t="n">
        <f aca="false">IF('Base de Datos SADI'!U565="","",'Base de Datos SADI'!U565)</f>
        <v>140</v>
      </c>
      <c r="G1647" s="14"/>
      <c r="H1647" s="28"/>
      <c r="I1647" s="29" t="str">
        <f aca="false">IF(OR($G1647="",$G1647=0),"",IFERROR(ROUND($F1647*$G1647*(1-IF($H1647="",0,$H1647)),2),""))</f>
        <v/>
      </c>
      <c r="J1647" s="7"/>
    </row>
    <row r="1648" customFormat="false" ht="21.75" hidden="false" customHeight="true" outlineLevel="0" collapsed="false">
      <c r="B1648" s="15" t="n">
        <v>562</v>
      </c>
      <c r="C1648" s="9" t="s">
        <v>87</v>
      </c>
      <c r="D1648" s="9" t="s">
        <v>106</v>
      </c>
      <c r="E1648" s="9" t="s">
        <v>2645</v>
      </c>
      <c r="F1648" s="19" t="n">
        <f aca="false">IF('Base de Datos SADI'!U566="","",'Base de Datos SADI'!U566)</f>
        <v>155</v>
      </c>
      <c r="G1648" s="15"/>
      <c r="H1648" s="30"/>
      <c r="I1648" s="31" t="str">
        <f aca="false">IF(OR($G1648="",$G1648=0),"",IFERROR(ROUND($F1648*$G1648*(1-IF($H1648="",0,$H1648)),2),""))</f>
        <v/>
      </c>
      <c r="J1648" s="9"/>
    </row>
    <row r="1649" customFormat="false" ht="21.75" hidden="false" customHeight="true" outlineLevel="0" collapsed="false">
      <c r="B1649" s="14" t="n">
        <v>563</v>
      </c>
      <c r="C1649" s="7" t="s">
        <v>87</v>
      </c>
      <c r="D1649" s="7" t="s">
        <v>106</v>
      </c>
      <c r="E1649" s="7" t="s">
        <v>3628</v>
      </c>
      <c r="F1649" s="18" t="n">
        <f aca="false">IF('Base de Datos SADI'!U567="","",'Base de Datos SADI'!U567)</f>
        <v>235</v>
      </c>
      <c r="G1649" s="14"/>
      <c r="H1649" s="28"/>
      <c r="I1649" s="29" t="str">
        <f aca="false">IF(OR($G1649="",$G1649=0),"",IFERROR(ROUND($F1649*$G1649*(1-IF($H1649="",0,$H1649)),2),""))</f>
        <v/>
      </c>
      <c r="J1649" s="7"/>
    </row>
    <row r="1650" customFormat="false" ht="21.75" hidden="false" customHeight="true" outlineLevel="0" collapsed="false">
      <c r="B1650" s="15" t="n">
        <v>564</v>
      </c>
      <c r="C1650" s="9" t="s">
        <v>87</v>
      </c>
      <c r="D1650" s="9" t="s">
        <v>106</v>
      </c>
      <c r="E1650" s="9" t="s">
        <v>3629</v>
      </c>
      <c r="F1650" s="19" t="n">
        <f aca="false">IF('Base de Datos SADI'!U568="","",'Base de Datos SADI'!U568)</f>
        <v>315</v>
      </c>
      <c r="G1650" s="15"/>
      <c r="H1650" s="30"/>
      <c r="I1650" s="31" t="str">
        <f aca="false">IF(OR($G1650="",$G1650=0),"",IFERROR(ROUND($F1650*$G1650*(1-IF($H1650="",0,$H1650)),2),""))</f>
        <v/>
      </c>
      <c r="J1650" s="9"/>
    </row>
    <row r="1651" customFormat="false" ht="21.75" hidden="false" customHeight="true" outlineLevel="0" collapsed="false">
      <c r="B1651" s="14" t="n">
        <v>565</v>
      </c>
      <c r="C1651" s="7" t="s">
        <v>87</v>
      </c>
      <c r="D1651" s="7" t="s">
        <v>106</v>
      </c>
      <c r="E1651" s="7" t="s">
        <v>3631</v>
      </c>
      <c r="F1651" s="18" t="n">
        <f aca="false">IF('Base de Datos SADI'!U569="","",'Base de Datos SADI'!U569)</f>
        <v>470</v>
      </c>
      <c r="G1651" s="14"/>
      <c r="H1651" s="28"/>
      <c r="I1651" s="29" t="str">
        <f aca="false">IF(OR($G1651="",$G1651=0),"",IFERROR(ROUND($F1651*$G1651*(1-IF($H1651="",0,$H1651)),2),""))</f>
        <v/>
      </c>
      <c r="J1651" s="7"/>
    </row>
    <row r="1652" customFormat="false" ht="21.75" hidden="false" customHeight="true" outlineLevel="0" collapsed="false">
      <c r="B1652" s="15" t="n">
        <v>566</v>
      </c>
      <c r="C1652" s="9" t="s">
        <v>87</v>
      </c>
      <c r="D1652" s="9" t="s">
        <v>106</v>
      </c>
      <c r="E1652" s="9" t="s">
        <v>3632</v>
      </c>
      <c r="F1652" s="19" t="n">
        <f aca="false">IF('Base de Datos SADI'!U570="","",'Base de Datos SADI'!U570)</f>
        <v>690</v>
      </c>
      <c r="G1652" s="15"/>
      <c r="H1652" s="30"/>
      <c r="I1652" s="31" t="str">
        <f aca="false">IF(OR($G1652="",$G1652=0),"",IFERROR(ROUND($F1652*$G1652*(1-IF($H1652="",0,$H1652)),2),""))</f>
        <v/>
      </c>
      <c r="J1652" s="9"/>
    </row>
    <row r="1653" customFormat="false" ht="21.75" hidden="false" customHeight="true" outlineLevel="0" collapsed="false">
      <c r="B1653" s="14" t="n">
        <v>567</v>
      </c>
      <c r="C1653" s="7" t="s">
        <v>87</v>
      </c>
      <c r="D1653" s="7" t="s">
        <v>107</v>
      </c>
      <c r="E1653" s="7" t="s">
        <v>391</v>
      </c>
      <c r="F1653" s="18" t="str">
        <f aca="false">IF('Base de Datos SADI'!U571="","",'Base de Datos SADI'!U571)</f>
        <v/>
      </c>
      <c r="G1653" s="14"/>
      <c r="H1653" s="28"/>
      <c r="I1653" s="29" t="str">
        <f aca="false">IF(OR($G1653="",$G1653=0),"",IFERROR(ROUND($F1653*$G1653*(1-IF($H1653="",0,$H1653)),2),""))</f>
        <v/>
      </c>
      <c r="J1653" s="7"/>
    </row>
    <row r="1654" customFormat="false" ht="21.75" hidden="false" customHeight="true" outlineLevel="0" collapsed="false">
      <c r="B1654" s="15" t="n">
        <v>568</v>
      </c>
      <c r="C1654" s="9" t="s">
        <v>87</v>
      </c>
      <c r="D1654" s="9" t="s">
        <v>108</v>
      </c>
      <c r="E1654" s="9" t="s">
        <v>3634</v>
      </c>
      <c r="F1654" s="19" t="n">
        <f aca="false">IF('Base de Datos SADI'!U572="","",'Base de Datos SADI'!U572)</f>
        <v>11</v>
      </c>
      <c r="G1654" s="15"/>
      <c r="H1654" s="30"/>
      <c r="I1654" s="31" t="str">
        <f aca="false">IF(OR($G1654="",$G1654=0),"",IFERROR(ROUND($F1654*$G1654*(1-IF($H1654="",0,$H1654)),2),""))</f>
        <v/>
      </c>
      <c r="J1654" s="9"/>
    </row>
    <row r="1655" customFormat="false" ht="21.75" hidden="false" customHeight="true" outlineLevel="0" collapsed="false">
      <c r="B1655" s="14" t="n">
        <v>569</v>
      </c>
      <c r="C1655" s="7" t="s">
        <v>87</v>
      </c>
      <c r="D1655" s="7" t="s">
        <v>108</v>
      </c>
      <c r="E1655" s="7" t="s">
        <v>2671</v>
      </c>
      <c r="F1655" s="18" t="n">
        <f aca="false">IF('Base de Datos SADI'!U573="","",'Base de Datos SADI'!U573)</f>
        <v>16</v>
      </c>
      <c r="G1655" s="14"/>
      <c r="H1655" s="28"/>
      <c r="I1655" s="29" t="str">
        <f aca="false">IF(OR($G1655="",$G1655=0),"",IFERROR(ROUND($F1655*$G1655*(1-IF($H1655="",0,$H1655)),2),""))</f>
        <v/>
      </c>
      <c r="J1655" s="7"/>
    </row>
    <row r="1656" customFormat="false" ht="21.75" hidden="false" customHeight="true" outlineLevel="0" collapsed="false">
      <c r="B1656" s="15" t="n">
        <v>570</v>
      </c>
      <c r="C1656" s="9" t="s">
        <v>87</v>
      </c>
      <c r="D1656" s="9" t="s">
        <v>108</v>
      </c>
      <c r="E1656" s="9" t="s">
        <v>3641</v>
      </c>
      <c r="F1656" s="19" t="n">
        <f aca="false">IF('Base de Datos SADI'!U574="","",'Base de Datos SADI'!U574)</f>
        <v>20</v>
      </c>
      <c r="G1656" s="15"/>
      <c r="H1656" s="30"/>
      <c r="I1656" s="31" t="str">
        <f aca="false">IF(OR($G1656="",$G1656=0),"",IFERROR(ROUND($F1656*$G1656*(1-IF($H1656="",0,$H1656)),2),""))</f>
        <v/>
      </c>
      <c r="J1656" s="9"/>
    </row>
    <row r="1657" customFormat="false" ht="21.75" hidden="false" customHeight="true" outlineLevel="0" collapsed="false">
      <c r="B1657" s="14" t="n">
        <v>571</v>
      </c>
      <c r="C1657" s="7" t="s">
        <v>87</v>
      </c>
      <c r="D1657" s="7" t="s">
        <v>108</v>
      </c>
      <c r="E1657" s="7" t="s">
        <v>2666</v>
      </c>
      <c r="F1657" s="18" t="n">
        <f aca="false">IF('Base de Datos SADI'!U575="","",'Base de Datos SADI'!U575)</f>
        <v>30</v>
      </c>
      <c r="G1657" s="14"/>
      <c r="H1657" s="28"/>
      <c r="I1657" s="29" t="str">
        <f aca="false">IF(OR($G1657="",$G1657=0),"",IFERROR(ROUND($F1657*$G1657*(1-IF($H1657="",0,$H1657)),2),""))</f>
        <v/>
      </c>
      <c r="J1657" s="7"/>
    </row>
    <row r="1658" customFormat="false" ht="21.75" hidden="false" customHeight="true" outlineLevel="0" collapsed="false">
      <c r="B1658" s="15" t="n">
        <v>572</v>
      </c>
      <c r="C1658" s="9" t="s">
        <v>87</v>
      </c>
      <c r="D1658" s="9" t="s">
        <v>108</v>
      </c>
      <c r="E1658" s="9" t="s">
        <v>2668</v>
      </c>
      <c r="F1658" s="19" t="n">
        <f aca="false">IF('Base de Datos SADI'!U576="","",'Base de Datos SADI'!U576)</f>
        <v>45</v>
      </c>
      <c r="G1658" s="15"/>
      <c r="H1658" s="30"/>
      <c r="I1658" s="31" t="str">
        <f aca="false">IF(OR($G1658="",$G1658=0),"",IFERROR(ROUND($F1658*$G1658*(1-IF($H1658="",0,$H1658)),2),""))</f>
        <v/>
      </c>
      <c r="J1658" s="9"/>
    </row>
    <row r="1659" customFormat="false" ht="21.75" hidden="false" customHeight="true" outlineLevel="0" collapsed="false">
      <c r="B1659" s="14" t="n">
        <v>573</v>
      </c>
      <c r="C1659" s="7" t="s">
        <v>88</v>
      </c>
      <c r="D1659" s="7" t="s">
        <v>93</v>
      </c>
      <c r="E1659" s="7" t="s">
        <v>3643</v>
      </c>
      <c r="F1659" s="18" t="n">
        <f aca="false">IF('Base de Datos SADI'!U577="","",'Base de Datos SADI'!U577)</f>
        <v>155</v>
      </c>
      <c r="G1659" s="14"/>
      <c r="H1659" s="28"/>
      <c r="I1659" s="29" t="str">
        <f aca="false">IF(OR($G1659="",$G1659=0),"",IFERROR(ROUND($F1659*$G1659*(1-IF($H1659="",0,$H1659)),2),""))</f>
        <v/>
      </c>
      <c r="J1659" s="7"/>
    </row>
    <row r="1660" customFormat="false" ht="21.75" hidden="false" customHeight="true" outlineLevel="0" collapsed="false">
      <c r="B1660" s="15" t="n">
        <v>574</v>
      </c>
      <c r="C1660" s="9" t="s">
        <v>88</v>
      </c>
      <c r="D1660" s="9" t="s">
        <v>93</v>
      </c>
      <c r="E1660" s="9" t="s">
        <v>3653</v>
      </c>
      <c r="F1660" s="19" t="n">
        <f aca="false">IF('Base de Datos SADI'!U578="","",'Base de Datos SADI'!U578)</f>
        <v>230</v>
      </c>
      <c r="G1660" s="15"/>
      <c r="H1660" s="30"/>
      <c r="I1660" s="31" t="str">
        <f aca="false">IF(OR($G1660="",$G1660=0),"",IFERROR(ROUND($F1660*$G1660*(1-IF($H1660="",0,$H1660)),2),""))</f>
        <v/>
      </c>
      <c r="J1660" s="9"/>
    </row>
    <row r="1661" customFormat="false" ht="21.75" hidden="false" customHeight="true" outlineLevel="0" collapsed="false">
      <c r="B1661" s="14" t="n">
        <v>575</v>
      </c>
      <c r="C1661" s="7" t="s">
        <v>88</v>
      </c>
      <c r="D1661" s="7" t="s">
        <v>93</v>
      </c>
      <c r="E1661" s="7" t="s">
        <v>3654</v>
      </c>
      <c r="F1661" s="18" t="n">
        <f aca="false">IF('Base de Datos SADI'!U579="","",'Base de Datos SADI'!U579)</f>
        <v>310</v>
      </c>
      <c r="G1661" s="14"/>
      <c r="H1661" s="28"/>
      <c r="I1661" s="29" t="str">
        <f aca="false">IF(OR($G1661="",$G1661=0),"",IFERROR(ROUND($F1661*$G1661*(1-IF($H1661="",0,$H1661)),2),""))</f>
        <v/>
      </c>
      <c r="J1661" s="7"/>
    </row>
    <row r="1662" customFormat="false" ht="21.75" hidden="false" customHeight="true" outlineLevel="0" collapsed="false">
      <c r="B1662" s="15" t="n">
        <v>576</v>
      </c>
      <c r="C1662" s="9" t="s">
        <v>88</v>
      </c>
      <c r="D1662" s="9" t="s">
        <v>93</v>
      </c>
      <c r="E1662" s="9" t="s">
        <v>3656</v>
      </c>
      <c r="F1662" s="19" t="n">
        <f aca="false">IF('Base de Datos SADI'!U580="","",'Base de Datos SADI'!U580)</f>
        <v>465</v>
      </c>
      <c r="G1662" s="15"/>
      <c r="H1662" s="30"/>
      <c r="I1662" s="31" t="str">
        <f aca="false">IF(OR($G1662="",$G1662=0),"",IFERROR(ROUND($F1662*$G1662*(1-IF($H1662="",0,$H1662)),2),""))</f>
        <v/>
      </c>
      <c r="J1662" s="9"/>
    </row>
    <row r="1663" customFormat="false" ht="21.75" hidden="false" customHeight="true" outlineLevel="0" collapsed="false">
      <c r="B1663" s="14" t="n">
        <v>577</v>
      </c>
      <c r="C1663" s="7" t="s">
        <v>88</v>
      </c>
      <c r="D1663" s="7" t="s">
        <v>93</v>
      </c>
      <c r="E1663" s="7" t="s">
        <v>3657</v>
      </c>
      <c r="F1663" s="18" t="n">
        <f aca="false">IF('Base de Datos SADI'!U581="","",'Base de Datos SADI'!U581)</f>
        <v>680</v>
      </c>
      <c r="G1663" s="14"/>
      <c r="H1663" s="28"/>
      <c r="I1663" s="29" t="str">
        <f aca="false">IF(OR($G1663="",$G1663=0),"",IFERROR(ROUND($F1663*$G1663*(1-IF($H1663="",0,$H1663)),2),""))</f>
        <v/>
      </c>
      <c r="J1663" s="7"/>
    </row>
    <row r="1664" customFormat="false" ht="21.75" hidden="false" customHeight="true" outlineLevel="0" collapsed="false">
      <c r="B1664" s="15" t="n">
        <v>578</v>
      </c>
      <c r="C1664" s="9" t="s">
        <v>88</v>
      </c>
      <c r="D1664" s="9" t="s">
        <v>94</v>
      </c>
      <c r="E1664" s="9" t="s">
        <v>3658</v>
      </c>
      <c r="F1664" s="19" t="n">
        <f aca="false">IF('Base de Datos SADI'!U582="","",'Base de Datos SADI'!U582)</f>
        <v>80</v>
      </c>
      <c r="G1664" s="15"/>
      <c r="H1664" s="30"/>
      <c r="I1664" s="31" t="str">
        <f aca="false">IF(OR($G1664="",$G1664=0),"",IFERROR(ROUND($F1664*$G1664*(1-IF($H1664="",0,$H1664)),2),""))</f>
        <v/>
      </c>
      <c r="J1664" s="9"/>
    </row>
    <row r="1665" customFormat="false" ht="21.75" hidden="false" customHeight="true" outlineLevel="0" collapsed="false">
      <c r="B1665" s="14" t="n">
        <v>579</v>
      </c>
      <c r="C1665" s="7" t="s">
        <v>88</v>
      </c>
      <c r="D1665" s="7" t="s">
        <v>94</v>
      </c>
      <c r="E1665" s="7" t="s">
        <v>3662</v>
      </c>
      <c r="F1665" s="18" t="n">
        <f aca="false">IF('Base de Datos SADI'!U583="","",'Base de Datos SADI'!U583)</f>
        <v>120</v>
      </c>
      <c r="G1665" s="14"/>
      <c r="H1665" s="28"/>
      <c r="I1665" s="29" t="str">
        <f aca="false">IF(OR($G1665="",$G1665=0),"",IFERROR(ROUND($F1665*$G1665*(1-IF($H1665="",0,$H1665)),2),""))</f>
        <v/>
      </c>
      <c r="J1665" s="7"/>
    </row>
    <row r="1666" customFormat="false" ht="21.75" hidden="false" customHeight="true" outlineLevel="0" collapsed="false">
      <c r="B1666" s="15" t="n">
        <v>580</v>
      </c>
      <c r="C1666" s="9" t="s">
        <v>88</v>
      </c>
      <c r="D1666" s="9" t="s">
        <v>94</v>
      </c>
      <c r="E1666" s="9" t="s">
        <v>3663</v>
      </c>
      <c r="F1666" s="19" t="n">
        <f aca="false">IF('Base de Datos SADI'!U584="","",'Base de Datos SADI'!U584)</f>
        <v>165</v>
      </c>
      <c r="G1666" s="15"/>
      <c r="H1666" s="30"/>
      <c r="I1666" s="31" t="str">
        <f aca="false">IF(OR($G1666="",$G1666=0),"",IFERROR(ROUND($F1666*$G1666*(1-IF($H1666="",0,$H1666)),2),""))</f>
        <v/>
      </c>
      <c r="J1666" s="9"/>
    </row>
    <row r="1667" customFormat="false" ht="21.75" hidden="false" customHeight="true" outlineLevel="0" collapsed="false">
      <c r="B1667" s="14" t="n">
        <v>581</v>
      </c>
      <c r="C1667" s="7" t="s">
        <v>88</v>
      </c>
      <c r="D1667" s="7" t="s">
        <v>94</v>
      </c>
      <c r="E1667" s="7" t="s">
        <v>3665</v>
      </c>
      <c r="F1667" s="18" t="n">
        <f aca="false">IF('Base de Datos SADI'!U585="","",'Base de Datos SADI'!U585)</f>
        <v>245</v>
      </c>
      <c r="G1667" s="14"/>
      <c r="H1667" s="28"/>
      <c r="I1667" s="29" t="str">
        <f aca="false">IF(OR($G1667="",$G1667=0),"",IFERROR(ROUND($F1667*$G1667*(1-IF($H1667="",0,$H1667)),2),""))</f>
        <v/>
      </c>
      <c r="J1667" s="7"/>
    </row>
    <row r="1668" customFormat="false" ht="21.75" hidden="false" customHeight="true" outlineLevel="0" collapsed="false">
      <c r="B1668" s="15" t="n">
        <v>582</v>
      </c>
      <c r="C1668" s="9" t="s">
        <v>88</v>
      </c>
      <c r="D1668" s="9" t="s">
        <v>94</v>
      </c>
      <c r="E1668" s="9" t="s">
        <v>3666</v>
      </c>
      <c r="F1668" s="19" t="n">
        <f aca="false">IF('Base de Datos SADI'!U586="","",'Base de Datos SADI'!U586)</f>
        <v>360</v>
      </c>
      <c r="G1668" s="15"/>
      <c r="H1668" s="30"/>
      <c r="I1668" s="31" t="str">
        <f aca="false">IF(OR($G1668="",$G1668=0),"",IFERROR(ROUND($F1668*$G1668*(1-IF($H1668="",0,$H1668)),2),""))</f>
        <v/>
      </c>
      <c r="J1668" s="9"/>
    </row>
    <row r="1669" customFormat="false" ht="21.75" hidden="false" customHeight="true" outlineLevel="0" collapsed="false">
      <c r="B1669" s="14" t="n">
        <v>583</v>
      </c>
      <c r="C1669" s="7" t="s">
        <v>88</v>
      </c>
      <c r="D1669" s="7" t="s">
        <v>95</v>
      </c>
      <c r="E1669" s="7" t="s">
        <v>3667</v>
      </c>
      <c r="F1669" s="18" t="n">
        <f aca="false">IF('Base de Datos SADI'!U587="","",'Base de Datos SADI'!U587)</f>
        <v>8</v>
      </c>
      <c r="G1669" s="14"/>
      <c r="H1669" s="28"/>
      <c r="I1669" s="29" t="str">
        <f aca="false">IF(OR($G1669="",$G1669=0),"",IFERROR(ROUND($F1669*$G1669*(1-IF($H1669="",0,$H1669)),2),""))</f>
        <v/>
      </c>
      <c r="J1669" s="7"/>
    </row>
    <row r="1670" customFormat="false" ht="21.75" hidden="false" customHeight="true" outlineLevel="0" collapsed="false">
      <c r="B1670" s="15" t="n">
        <v>584</v>
      </c>
      <c r="C1670" s="9" t="s">
        <v>88</v>
      </c>
      <c r="D1670" s="9" t="s">
        <v>95</v>
      </c>
      <c r="E1670" s="9" t="s">
        <v>3668</v>
      </c>
      <c r="F1670" s="19" t="n">
        <f aca="false">IF('Base de Datos SADI'!U588="","",'Base de Datos SADI'!U588)</f>
        <v>12</v>
      </c>
      <c r="G1670" s="15"/>
      <c r="H1670" s="30"/>
      <c r="I1670" s="31" t="str">
        <f aca="false">IF(OR($G1670="",$G1670=0),"",IFERROR(ROUND($F1670*$G1670*(1-IF($H1670="",0,$H1670)),2),""))</f>
        <v/>
      </c>
      <c r="J1670" s="9"/>
    </row>
    <row r="1671" customFormat="false" ht="21.75" hidden="false" customHeight="true" outlineLevel="0" collapsed="false">
      <c r="B1671" s="14" t="n">
        <v>585</v>
      </c>
      <c r="C1671" s="7" t="s">
        <v>88</v>
      </c>
      <c r="D1671" s="7" t="s">
        <v>95</v>
      </c>
      <c r="E1671" s="7" t="s">
        <v>3669</v>
      </c>
      <c r="F1671" s="18" t="n">
        <f aca="false">IF('Base de Datos SADI'!U589="","",'Base de Datos SADI'!U589)</f>
        <v>16</v>
      </c>
      <c r="G1671" s="14"/>
      <c r="H1671" s="28"/>
      <c r="I1671" s="29" t="str">
        <f aca="false">IF(OR($G1671="",$G1671=0),"",IFERROR(ROUND($F1671*$G1671*(1-IF($H1671="",0,$H1671)),2),""))</f>
        <v/>
      </c>
      <c r="J1671" s="7"/>
    </row>
    <row r="1672" customFormat="false" ht="21.75" hidden="false" customHeight="true" outlineLevel="0" collapsed="false">
      <c r="B1672" s="15" t="n">
        <v>586</v>
      </c>
      <c r="C1672" s="9" t="s">
        <v>88</v>
      </c>
      <c r="D1672" s="9" t="s">
        <v>95</v>
      </c>
      <c r="E1672" s="9" t="s">
        <v>3671</v>
      </c>
      <c r="F1672" s="19" t="n">
        <f aca="false">IF('Base de Datos SADI'!U590="","",'Base de Datos SADI'!U590)</f>
        <v>20</v>
      </c>
      <c r="G1672" s="15"/>
      <c r="H1672" s="30"/>
      <c r="I1672" s="31" t="str">
        <f aca="false">IF(OR($G1672="",$G1672=0),"",IFERROR(ROUND($F1672*$G1672*(1-IF($H1672="",0,$H1672)),2),""))</f>
        <v/>
      </c>
      <c r="J1672" s="9"/>
    </row>
    <row r="1673" customFormat="false" ht="21.75" hidden="false" customHeight="true" outlineLevel="0" collapsed="false">
      <c r="B1673" s="14" t="n">
        <v>587</v>
      </c>
      <c r="C1673" s="7" t="s">
        <v>88</v>
      </c>
      <c r="D1673" s="7" t="s">
        <v>95</v>
      </c>
      <c r="E1673" s="7" t="s">
        <v>3672</v>
      </c>
      <c r="F1673" s="18" t="n">
        <f aca="false">IF('Base de Datos SADI'!U591="","",'Base de Datos SADI'!U591)</f>
        <v>35</v>
      </c>
      <c r="G1673" s="14"/>
      <c r="H1673" s="28"/>
      <c r="I1673" s="29" t="str">
        <f aca="false">IF(OR($G1673="",$G1673=0),"",IFERROR(ROUND($F1673*$G1673*(1-IF($H1673="",0,$H1673)),2),""))</f>
        <v/>
      </c>
      <c r="J1673" s="7"/>
    </row>
    <row r="1674" customFormat="false" ht="21.75" hidden="false" customHeight="true" outlineLevel="0" collapsed="false">
      <c r="B1674" s="15" t="n">
        <v>588</v>
      </c>
      <c r="C1674" s="9" t="s">
        <v>88</v>
      </c>
      <c r="D1674" s="9" t="s">
        <v>96</v>
      </c>
      <c r="E1674" s="9" t="s">
        <v>391</v>
      </c>
      <c r="F1674" s="19" t="str">
        <f aca="false">IF('Base de Datos SADI'!U592="","",'Base de Datos SADI'!U592)</f>
        <v/>
      </c>
      <c r="G1674" s="15"/>
      <c r="H1674" s="30"/>
      <c r="I1674" s="31" t="str">
        <f aca="false">IF(OR($G1674="",$G1674=0),"",IFERROR(ROUND($F1674*$G1674*(1-IF($H1674="",0,$H1674)),2),""))</f>
        <v/>
      </c>
      <c r="J1674" s="9"/>
    </row>
    <row r="1675" customFormat="false" ht="21.75" hidden="false" customHeight="true" outlineLevel="0" collapsed="false">
      <c r="B1675" s="14" t="n">
        <v>589</v>
      </c>
      <c r="C1675" s="7" t="s">
        <v>88</v>
      </c>
      <c r="D1675" s="7" t="s">
        <v>97</v>
      </c>
      <c r="E1675" s="7" t="s">
        <v>391</v>
      </c>
      <c r="F1675" s="18" t="str">
        <f aca="false">IF('Base de Datos SADI'!U593="","",'Base de Datos SADI'!U593)</f>
        <v/>
      </c>
      <c r="G1675" s="14"/>
      <c r="H1675" s="28"/>
      <c r="I1675" s="29" t="str">
        <f aca="false">IF(OR($G1675="",$G1675=0),"",IFERROR(ROUND($F1675*$G1675*(1-IF($H1675="",0,$H1675)),2),""))</f>
        <v/>
      </c>
      <c r="J1675" s="7"/>
    </row>
    <row r="1676" customFormat="false" ht="21.75" hidden="false" customHeight="true" outlineLevel="0" collapsed="false">
      <c r="B1676" s="15" t="n">
        <v>590</v>
      </c>
      <c r="C1676" s="9" t="s">
        <v>88</v>
      </c>
      <c r="D1676" s="9" t="s">
        <v>98</v>
      </c>
      <c r="E1676" s="9" t="s">
        <v>391</v>
      </c>
      <c r="F1676" s="19" t="str">
        <f aca="false">IF('Base de Datos SADI'!U594="","",'Base de Datos SADI'!U594)</f>
        <v/>
      </c>
      <c r="G1676" s="15"/>
      <c r="H1676" s="30"/>
      <c r="I1676" s="31" t="str">
        <f aca="false">IF(OR($G1676="",$G1676=0),"",IFERROR(ROUND($F1676*$G1676*(1-IF($H1676="",0,$H1676)),2),""))</f>
        <v/>
      </c>
      <c r="J1676" s="9"/>
    </row>
    <row r="1677" customFormat="false" ht="21.75" hidden="false" customHeight="true" outlineLevel="0" collapsed="false">
      <c r="B1677" s="14" t="n">
        <v>591</v>
      </c>
      <c r="C1677" s="7" t="s">
        <v>88</v>
      </c>
      <c r="D1677" s="7" t="s">
        <v>99</v>
      </c>
      <c r="E1677" s="7" t="s">
        <v>391</v>
      </c>
      <c r="F1677" s="18" t="str">
        <f aca="false">IF('Base de Datos SADI'!U595="","",'Base de Datos SADI'!U595)</f>
        <v/>
      </c>
      <c r="G1677" s="14"/>
      <c r="H1677" s="28"/>
      <c r="I1677" s="29" t="str">
        <f aca="false">IF(OR($G1677="",$G1677=0),"",IFERROR(ROUND($F1677*$G1677*(1-IF($H1677="",0,$H1677)),2),""))</f>
        <v/>
      </c>
      <c r="J1677" s="7"/>
    </row>
    <row r="1678" customFormat="false" ht="21.75" hidden="false" customHeight="true" outlineLevel="0" collapsed="false">
      <c r="B1678" s="15" t="n">
        <v>592</v>
      </c>
      <c r="C1678" s="9" t="s">
        <v>88</v>
      </c>
      <c r="D1678" s="9" t="s">
        <v>100</v>
      </c>
      <c r="E1678" s="9" t="s">
        <v>391</v>
      </c>
      <c r="F1678" s="19" t="str">
        <f aca="false">IF('Base de Datos SADI'!U596="","",'Base de Datos SADI'!U596)</f>
        <v/>
      </c>
      <c r="G1678" s="15"/>
      <c r="H1678" s="30"/>
      <c r="I1678" s="31" t="str">
        <f aca="false">IF(OR($G1678="",$G1678=0),"",IFERROR(ROUND($F1678*$G1678*(1-IF($H1678="",0,$H1678)),2),""))</f>
        <v/>
      </c>
      <c r="J1678" s="9"/>
    </row>
    <row r="1679" customFormat="false" ht="21.75" hidden="false" customHeight="true" outlineLevel="0" collapsed="false">
      <c r="B1679" s="14" t="n">
        <v>593</v>
      </c>
      <c r="C1679" s="7" t="s">
        <v>88</v>
      </c>
      <c r="D1679" s="7" t="s">
        <v>101</v>
      </c>
      <c r="E1679" s="7" t="s">
        <v>391</v>
      </c>
      <c r="F1679" s="18" t="str">
        <f aca="false">IF('Base de Datos SADI'!U597="","",'Base de Datos SADI'!U597)</f>
        <v/>
      </c>
      <c r="G1679" s="14"/>
      <c r="H1679" s="28"/>
      <c r="I1679" s="29" t="str">
        <f aca="false">IF(OR($G1679="",$G1679=0),"",IFERROR(ROUND($F1679*$G1679*(1-IF($H1679="",0,$H1679)),2),""))</f>
        <v/>
      </c>
      <c r="J1679" s="7"/>
    </row>
    <row r="1680" customFormat="false" ht="21.75" hidden="false" customHeight="true" outlineLevel="0" collapsed="false">
      <c r="B1680" s="15" t="n">
        <v>594</v>
      </c>
      <c r="C1680" s="9" t="s">
        <v>88</v>
      </c>
      <c r="D1680" s="9" t="s">
        <v>102</v>
      </c>
      <c r="E1680" s="9" t="s">
        <v>3679</v>
      </c>
      <c r="F1680" s="19" t="n">
        <f aca="false">IF('Base de Datos SADI'!U598="","",'Base de Datos SADI'!U598)</f>
        <v>9</v>
      </c>
      <c r="G1680" s="15"/>
      <c r="H1680" s="30"/>
      <c r="I1680" s="31" t="str">
        <f aca="false">IF(OR($G1680="",$G1680=0),"",IFERROR(ROUND($F1680*$G1680*(1-IF($H1680="",0,$H1680)),2),""))</f>
        <v/>
      </c>
      <c r="J1680" s="9"/>
    </row>
    <row r="1681" customFormat="false" ht="21.75" hidden="false" customHeight="true" outlineLevel="0" collapsed="false">
      <c r="B1681" s="14" t="n">
        <v>595</v>
      </c>
      <c r="C1681" s="7" t="s">
        <v>88</v>
      </c>
      <c r="D1681" s="7" t="s">
        <v>102</v>
      </c>
      <c r="E1681" s="7" t="s">
        <v>3681</v>
      </c>
      <c r="F1681" s="18" t="n">
        <f aca="false">IF('Base de Datos SADI'!U599="","",'Base de Datos SADI'!U599)</f>
        <v>14</v>
      </c>
      <c r="G1681" s="14"/>
      <c r="H1681" s="28"/>
      <c r="I1681" s="29" t="str">
        <f aca="false">IF(OR($G1681="",$G1681=0),"",IFERROR(ROUND($F1681*$G1681*(1-IF($H1681="",0,$H1681)),2),""))</f>
        <v/>
      </c>
      <c r="J1681" s="7"/>
    </row>
    <row r="1682" customFormat="false" ht="21.75" hidden="false" customHeight="true" outlineLevel="0" collapsed="false">
      <c r="B1682" s="15" t="n">
        <v>596</v>
      </c>
      <c r="C1682" s="9" t="s">
        <v>88</v>
      </c>
      <c r="D1682" s="9" t="s">
        <v>102</v>
      </c>
      <c r="E1682" s="9" t="s">
        <v>3682</v>
      </c>
      <c r="F1682" s="19" t="n">
        <f aca="false">IF('Base de Datos SADI'!U600="","",'Base de Datos SADI'!U600)</f>
        <v>18</v>
      </c>
      <c r="G1682" s="15"/>
      <c r="H1682" s="30"/>
      <c r="I1682" s="31" t="str">
        <f aca="false">IF(OR($G1682="",$G1682=0),"",IFERROR(ROUND($F1682*$G1682*(1-IF($H1682="",0,$H1682)),2),""))</f>
        <v/>
      </c>
      <c r="J1682" s="9"/>
    </row>
    <row r="1683" customFormat="false" ht="21.75" hidden="false" customHeight="true" outlineLevel="0" collapsed="false">
      <c r="B1683" s="14" t="n">
        <v>597</v>
      </c>
      <c r="C1683" s="7" t="s">
        <v>88</v>
      </c>
      <c r="D1683" s="7" t="s">
        <v>102</v>
      </c>
      <c r="E1683" s="7" t="s">
        <v>3684</v>
      </c>
      <c r="F1683" s="18" t="n">
        <f aca="false">IF('Base de Datos SADI'!U601="","",'Base de Datos SADI'!U601)</f>
        <v>25</v>
      </c>
      <c r="G1683" s="14"/>
      <c r="H1683" s="28"/>
      <c r="I1683" s="29" t="str">
        <f aca="false">IF(OR($G1683="",$G1683=0),"",IFERROR(ROUND($F1683*$G1683*(1-IF($H1683="",0,$H1683)),2),""))</f>
        <v/>
      </c>
      <c r="J1683" s="7"/>
    </row>
    <row r="1684" customFormat="false" ht="21.75" hidden="false" customHeight="true" outlineLevel="0" collapsed="false">
      <c r="B1684" s="15" t="n">
        <v>598</v>
      </c>
      <c r="C1684" s="9" t="s">
        <v>88</v>
      </c>
      <c r="D1684" s="9" t="s">
        <v>102</v>
      </c>
      <c r="E1684" s="9" t="s">
        <v>3685</v>
      </c>
      <c r="F1684" s="19" t="n">
        <f aca="false">IF('Base de Datos SADI'!U602="","",'Base de Datos SADI'!U602)</f>
        <v>35</v>
      </c>
      <c r="G1684" s="15"/>
      <c r="H1684" s="30"/>
      <c r="I1684" s="31" t="str">
        <f aca="false">IF(OR($G1684="",$G1684=0),"",IFERROR(ROUND($F1684*$G1684*(1-IF($H1684="",0,$H1684)),2),""))</f>
        <v/>
      </c>
      <c r="J1684" s="9"/>
    </row>
    <row r="1685" customFormat="false" ht="21.75" hidden="false" customHeight="true" outlineLevel="0" collapsed="false">
      <c r="B1685" s="14" t="n">
        <v>599</v>
      </c>
      <c r="C1685" s="7" t="s">
        <v>88</v>
      </c>
      <c r="D1685" s="7" t="s">
        <v>103</v>
      </c>
      <c r="E1685" s="7" t="s">
        <v>3686</v>
      </c>
      <c r="F1685" s="18" t="n">
        <f aca="false">IF('Base de Datos SADI'!U603="","",'Base de Datos SADI'!U603)</f>
        <v>17</v>
      </c>
      <c r="G1685" s="14"/>
      <c r="H1685" s="28"/>
      <c r="I1685" s="29" t="str">
        <f aca="false">IF(OR($G1685="",$G1685=0),"",IFERROR(ROUND($F1685*$G1685*(1-IF($H1685="",0,$H1685)),2),""))</f>
        <v/>
      </c>
      <c r="J1685" s="7"/>
    </row>
    <row r="1686" customFormat="false" ht="21.75" hidden="false" customHeight="true" outlineLevel="0" collapsed="false">
      <c r="B1686" s="15" t="n">
        <v>600</v>
      </c>
      <c r="C1686" s="9" t="s">
        <v>88</v>
      </c>
      <c r="D1686" s="9" t="s">
        <v>103</v>
      </c>
      <c r="E1686" s="9" t="s">
        <v>3690</v>
      </c>
      <c r="F1686" s="19" t="n">
        <f aca="false">IF('Base de Datos SADI'!U604="","",'Base de Datos SADI'!U604)</f>
        <v>25</v>
      </c>
      <c r="G1686" s="15"/>
      <c r="H1686" s="30"/>
      <c r="I1686" s="31" t="str">
        <f aca="false">IF(OR($G1686="",$G1686=0),"",IFERROR(ROUND($F1686*$G1686*(1-IF($H1686="",0,$H1686)),2),""))</f>
        <v/>
      </c>
      <c r="J1686" s="9"/>
    </row>
    <row r="1687" customFormat="false" ht="21.75" hidden="false" customHeight="true" outlineLevel="0" collapsed="false">
      <c r="B1687" s="14" t="n">
        <v>601</v>
      </c>
      <c r="C1687" s="7" t="s">
        <v>88</v>
      </c>
      <c r="D1687" s="7" t="s">
        <v>103</v>
      </c>
      <c r="E1687" s="7" t="s">
        <v>3691</v>
      </c>
      <c r="F1687" s="18" t="n">
        <f aca="false">IF('Base de Datos SADI'!U605="","",'Base de Datos SADI'!U605)</f>
        <v>30</v>
      </c>
      <c r="G1687" s="14"/>
      <c r="H1687" s="28"/>
      <c r="I1687" s="29" t="str">
        <f aca="false">IF(OR($G1687="",$G1687=0),"",IFERROR(ROUND($F1687*$G1687*(1-IF($H1687="",0,$H1687)),2),""))</f>
        <v/>
      </c>
      <c r="J1687" s="7"/>
    </row>
    <row r="1688" customFormat="false" ht="21.75" hidden="false" customHeight="true" outlineLevel="0" collapsed="false">
      <c r="B1688" s="15" t="n">
        <v>602</v>
      </c>
      <c r="C1688" s="9" t="s">
        <v>88</v>
      </c>
      <c r="D1688" s="9" t="s">
        <v>103</v>
      </c>
      <c r="E1688" s="9" t="s">
        <v>3693</v>
      </c>
      <c r="F1688" s="19" t="n">
        <f aca="false">IF('Base de Datos SADI'!U606="","",'Base de Datos SADI'!U606)</f>
        <v>50</v>
      </c>
      <c r="G1688" s="15"/>
      <c r="H1688" s="30"/>
      <c r="I1688" s="31" t="str">
        <f aca="false">IF(OR($G1688="",$G1688=0),"",IFERROR(ROUND($F1688*$G1688*(1-IF($H1688="",0,$H1688)),2),""))</f>
        <v/>
      </c>
      <c r="J1688" s="9"/>
    </row>
    <row r="1689" customFormat="false" ht="21.75" hidden="false" customHeight="true" outlineLevel="0" collapsed="false">
      <c r="B1689" s="14" t="n">
        <v>603</v>
      </c>
      <c r="C1689" s="7" t="s">
        <v>88</v>
      </c>
      <c r="D1689" s="7" t="s">
        <v>103</v>
      </c>
      <c r="E1689" s="7" t="s">
        <v>3694</v>
      </c>
      <c r="F1689" s="18" t="n">
        <f aca="false">IF('Base de Datos SADI'!U607="","",'Base de Datos SADI'!U607)</f>
        <v>70</v>
      </c>
      <c r="G1689" s="14"/>
      <c r="H1689" s="28"/>
      <c r="I1689" s="29" t="str">
        <f aca="false">IF(OR($G1689="",$G1689=0),"",IFERROR(ROUND($F1689*$G1689*(1-IF($H1689="",0,$H1689)),2),""))</f>
        <v/>
      </c>
      <c r="J1689" s="7"/>
    </row>
    <row r="1690" customFormat="false" ht="21.75" hidden="false" customHeight="true" outlineLevel="0" collapsed="false">
      <c r="B1690" s="15" t="n">
        <v>604</v>
      </c>
      <c r="C1690" s="9" t="s">
        <v>88</v>
      </c>
      <c r="D1690" s="9" t="s">
        <v>104</v>
      </c>
      <c r="E1690" s="9" t="s">
        <v>391</v>
      </c>
      <c r="F1690" s="19" t="str">
        <f aca="false">IF('Base de Datos SADI'!U608="","",'Base de Datos SADI'!U608)</f>
        <v/>
      </c>
      <c r="G1690" s="15"/>
      <c r="H1690" s="30"/>
      <c r="I1690" s="31" t="str">
        <f aca="false">IF(OR($G1690="",$G1690=0),"",IFERROR(ROUND($F1690*$G1690*(1-IF($H1690="",0,$H1690)),2),""))</f>
        <v/>
      </c>
      <c r="J1690" s="9"/>
    </row>
    <row r="1691" customFormat="false" ht="21.75" hidden="false" customHeight="true" outlineLevel="0" collapsed="false">
      <c r="B1691" s="14" t="n">
        <v>605</v>
      </c>
      <c r="C1691" s="7" t="s">
        <v>88</v>
      </c>
      <c r="D1691" s="7" t="s">
        <v>105</v>
      </c>
      <c r="E1691" s="7" t="s">
        <v>391</v>
      </c>
      <c r="F1691" s="18" t="str">
        <f aca="false">IF('Base de Datos SADI'!U609="","",'Base de Datos SADI'!U609)</f>
        <v/>
      </c>
      <c r="G1691" s="14"/>
      <c r="H1691" s="28"/>
      <c r="I1691" s="29" t="str">
        <f aca="false">IF(OR($G1691="",$G1691=0),"",IFERROR(ROUND($F1691*$G1691*(1-IF($H1691="",0,$H1691)),2),""))</f>
        <v/>
      </c>
      <c r="J1691" s="7"/>
    </row>
    <row r="1692" customFormat="false" ht="21.75" hidden="false" customHeight="true" outlineLevel="0" collapsed="false">
      <c r="B1692" s="15" t="n">
        <v>606</v>
      </c>
      <c r="C1692" s="9" t="s">
        <v>88</v>
      </c>
      <c r="D1692" s="9" t="s">
        <v>106</v>
      </c>
      <c r="E1692" s="9" t="s">
        <v>391</v>
      </c>
      <c r="F1692" s="19" t="str">
        <f aca="false">IF('Base de Datos SADI'!U610="","",'Base de Datos SADI'!U610)</f>
        <v/>
      </c>
      <c r="G1692" s="15"/>
      <c r="H1692" s="30"/>
      <c r="I1692" s="31" t="str">
        <f aca="false">IF(OR($G1692="",$G1692=0),"",IFERROR(ROUND($F1692*$G1692*(1-IF($H1692="",0,$H1692)),2),""))</f>
        <v/>
      </c>
      <c r="J1692" s="9"/>
    </row>
    <row r="1693" customFormat="false" ht="21.75" hidden="false" customHeight="true" outlineLevel="0" collapsed="false">
      <c r="B1693" s="14" t="n">
        <v>607</v>
      </c>
      <c r="C1693" s="7" t="s">
        <v>88</v>
      </c>
      <c r="D1693" s="7" t="s">
        <v>107</v>
      </c>
      <c r="E1693" s="7" t="s">
        <v>391</v>
      </c>
      <c r="F1693" s="18" t="str">
        <f aca="false">IF('Base de Datos SADI'!U611="","",'Base de Datos SADI'!U611)</f>
        <v/>
      </c>
      <c r="G1693" s="14"/>
      <c r="H1693" s="28"/>
      <c r="I1693" s="29" t="str">
        <f aca="false">IF(OR($G1693="",$G1693=0),"",IFERROR(ROUND($F1693*$G1693*(1-IF($H1693="",0,$H1693)),2),""))</f>
        <v/>
      </c>
      <c r="J1693" s="7"/>
    </row>
    <row r="1694" customFormat="false" ht="21.75" hidden="false" customHeight="true" outlineLevel="0" collapsed="false">
      <c r="B1694" s="15" t="n">
        <v>608</v>
      </c>
      <c r="C1694" s="9" t="s">
        <v>88</v>
      </c>
      <c r="D1694" s="9" t="s">
        <v>108</v>
      </c>
      <c r="E1694" s="9" t="s">
        <v>391</v>
      </c>
      <c r="F1694" s="19" t="str">
        <f aca="false">IF('Base de Datos SADI'!U612="","",'Base de Datos SADI'!U612)</f>
        <v/>
      </c>
      <c r="G1694" s="15"/>
      <c r="H1694" s="30"/>
      <c r="I1694" s="31" t="str">
        <f aca="false">IF(OR($G1694="",$G1694=0),"",IFERROR(ROUND($F1694*$G1694*(1-IF($H1694="",0,$H1694)),2),""))</f>
        <v/>
      </c>
      <c r="J1694" s="9"/>
    </row>
    <row r="1695" customFormat="false" ht="21.75" hidden="false" customHeight="true" outlineLevel="0" collapsed="false">
      <c r="B1695" s="14" t="n">
        <v>609</v>
      </c>
      <c r="C1695" s="7" t="s">
        <v>89</v>
      </c>
      <c r="D1695" s="7" t="s">
        <v>93</v>
      </c>
      <c r="E1695" s="7" t="s">
        <v>3699</v>
      </c>
      <c r="F1695" s="18" t="n">
        <f aca="false">IF('Base de Datos SADI'!U613="","",'Base de Datos SADI'!U613)</f>
        <v>660</v>
      </c>
      <c r="G1695" s="14"/>
      <c r="H1695" s="28"/>
      <c r="I1695" s="29" t="str">
        <f aca="false">IF(OR($G1695="",$G1695=0),"",IFERROR(ROUND($F1695*$G1695*(1-IF($H1695="",0,$H1695)),2),""))</f>
        <v/>
      </c>
      <c r="J1695" s="7"/>
    </row>
    <row r="1696" customFormat="false" ht="21.75" hidden="false" customHeight="true" outlineLevel="0" collapsed="false">
      <c r="B1696" s="15" t="n">
        <v>610</v>
      </c>
      <c r="C1696" s="9" t="s">
        <v>89</v>
      </c>
      <c r="D1696" s="9" t="s">
        <v>93</v>
      </c>
      <c r="E1696" s="9" t="s">
        <v>3711</v>
      </c>
      <c r="F1696" s="19" t="n">
        <f aca="false">IF('Base de Datos SADI'!U614="","",'Base de Datos SADI'!U614)</f>
        <v>990</v>
      </c>
      <c r="G1696" s="15"/>
      <c r="H1696" s="30"/>
      <c r="I1696" s="31" t="str">
        <f aca="false">IF(OR($G1696="",$G1696=0),"",IFERROR(ROUND($F1696*$G1696*(1-IF($H1696="",0,$H1696)),2),""))</f>
        <v/>
      </c>
      <c r="J1696" s="9"/>
    </row>
    <row r="1697" customFormat="false" ht="21.75" hidden="false" customHeight="true" outlineLevel="0" collapsed="false">
      <c r="B1697" s="14" t="n">
        <v>611</v>
      </c>
      <c r="C1697" s="7" t="s">
        <v>89</v>
      </c>
      <c r="D1697" s="7" t="s">
        <v>93</v>
      </c>
      <c r="E1697" s="7" t="s">
        <v>3712</v>
      </c>
      <c r="F1697" s="18" t="n">
        <f aca="false">IF('Base de Datos SADI'!U615="","",'Base de Datos SADI'!U615)</f>
        <v>1320</v>
      </c>
      <c r="G1697" s="14"/>
      <c r="H1697" s="28"/>
      <c r="I1697" s="29" t="str">
        <f aca="false">IF(OR($G1697="",$G1697=0),"",IFERROR(ROUND($F1697*$G1697*(1-IF($H1697="",0,$H1697)),2),""))</f>
        <v/>
      </c>
      <c r="J1697" s="7"/>
    </row>
    <row r="1698" customFormat="false" ht="21.75" hidden="false" customHeight="true" outlineLevel="0" collapsed="false">
      <c r="B1698" s="15" t="n">
        <v>612</v>
      </c>
      <c r="C1698" s="9" t="s">
        <v>89</v>
      </c>
      <c r="D1698" s="9" t="s">
        <v>93</v>
      </c>
      <c r="E1698" s="9" t="s">
        <v>3714</v>
      </c>
      <c r="F1698" s="19" t="n">
        <f aca="false">IF('Base de Datos SADI'!U616="","",'Base de Datos SADI'!U616)</f>
        <v>1980</v>
      </c>
      <c r="G1698" s="15"/>
      <c r="H1698" s="30"/>
      <c r="I1698" s="31" t="str">
        <f aca="false">IF(OR($G1698="",$G1698=0),"",IFERROR(ROUND($F1698*$G1698*(1-IF($H1698="",0,$H1698)),2),""))</f>
        <v/>
      </c>
      <c r="J1698" s="9"/>
    </row>
    <row r="1699" customFormat="false" ht="21.75" hidden="false" customHeight="true" outlineLevel="0" collapsed="false">
      <c r="B1699" s="14" t="n">
        <v>613</v>
      </c>
      <c r="C1699" s="7" t="s">
        <v>89</v>
      </c>
      <c r="D1699" s="7" t="s">
        <v>93</v>
      </c>
      <c r="E1699" s="7" t="s">
        <v>3715</v>
      </c>
      <c r="F1699" s="18" t="n">
        <f aca="false">IF('Base de Datos SADI'!U617="","",'Base de Datos SADI'!U617)</f>
        <v>2900</v>
      </c>
      <c r="G1699" s="14"/>
      <c r="H1699" s="28"/>
      <c r="I1699" s="29" t="str">
        <f aca="false">IF(OR($G1699="",$G1699=0),"",IFERROR(ROUND($F1699*$G1699*(1-IF($H1699="",0,$H1699)),2),""))</f>
        <v/>
      </c>
      <c r="J1699" s="7"/>
    </row>
    <row r="1700" customFormat="false" ht="21.75" hidden="false" customHeight="true" outlineLevel="0" collapsed="false">
      <c r="B1700" s="15" t="n">
        <v>614</v>
      </c>
      <c r="C1700" s="9" t="s">
        <v>89</v>
      </c>
      <c r="D1700" s="9" t="s">
        <v>94</v>
      </c>
      <c r="E1700" s="9" t="s">
        <v>3699</v>
      </c>
      <c r="F1700" s="19" t="n">
        <f aca="false">IF('Base de Datos SADI'!U618="","",'Base de Datos SADI'!U618)</f>
        <v>260</v>
      </c>
      <c r="G1700" s="15"/>
      <c r="H1700" s="30"/>
      <c r="I1700" s="31" t="str">
        <f aca="false">IF(OR($G1700="",$G1700=0),"",IFERROR(ROUND($F1700*$G1700*(1-IF($H1700="",0,$H1700)),2),""))</f>
        <v/>
      </c>
      <c r="J1700" s="9"/>
    </row>
    <row r="1701" customFormat="false" ht="21.75" hidden="false" customHeight="true" outlineLevel="0" collapsed="false">
      <c r="B1701" s="14" t="n">
        <v>615</v>
      </c>
      <c r="C1701" s="7" t="s">
        <v>89</v>
      </c>
      <c r="D1701" s="7" t="s">
        <v>94</v>
      </c>
      <c r="E1701" s="7" t="s">
        <v>3711</v>
      </c>
      <c r="F1701" s="18" t="n">
        <f aca="false">IF('Base de Datos SADI'!U619="","",'Base de Datos SADI'!U619)</f>
        <v>390</v>
      </c>
      <c r="G1701" s="14"/>
      <c r="H1701" s="28"/>
      <c r="I1701" s="29" t="str">
        <f aca="false">IF(OR($G1701="",$G1701=0),"",IFERROR(ROUND($F1701*$G1701*(1-IF($H1701="",0,$H1701)),2),""))</f>
        <v/>
      </c>
      <c r="J1701" s="7"/>
    </row>
    <row r="1702" customFormat="false" ht="21.75" hidden="false" customHeight="true" outlineLevel="0" collapsed="false">
      <c r="B1702" s="15" t="n">
        <v>616</v>
      </c>
      <c r="C1702" s="9" t="s">
        <v>89</v>
      </c>
      <c r="D1702" s="9" t="s">
        <v>94</v>
      </c>
      <c r="E1702" s="9" t="s">
        <v>3721</v>
      </c>
      <c r="F1702" s="19" t="n">
        <f aca="false">IF('Base de Datos SADI'!U620="","",'Base de Datos SADI'!U620)</f>
        <v>520</v>
      </c>
      <c r="G1702" s="15"/>
      <c r="H1702" s="30"/>
      <c r="I1702" s="31" t="str">
        <f aca="false">IF(OR($G1702="",$G1702=0),"",IFERROR(ROUND($F1702*$G1702*(1-IF($H1702="",0,$H1702)),2),""))</f>
        <v/>
      </c>
      <c r="J1702" s="9"/>
    </row>
    <row r="1703" customFormat="false" ht="21.75" hidden="false" customHeight="true" outlineLevel="0" collapsed="false">
      <c r="B1703" s="14" t="n">
        <v>617</v>
      </c>
      <c r="C1703" s="7" t="s">
        <v>89</v>
      </c>
      <c r="D1703" s="7" t="s">
        <v>94</v>
      </c>
      <c r="E1703" s="7" t="s">
        <v>3723</v>
      </c>
      <c r="F1703" s="18" t="n">
        <f aca="false">IF('Base de Datos SADI'!U621="","",'Base de Datos SADI'!U621)</f>
        <v>780</v>
      </c>
      <c r="G1703" s="14"/>
      <c r="H1703" s="28"/>
      <c r="I1703" s="29" t="str">
        <f aca="false">IF(OR($G1703="",$G1703=0),"",IFERROR(ROUND($F1703*$G1703*(1-IF($H1703="",0,$H1703)),2),""))</f>
        <v/>
      </c>
      <c r="J1703" s="7"/>
    </row>
    <row r="1704" customFormat="false" ht="21.75" hidden="false" customHeight="true" outlineLevel="0" collapsed="false">
      <c r="B1704" s="15" t="n">
        <v>618</v>
      </c>
      <c r="C1704" s="9" t="s">
        <v>89</v>
      </c>
      <c r="D1704" s="9" t="s">
        <v>94</v>
      </c>
      <c r="E1704" s="9" t="s">
        <v>3724</v>
      </c>
      <c r="F1704" s="19" t="n">
        <f aca="false">IF('Base de Datos SADI'!U622="","",'Base de Datos SADI'!U622)</f>
        <v>1140</v>
      </c>
      <c r="G1704" s="15"/>
      <c r="H1704" s="30"/>
      <c r="I1704" s="31" t="str">
        <f aca="false">IF(OR($G1704="",$G1704=0),"",IFERROR(ROUND($F1704*$G1704*(1-IF($H1704="",0,$H1704)),2),""))</f>
        <v/>
      </c>
      <c r="J1704" s="9"/>
    </row>
    <row r="1705" customFormat="false" ht="21.75" hidden="false" customHeight="true" outlineLevel="0" collapsed="false">
      <c r="B1705" s="14" t="n">
        <v>619</v>
      </c>
      <c r="C1705" s="7" t="s">
        <v>89</v>
      </c>
      <c r="D1705" s="7" t="s">
        <v>95</v>
      </c>
      <c r="E1705" s="7" t="s">
        <v>391</v>
      </c>
      <c r="F1705" s="18" t="str">
        <f aca="false">IF('Base de Datos SADI'!U623="","",'Base de Datos SADI'!U623)</f>
        <v/>
      </c>
      <c r="G1705" s="14"/>
      <c r="H1705" s="28"/>
      <c r="I1705" s="29" t="str">
        <f aca="false">IF(OR($G1705="",$G1705=0),"",IFERROR(ROUND($F1705*$G1705*(1-IF($H1705="",0,$H1705)),2),""))</f>
        <v/>
      </c>
      <c r="J1705" s="7"/>
    </row>
    <row r="1706" customFormat="false" ht="21.75" hidden="false" customHeight="true" outlineLevel="0" collapsed="false">
      <c r="B1706" s="15" t="n">
        <v>620</v>
      </c>
      <c r="C1706" s="9" t="s">
        <v>89</v>
      </c>
      <c r="D1706" s="9" t="s">
        <v>96</v>
      </c>
      <c r="E1706" s="9" t="s">
        <v>3726</v>
      </c>
      <c r="F1706" s="19" t="n">
        <f aca="false">IF('Base de Datos SADI'!U624="","",'Base de Datos SADI'!U624)</f>
        <v>45</v>
      </c>
      <c r="G1706" s="15"/>
      <c r="H1706" s="30"/>
      <c r="I1706" s="31" t="str">
        <f aca="false">IF(OR($G1706="",$G1706=0),"",IFERROR(ROUND($F1706*$G1706*(1-IF($H1706="",0,$H1706)),2),""))</f>
        <v/>
      </c>
      <c r="J1706" s="9"/>
    </row>
    <row r="1707" customFormat="false" ht="21.75" hidden="false" customHeight="true" outlineLevel="0" collapsed="false">
      <c r="B1707" s="14" t="n">
        <v>621</v>
      </c>
      <c r="C1707" s="7" t="s">
        <v>89</v>
      </c>
      <c r="D1707" s="7" t="s">
        <v>96</v>
      </c>
      <c r="E1707" s="7" t="s">
        <v>3732</v>
      </c>
      <c r="F1707" s="18" t="n">
        <f aca="false">IF('Base de Datos SADI'!U625="","",'Base de Datos SADI'!U625)</f>
        <v>65</v>
      </c>
      <c r="G1707" s="14"/>
      <c r="H1707" s="28"/>
      <c r="I1707" s="29" t="str">
        <f aca="false">IF(OR($G1707="",$G1707=0),"",IFERROR(ROUND($F1707*$G1707*(1-IF($H1707="",0,$H1707)),2),""))</f>
        <v/>
      </c>
      <c r="J1707" s="7"/>
    </row>
    <row r="1708" customFormat="false" ht="21.75" hidden="false" customHeight="true" outlineLevel="0" collapsed="false">
      <c r="B1708" s="15" t="n">
        <v>622</v>
      </c>
      <c r="C1708" s="9" t="s">
        <v>89</v>
      </c>
      <c r="D1708" s="9" t="s">
        <v>96</v>
      </c>
      <c r="E1708" s="9" t="s">
        <v>3733</v>
      </c>
      <c r="F1708" s="19" t="n">
        <f aca="false">IF('Base de Datos SADI'!U626="","",'Base de Datos SADI'!U626)</f>
        <v>90</v>
      </c>
      <c r="G1708" s="15"/>
      <c r="H1708" s="30"/>
      <c r="I1708" s="31" t="str">
        <f aca="false">IF(OR($G1708="",$G1708=0),"",IFERROR(ROUND($F1708*$G1708*(1-IF($H1708="",0,$H1708)),2),""))</f>
        <v/>
      </c>
      <c r="J1708" s="9"/>
    </row>
    <row r="1709" customFormat="false" ht="21.75" hidden="false" customHeight="true" outlineLevel="0" collapsed="false">
      <c r="B1709" s="14" t="n">
        <v>623</v>
      </c>
      <c r="C1709" s="7" t="s">
        <v>89</v>
      </c>
      <c r="D1709" s="7" t="s">
        <v>96</v>
      </c>
      <c r="E1709" s="7" t="s">
        <v>3735</v>
      </c>
      <c r="F1709" s="18" t="n">
        <f aca="false">IF('Base de Datos SADI'!U627="","",'Base de Datos SADI'!U627)</f>
        <v>135</v>
      </c>
      <c r="G1709" s="14"/>
      <c r="H1709" s="28"/>
      <c r="I1709" s="29" t="str">
        <f aca="false">IF(OR($G1709="",$G1709=0),"",IFERROR(ROUND($F1709*$G1709*(1-IF($H1709="",0,$H1709)),2),""))</f>
        <v/>
      </c>
      <c r="J1709" s="7"/>
    </row>
    <row r="1710" customFormat="false" ht="21.75" hidden="false" customHeight="true" outlineLevel="0" collapsed="false">
      <c r="B1710" s="15" t="n">
        <v>624</v>
      </c>
      <c r="C1710" s="9" t="s">
        <v>89</v>
      </c>
      <c r="D1710" s="9" t="s">
        <v>96</v>
      </c>
      <c r="E1710" s="9" t="s">
        <v>3736</v>
      </c>
      <c r="F1710" s="19" t="n">
        <f aca="false">IF('Base de Datos SADI'!U628="","",'Base de Datos SADI'!U628)</f>
        <v>200</v>
      </c>
      <c r="G1710" s="15"/>
      <c r="H1710" s="30"/>
      <c r="I1710" s="31" t="str">
        <f aca="false">IF(OR($G1710="",$G1710=0),"",IFERROR(ROUND($F1710*$G1710*(1-IF($H1710="",0,$H1710)),2),""))</f>
        <v/>
      </c>
      <c r="J1710" s="9"/>
    </row>
    <row r="1711" customFormat="false" ht="21.75" hidden="false" customHeight="true" outlineLevel="0" collapsed="false">
      <c r="B1711" s="14" t="n">
        <v>625</v>
      </c>
      <c r="C1711" s="7" t="s">
        <v>89</v>
      </c>
      <c r="D1711" s="7" t="s">
        <v>97</v>
      </c>
      <c r="E1711" s="7" t="s">
        <v>391</v>
      </c>
      <c r="F1711" s="18" t="str">
        <f aca="false">IF('Base de Datos SADI'!U629="","",'Base de Datos SADI'!U629)</f>
        <v/>
      </c>
      <c r="G1711" s="14"/>
      <c r="H1711" s="28"/>
      <c r="I1711" s="29" t="str">
        <f aca="false">IF(OR($G1711="",$G1711=0),"",IFERROR(ROUND($F1711*$G1711*(1-IF($H1711="",0,$H1711)),2),""))</f>
        <v/>
      </c>
      <c r="J1711" s="7"/>
    </row>
    <row r="1712" customFormat="false" ht="21.75" hidden="false" customHeight="true" outlineLevel="0" collapsed="false">
      <c r="B1712" s="15" t="n">
        <v>626</v>
      </c>
      <c r="C1712" s="9" t="s">
        <v>89</v>
      </c>
      <c r="D1712" s="9" t="s">
        <v>98</v>
      </c>
      <c r="E1712" s="9" t="s">
        <v>3738</v>
      </c>
      <c r="F1712" s="19" t="n">
        <f aca="false">IF('Base de Datos SADI'!U630="","",'Base de Datos SADI'!U630)</f>
        <v>55</v>
      </c>
      <c r="G1712" s="15"/>
      <c r="H1712" s="30"/>
      <c r="I1712" s="31" t="str">
        <f aca="false">IF(OR($G1712="",$G1712=0),"",IFERROR(ROUND($F1712*$G1712*(1-IF($H1712="",0,$H1712)),2),""))</f>
        <v/>
      </c>
      <c r="J1712" s="9"/>
    </row>
    <row r="1713" customFormat="false" ht="21.75" hidden="false" customHeight="true" outlineLevel="0" collapsed="false">
      <c r="B1713" s="14" t="n">
        <v>627</v>
      </c>
      <c r="C1713" s="7" t="s">
        <v>89</v>
      </c>
      <c r="D1713" s="7" t="s">
        <v>98</v>
      </c>
      <c r="E1713" s="7" t="s">
        <v>3743</v>
      </c>
      <c r="F1713" s="18" t="n">
        <f aca="false">IF('Base de Datos SADI'!U631="","",'Base de Datos SADI'!U631)</f>
        <v>85</v>
      </c>
      <c r="G1713" s="14"/>
      <c r="H1713" s="28"/>
      <c r="I1713" s="29" t="str">
        <f aca="false">IF(OR($G1713="",$G1713=0),"",IFERROR(ROUND($F1713*$G1713*(1-IF($H1713="",0,$H1713)),2),""))</f>
        <v/>
      </c>
      <c r="J1713" s="7"/>
    </row>
    <row r="1714" customFormat="false" ht="21.75" hidden="false" customHeight="true" outlineLevel="0" collapsed="false">
      <c r="B1714" s="15" t="n">
        <v>628</v>
      </c>
      <c r="C1714" s="9" t="s">
        <v>89</v>
      </c>
      <c r="D1714" s="9" t="s">
        <v>98</v>
      </c>
      <c r="E1714" s="9" t="s">
        <v>3744</v>
      </c>
      <c r="F1714" s="19" t="n">
        <f aca="false">IF('Base de Datos SADI'!U632="","",'Base de Datos SADI'!U632)</f>
        <v>115</v>
      </c>
      <c r="G1714" s="15"/>
      <c r="H1714" s="30"/>
      <c r="I1714" s="31" t="str">
        <f aca="false">IF(OR($G1714="",$G1714=0),"",IFERROR(ROUND($F1714*$G1714*(1-IF($H1714="",0,$H1714)),2),""))</f>
        <v/>
      </c>
      <c r="J1714" s="9"/>
    </row>
    <row r="1715" customFormat="false" ht="21.75" hidden="false" customHeight="true" outlineLevel="0" collapsed="false">
      <c r="B1715" s="14" t="n">
        <v>629</v>
      </c>
      <c r="C1715" s="7" t="s">
        <v>89</v>
      </c>
      <c r="D1715" s="7" t="s">
        <v>98</v>
      </c>
      <c r="E1715" s="7" t="s">
        <v>3746</v>
      </c>
      <c r="F1715" s="18" t="n">
        <f aca="false">IF('Base de Datos SADI'!U633="","",'Base de Datos SADI'!U633)</f>
        <v>175</v>
      </c>
      <c r="G1715" s="14"/>
      <c r="H1715" s="28"/>
      <c r="I1715" s="29" t="str">
        <f aca="false">IF(OR($G1715="",$G1715=0),"",IFERROR(ROUND($F1715*$G1715*(1-IF($H1715="",0,$H1715)),2),""))</f>
        <v/>
      </c>
      <c r="J1715" s="7"/>
    </row>
    <row r="1716" customFormat="false" ht="21.75" hidden="false" customHeight="true" outlineLevel="0" collapsed="false">
      <c r="B1716" s="15" t="n">
        <v>630</v>
      </c>
      <c r="C1716" s="9" t="s">
        <v>89</v>
      </c>
      <c r="D1716" s="9" t="s">
        <v>98</v>
      </c>
      <c r="E1716" s="9" t="s">
        <v>3747</v>
      </c>
      <c r="F1716" s="19" t="n">
        <f aca="false">IF('Base de Datos SADI'!U634="","",'Base de Datos SADI'!U634)</f>
        <v>255</v>
      </c>
      <c r="G1716" s="15"/>
      <c r="H1716" s="30"/>
      <c r="I1716" s="31" t="str">
        <f aca="false">IF(OR($G1716="",$G1716=0),"",IFERROR(ROUND($F1716*$G1716*(1-IF($H1716="",0,$H1716)),2),""))</f>
        <v/>
      </c>
      <c r="J1716" s="9"/>
    </row>
    <row r="1717" customFormat="false" ht="21.75" hidden="false" customHeight="true" outlineLevel="0" collapsed="false">
      <c r="B1717" s="14" t="n">
        <v>631</v>
      </c>
      <c r="C1717" s="7" t="s">
        <v>89</v>
      </c>
      <c r="D1717" s="7" t="s">
        <v>99</v>
      </c>
      <c r="E1717" s="7" t="s">
        <v>391</v>
      </c>
      <c r="F1717" s="18" t="str">
        <f aca="false">IF('Base de Datos SADI'!U635="","",'Base de Datos SADI'!U635)</f>
        <v/>
      </c>
      <c r="G1717" s="14"/>
      <c r="H1717" s="28"/>
      <c r="I1717" s="29" t="str">
        <f aca="false">IF(OR($G1717="",$G1717=0),"",IFERROR(ROUND($F1717*$G1717*(1-IF($H1717="",0,$H1717)),2),""))</f>
        <v/>
      </c>
      <c r="J1717" s="7"/>
    </row>
    <row r="1718" customFormat="false" ht="21.75" hidden="false" customHeight="true" outlineLevel="0" collapsed="false">
      <c r="B1718" s="15" t="n">
        <v>632</v>
      </c>
      <c r="C1718" s="9" t="s">
        <v>89</v>
      </c>
      <c r="D1718" s="9" t="s">
        <v>100</v>
      </c>
      <c r="E1718" s="9" t="s">
        <v>391</v>
      </c>
      <c r="F1718" s="19" t="str">
        <f aca="false">IF('Base de Datos SADI'!U636="","",'Base de Datos SADI'!U636)</f>
        <v/>
      </c>
      <c r="G1718" s="15"/>
      <c r="H1718" s="30"/>
      <c r="I1718" s="31" t="str">
        <f aca="false">IF(OR($G1718="",$G1718=0),"",IFERROR(ROUND($F1718*$G1718*(1-IF($H1718="",0,$H1718)),2),""))</f>
        <v/>
      </c>
      <c r="J1718" s="9"/>
    </row>
    <row r="1719" customFormat="false" ht="21.75" hidden="false" customHeight="true" outlineLevel="0" collapsed="false">
      <c r="B1719" s="14" t="n">
        <v>633</v>
      </c>
      <c r="C1719" s="7" t="s">
        <v>89</v>
      </c>
      <c r="D1719" s="7" t="s">
        <v>101</v>
      </c>
      <c r="E1719" s="7" t="s">
        <v>391</v>
      </c>
      <c r="F1719" s="18" t="str">
        <f aca="false">IF('Base de Datos SADI'!U637="","",'Base de Datos SADI'!U637)</f>
        <v/>
      </c>
      <c r="G1719" s="14"/>
      <c r="H1719" s="28"/>
      <c r="I1719" s="29" t="str">
        <f aca="false">IF(OR($G1719="",$G1719=0),"",IFERROR(ROUND($F1719*$G1719*(1-IF($H1719="",0,$H1719)),2),""))</f>
        <v/>
      </c>
      <c r="J1719" s="7"/>
    </row>
    <row r="1720" customFormat="false" ht="21.75" hidden="false" customHeight="true" outlineLevel="0" collapsed="false">
      <c r="B1720" s="15" t="n">
        <v>634</v>
      </c>
      <c r="C1720" s="9" t="s">
        <v>89</v>
      </c>
      <c r="D1720" s="9" t="s">
        <v>102</v>
      </c>
      <c r="E1720" s="9" t="s">
        <v>3751</v>
      </c>
      <c r="F1720" s="19" t="n">
        <f aca="false">IF('Base de Datos SADI'!U638="","",'Base de Datos SADI'!U638)</f>
        <v>25</v>
      </c>
      <c r="G1720" s="15"/>
      <c r="H1720" s="30"/>
      <c r="I1720" s="31" t="str">
        <f aca="false">IF(OR($G1720="",$G1720=0),"",IFERROR(ROUND($F1720*$G1720*(1-IF($H1720="",0,$H1720)),2),""))</f>
        <v/>
      </c>
      <c r="J1720" s="9"/>
    </row>
    <row r="1721" customFormat="false" ht="21.75" hidden="false" customHeight="true" outlineLevel="0" collapsed="false">
      <c r="B1721" s="14" t="n">
        <v>635</v>
      </c>
      <c r="C1721" s="7" t="s">
        <v>89</v>
      </c>
      <c r="D1721" s="7" t="s">
        <v>102</v>
      </c>
      <c r="E1721" s="7" t="s">
        <v>3755</v>
      </c>
      <c r="F1721" s="18" t="n">
        <f aca="false">IF('Base de Datos SADI'!U639="","",'Base de Datos SADI'!U639)</f>
        <v>40</v>
      </c>
      <c r="G1721" s="14"/>
      <c r="H1721" s="28"/>
      <c r="I1721" s="29" t="str">
        <f aca="false">IF(OR($G1721="",$G1721=0),"",IFERROR(ROUND($F1721*$G1721*(1-IF($H1721="",0,$H1721)),2),""))</f>
        <v/>
      </c>
      <c r="J1721" s="7"/>
    </row>
    <row r="1722" customFormat="false" ht="21.75" hidden="false" customHeight="true" outlineLevel="0" collapsed="false">
      <c r="B1722" s="15" t="n">
        <v>636</v>
      </c>
      <c r="C1722" s="9" t="s">
        <v>89</v>
      </c>
      <c r="D1722" s="9" t="s">
        <v>102</v>
      </c>
      <c r="E1722" s="9" t="s">
        <v>3756</v>
      </c>
      <c r="F1722" s="19" t="n">
        <f aca="false">IF('Base de Datos SADI'!U640="","",'Base de Datos SADI'!U640)</f>
        <v>50</v>
      </c>
      <c r="G1722" s="15"/>
      <c r="H1722" s="30"/>
      <c r="I1722" s="31" t="str">
        <f aca="false">IF(OR($G1722="",$G1722=0),"",IFERROR(ROUND($F1722*$G1722*(1-IF($H1722="",0,$H1722)),2),""))</f>
        <v/>
      </c>
      <c r="J1722" s="9"/>
    </row>
    <row r="1723" customFormat="false" ht="21.75" hidden="false" customHeight="true" outlineLevel="0" collapsed="false">
      <c r="B1723" s="14" t="n">
        <v>637</v>
      </c>
      <c r="C1723" s="7" t="s">
        <v>89</v>
      </c>
      <c r="D1723" s="7" t="s">
        <v>102</v>
      </c>
      <c r="E1723" s="7" t="s">
        <v>3758</v>
      </c>
      <c r="F1723" s="18" t="n">
        <f aca="false">IF('Base de Datos SADI'!U641="","",'Base de Datos SADI'!U641)</f>
        <v>80</v>
      </c>
      <c r="G1723" s="14"/>
      <c r="H1723" s="28"/>
      <c r="I1723" s="29" t="str">
        <f aca="false">IF(OR($G1723="",$G1723=0),"",IFERROR(ROUND($F1723*$G1723*(1-IF($H1723="",0,$H1723)),2),""))</f>
        <v/>
      </c>
      <c r="J1723" s="7"/>
    </row>
    <row r="1724" customFormat="false" ht="21.75" hidden="false" customHeight="true" outlineLevel="0" collapsed="false">
      <c r="B1724" s="15" t="n">
        <v>638</v>
      </c>
      <c r="C1724" s="9" t="s">
        <v>89</v>
      </c>
      <c r="D1724" s="9" t="s">
        <v>102</v>
      </c>
      <c r="E1724" s="9" t="s">
        <v>3759</v>
      </c>
      <c r="F1724" s="19" t="n">
        <f aca="false">IF('Base de Datos SADI'!U642="","",'Base de Datos SADI'!U642)</f>
        <v>115</v>
      </c>
      <c r="G1724" s="15"/>
      <c r="H1724" s="30"/>
      <c r="I1724" s="31" t="str">
        <f aca="false">IF(OR($G1724="",$G1724=0),"",IFERROR(ROUND($F1724*$G1724*(1-IF($H1724="",0,$H1724)),2),""))</f>
        <v/>
      </c>
      <c r="J1724" s="9"/>
    </row>
    <row r="1725" customFormat="false" ht="21.75" hidden="false" customHeight="true" outlineLevel="0" collapsed="false">
      <c r="B1725" s="14" t="n">
        <v>639</v>
      </c>
      <c r="C1725" s="7" t="s">
        <v>89</v>
      </c>
      <c r="D1725" s="7" t="s">
        <v>103</v>
      </c>
      <c r="E1725" s="7" t="s">
        <v>3760</v>
      </c>
      <c r="F1725" s="18" t="n">
        <f aca="false">IF('Base de Datos SADI'!U643="","",'Base de Datos SADI'!U643)</f>
        <v>40</v>
      </c>
      <c r="G1725" s="14"/>
      <c r="H1725" s="28"/>
      <c r="I1725" s="29" t="str">
        <f aca="false">IF(OR($G1725="",$G1725=0),"",IFERROR(ROUND($F1725*$G1725*(1-IF($H1725="",0,$H1725)),2),""))</f>
        <v/>
      </c>
      <c r="J1725" s="7"/>
    </row>
    <row r="1726" customFormat="false" ht="21.75" hidden="false" customHeight="true" outlineLevel="0" collapsed="false">
      <c r="B1726" s="15" t="n">
        <v>640</v>
      </c>
      <c r="C1726" s="9" t="s">
        <v>89</v>
      </c>
      <c r="D1726" s="9" t="s">
        <v>103</v>
      </c>
      <c r="E1726" s="9" t="s">
        <v>3764</v>
      </c>
      <c r="F1726" s="19" t="n">
        <f aca="false">IF('Base de Datos SADI'!U644="","",'Base de Datos SADI'!U644)</f>
        <v>65</v>
      </c>
      <c r="G1726" s="15"/>
      <c r="H1726" s="30"/>
      <c r="I1726" s="31" t="str">
        <f aca="false">IF(OR($G1726="",$G1726=0),"",IFERROR(ROUND($F1726*$G1726*(1-IF($H1726="",0,$H1726)),2),""))</f>
        <v/>
      </c>
      <c r="J1726" s="9"/>
    </row>
    <row r="1727" customFormat="false" ht="21.75" hidden="false" customHeight="true" outlineLevel="0" collapsed="false">
      <c r="B1727" s="14" t="n">
        <v>641</v>
      </c>
      <c r="C1727" s="7" t="s">
        <v>89</v>
      </c>
      <c r="D1727" s="7" t="s">
        <v>103</v>
      </c>
      <c r="E1727" s="7" t="s">
        <v>3765</v>
      </c>
      <c r="F1727" s="18" t="n">
        <f aca="false">IF('Base de Datos SADI'!U645="","",'Base de Datos SADI'!U645)</f>
        <v>85</v>
      </c>
      <c r="G1727" s="14"/>
      <c r="H1727" s="28"/>
      <c r="I1727" s="29" t="str">
        <f aca="false">IF(OR($G1727="",$G1727=0),"",IFERROR(ROUND($F1727*$G1727*(1-IF($H1727="",0,$H1727)),2),""))</f>
        <v/>
      </c>
      <c r="J1727" s="7"/>
    </row>
    <row r="1728" customFormat="false" ht="21.75" hidden="false" customHeight="true" outlineLevel="0" collapsed="false">
      <c r="B1728" s="15" t="n">
        <v>642</v>
      </c>
      <c r="C1728" s="9" t="s">
        <v>89</v>
      </c>
      <c r="D1728" s="9" t="s">
        <v>103</v>
      </c>
      <c r="E1728" s="9" t="s">
        <v>3767</v>
      </c>
      <c r="F1728" s="19" t="n">
        <f aca="false">IF('Base de Datos SADI'!U646="","",'Base de Datos SADI'!U646)</f>
        <v>130</v>
      </c>
      <c r="G1728" s="15"/>
      <c r="H1728" s="30"/>
      <c r="I1728" s="31" t="str">
        <f aca="false">IF(OR($G1728="",$G1728=0),"",IFERROR(ROUND($F1728*$G1728*(1-IF($H1728="",0,$H1728)),2),""))</f>
        <v/>
      </c>
      <c r="J1728" s="9"/>
    </row>
    <row r="1729" customFormat="false" ht="21.75" hidden="false" customHeight="true" outlineLevel="0" collapsed="false">
      <c r="B1729" s="14" t="n">
        <v>643</v>
      </c>
      <c r="C1729" s="7" t="s">
        <v>89</v>
      </c>
      <c r="D1729" s="7" t="s">
        <v>103</v>
      </c>
      <c r="E1729" s="7" t="s">
        <v>3768</v>
      </c>
      <c r="F1729" s="18" t="n">
        <f aca="false">IF('Base de Datos SADI'!U647="","",'Base de Datos SADI'!U647)</f>
        <v>190</v>
      </c>
      <c r="G1729" s="14"/>
      <c r="H1729" s="28"/>
      <c r="I1729" s="29" t="str">
        <f aca="false">IF(OR($G1729="",$G1729=0),"",IFERROR(ROUND($F1729*$G1729*(1-IF($H1729="",0,$H1729)),2),""))</f>
        <v/>
      </c>
      <c r="J1729" s="7"/>
    </row>
    <row r="1730" customFormat="false" ht="21.75" hidden="false" customHeight="true" outlineLevel="0" collapsed="false">
      <c r="B1730" s="15" t="n">
        <v>644</v>
      </c>
      <c r="C1730" s="9" t="s">
        <v>89</v>
      </c>
      <c r="D1730" s="9" t="s">
        <v>104</v>
      </c>
      <c r="E1730" s="9" t="s">
        <v>391</v>
      </c>
      <c r="F1730" s="19" t="str">
        <f aca="false">IF('Base de Datos SADI'!U648="","",'Base de Datos SADI'!U648)</f>
        <v/>
      </c>
      <c r="G1730" s="15"/>
      <c r="H1730" s="30"/>
      <c r="I1730" s="31" t="str">
        <f aca="false">IF(OR($G1730="",$G1730=0),"",IFERROR(ROUND($F1730*$G1730*(1-IF($H1730="",0,$H1730)),2),""))</f>
        <v/>
      </c>
      <c r="J1730" s="9"/>
    </row>
    <row r="1731" customFormat="false" ht="21.75" hidden="false" customHeight="true" outlineLevel="0" collapsed="false">
      <c r="B1731" s="14" t="n">
        <v>645</v>
      </c>
      <c r="C1731" s="7" t="s">
        <v>89</v>
      </c>
      <c r="D1731" s="7" t="s">
        <v>105</v>
      </c>
      <c r="E1731" s="7" t="s">
        <v>391</v>
      </c>
      <c r="F1731" s="18" t="str">
        <f aca="false">IF('Base de Datos SADI'!U649="","",'Base de Datos SADI'!U649)</f>
        <v/>
      </c>
      <c r="G1731" s="14"/>
      <c r="H1731" s="28"/>
      <c r="I1731" s="29" t="str">
        <f aca="false">IF(OR($G1731="",$G1731=0),"",IFERROR(ROUND($F1731*$G1731*(1-IF($H1731="",0,$H1731)),2),""))</f>
        <v/>
      </c>
      <c r="J1731" s="7"/>
    </row>
    <row r="1732" customFormat="false" ht="21.75" hidden="false" customHeight="true" outlineLevel="0" collapsed="false">
      <c r="B1732" s="15" t="n">
        <v>646</v>
      </c>
      <c r="C1732" s="9" t="s">
        <v>89</v>
      </c>
      <c r="D1732" s="9" t="s">
        <v>106</v>
      </c>
      <c r="E1732" s="9" t="s">
        <v>391</v>
      </c>
      <c r="F1732" s="19" t="str">
        <f aca="false">IF('Base de Datos SADI'!U650="","",'Base de Datos SADI'!U650)</f>
        <v/>
      </c>
      <c r="G1732" s="15"/>
      <c r="H1732" s="30"/>
      <c r="I1732" s="31" t="str">
        <f aca="false">IF(OR($G1732="",$G1732=0),"",IFERROR(ROUND($F1732*$G1732*(1-IF($H1732="",0,$H1732)),2),""))</f>
        <v/>
      </c>
      <c r="J1732" s="9"/>
    </row>
    <row r="1733" customFormat="false" ht="21.75" hidden="false" customHeight="true" outlineLevel="0" collapsed="false">
      <c r="B1733" s="14" t="n">
        <v>647</v>
      </c>
      <c r="C1733" s="7" t="s">
        <v>89</v>
      </c>
      <c r="D1733" s="7" t="s">
        <v>107</v>
      </c>
      <c r="E1733" s="7" t="s">
        <v>391</v>
      </c>
      <c r="F1733" s="18" t="str">
        <f aca="false">IF('Base de Datos SADI'!U651="","",'Base de Datos SADI'!U651)</f>
        <v/>
      </c>
      <c r="G1733" s="14"/>
      <c r="H1733" s="28"/>
      <c r="I1733" s="29" t="str">
        <f aca="false">IF(OR($G1733="",$G1733=0),"",IFERROR(ROUND($F1733*$G1733*(1-IF($H1733="",0,$H1733)),2),""))</f>
        <v/>
      </c>
      <c r="J1733" s="7"/>
    </row>
    <row r="1734" customFormat="false" ht="21.75" hidden="false" customHeight="true" outlineLevel="0" collapsed="false">
      <c r="B1734" s="15" t="n">
        <v>648</v>
      </c>
      <c r="C1734" s="9" t="s">
        <v>89</v>
      </c>
      <c r="D1734" s="9" t="s">
        <v>108</v>
      </c>
      <c r="E1734" s="9" t="s">
        <v>391</v>
      </c>
      <c r="F1734" s="19" t="str">
        <f aca="false">IF('Base de Datos SADI'!U652="","",'Base de Datos SADI'!U652)</f>
        <v/>
      </c>
      <c r="G1734" s="15"/>
      <c r="H1734" s="30"/>
      <c r="I1734" s="31" t="str">
        <f aca="false">IF(OR($G1734="",$G1734=0),"",IFERROR(ROUND($F1734*$G1734*(1-IF($H1734="",0,$H1734)),2),""))</f>
        <v/>
      </c>
      <c r="J1734" s="9"/>
    </row>
    <row r="1735" customFormat="false" ht="21.75" hidden="false" customHeight="true" outlineLevel="0" collapsed="false">
      <c r="B1735" s="14" t="n">
        <v>649</v>
      </c>
      <c r="C1735" s="7" t="s">
        <v>90</v>
      </c>
      <c r="D1735" s="7" t="s">
        <v>93</v>
      </c>
      <c r="E1735" s="7" t="s">
        <v>391</v>
      </c>
      <c r="F1735" s="18" t="str">
        <f aca="false">IF('Base de Datos SADI'!U653="","",'Base de Datos SADI'!U653)</f>
        <v/>
      </c>
      <c r="G1735" s="14"/>
      <c r="H1735" s="28"/>
      <c r="I1735" s="29" t="str">
        <f aca="false">IF(OR($G1735="",$G1735=0),"",IFERROR(ROUND($F1735*$G1735*(1-IF($H1735="",0,$H1735)),2),""))</f>
        <v/>
      </c>
      <c r="J1735" s="7"/>
    </row>
    <row r="1736" customFormat="false" ht="21.75" hidden="false" customHeight="true" outlineLevel="0" collapsed="false">
      <c r="B1736" s="15" t="n">
        <v>650</v>
      </c>
      <c r="C1736" s="9" t="s">
        <v>90</v>
      </c>
      <c r="D1736" s="9" t="s">
        <v>94</v>
      </c>
      <c r="E1736" s="9" t="s">
        <v>391</v>
      </c>
      <c r="F1736" s="19" t="str">
        <f aca="false">IF('Base de Datos SADI'!U654="","",'Base de Datos SADI'!U654)</f>
        <v/>
      </c>
      <c r="G1736" s="15"/>
      <c r="H1736" s="30"/>
      <c r="I1736" s="31" t="str">
        <f aca="false">IF(OR($G1736="",$G1736=0),"",IFERROR(ROUND($F1736*$G1736*(1-IF($H1736="",0,$H1736)),2),""))</f>
        <v/>
      </c>
      <c r="J1736" s="9"/>
    </row>
    <row r="1737" customFormat="false" ht="21.75" hidden="false" customHeight="true" outlineLevel="0" collapsed="false">
      <c r="B1737" s="14" t="n">
        <v>651</v>
      </c>
      <c r="C1737" s="7" t="s">
        <v>90</v>
      </c>
      <c r="D1737" s="7" t="s">
        <v>95</v>
      </c>
      <c r="E1737" s="7" t="s">
        <v>391</v>
      </c>
      <c r="F1737" s="18" t="str">
        <f aca="false">IF('Base de Datos SADI'!U655="","",'Base de Datos SADI'!U655)</f>
        <v/>
      </c>
      <c r="G1737" s="14"/>
      <c r="H1737" s="28"/>
      <c r="I1737" s="29" t="str">
        <f aca="false">IF(OR($G1737="",$G1737=0),"",IFERROR(ROUND($F1737*$G1737*(1-IF($H1737="",0,$H1737)),2),""))</f>
        <v/>
      </c>
      <c r="J1737" s="7"/>
    </row>
    <row r="1738" customFormat="false" ht="21.75" hidden="false" customHeight="true" outlineLevel="0" collapsed="false">
      <c r="B1738" s="15" t="n">
        <v>652</v>
      </c>
      <c r="C1738" s="9" t="s">
        <v>90</v>
      </c>
      <c r="D1738" s="9" t="s">
        <v>96</v>
      </c>
      <c r="E1738" s="9" t="s">
        <v>391</v>
      </c>
      <c r="F1738" s="19" t="str">
        <f aca="false">IF('Base de Datos SADI'!U656="","",'Base de Datos SADI'!U656)</f>
        <v/>
      </c>
      <c r="G1738" s="15"/>
      <c r="H1738" s="30"/>
      <c r="I1738" s="31" t="str">
        <f aca="false">IF(OR($G1738="",$G1738=0),"",IFERROR(ROUND($F1738*$G1738*(1-IF($H1738="",0,$H1738)),2),""))</f>
        <v/>
      </c>
      <c r="J1738" s="9"/>
    </row>
    <row r="1739" customFormat="false" ht="21.75" hidden="false" customHeight="true" outlineLevel="0" collapsed="false">
      <c r="B1739" s="14" t="n">
        <v>653</v>
      </c>
      <c r="C1739" s="7" t="s">
        <v>90</v>
      </c>
      <c r="D1739" s="7" t="s">
        <v>97</v>
      </c>
      <c r="E1739" s="7" t="s">
        <v>391</v>
      </c>
      <c r="F1739" s="18" t="str">
        <f aca="false">IF('Base de Datos SADI'!U657="","",'Base de Datos SADI'!U657)</f>
        <v/>
      </c>
      <c r="G1739" s="14"/>
      <c r="H1739" s="28"/>
      <c r="I1739" s="29" t="str">
        <f aca="false">IF(OR($G1739="",$G1739=0),"",IFERROR(ROUND($F1739*$G1739*(1-IF($H1739="",0,$H1739)),2),""))</f>
        <v/>
      </c>
      <c r="J1739" s="7"/>
    </row>
    <row r="1740" customFormat="false" ht="21.75" hidden="false" customHeight="true" outlineLevel="0" collapsed="false">
      <c r="B1740" s="15" t="n">
        <v>654</v>
      </c>
      <c r="C1740" s="9" t="s">
        <v>90</v>
      </c>
      <c r="D1740" s="9" t="s">
        <v>98</v>
      </c>
      <c r="E1740" s="9" t="s">
        <v>391</v>
      </c>
      <c r="F1740" s="19" t="str">
        <f aca="false">IF('Base de Datos SADI'!U658="","",'Base de Datos SADI'!U658)</f>
        <v/>
      </c>
      <c r="G1740" s="15"/>
      <c r="H1740" s="30"/>
      <c r="I1740" s="31" t="str">
        <f aca="false">IF(OR($G1740="",$G1740=0),"",IFERROR(ROUND($F1740*$G1740*(1-IF($H1740="",0,$H1740)),2),""))</f>
        <v/>
      </c>
      <c r="J1740" s="9"/>
    </row>
    <row r="1741" customFormat="false" ht="21.75" hidden="false" customHeight="true" outlineLevel="0" collapsed="false">
      <c r="B1741" s="14" t="n">
        <v>655</v>
      </c>
      <c r="C1741" s="7" t="s">
        <v>90</v>
      </c>
      <c r="D1741" s="7" t="s">
        <v>99</v>
      </c>
      <c r="E1741" s="7" t="s">
        <v>391</v>
      </c>
      <c r="F1741" s="18" t="str">
        <f aca="false">IF('Base de Datos SADI'!U659="","",'Base de Datos SADI'!U659)</f>
        <v/>
      </c>
      <c r="G1741" s="14"/>
      <c r="H1741" s="28"/>
      <c r="I1741" s="29" t="str">
        <f aca="false">IF(OR($G1741="",$G1741=0),"",IFERROR(ROUND($F1741*$G1741*(1-IF($H1741="",0,$H1741)),2),""))</f>
        <v/>
      </c>
      <c r="J1741" s="7"/>
    </row>
    <row r="1742" customFormat="false" ht="21.75" hidden="false" customHeight="true" outlineLevel="0" collapsed="false">
      <c r="B1742" s="15" t="n">
        <v>656</v>
      </c>
      <c r="C1742" s="9" t="s">
        <v>90</v>
      </c>
      <c r="D1742" s="9" t="s">
        <v>100</v>
      </c>
      <c r="E1742" s="9" t="s">
        <v>3780</v>
      </c>
      <c r="F1742" s="19" t="n">
        <f aca="false">IF('Base de Datos SADI'!U660="","",'Base de Datos SADI'!U660)</f>
        <v>2200</v>
      </c>
      <c r="G1742" s="15"/>
      <c r="H1742" s="30"/>
      <c r="I1742" s="31" t="str">
        <f aca="false">IF(OR($G1742="",$G1742=0),"",IFERROR(ROUND($F1742*$G1742*(1-IF($H1742="",0,$H1742)),2),""))</f>
        <v/>
      </c>
      <c r="J1742" s="9"/>
    </row>
    <row r="1743" customFormat="false" ht="21.75" hidden="false" customHeight="true" outlineLevel="0" collapsed="false">
      <c r="B1743" s="14" t="n">
        <v>657</v>
      </c>
      <c r="C1743" s="7" t="s">
        <v>90</v>
      </c>
      <c r="D1743" s="7" t="s">
        <v>100</v>
      </c>
      <c r="E1743" s="7" t="s">
        <v>3791</v>
      </c>
      <c r="F1743" s="18" t="n">
        <f aca="false">IF('Base de Datos SADI'!U661="","",'Base de Datos SADI'!U661)</f>
        <v>3300</v>
      </c>
      <c r="G1743" s="14"/>
      <c r="H1743" s="28"/>
      <c r="I1743" s="29" t="str">
        <f aca="false">IF(OR($G1743="",$G1743=0),"",IFERROR(ROUND($F1743*$G1743*(1-IF($H1743="",0,$H1743)),2),""))</f>
        <v/>
      </c>
      <c r="J1743" s="7"/>
    </row>
    <row r="1744" customFormat="false" ht="21.75" hidden="false" customHeight="true" outlineLevel="0" collapsed="false">
      <c r="B1744" s="15" t="n">
        <v>658</v>
      </c>
      <c r="C1744" s="9" t="s">
        <v>90</v>
      </c>
      <c r="D1744" s="9" t="s">
        <v>100</v>
      </c>
      <c r="E1744" s="9" t="s">
        <v>3792</v>
      </c>
      <c r="F1744" s="19" t="n">
        <f aca="false">IF('Base de Datos SADI'!U662="","",'Base de Datos SADI'!U662)</f>
        <v>4400</v>
      </c>
      <c r="G1744" s="15"/>
      <c r="H1744" s="30"/>
      <c r="I1744" s="31" t="str">
        <f aca="false">IF(OR($G1744="",$G1744=0),"",IFERROR(ROUND($F1744*$G1744*(1-IF($H1744="",0,$H1744)),2),""))</f>
        <v/>
      </c>
      <c r="J1744" s="9"/>
    </row>
    <row r="1745" customFormat="false" ht="21.75" hidden="false" customHeight="true" outlineLevel="0" collapsed="false">
      <c r="B1745" s="14" t="n">
        <v>659</v>
      </c>
      <c r="C1745" s="7" t="s">
        <v>90</v>
      </c>
      <c r="D1745" s="7" t="s">
        <v>100</v>
      </c>
      <c r="E1745" s="7" t="s">
        <v>2580</v>
      </c>
      <c r="F1745" s="18" t="n">
        <f aca="false">IF('Base de Datos SADI'!U663="","",'Base de Datos SADI'!U663)</f>
        <v>6600</v>
      </c>
      <c r="G1745" s="14"/>
      <c r="H1745" s="28"/>
      <c r="I1745" s="29" t="str">
        <f aca="false">IF(OR($G1745="",$G1745=0),"",IFERROR(ROUND($F1745*$G1745*(1-IF($H1745="",0,$H1745)),2),""))</f>
        <v/>
      </c>
      <c r="J1745" s="7"/>
    </row>
    <row r="1746" customFormat="false" ht="21.75" hidden="false" customHeight="true" outlineLevel="0" collapsed="false">
      <c r="B1746" s="15" t="n">
        <v>660</v>
      </c>
      <c r="C1746" s="9" t="s">
        <v>90</v>
      </c>
      <c r="D1746" s="9" t="s">
        <v>100</v>
      </c>
      <c r="E1746" s="9" t="s">
        <v>3794</v>
      </c>
      <c r="F1746" s="19" t="n">
        <f aca="false">IF('Base de Datos SADI'!U664="","",'Base de Datos SADI'!U664)</f>
        <v>9680</v>
      </c>
      <c r="G1746" s="15"/>
      <c r="H1746" s="30"/>
      <c r="I1746" s="31" t="str">
        <f aca="false">IF(OR($G1746="",$G1746=0),"",IFERROR(ROUND($F1746*$G1746*(1-IF($H1746="",0,$H1746)),2),""))</f>
        <v/>
      </c>
      <c r="J1746" s="9"/>
    </row>
    <row r="1747" customFormat="false" ht="21.75" hidden="false" customHeight="true" outlineLevel="0" collapsed="false">
      <c r="B1747" s="14" t="n">
        <v>661</v>
      </c>
      <c r="C1747" s="7" t="s">
        <v>90</v>
      </c>
      <c r="D1747" s="7" t="s">
        <v>101</v>
      </c>
      <c r="E1747" s="7" t="s">
        <v>391</v>
      </c>
      <c r="F1747" s="18" t="str">
        <f aca="false">IF('Base de Datos SADI'!U665="","",'Base de Datos SADI'!U665)</f>
        <v/>
      </c>
      <c r="G1747" s="14"/>
      <c r="H1747" s="28"/>
      <c r="I1747" s="29" t="str">
        <f aca="false">IF(OR($G1747="",$G1747=0),"",IFERROR(ROUND($F1747*$G1747*(1-IF($H1747="",0,$H1747)),2),""))</f>
        <v/>
      </c>
      <c r="J1747" s="7"/>
    </row>
    <row r="1748" customFormat="false" ht="21.75" hidden="false" customHeight="true" outlineLevel="0" collapsed="false">
      <c r="B1748" s="15" t="n">
        <v>662</v>
      </c>
      <c r="C1748" s="9" t="s">
        <v>90</v>
      </c>
      <c r="D1748" s="9" t="s">
        <v>102</v>
      </c>
      <c r="E1748" s="9" t="s">
        <v>391</v>
      </c>
      <c r="F1748" s="19" t="str">
        <f aca="false">IF('Base de Datos SADI'!U666="","",'Base de Datos SADI'!U666)</f>
        <v/>
      </c>
      <c r="G1748" s="15"/>
      <c r="H1748" s="30"/>
      <c r="I1748" s="31" t="str">
        <f aca="false">IF(OR($G1748="",$G1748=0),"",IFERROR(ROUND($F1748*$G1748*(1-IF($H1748="",0,$H1748)),2),""))</f>
        <v/>
      </c>
      <c r="J1748" s="9"/>
    </row>
    <row r="1749" customFormat="false" ht="21.75" hidden="false" customHeight="true" outlineLevel="0" collapsed="false">
      <c r="B1749" s="14" t="n">
        <v>663</v>
      </c>
      <c r="C1749" s="7" t="s">
        <v>90</v>
      </c>
      <c r="D1749" s="7" t="s">
        <v>103</v>
      </c>
      <c r="E1749" s="7" t="s">
        <v>391</v>
      </c>
      <c r="F1749" s="18" t="str">
        <f aca="false">IF('Base de Datos SADI'!U667="","",'Base de Datos SADI'!U667)</f>
        <v/>
      </c>
      <c r="G1749" s="14"/>
      <c r="H1749" s="28"/>
      <c r="I1749" s="29" t="str">
        <f aca="false">IF(OR($G1749="",$G1749=0),"",IFERROR(ROUND($F1749*$G1749*(1-IF($H1749="",0,$H1749)),2),""))</f>
        <v/>
      </c>
      <c r="J1749" s="7"/>
    </row>
    <row r="1750" customFormat="false" ht="21.75" hidden="false" customHeight="true" outlineLevel="0" collapsed="false">
      <c r="B1750" s="15" t="n">
        <v>664</v>
      </c>
      <c r="C1750" s="9" t="s">
        <v>90</v>
      </c>
      <c r="D1750" s="9" t="s">
        <v>104</v>
      </c>
      <c r="E1750" s="9" t="s">
        <v>391</v>
      </c>
      <c r="F1750" s="19" t="str">
        <f aca="false">IF('Base de Datos SADI'!U668="","",'Base de Datos SADI'!U668)</f>
        <v/>
      </c>
      <c r="G1750" s="15"/>
      <c r="H1750" s="30"/>
      <c r="I1750" s="31" t="str">
        <f aca="false">IF(OR($G1750="",$G1750=0),"",IFERROR(ROUND($F1750*$G1750*(1-IF($H1750="",0,$H1750)),2),""))</f>
        <v/>
      </c>
      <c r="J1750" s="9"/>
    </row>
    <row r="1751" customFormat="false" ht="21.75" hidden="false" customHeight="true" outlineLevel="0" collapsed="false">
      <c r="B1751" s="14" t="n">
        <v>665</v>
      </c>
      <c r="C1751" s="7" t="s">
        <v>90</v>
      </c>
      <c r="D1751" s="7" t="s">
        <v>105</v>
      </c>
      <c r="E1751" s="7" t="s">
        <v>391</v>
      </c>
      <c r="F1751" s="18" t="str">
        <f aca="false">IF('Base de Datos SADI'!U669="","",'Base de Datos SADI'!U669)</f>
        <v/>
      </c>
      <c r="G1751" s="14"/>
      <c r="H1751" s="28"/>
      <c r="I1751" s="29" t="str">
        <f aca="false">IF(OR($G1751="",$G1751=0),"",IFERROR(ROUND($F1751*$G1751*(1-IF($H1751="",0,$H1751)),2),""))</f>
        <v/>
      </c>
      <c r="J1751" s="7"/>
    </row>
    <row r="1752" customFormat="false" ht="21.75" hidden="false" customHeight="true" outlineLevel="0" collapsed="false">
      <c r="B1752" s="15" t="n">
        <v>666</v>
      </c>
      <c r="C1752" s="9" t="s">
        <v>90</v>
      </c>
      <c r="D1752" s="9" t="s">
        <v>106</v>
      </c>
      <c r="E1752" s="9" t="s">
        <v>391</v>
      </c>
      <c r="F1752" s="19" t="str">
        <f aca="false">IF('Base de Datos SADI'!U670="","",'Base de Datos SADI'!U670)</f>
        <v/>
      </c>
      <c r="G1752" s="15"/>
      <c r="H1752" s="30"/>
      <c r="I1752" s="31" t="str">
        <f aca="false">IF(OR($G1752="",$G1752=0),"",IFERROR(ROUND($F1752*$G1752*(1-IF($H1752="",0,$H1752)),2),""))</f>
        <v/>
      </c>
      <c r="J1752" s="9"/>
    </row>
    <row r="1753" customFormat="false" ht="21.75" hidden="false" customHeight="true" outlineLevel="0" collapsed="false">
      <c r="B1753" s="14" t="n">
        <v>667</v>
      </c>
      <c r="C1753" s="7" t="s">
        <v>90</v>
      </c>
      <c r="D1753" s="7" t="s">
        <v>107</v>
      </c>
      <c r="E1753" s="7" t="s">
        <v>3800</v>
      </c>
      <c r="F1753" s="18" t="n">
        <f aca="false">IF('Base de Datos SADI'!U671="","",'Base de Datos SADI'!U671)</f>
        <v>1200</v>
      </c>
      <c r="G1753" s="14"/>
      <c r="H1753" s="28"/>
      <c r="I1753" s="29" t="str">
        <f aca="false">IF(OR($G1753="",$G1753=0),"",IFERROR(ROUND($F1753*$G1753*(1-IF($H1753="",0,$H1753)),2),""))</f>
        <v/>
      </c>
      <c r="J1753" s="7"/>
    </row>
    <row r="1754" customFormat="false" ht="21.75" hidden="false" customHeight="true" outlineLevel="0" collapsed="false">
      <c r="B1754" s="15" t="n">
        <v>668</v>
      </c>
      <c r="C1754" s="9" t="s">
        <v>90</v>
      </c>
      <c r="D1754" s="9" t="s">
        <v>107</v>
      </c>
      <c r="E1754" s="9" t="s">
        <v>3808</v>
      </c>
      <c r="F1754" s="19" t="n">
        <f aca="false">IF('Base de Datos SADI'!U672="","",'Base de Datos SADI'!U672)</f>
        <v>1800</v>
      </c>
      <c r="G1754" s="15"/>
      <c r="H1754" s="30"/>
      <c r="I1754" s="31" t="str">
        <f aca="false">IF(OR($G1754="",$G1754=0),"",IFERROR(ROUND($F1754*$G1754*(1-IF($H1754="",0,$H1754)),2),""))</f>
        <v/>
      </c>
      <c r="J1754" s="9"/>
    </row>
    <row r="1755" customFormat="false" ht="21.75" hidden="false" customHeight="true" outlineLevel="0" collapsed="false">
      <c r="B1755" s="14" t="n">
        <v>669</v>
      </c>
      <c r="C1755" s="7" t="s">
        <v>90</v>
      </c>
      <c r="D1755" s="7" t="s">
        <v>107</v>
      </c>
      <c r="E1755" s="7" t="s">
        <v>3809</v>
      </c>
      <c r="F1755" s="18" t="n">
        <f aca="false">IF('Base de Datos SADI'!U673="","",'Base de Datos SADI'!U673)</f>
        <v>2400</v>
      </c>
      <c r="G1755" s="14"/>
      <c r="H1755" s="28"/>
      <c r="I1755" s="29" t="str">
        <f aca="false">IF(OR($G1755="",$G1755=0),"",IFERROR(ROUND($F1755*$G1755*(1-IF($H1755="",0,$H1755)),2),""))</f>
        <v/>
      </c>
      <c r="J1755" s="7"/>
    </row>
    <row r="1756" customFormat="false" ht="21.75" hidden="false" customHeight="true" outlineLevel="0" collapsed="false">
      <c r="B1756" s="15" t="n">
        <v>670</v>
      </c>
      <c r="C1756" s="9" t="s">
        <v>90</v>
      </c>
      <c r="D1756" s="9" t="s">
        <v>107</v>
      </c>
      <c r="E1756" s="9" t="s">
        <v>3811</v>
      </c>
      <c r="F1756" s="19" t="n">
        <f aca="false">IF('Base de Datos SADI'!U674="","",'Base de Datos SADI'!U674)</f>
        <v>3600</v>
      </c>
      <c r="G1756" s="15"/>
      <c r="H1756" s="30"/>
      <c r="I1756" s="31" t="str">
        <f aca="false">IF(OR($G1756="",$G1756=0),"",IFERROR(ROUND($F1756*$G1756*(1-IF($H1756="",0,$H1756)),2),""))</f>
        <v/>
      </c>
      <c r="J1756" s="9"/>
    </row>
    <row r="1757" customFormat="false" ht="21.75" hidden="false" customHeight="true" outlineLevel="0" collapsed="false">
      <c r="B1757" s="14" t="n">
        <v>671</v>
      </c>
      <c r="C1757" s="7" t="s">
        <v>90</v>
      </c>
      <c r="D1757" s="7" t="s">
        <v>107</v>
      </c>
      <c r="E1757" s="7" t="s">
        <v>3812</v>
      </c>
      <c r="F1757" s="18" t="n">
        <f aca="false">IF('Base de Datos SADI'!U675="","",'Base de Datos SADI'!U675)</f>
        <v>5280</v>
      </c>
      <c r="G1757" s="14"/>
      <c r="H1757" s="28"/>
      <c r="I1757" s="29" t="str">
        <f aca="false">IF(OR($G1757="",$G1757=0),"",IFERROR(ROUND($F1757*$G1757*(1-IF($H1757="",0,$H1757)),2),""))</f>
        <v/>
      </c>
      <c r="J1757" s="7"/>
    </row>
    <row r="1758" customFormat="false" ht="21.75" hidden="false" customHeight="true" outlineLevel="0" collapsed="false">
      <c r="B1758" s="15" t="n">
        <v>672</v>
      </c>
      <c r="C1758" s="9" t="s">
        <v>90</v>
      </c>
      <c r="D1758" s="9" t="s">
        <v>108</v>
      </c>
      <c r="E1758" s="9" t="s">
        <v>391</v>
      </c>
      <c r="F1758" s="19" t="str">
        <f aca="false">IF('Base de Datos SADI'!U676="","",'Base de Datos SADI'!U676)</f>
        <v/>
      </c>
      <c r="G1758" s="15"/>
      <c r="H1758" s="30"/>
      <c r="I1758" s="31" t="str">
        <f aca="false">IF(OR($G1758="",$G1758=0),"",IFERROR(ROUND($F1758*$G1758*(1-IF($H1758="",0,$H1758)),2),""))</f>
        <v/>
      </c>
      <c r="J1758" s="9"/>
    </row>
    <row r="1759" customFormat="false" ht="21.75" hidden="false" customHeight="true" outlineLevel="0" collapsed="false">
      <c r="B1759" s="14" t="n">
        <v>673</v>
      </c>
      <c r="C1759" s="7" t="s">
        <v>91</v>
      </c>
      <c r="D1759" s="7" t="s">
        <v>93</v>
      </c>
      <c r="E1759" s="7" t="s">
        <v>391</v>
      </c>
      <c r="F1759" s="18" t="str">
        <f aca="false">IF('Base de Datos SADI'!U677="","",'Base de Datos SADI'!U677)</f>
        <v/>
      </c>
      <c r="G1759" s="14"/>
      <c r="H1759" s="28"/>
      <c r="I1759" s="29" t="str">
        <f aca="false">IF(OR($G1759="",$G1759=0),"",IFERROR(ROUND($F1759*$G1759*(1-IF($H1759="",0,$H1759)),2),""))</f>
        <v/>
      </c>
      <c r="J1759" s="7"/>
    </row>
    <row r="1760" customFormat="false" ht="21.75" hidden="false" customHeight="true" outlineLevel="0" collapsed="false">
      <c r="B1760" s="15" t="n">
        <v>674</v>
      </c>
      <c r="C1760" s="9" t="s">
        <v>91</v>
      </c>
      <c r="D1760" s="9" t="s">
        <v>94</v>
      </c>
      <c r="E1760" s="9" t="s">
        <v>391</v>
      </c>
      <c r="F1760" s="19" t="str">
        <f aca="false">IF('Base de Datos SADI'!U678="","",'Base de Datos SADI'!U678)</f>
        <v/>
      </c>
      <c r="G1760" s="15"/>
      <c r="H1760" s="30"/>
      <c r="I1760" s="31" t="str">
        <f aca="false">IF(OR($G1760="",$G1760=0),"",IFERROR(ROUND($F1760*$G1760*(1-IF($H1760="",0,$H1760)),2),""))</f>
        <v/>
      </c>
      <c r="J1760" s="9"/>
    </row>
    <row r="1761" customFormat="false" ht="21.75" hidden="false" customHeight="true" outlineLevel="0" collapsed="false">
      <c r="B1761" s="14" t="n">
        <v>675</v>
      </c>
      <c r="C1761" s="7" t="s">
        <v>91</v>
      </c>
      <c r="D1761" s="7" t="s">
        <v>95</v>
      </c>
      <c r="E1761" s="7" t="s">
        <v>391</v>
      </c>
      <c r="F1761" s="18" t="str">
        <f aca="false">IF('Base de Datos SADI'!U679="","",'Base de Datos SADI'!U679)</f>
        <v/>
      </c>
      <c r="G1761" s="14"/>
      <c r="H1761" s="28"/>
      <c r="I1761" s="29" t="str">
        <f aca="false">IF(OR($G1761="",$G1761=0),"",IFERROR(ROUND($F1761*$G1761*(1-IF($H1761="",0,$H1761)),2),""))</f>
        <v/>
      </c>
      <c r="J1761" s="7"/>
    </row>
    <row r="1762" customFormat="false" ht="21.75" hidden="false" customHeight="true" outlineLevel="0" collapsed="false">
      <c r="B1762" s="15" t="n">
        <v>676</v>
      </c>
      <c r="C1762" s="9" t="s">
        <v>91</v>
      </c>
      <c r="D1762" s="9" t="s">
        <v>96</v>
      </c>
      <c r="E1762" s="9" t="s">
        <v>391</v>
      </c>
      <c r="F1762" s="19" t="str">
        <f aca="false">IF('Base de Datos SADI'!U680="","",'Base de Datos SADI'!U680)</f>
        <v/>
      </c>
      <c r="G1762" s="15"/>
      <c r="H1762" s="30"/>
      <c r="I1762" s="31" t="str">
        <f aca="false">IF(OR($G1762="",$G1762=0),"",IFERROR(ROUND($F1762*$G1762*(1-IF($H1762="",0,$H1762)),2),""))</f>
        <v/>
      </c>
      <c r="J1762" s="9"/>
    </row>
    <row r="1763" customFormat="false" ht="21.75" hidden="false" customHeight="true" outlineLevel="0" collapsed="false">
      <c r="B1763" s="14" t="n">
        <v>677</v>
      </c>
      <c r="C1763" s="7" t="s">
        <v>91</v>
      </c>
      <c r="D1763" s="7" t="s">
        <v>97</v>
      </c>
      <c r="E1763" s="7" t="s">
        <v>391</v>
      </c>
      <c r="F1763" s="18" t="str">
        <f aca="false">IF('Base de Datos SADI'!U681="","",'Base de Datos SADI'!U681)</f>
        <v/>
      </c>
      <c r="G1763" s="14"/>
      <c r="H1763" s="28"/>
      <c r="I1763" s="29" t="str">
        <f aca="false">IF(OR($G1763="",$G1763=0),"",IFERROR(ROUND($F1763*$G1763*(1-IF($H1763="",0,$H1763)),2),""))</f>
        <v/>
      </c>
      <c r="J1763" s="7"/>
    </row>
    <row r="1764" customFormat="false" ht="21.75" hidden="false" customHeight="true" outlineLevel="0" collapsed="false">
      <c r="B1764" s="15" t="n">
        <v>678</v>
      </c>
      <c r="C1764" s="9" t="s">
        <v>91</v>
      </c>
      <c r="D1764" s="9" t="s">
        <v>98</v>
      </c>
      <c r="E1764" s="9" t="s">
        <v>391</v>
      </c>
      <c r="F1764" s="19" t="str">
        <f aca="false">IF('Base de Datos SADI'!U682="","",'Base de Datos SADI'!U682)</f>
        <v/>
      </c>
      <c r="G1764" s="15"/>
      <c r="H1764" s="30"/>
      <c r="I1764" s="31" t="str">
        <f aca="false">IF(OR($G1764="",$G1764=0),"",IFERROR(ROUND($F1764*$G1764*(1-IF($H1764="",0,$H1764)),2),""))</f>
        <v/>
      </c>
      <c r="J1764" s="9"/>
    </row>
    <row r="1765" customFormat="false" ht="21.75" hidden="false" customHeight="true" outlineLevel="0" collapsed="false">
      <c r="B1765" s="14" t="n">
        <v>679</v>
      </c>
      <c r="C1765" s="7" t="s">
        <v>91</v>
      </c>
      <c r="D1765" s="7" t="s">
        <v>99</v>
      </c>
      <c r="E1765" s="7" t="s">
        <v>3819</v>
      </c>
      <c r="F1765" s="18" t="n">
        <f aca="false">IF('Base de Datos SADI'!U683="","",'Base de Datos SADI'!U683)</f>
        <v>725</v>
      </c>
      <c r="G1765" s="14"/>
      <c r="H1765" s="28"/>
      <c r="I1765" s="29" t="str">
        <f aca="false">IF(OR($G1765="",$G1765=0),"",IFERROR(ROUND($F1765*$G1765*(1-IF($H1765="",0,$H1765)),2),""))</f>
        <v/>
      </c>
      <c r="J1765" s="7"/>
    </row>
    <row r="1766" customFormat="false" ht="21.75" hidden="false" customHeight="true" outlineLevel="0" collapsed="false">
      <c r="B1766" s="15" t="n">
        <v>680</v>
      </c>
      <c r="C1766" s="9" t="s">
        <v>91</v>
      </c>
      <c r="D1766" s="9" t="s">
        <v>99</v>
      </c>
      <c r="E1766" s="9" t="s">
        <v>3831</v>
      </c>
      <c r="F1766" s="19" t="n">
        <f aca="false">IF('Base de Datos SADI'!U684="","",'Base de Datos SADI'!U684)</f>
        <v>1085</v>
      </c>
      <c r="G1766" s="15"/>
      <c r="H1766" s="30"/>
      <c r="I1766" s="31" t="str">
        <f aca="false">IF(OR($G1766="",$G1766=0),"",IFERROR(ROUND($F1766*$G1766*(1-IF($H1766="",0,$H1766)),2),""))</f>
        <v/>
      </c>
      <c r="J1766" s="9"/>
    </row>
    <row r="1767" customFormat="false" ht="21.75" hidden="false" customHeight="true" outlineLevel="0" collapsed="false">
      <c r="B1767" s="14" t="n">
        <v>681</v>
      </c>
      <c r="C1767" s="7" t="s">
        <v>91</v>
      </c>
      <c r="D1767" s="7" t="s">
        <v>99</v>
      </c>
      <c r="E1767" s="7" t="s">
        <v>3832</v>
      </c>
      <c r="F1767" s="18" t="n">
        <f aca="false">IF('Base de Datos SADI'!U685="","",'Base de Datos SADI'!U685)</f>
        <v>1450</v>
      </c>
      <c r="G1767" s="14"/>
      <c r="H1767" s="28"/>
      <c r="I1767" s="29" t="str">
        <f aca="false">IF(OR($G1767="",$G1767=0),"",IFERROR(ROUND($F1767*$G1767*(1-IF($H1767="",0,$H1767)),2),""))</f>
        <v/>
      </c>
      <c r="J1767" s="7"/>
    </row>
    <row r="1768" customFormat="false" ht="21.75" hidden="false" customHeight="true" outlineLevel="0" collapsed="false">
      <c r="B1768" s="15" t="n">
        <v>682</v>
      </c>
      <c r="C1768" s="9" t="s">
        <v>91</v>
      </c>
      <c r="D1768" s="9" t="s">
        <v>99</v>
      </c>
      <c r="E1768" s="9" t="s">
        <v>3834</v>
      </c>
      <c r="F1768" s="19" t="n">
        <f aca="false">IF('Base de Datos SADI'!U686="","",'Base de Datos SADI'!U686)</f>
        <v>2175</v>
      </c>
      <c r="G1768" s="15"/>
      <c r="H1768" s="30"/>
      <c r="I1768" s="31" t="str">
        <f aca="false">IF(OR($G1768="",$G1768=0),"",IFERROR(ROUND($F1768*$G1768*(1-IF($H1768="",0,$H1768)),2),""))</f>
        <v/>
      </c>
      <c r="J1768" s="9"/>
    </row>
    <row r="1769" customFormat="false" ht="21.75" hidden="false" customHeight="true" outlineLevel="0" collapsed="false">
      <c r="B1769" s="14" t="n">
        <v>683</v>
      </c>
      <c r="C1769" s="7" t="s">
        <v>91</v>
      </c>
      <c r="D1769" s="7" t="s">
        <v>99</v>
      </c>
      <c r="E1769" s="7" t="s">
        <v>3835</v>
      </c>
      <c r="F1769" s="18" t="n">
        <f aca="false">IF('Base de Datos SADI'!U687="","",'Base de Datos SADI'!U687)</f>
        <v>3190</v>
      </c>
      <c r="G1769" s="14"/>
      <c r="H1769" s="28"/>
      <c r="I1769" s="29" t="str">
        <f aca="false">IF(OR($G1769="",$G1769=0),"",IFERROR(ROUND($F1769*$G1769*(1-IF($H1769="",0,$H1769)),2),""))</f>
        <v/>
      </c>
      <c r="J1769" s="7"/>
    </row>
    <row r="1770" customFormat="false" ht="21.75" hidden="false" customHeight="true" outlineLevel="0" collapsed="false">
      <c r="B1770" s="15" t="n">
        <v>684</v>
      </c>
      <c r="C1770" s="9" t="s">
        <v>91</v>
      </c>
      <c r="D1770" s="9" t="s">
        <v>100</v>
      </c>
      <c r="E1770" s="9" t="s">
        <v>391</v>
      </c>
      <c r="F1770" s="19" t="str">
        <f aca="false">IF('Base de Datos SADI'!U688="","",'Base de Datos SADI'!U688)</f>
        <v/>
      </c>
      <c r="G1770" s="15"/>
      <c r="H1770" s="30"/>
      <c r="I1770" s="31" t="str">
        <f aca="false">IF(OR($G1770="",$G1770=0),"",IFERROR(ROUND($F1770*$G1770*(1-IF($H1770="",0,$H1770)),2),""))</f>
        <v/>
      </c>
      <c r="J1770" s="9"/>
    </row>
    <row r="1771" customFormat="false" ht="21.75" hidden="false" customHeight="true" outlineLevel="0" collapsed="false">
      <c r="B1771" s="14" t="n">
        <v>685</v>
      </c>
      <c r="C1771" s="7" t="s">
        <v>91</v>
      </c>
      <c r="D1771" s="7" t="s">
        <v>101</v>
      </c>
      <c r="E1771" s="7" t="s">
        <v>391</v>
      </c>
      <c r="F1771" s="18" t="str">
        <f aca="false">IF('Base de Datos SADI'!U689="","",'Base de Datos SADI'!U689)</f>
        <v/>
      </c>
      <c r="G1771" s="14"/>
      <c r="H1771" s="28"/>
      <c r="I1771" s="29" t="str">
        <f aca="false">IF(OR($G1771="",$G1771=0),"",IFERROR(ROUND($F1771*$G1771*(1-IF($H1771="",0,$H1771)),2),""))</f>
        <v/>
      </c>
      <c r="J1771" s="7"/>
    </row>
    <row r="1772" customFormat="false" ht="21.75" hidden="false" customHeight="true" outlineLevel="0" collapsed="false">
      <c r="B1772" s="15" t="n">
        <v>686</v>
      </c>
      <c r="C1772" s="9" t="s">
        <v>91</v>
      </c>
      <c r="D1772" s="9" t="s">
        <v>102</v>
      </c>
      <c r="E1772" s="9" t="s">
        <v>391</v>
      </c>
      <c r="F1772" s="19" t="str">
        <f aca="false">IF('Base de Datos SADI'!U690="","",'Base de Datos SADI'!U690)</f>
        <v/>
      </c>
      <c r="G1772" s="15"/>
      <c r="H1772" s="30"/>
      <c r="I1772" s="31" t="str">
        <f aca="false">IF(OR($G1772="",$G1772=0),"",IFERROR(ROUND($F1772*$G1772*(1-IF($H1772="",0,$H1772)),2),""))</f>
        <v/>
      </c>
      <c r="J1772" s="9"/>
    </row>
    <row r="1773" customFormat="false" ht="21.75" hidden="false" customHeight="true" outlineLevel="0" collapsed="false">
      <c r="B1773" s="14" t="n">
        <v>687</v>
      </c>
      <c r="C1773" s="7" t="s">
        <v>91</v>
      </c>
      <c r="D1773" s="7" t="s">
        <v>103</v>
      </c>
      <c r="E1773" s="7" t="s">
        <v>391</v>
      </c>
      <c r="F1773" s="18" t="str">
        <f aca="false">IF('Base de Datos SADI'!U691="","",'Base de Datos SADI'!U691)</f>
        <v/>
      </c>
      <c r="G1773" s="14"/>
      <c r="H1773" s="28"/>
      <c r="I1773" s="29" t="str">
        <f aca="false">IF(OR($G1773="",$G1773=0),"",IFERROR(ROUND($F1773*$G1773*(1-IF($H1773="",0,$H1773)),2),""))</f>
        <v/>
      </c>
      <c r="J1773" s="7"/>
    </row>
    <row r="1774" customFormat="false" ht="21.75" hidden="false" customHeight="true" outlineLevel="0" collapsed="false">
      <c r="B1774" s="15" t="n">
        <v>688</v>
      </c>
      <c r="C1774" s="9" t="s">
        <v>91</v>
      </c>
      <c r="D1774" s="9" t="s">
        <v>104</v>
      </c>
      <c r="E1774" s="9" t="s">
        <v>391</v>
      </c>
      <c r="F1774" s="19" t="str">
        <f aca="false">IF('Base de Datos SADI'!U692="","",'Base de Datos SADI'!U692)</f>
        <v/>
      </c>
      <c r="G1774" s="15"/>
      <c r="H1774" s="30"/>
      <c r="I1774" s="31" t="str">
        <f aca="false">IF(OR($G1774="",$G1774=0),"",IFERROR(ROUND($F1774*$G1774*(1-IF($H1774="",0,$H1774)),2),""))</f>
        <v/>
      </c>
      <c r="J1774" s="9"/>
    </row>
    <row r="1775" customFormat="false" ht="21.75" hidden="false" customHeight="true" outlineLevel="0" collapsed="false">
      <c r="B1775" s="14" t="n">
        <v>689</v>
      </c>
      <c r="C1775" s="7" t="s">
        <v>91</v>
      </c>
      <c r="D1775" s="7" t="s">
        <v>105</v>
      </c>
      <c r="E1775" s="7" t="s">
        <v>391</v>
      </c>
      <c r="F1775" s="18" t="str">
        <f aca="false">IF('Base de Datos SADI'!U693="","",'Base de Datos SADI'!U693)</f>
        <v/>
      </c>
      <c r="G1775" s="14"/>
      <c r="H1775" s="28"/>
      <c r="I1775" s="29" t="str">
        <f aca="false">IF(OR($G1775="",$G1775=0),"",IFERROR(ROUND($F1775*$G1775*(1-IF($H1775="",0,$H1775)),2),""))</f>
        <v/>
      </c>
      <c r="J1775" s="7"/>
    </row>
    <row r="1776" customFormat="false" ht="21.75" hidden="false" customHeight="true" outlineLevel="0" collapsed="false">
      <c r="B1776" s="15" t="n">
        <v>690</v>
      </c>
      <c r="C1776" s="9" t="s">
        <v>91</v>
      </c>
      <c r="D1776" s="9" t="s">
        <v>106</v>
      </c>
      <c r="E1776" s="9" t="s">
        <v>391</v>
      </c>
      <c r="F1776" s="19" t="str">
        <f aca="false">IF('Base de Datos SADI'!U694="","",'Base de Datos SADI'!U694)</f>
        <v/>
      </c>
      <c r="G1776" s="15"/>
      <c r="H1776" s="30"/>
      <c r="I1776" s="31" t="str">
        <f aca="false">IF(OR($G1776="",$G1776=0),"",IFERROR(ROUND($F1776*$G1776*(1-IF($H1776="",0,$H1776)),2),""))</f>
        <v/>
      </c>
      <c r="J1776" s="9"/>
    </row>
    <row r="1777" customFormat="false" ht="21.75" hidden="false" customHeight="true" outlineLevel="0" collapsed="false">
      <c r="B1777" s="14" t="n">
        <v>691</v>
      </c>
      <c r="C1777" s="7" t="s">
        <v>91</v>
      </c>
      <c r="D1777" s="7" t="s">
        <v>107</v>
      </c>
      <c r="E1777" s="7" t="s">
        <v>391</v>
      </c>
      <c r="F1777" s="18" t="str">
        <f aca="false">IF('Base de Datos SADI'!U695="","",'Base de Datos SADI'!U695)</f>
        <v/>
      </c>
      <c r="G1777" s="14"/>
      <c r="H1777" s="28"/>
      <c r="I1777" s="29" t="str">
        <f aca="false">IF(OR($G1777="",$G1777=0),"",IFERROR(ROUND($F1777*$G1777*(1-IF($H1777="",0,$H1777)),2),""))</f>
        <v/>
      </c>
      <c r="J1777" s="7"/>
    </row>
    <row r="1778" customFormat="false" ht="21.75" hidden="false" customHeight="true" outlineLevel="0" collapsed="false">
      <c r="B1778" s="15" t="n">
        <v>692</v>
      </c>
      <c r="C1778" s="9" t="s">
        <v>91</v>
      </c>
      <c r="D1778" s="9" t="s">
        <v>108</v>
      </c>
      <c r="E1778" s="9" t="s">
        <v>391</v>
      </c>
      <c r="F1778" s="19" t="str">
        <f aca="false">IF('Base de Datos SADI'!U696="","",'Base de Datos SADI'!U696)</f>
        <v/>
      </c>
      <c r="G1778" s="15"/>
      <c r="H1778" s="30"/>
      <c r="I1778" s="31" t="str">
        <f aca="false">IF(OR($G1778="",$G1778=0),"",IFERROR(ROUND($F1778*$G1778*(1-IF($H1778="",0,$H1778)),2),""))</f>
        <v/>
      </c>
      <c r="J1778" s="9"/>
    </row>
    <row r="1779" customFormat="false" ht="21.75" hidden="false" customHeight="true" outlineLevel="0" collapsed="false">
      <c r="B1779" s="14" t="n">
        <v>693</v>
      </c>
      <c r="C1779" s="7" t="s">
        <v>92</v>
      </c>
      <c r="D1779" s="7" t="s">
        <v>93</v>
      </c>
      <c r="E1779" s="7" t="s">
        <v>391</v>
      </c>
      <c r="F1779" s="18" t="str">
        <f aca="false">IF('Base de Datos SADI'!U697="","",'Base de Datos SADI'!U697)</f>
        <v/>
      </c>
      <c r="G1779" s="14"/>
      <c r="H1779" s="28"/>
      <c r="I1779" s="29" t="str">
        <f aca="false">IF(OR($G1779="",$G1779=0),"",IFERROR(ROUND($F1779*$G1779*(1-IF($H1779="",0,$H1779)),2),""))</f>
        <v/>
      </c>
      <c r="J1779" s="7"/>
    </row>
    <row r="1780" customFormat="false" ht="21.75" hidden="false" customHeight="true" outlineLevel="0" collapsed="false">
      <c r="B1780" s="15" t="n">
        <v>694</v>
      </c>
      <c r="C1780" s="9" t="s">
        <v>92</v>
      </c>
      <c r="D1780" s="9" t="s">
        <v>94</v>
      </c>
      <c r="E1780" s="9" t="s">
        <v>391</v>
      </c>
      <c r="F1780" s="19" t="str">
        <f aca="false">IF('Base de Datos SADI'!U698="","",'Base de Datos SADI'!U698)</f>
        <v/>
      </c>
      <c r="G1780" s="15"/>
      <c r="H1780" s="30"/>
      <c r="I1780" s="31" t="str">
        <f aca="false">IF(OR($G1780="",$G1780=0),"",IFERROR(ROUND($F1780*$G1780*(1-IF($H1780="",0,$H1780)),2),""))</f>
        <v/>
      </c>
      <c r="J1780" s="9"/>
    </row>
    <row r="1781" customFormat="false" ht="21.75" hidden="false" customHeight="true" outlineLevel="0" collapsed="false">
      <c r="B1781" s="14" t="n">
        <v>695</v>
      </c>
      <c r="C1781" s="7" t="s">
        <v>92</v>
      </c>
      <c r="D1781" s="7" t="s">
        <v>95</v>
      </c>
      <c r="E1781" s="7" t="s">
        <v>391</v>
      </c>
      <c r="F1781" s="18" t="str">
        <f aca="false">IF('Base de Datos SADI'!U699="","",'Base de Datos SADI'!U699)</f>
        <v/>
      </c>
      <c r="G1781" s="14"/>
      <c r="H1781" s="28"/>
      <c r="I1781" s="29" t="str">
        <f aca="false">IF(OR($G1781="",$G1781=0),"",IFERROR(ROUND($F1781*$G1781*(1-IF($H1781="",0,$H1781)),2),""))</f>
        <v/>
      </c>
      <c r="J1781" s="7"/>
    </row>
    <row r="1782" customFormat="false" ht="21.75" hidden="false" customHeight="true" outlineLevel="0" collapsed="false">
      <c r="B1782" s="15" t="n">
        <v>696</v>
      </c>
      <c r="C1782" s="9" t="s">
        <v>92</v>
      </c>
      <c r="D1782" s="9" t="s">
        <v>96</v>
      </c>
      <c r="E1782" s="9" t="s">
        <v>391</v>
      </c>
      <c r="F1782" s="19" t="str">
        <f aca="false">IF('Base de Datos SADI'!U700="","",'Base de Datos SADI'!U700)</f>
        <v/>
      </c>
      <c r="G1782" s="15"/>
      <c r="H1782" s="30"/>
      <c r="I1782" s="31" t="str">
        <f aca="false">IF(OR($G1782="",$G1782=0),"",IFERROR(ROUND($F1782*$G1782*(1-IF($H1782="",0,$H1782)),2),""))</f>
        <v/>
      </c>
      <c r="J1782" s="9"/>
    </row>
    <row r="1783" customFormat="false" ht="21.75" hidden="false" customHeight="true" outlineLevel="0" collapsed="false">
      <c r="B1783" s="14" t="n">
        <v>697</v>
      </c>
      <c r="C1783" s="7" t="s">
        <v>92</v>
      </c>
      <c r="D1783" s="7" t="s">
        <v>97</v>
      </c>
      <c r="E1783" s="7" t="s">
        <v>391</v>
      </c>
      <c r="F1783" s="18" t="str">
        <f aca="false">IF('Base de Datos SADI'!U701="","",'Base de Datos SADI'!U701)</f>
        <v/>
      </c>
      <c r="G1783" s="14"/>
      <c r="H1783" s="28"/>
      <c r="I1783" s="29" t="str">
        <f aca="false">IF(OR($G1783="",$G1783=0),"",IFERROR(ROUND($F1783*$G1783*(1-IF($H1783="",0,$H1783)),2),""))</f>
        <v/>
      </c>
      <c r="J1783" s="7"/>
    </row>
    <row r="1784" customFormat="false" ht="21.75" hidden="false" customHeight="true" outlineLevel="0" collapsed="false">
      <c r="B1784" s="15" t="n">
        <v>698</v>
      </c>
      <c r="C1784" s="9" t="s">
        <v>92</v>
      </c>
      <c r="D1784" s="9" t="s">
        <v>98</v>
      </c>
      <c r="E1784" s="9" t="s">
        <v>391</v>
      </c>
      <c r="F1784" s="19" t="str">
        <f aca="false">IF('Base de Datos SADI'!U702="","",'Base de Datos SADI'!U702)</f>
        <v/>
      </c>
      <c r="G1784" s="15"/>
      <c r="H1784" s="30"/>
      <c r="I1784" s="31" t="str">
        <f aca="false">IF(OR($G1784="",$G1784=0),"",IFERROR(ROUND($F1784*$G1784*(1-IF($H1784="",0,$H1784)),2),""))</f>
        <v/>
      </c>
      <c r="J1784" s="9"/>
    </row>
    <row r="1785" customFormat="false" ht="21.75" hidden="false" customHeight="true" outlineLevel="0" collapsed="false">
      <c r="B1785" s="14" t="n">
        <v>699</v>
      </c>
      <c r="C1785" s="7" t="s">
        <v>92</v>
      </c>
      <c r="D1785" s="7" t="s">
        <v>99</v>
      </c>
      <c r="E1785" s="7" t="s">
        <v>3849</v>
      </c>
      <c r="F1785" s="18" t="n">
        <f aca="false">IF('Base de Datos SADI'!U703="","",'Base de Datos SADI'!U703)</f>
        <v>640</v>
      </c>
      <c r="G1785" s="14"/>
      <c r="H1785" s="28"/>
      <c r="I1785" s="29" t="str">
        <f aca="false">IF(OR($G1785="",$G1785=0),"",IFERROR(ROUND($F1785*$G1785*(1-IF($H1785="",0,$H1785)),2),""))</f>
        <v/>
      </c>
      <c r="J1785" s="7"/>
    </row>
    <row r="1786" customFormat="false" ht="21.75" hidden="false" customHeight="true" outlineLevel="0" collapsed="false">
      <c r="B1786" s="15" t="n">
        <v>700</v>
      </c>
      <c r="C1786" s="9" t="s">
        <v>92</v>
      </c>
      <c r="D1786" s="9" t="s">
        <v>99</v>
      </c>
      <c r="E1786" s="9" t="s">
        <v>3859</v>
      </c>
      <c r="F1786" s="19" t="n">
        <f aca="false">IF('Base de Datos SADI'!U704="","",'Base de Datos SADI'!U704)</f>
        <v>960</v>
      </c>
      <c r="G1786" s="15"/>
      <c r="H1786" s="30"/>
      <c r="I1786" s="31" t="str">
        <f aca="false">IF(OR($G1786="",$G1786=0),"",IFERROR(ROUND($F1786*$G1786*(1-IF($H1786="",0,$H1786)),2),""))</f>
        <v/>
      </c>
      <c r="J1786" s="9"/>
    </row>
    <row r="1787" customFormat="false" ht="21.75" hidden="false" customHeight="true" outlineLevel="0" collapsed="false">
      <c r="B1787" s="14" t="n">
        <v>701</v>
      </c>
      <c r="C1787" s="7" t="s">
        <v>92</v>
      </c>
      <c r="D1787" s="7" t="s">
        <v>99</v>
      </c>
      <c r="E1787" s="7" t="s">
        <v>3860</v>
      </c>
      <c r="F1787" s="18" t="n">
        <f aca="false">IF('Base de Datos SADI'!U705="","",'Base de Datos SADI'!U705)</f>
        <v>1280</v>
      </c>
      <c r="G1787" s="14"/>
      <c r="H1787" s="28"/>
      <c r="I1787" s="29" t="str">
        <f aca="false">IF(OR($G1787="",$G1787=0),"",IFERROR(ROUND($F1787*$G1787*(1-IF($H1787="",0,$H1787)),2),""))</f>
        <v/>
      </c>
      <c r="J1787" s="7"/>
    </row>
    <row r="1788" customFormat="false" ht="21.75" hidden="false" customHeight="true" outlineLevel="0" collapsed="false">
      <c r="B1788" s="15" t="n">
        <v>702</v>
      </c>
      <c r="C1788" s="9" t="s">
        <v>92</v>
      </c>
      <c r="D1788" s="9" t="s">
        <v>99</v>
      </c>
      <c r="E1788" s="9" t="s">
        <v>3862</v>
      </c>
      <c r="F1788" s="19" t="n">
        <f aca="false">IF('Base de Datos SADI'!U706="","",'Base de Datos SADI'!U706)</f>
        <v>1920</v>
      </c>
      <c r="G1788" s="15"/>
      <c r="H1788" s="30"/>
      <c r="I1788" s="31" t="str">
        <f aca="false">IF(OR($G1788="",$G1788=0),"",IFERROR(ROUND($F1788*$G1788*(1-IF($H1788="",0,$H1788)),2),""))</f>
        <v/>
      </c>
      <c r="J1788" s="9"/>
    </row>
    <row r="1789" customFormat="false" ht="21.75" hidden="false" customHeight="true" outlineLevel="0" collapsed="false">
      <c r="B1789" s="14" t="n">
        <v>703</v>
      </c>
      <c r="C1789" s="7" t="s">
        <v>92</v>
      </c>
      <c r="D1789" s="7" t="s">
        <v>99</v>
      </c>
      <c r="E1789" s="7" t="s">
        <v>3863</v>
      </c>
      <c r="F1789" s="18" t="n">
        <f aca="false">IF('Base de Datos SADI'!U707="","",'Base de Datos SADI'!U707)</f>
        <v>2815</v>
      </c>
      <c r="G1789" s="14"/>
      <c r="H1789" s="28"/>
      <c r="I1789" s="29" t="str">
        <f aca="false">IF(OR($G1789="",$G1789=0),"",IFERROR(ROUND($F1789*$G1789*(1-IF($H1789="",0,$H1789)),2),""))</f>
        <v/>
      </c>
      <c r="J1789" s="7"/>
    </row>
    <row r="1790" customFormat="false" ht="21.75" hidden="false" customHeight="true" outlineLevel="0" collapsed="false">
      <c r="B1790" s="15" t="n">
        <v>704</v>
      </c>
      <c r="C1790" s="9" t="s">
        <v>92</v>
      </c>
      <c r="D1790" s="9" t="s">
        <v>100</v>
      </c>
      <c r="E1790" s="9" t="s">
        <v>391</v>
      </c>
      <c r="F1790" s="19" t="str">
        <f aca="false">IF('Base de Datos SADI'!U708="","",'Base de Datos SADI'!U708)</f>
        <v/>
      </c>
      <c r="G1790" s="15"/>
      <c r="H1790" s="30"/>
      <c r="I1790" s="31" t="str">
        <f aca="false">IF(OR($G1790="",$G1790=0),"",IFERROR(ROUND($F1790*$G1790*(1-IF($H1790="",0,$H1790)),2),""))</f>
        <v/>
      </c>
      <c r="J1790" s="9"/>
    </row>
    <row r="1791" customFormat="false" ht="21.75" hidden="false" customHeight="true" outlineLevel="0" collapsed="false">
      <c r="B1791" s="14" t="n">
        <v>705</v>
      </c>
      <c r="C1791" s="7" t="s">
        <v>92</v>
      </c>
      <c r="D1791" s="7" t="s">
        <v>101</v>
      </c>
      <c r="E1791" s="7" t="s">
        <v>391</v>
      </c>
      <c r="F1791" s="18" t="str">
        <f aca="false">IF('Base de Datos SADI'!U709="","",'Base de Datos SADI'!U709)</f>
        <v/>
      </c>
      <c r="G1791" s="14"/>
      <c r="H1791" s="28"/>
      <c r="I1791" s="29" t="str">
        <f aca="false">IF(OR($G1791="",$G1791=0),"",IFERROR(ROUND($F1791*$G1791*(1-IF($H1791="",0,$H1791)),2),""))</f>
        <v/>
      </c>
      <c r="J1791" s="7"/>
    </row>
    <row r="1792" customFormat="false" ht="21.75" hidden="false" customHeight="true" outlineLevel="0" collapsed="false">
      <c r="B1792" s="15" t="n">
        <v>706</v>
      </c>
      <c r="C1792" s="9" t="s">
        <v>92</v>
      </c>
      <c r="D1792" s="9" t="s">
        <v>102</v>
      </c>
      <c r="E1792" s="9" t="s">
        <v>391</v>
      </c>
      <c r="F1792" s="19" t="str">
        <f aca="false">IF('Base de Datos SADI'!U710="","",'Base de Datos SADI'!U710)</f>
        <v/>
      </c>
      <c r="G1792" s="15"/>
      <c r="H1792" s="30"/>
      <c r="I1792" s="31" t="str">
        <f aca="false">IF(OR($G1792="",$G1792=0),"",IFERROR(ROUND($F1792*$G1792*(1-IF($H1792="",0,$H1792)),2),""))</f>
        <v/>
      </c>
      <c r="J1792" s="9"/>
    </row>
    <row r="1793" customFormat="false" ht="21.75" hidden="false" customHeight="true" outlineLevel="0" collapsed="false">
      <c r="B1793" s="14" t="n">
        <v>707</v>
      </c>
      <c r="C1793" s="7" t="s">
        <v>92</v>
      </c>
      <c r="D1793" s="7" t="s">
        <v>103</v>
      </c>
      <c r="E1793" s="7" t="s">
        <v>391</v>
      </c>
      <c r="F1793" s="18" t="str">
        <f aca="false">IF('Base de Datos SADI'!U711="","",'Base de Datos SADI'!U711)</f>
        <v/>
      </c>
      <c r="G1793" s="14"/>
      <c r="H1793" s="28"/>
      <c r="I1793" s="29" t="str">
        <f aca="false">IF(OR($G1793="",$G1793=0),"",IFERROR(ROUND($F1793*$G1793*(1-IF($H1793="",0,$H1793)),2),""))</f>
        <v/>
      </c>
      <c r="J1793" s="7"/>
    </row>
    <row r="1794" customFormat="false" ht="21.75" hidden="false" customHeight="true" outlineLevel="0" collapsed="false">
      <c r="B1794" s="15" t="n">
        <v>708</v>
      </c>
      <c r="C1794" s="9" t="s">
        <v>92</v>
      </c>
      <c r="D1794" s="9" t="s">
        <v>104</v>
      </c>
      <c r="E1794" s="9" t="s">
        <v>391</v>
      </c>
      <c r="F1794" s="19" t="str">
        <f aca="false">IF('Base de Datos SADI'!U712="","",'Base de Datos SADI'!U712)</f>
        <v/>
      </c>
      <c r="G1794" s="15"/>
      <c r="H1794" s="30"/>
      <c r="I1794" s="31" t="str">
        <f aca="false">IF(OR($G1794="",$G1794=0),"",IFERROR(ROUND($F1794*$G1794*(1-IF($H1794="",0,$H1794)),2),""))</f>
        <v/>
      </c>
      <c r="J1794" s="9"/>
    </row>
    <row r="1795" customFormat="false" ht="21.75" hidden="false" customHeight="true" outlineLevel="0" collapsed="false">
      <c r="B1795" s="14" t="n">
        <v>709</v>
      </c>
      <c r="C1795" s="7" t="s">
        <v>92</v>
      </c>
      <c r="D1795" s="7" t="s">
        <v>105</v>
      </c>
      <c r="E1795" s="7" t="s">
        <v>391</v>
      </c>
      <c r="F1795" s="18" t="str">
        <f aca="false">IF('Base de Datos SADI'!U713="","",'Base de Datos SADI'!U713)</f>
        <v/>
      </c>
      <c r="G1795" s="14"/>
      <c r="H1795" s="28"/>
      <c r="I1795" s="29" t="str">
        <f aca="false">IF(OR($G1795="",$G1795=0),"",IFERROR(ROUND($F1795*$G1795*(1-IF($H1795="",0,$H1795)),2),""))</f>
        <v/>
      </c>
      <c r="J1795" s="7"/>
    </row>
    <row r="1796" customFormat="false" ht="21.75" hidden="false" customHeight="true" outlineLevel="0" collapsed="false">
      <c r="B1796" s="15" t="n">
        <v>710</v>
      </c>
      <c r="C1796" s="9" t="s">
        <v>92</v>
      </c>
      <c r="D1796" s="9" t="s">
        <v>106</v>
      </c>
      <c r="E1796" s="9" t="s">
        <v>391</v>
      </c>
      <c r="F1796" s="19" t="str">
        <f aca="false">IF('Base de Datos SADI'!U714="","",'Base de Datos SADI'!U714)</f>
        <v/>
      </c>
      <c r="G1796" s="15"/>
      <c r="H1796" s="30"/>
      <c r="I1796" s="31" t="str">
        <f aca="false">IF(OR($G1796="",$G1796=0),"",IFERROR(ROUND($F1796*$G1796*(1-IF($H1796="",0,$H1796)),2),""))</f>
        <v/>
      </c>
      <c r="J1796" s="9"/>
    </row>
    <row r="1797" customFormat="false" ht="21.75" hidden="false" customHeight="true" outlineLevel="0" collapsed="false">
      <c r="B1797" s="14" t="n">
        <v>711</v>
      </c>
      <c r="C1797" s="7" t="s">
        <v>92</v>
      </c>
      <c r="D1797" s="7" t="s">
        <v>107</v>
      </c>
      <c r="E1797" s="7" t="s">
        <v>391</v>
      </c>
      <c r="F1797" s="18" t="str">
        <f aca="false">IF('Base de Datos SADI'!U715="","",'Base de Datos SADI'!U715)</f>
        <v/>
      </c>
      <c r="G1797" s="14"/>
      <c r="H1797" s="28"/>
      <c r="I1797" s="29" t="str">
        <f aca="false">IF(OR($G1797="",$G1797=0),"",IFERROR(ROUND($F1797*$G1797*(1-IF($H1797="",0,$H1797)),2),""))</f>
        <v/>
      </c>
      <c r="J1797" s="7"/>
    </row>
    <row r="1798" customFormat="false" ht="21.75" hidden="false" customHeight="true" outlineLevel="0" collapsed="false">
      <c r="B1798" s="15" t="n">
        <v>712</v>
      </c>
      <c r="C1798" s="9" t="s">
        <v>92</v>
      </c>
      <c r="D1798" s="9" t="s">
        <v>108</v>
      </c>
      <c r="E1798" s="9" t="s">
        <v>391</v>
      </c>
      <c r="F1798" s="19" t="str">
        <f aca="false">IF('Base de Datos SADI'!U716="","",'Base de Datos SADI'!U716)</f>
        <v/>
      </c>
      <c r="G1798" s="15"/>
      <c r="H1798" s="30"/>
      <c r="I1798" s="31" t="str">
        <f aca="false">IF(OR($G1798="",$G1798=0),"",IFERROR(ROUND($F1798*$G1798*(1-IF($H1798="",0,$H1798)),2),""))</f>
        <v/>
      </c>
      <c r="J1798" s="9"/>
    </row>
    <row r="1799" customFormat="false" ht="25.5" hidden="false" customHeight="true" outlineLevel="0" collapsed="false">
      <c r="B1799" s="16" t="s">
        <v>4659</v>
      </c>
      <c r="C1799" s="16"/>
      <c r="D1799" s="16"/>
      <c r="E1799" s="16"/>
      <c r="F1799" s="16"/>
      <c r="G1799" s="16"/>
      <c r="H1799" s="16"/>
      <c r="I1799" s="32" t="n">
        <f aca="false">SUM(I1087:I1798)</f>
        <v>0</v>
      </c>
      <c r="J1799" s="16"/>
    </row>
    <row r="1801" customFormat="false" ht="21.75" hidden="false" customHeight="true" outlineLevel="0" collapsed="false">
      <c r="B1801" s="24" t="s">
        <v>4660</v>
      </c>
      <c r="C1801" s="24"/>
      <c r="D1801" s="24"/>
      <c r="E1801" s="24"/>
      <c r="F1801" s="24"/>
      <c r="G1801" s="24"/>
      <c r="H1801" s="24"/>
      <c r="I1801" s="24"/>
      <c r="J1801" s="24"/>
    </row>
    <row r="1802" customFormat="false" ht="27.75" hidden="false" customHeight="true" outlineLevel="0" collapsed="false">
      <c r="B1802" s="5" t="s">
        <v>143</v>
      </c>
      <c r="C1802" s="5" t="s">
        <v>110</v>
      </c>
      <c r="D1802" s="5" t="s">
        <v>3873</v>
      </c>
      <c r="E1802" s="5" t="s">
        <v>145</v>
      </c>
      <c r="F1802" s="5" t="s">
        <v>4652</v>
      </c>
      <c r="G1802" s="5" t="s">
        <v>4653</v>
      </c>
      <c r="H1802" s="5" t="s">
        <v>4654</v>
      </c>
      <c r="I1802" s="5" t="s">
        <v>4655</v>
      </c>
      <c r="J1802" s="5" t="s">
        <v>4656</v>
      </c>
    </row>
    <row r="1803" customFormat="false" ht="21.75" hidden="false" customHeight="true" outlineLevel="0" collapsed="false">
      <c r="B1803" s="14" t="n">
        <v>1</v>
      </c>
      <c r="C1803" s="7" t="s">
        <v>3885</v>
      </c>
      <c r="D1803" s="7" t="s">
        <v>133</v>
      </c>
      <c r="E1803" s="7" t="s">
        <v>3886</v>
      </c>
      <c r="F1803" s="18" t="n">
        <f aca="false">IF(Equipamiento!O5="","",Equipamiento!O5)</f>
        <v>24</v>
      </c>
      <c r="G1803" s="14"/>
      <c r="H1803" s="28"/>
      <c r="I1803" s="29" t="str">
        <f aca="false">IF(OR($G1803="",$G1803=0),"",IFERROR(ROUND($F1803*$G1803*(1-IF($H1803="",0,$H1803)),2),""))</f>
        <v/>
      </c>
      <c r="J1803" s="7"/>
    </row>
    <row r="1804" customFormat="false" ht="21.75" hidden="false" customHeight="true" outlineLevel="0" collapsed="false">
      <c r="B1804" s="15" t="n">
        <v>2</v>
      </c>
      <c r="C1804" s="9" t="s">
        <v>3896</v>
      </c>
      <c r="D1804" s="9" t="s">
        <v>133</v>
      </c>
      <c r="E1804" s="9" t="s">
        <v>3897</v>
      </c>
      <c r="F1804" s="19" t="n">
        <f aca="false">IF(Equipamiento!O6="","",Equipamiento!O6)</f>
        <v>19</v>
      </c>
      <c r="G1804" s="15"/>
      <c r="H1804" s="30"/>
      <c r="I1804" s="31" t="str">
        <f aca="false">IF(OR($G1804="",$G1804=0),"",IFERROR(ROUND($F1804*$G1804*(1-IF($H1804="",0,$H1804)),2),""))</f>
        <v/>
      </c>
      <c r="J1804" s="9"/>
    </row>
    <row r="1805" customFormat="false" ht="21.75" hidden="false" customHeight="true" outlineLevel="0" collapsed="false">
      <c r="B1805" s="14" t="n">
        <v>3</v>
      </c>
      <c r="C1805" s="7" t="s">
        <v>3904</v>
      </c>
      <c r="D1805" s="7" t="s">
        <v>133</v>
      </c>
      <c r="E1805" s="7" t="s">
        <v>3905</v>
      </c>
      <c r="F1805" s="18" t="n">
        <f aca="false">IF(Equipamiento!O7="","",Equipamiento!O7)</f>
        <v>38</v>
      </c>
      <c r="G1805" s="14"/>
      <c r="H1805" s="28"/>
      <c r="I1805" s="29" t="str">
        <f aca="false">IF(OR($G1805="",$G1805=0),"",IFERROR(ROUND($F1805*$G1805*(1-IF($H1805="",0,$H1805)),2),""))</f>
        <v/>
      </c>
      <c r="J1805" s="7"/>
    </row>
    <row r="1806" customFormat="false" ht="21.75" hidden="false" customHeight="true" outlineLevel="0" collapsed="false">
      <c r="B1806" s="15" t="n">
        <v>4</v>
      </c>
      <c r="C1806" s="9" t="s">
        <v>3913</v>
      </c>
      <c r="D1806" s="9" t="s">
        <v>133</v>
      </c>
      <c r="E1806" s="9" t="s">
        <v>3914</v>
      </c>
      <c r="F1806" s="19" t="n">
        <f aca="false">IF(Equipamiento!O8="","",Equipamiento!O8)</f>
        <v>52</v>
      </c>
      <c r="G1806" s="15"/>
      <c r="H1806" s="30"/>
      <c r="I1806" s="31" t="str">
        <f aca="false">IF(OR($G1806="",$G1806=0),"",IFERROR(ROUND($F1806*$G1806*(1-IF($H1806="",0,$H1806)),2),""))</f>
        <v/>
      </c>
      <c r="J1806" s="9"/>
    </row>
    <row r="1807" customFormat="false" ht="21.75" hidden="false" customHeight="true" outlineLevel="0" collapsed="false">
      <c r="B1807" s="14" t="n">
        <v>5</v>
      </c>
      <c r="C1807" s="7" t="s">
        <v>3923</v>
      </c>
      <c r="D1807" s="7" t="s">
        <v>133</v>
      </c>
      <c r="E1807" s="7" t="s">
        <v>3924</v>
      </c>
      <c r="F1807" s="18" t="n">
        <f aca="false">IF(Equipamiento!O9="","",Equipamiento!O9)</f>
        <v>95</v>
      </c>
      <c r="G1807" s="14"/>
      <c r="H1807" s="28"/>
      <c r="I1807" s="29" t="str">
        <f aca="false">IF(OR($G1807="",$G1807=0),"",IFERROR(ROUND($F1807*$G1807*(1-IF($H1807="",0,$H1807)),2),""))</f>
        <v/>
      </c>
      <c r="J1807" s="7"/>
    </row>
    <row r="1808" customFormat="false" ht="21.75" hidden="false" customHeight="true" outlineLevel="0" collapsed="false">
      <c r="B1808" s="15" t="n">
        <v>6</v>
      </c>
      <c r="C1808" s="9" t="s">
        <v>3933</v>
      </c>
      <c r="D1808" s="9" t="s">
        <v>133</v>
      </c>
      <c r="E1808" s="9" t="s">
        <v>3934</v>
      </c>
      <c r="F1808" s="19" t="n">
        <f aca="false">IF(Equipamiento!O10="","",Equipamiento!O10)</f>
        <v>28</v>
      </c>
      <c r="G1808" s="15"/>
      <c r="H1808" s="30"/>
      <c r="I1808" s="31" t="str">
        <f aca="false">IF(OR($G1808="",$G1808=0),"",IFERROR(ROUND($F1808*$G1808*(1-IF($H1808="",0,$H1808)),2),""))</f>
        <v/>
      </c>
      <c r="J1808" s="9"/>
    </row>
    <row r="1809" customFormat="false" ht="21.75" hidden="false" customHeight="true" outlineLevel="0" collapsed="false">
      <c r="B1809" s="14" t="n">
        <v>7</v>
      </c>
      <c r="C1809" s="7" t="s">
        <v>3885</v>
      </c>
      <c r="D1809" s="7" t="s">
        <v>133</v>
      </c>
      <c r="E1809" s="7" t="s">
        <v>3943</v>
      </c>
      <c r="F1809" s="18" t="n">
        <f aca="false">IF(Equipamiento!O11="","",Equipamiento!O11)</f>
        <v>14</v>
      </c>
      <c r="G1809" s="14"/>
      <c r="H1809" s="28"/>
      <c r="I1809" s="29" t="str">
        <f aca="false">IF(OR($G1809="",$G1809=0),"",IFERROR(ROUND($F1809*$G1809*(1-IF($H1809="",0,$H1809)),2),""))</f>
        <v/>
      </c>
      <c r="J1809" s="7"/>
    </row>
    <row r="1810" customFormat="false" ht="21.75" hidden="false" customHeight="true" outlineLevel="0" collapsed="false">
      <c r="B1810" s="15" t="n">
        <v>8</v>
      </c>
      <c r="C1810" s="9" t="s">
        <v>3904</v>
      </c>
      <c r="D1810" s="9" t="s">
        <v>133</v>
      </c>
      <c r="E1810" s="9" t="s">
        <v>3952</v>
      </c>
      <c r="F1810" s="19" t="n">
        <f aca="false">IF(Equipamiento!O12="","",Equipamiento!O12)</f>
        <v>118</v>
      </c>
      <c r="G1810" s="15"/>
      <c r="H1810" s="30"/>
      <c r="I1810" s="31" t="str">
        <f aca="false">IF(OR($G1810="",$G1810=0),"",IFERROR(ROUND($F1810*$G1810*(1-IF($H1810="",0,$H1810)),2),""))</f>
        <v/>
      </c>
      <c r="J1810" s="9"/>
    </row>
    <row r="1811" customFormat="false" ht="21.75" hidden="false" customHeight="true" outlineLevel="0" collapsed="false">
      <c r="B1811" s="14" t="n">
        <v>9</v>
      </c>
      <c r="C1811" s="7" t="s">
        <v>3933</v>
      </c>
      <c r="D1811" s="7" t="s">
        <v>133</v>
      </c>
      <c r="E1811" s="7" t="s">
        <v>3961</v>
      </c>
      <c r="F1811" s="18" t="n">
        <f aca="false">IF(Equipamiento!O13="","",Equipamiento!O13)</f>
        <v>32</v>
      </c>
      <c r="G1811" s="14"/>
      <c r="H1811" s="28"/>
      <c r="I1811" s="29" t="str">
        <f aca="false">IF(OR($G1811="",$G1811=0),"",IFERROR(ROUND($F1811*$G1811*(1-IF($H1811="",0,$H1811)),2),""))</f>
        <v/>
      </c>
      <c r="J1811" s="7"/>
    </row>
    <row r="1812" customFormat="false" ht="21.75" hidden="false" customHeight="true" outlineLevel="0" collapsed="false">
      <c r="B1812" s="15" t="n">
        <v>10</v>
      </c>
      <c r="C1812" s="9" t="s">
        <v>3904</v>
      </c>
      <c r="D1812" s="9" t="s">
        <v>133</v>
      </c>
      <c r="E1812" s="9" t="s">
        <v>3969</v>
      </c>
      <c r="F1812" s="19" t="n">
        <f aca="false">IF(Equipamiento!O14="","",Equipamiento!O14)</f>
        <v>98</v>
      </c>
      <c r="G1812" s="15"/>
      <c r="H1812" s="30"/>
      <c r="I1812" s="31" t="str">
        <f aca="false">IF(OR($G1812="",$G1812=0),"",IFERROR(ROUND($F1812*$G1812*(1-IF($H1812="",0,$H1812)),2),""))</f>
        <v/>
      </c>
      <c r="J1812" s="9"/>
    </row>
    <row r="1813" customFormat="false" ht="21.75" hidden="false" customHeight="true" outlineLevel="0" collapsed="false">
      <c r="B1813" s="14" t="n">
        <v>11</v>
      </c>
      <c r="C1813" s="7" t="s">
        <v>3976</v>
      </c>
      <c r="D1813" s="7" t="s">
        <v>134</v>
      </c>
      <c r="E1813" s="7" t="s">
        <v>3977</v>
      </c>
      <c r="F1813" s="18" t="n">
        <f aca="false">IF(Equipamiento!O15="","",Equipamiento!O15)</f>
        <v>148</v>
      </c>
      <c r="G1813" s="14"/>
      <c r="H1813" s="28"/>
      <c r="I1813" s="29" t="str">
        <f aca="false">IF(OR($G1813="",$G1813=0),"",IFERROR(ROUND($F1813*$G1813*(1-IF($H1813="",0,$H1813)),2),""))</f>
        <v/>
      </c>
      <c r="J1813" s="7"/>
    </row>
    <row r="1814" customFormat="false" ht="21.75" hidden="false" customHeight="true" outlineLevel="0" collapsed="false">
      <c r="B1814" s="15" t="n">
        <v>12</v>
      </c>
      <c r="C1814" s="9" t="s">
        <v>3976</v>
      </c>
      <c r="D1814" s="9" t="s">
        <v>134</v>
      </c>
      <c r="E1814" s="9" t="s">
        <v>3987</v>
      </c>
      <c r="F1814" s="19" t="n">
        <f aca="false">IF(Equipamiento!O16="","",Equipamiento!O16)</f>
        <v>62</v>
      </c>
      <c r="G1814" s="15"/>
      <c r="H1814" s="30"/>
      <c r="I1814" s="31" t="str">
        <f aca="false">IF(OR($G1814="",$G1814=0),"",IFERROR(ROUND($F1814*$G1814*(1-IF($H1814="",0,$H1814)),2),""))</f>
        <v/>
      </c>
      <c r="J1814" s="9"/>
    </row>
    <row r="1815" customFormat="false" ht="21.75" hidden="false" customHeight="true" outlineLevel="0" collapsed="false">
      <c r="B1815" s="14" t="n">
        <v>13</v>
      </c>
      <c r="C1815" s="7" t="s">
        <v>3996</v>
      </c>
      <c r="D1815" s="7" t="s">
        <v>134</v>
      </c>
      <c r="E1815" s="7" t="s">
        <v>3997</v>
      </c>
      <c r="F1815" s="18" t="n">
        <f aca="false">IF(Equipamiento!O17="","",Equipamiento!O17)</f>
        <v>18</v>
      </c>
      <c r="G1815" s="14"/>
      <c r="H1815" s="28"/>
      <c r="I1815" s="29" t="str">
        <f aca="false">IF(OR($G1815="",$G1815=0),"",IFERROR(ROUND($F1815*$G1815*(1-IF($H1815="",0,$H1815)),2),""))</f>
        <v/>
      </c>
      <c r="J1815" s="7"/>
    </row>
    <row r="1816" customFormat="false" ht="21.75" hidden="false" customHeight="true" outlineLevel="0" collapsed="false">
      <c r="B1816" s="15" t="n">
        <v>14</v>
      </c>
      <c r="C1816" s="9" t="s">
        <v>3996</v>
      </c>
      <c r="D1816" s="9" t="s">
        <v>134</v>
      </c>
      <c r="E1816" s="9" t="s">
        <v>4007</v>
      </c>
      <c r="F1816" s="19" t="n">
        <f aca="false">IF(Equipamiento!O18="","",Equipamiento!O18)</f>
        <v>24</v>
      </c>
      <c r="G1816" s="15"/>
      <c r="H1816" s="30"/>
      <c r="I1816" s="31" t="str">
        <f aca="false">IF(OR($G1816="",$G1816=0),"",IFERROR(ROUND($F1816*$G1816*(1-IF($H1816="",0,$H1816)),2),""))</f>
        <v/>
      </c>
      <c r="J1816" s="9"/>
    </row>
    <row r="1817" customFormat="false" ht="21.75" hidden="false" customHeight="true" outlineLevel="0" collapsed="false">
      <c r="B1817" s="14" t="n">
        <v>15</v>
      </c>
      <c r="C1817" s="7" t="s">
        <v>3996</v>
      </c>
      <c r="D1817" s="7" t="s">
        <v>134</v>
      </c>
      <c r="E1817" s="7" t="s">
        <v>4015</v>
      </c>
      <c r="F1817" s="18" t="n">
        <f aca="false">IF(Equipamiento!O19="","",Equipamiento!O19)</f>
        <v>32</v>
      </c>
      <c r="G1817" s="14"/>
      <c r="H1817" s="28"/>
      <c r="I1817" s="29" t="str">
        <f aca="false">IF(OR($G1817="",$G1817=0),"",IFERROR(ROUND($F1817*$G1817*(1-IF($H1817="",0,$H1817)),2),""))</f>
        <v/>
      </c>
      <c r="J1817" s="7"/>
    </row>
    <row r="1818" customFormat="false" ht="21.75" hidden="false" customHeight="true" outlineLevel="0" collapsed="false">
      <c r="B1818" s="15" t="n">
        <v>16</v>
      </c>
      <c r="C1818" s="9" t="s">
        <v>4023</v>
      </c>
      <c r="D1818" s="9" t="s">
        <v>134</v>
      </c>
      <c r="E1818" s="9" t="s">
        <v>4024</v>
      </c>
      <c r="F1818" s="19" t="n">
        <f aca="false">IF(Equipamiento!O20="","",Equipamiento!O20)</f>
        <v>265</v>
      </c>
      <c r="G1818" s="15"/>
      <c r="H1818" s="30"/>
      <c r="I1818" s="31" t="str">
        <f aca="false">IF(OR($G1818="",$G1818=0),"",IFERROR(ROUND($F1818*$G1818*(1-IF($H1818="",0,$H1818)),2),""))</f>
        <v/>
      </c>
      <c r="J1818" s="9"/>
    </row>
    <row r="1819" customFormat="false" ht="21.75" hidden="false" customHeight="true" outlineLevel="0" collapsed="false">
      <c r="B1819" s="14" t="n">
        <v>17</v>
      </c>
      <c r="C1819" s="7" t="s">
        <v>3976</v>
      </c>
      <c r="D1819" s="7" t="s">
        <v>134</v>
      </c>
      <c r="E1819" s="7" t="s">
        <v>4033</v>
      </c>
      <c r="F1819" s="18" t="n">
        <f aca="false">IF(Equipamiento!O21="","",Equipamiento!O21)</f>
        <v>155</v>
      </c>
      <c r="G1819" s="14"/>
      <c r="H1819" s="28"/>
      <c r="I1819" s="29" t="str">
        <f aca="false">IF(OR($G1819="",$G1819=0),"",IFERROR(ROUND($F1819*$G1819*(1-IF($H1819="",0,$H1819)),2),""))</f>
        <v/>
      </c>
      <c r="J1819" s="7"/>
    </row>
    <row r="1820" customFormat="false" ht="21.75" hidden="false" customHeight="true" outlineLevel="0" collapsed="false">
      <c r="B1820" s="15" t="n">
        <v>18</v>
      </c>
      <c r="C1820" s="9" t="s">
        <v>3976</v>
      </c>
      <c r="D1820" s="9" t="s">
        <v>134</v>
      </c>
      <c r="E1820" s="9" t="s">
        <v>3987</v>
      </c>
      <c r="F1820" s="19" t="n">
        <f aca="false">IF(Equipamiento!O22="","",Equipamiento!O22)</f>
        <v>128</v>
      </c>
      <c r="G1820" s="15"/>
      <c r="H1820" s="30"/>
      <c r="I1820" s="31" t="str">
        <f aca="false">IF(OR($G1820="",$G1820=0),"",IFERROR(ROUND($F1820*$G1820*(1-IF($H1820="",0,$H1820)),2),""))</f>
        <v/>
      </c>
      <c r="J1820" s="9"/>
    </row>
    <row r="1821" customFormat="false" ht="21.75" hidden="false" customHeight="true" outlineLevel="0" collapsed="false">
      <c r="B1821" s="14" t="n">
        <v>19</v>
      </c>
      <c r="C1821" s="7" t="s">
        <v>3976</v>
      </c>
      <c r="D1821" s="7" t="s">
        <v>134</v>
      </c>
      <c r="E1821" s="7" t="s">
        <v>4049</v>
      </c>
      <c r="F1821" s="18" t="n">
        <f aca="false">IF(Equipamiento!O23="","",Equipamiento!O23)</f>
        <v>156</v>
      </c>
      <c r="G1821" s="14"/>
      <c r="H1821" s="28"/>
      <c r="I1821" s="29" t="str">
        <f aca="false">IF(OR($G1821="",$G1821=0),"",IFERROR(ROUND($F1821*$G1821*(1-IF($H1821="",0,$H1821)),2),""))</f>
        <v/>
      </c>
      <c r="J1821" s="7"/>
    </row>
    <row r="1822" customFormat="false" ht="21.75" hidden="false" customHeight="true" outlineLevel="0" collapsed="false">
      <c r="B1822" s="15" t="n">
        <v>20</v>
      </c>
      <c r="C1822" s="9" t="s">
        <v>4023</v>
      </c>
      <c r="D1822" s="9" t="s">
        <v>135</v>
      </c>
      <c r="E1822" s="9" t="s">
        <v>4057</v>
      </c>
      <c r="F1822" s="19" t="n">
        <f aca="false">IF(Equipamiento!O24="","",Equipamiento!O24)</f>
        <v>65</v>
      </c>
      <c r="G1822" s="15"/>
      <c r="H1822" s="30"/>
      <c r="I1822" s="31" t="str">
        <f aca="false">IF(OR($G1822="",$G1822=0),"",IFERROR(ROUND($F1822*$G1822*(1-IF($H1822="",0,$H1822)),2),""))</f>
        <v/>
      </c>
      <c r="J1822" s="9"/>
    </row>
    <row r="1823" customFormat="false" ht="21.75" hidden="false" customHeight="true" outlineLevel="0" collapsed="false">
      <c r="B1823" s="14" t="n">
        <v>21</v>
      </c>
      <c r="C1823" s="7" t="s">
        <v>4023</v>
      </c>
      <c r="D1823" s="7" t="s">
        <v>135</v>
      </c>
      <c r="E1823" s="7" t="s">
        <v>4066</v>
      </c>
      <c r="F1823" s="18" t="n">
        <f aca="false">IF(Equipamiento!O25="","",Equipamiento!O25)</f>
        <v>95</v>
      </c>
      <c r="G1823" s="14"/>
      <c r="H1823" s="28"/>
      <c r="I1823" s="29" t="str">
        <f aca="false">IF(OR($G1823="",$G1823=0),"",IFERROR(ROUND($F1823*$G1823*(1-IF($H1823="",0,$H1823)),2),""))</f>
        <v/>
      </c>
      <c r="J1823" s="7"/>
    </row>
    <row r="1824" customFormat="false" ht="21.75" hidden="false" customHeight="true" outlineLevel="0" collapsed="false">
      <c r="B1824" s="15" t="n">
        <v>22</v>
      </c>
      <c r="C1824" s="9" t="s">
        <v>41</v>
      </c>
      <c r="D1824" s="9" t="s">
        <v>135</v>
      </c>
      <c r="E1824" s="9" t="s">
        <v>4075</v>
      </c>
      <c r="F1824" s="19" t="n">
        <f aca="false">IF(Equipamiento!O26="","",Equipamiento!O26)</f>
        <v>22</v>
      </c>
      <c r="G1824" s="15"/>
      <c r="H1824" s="30"/>
      <c r="I1824" s="31" t="str">
        <f aca="false">IF(OR($G1824="",$G1824=0),"",IFERROR(ROUND($F1824*$G1824*(1-IF($H1824="",0,$H1824)),2),""))</f>
        <v/>
      </c>
      <c r="J1824" s="9"/>
    </row>
    <row r="1825" customFormat="false" ht="21.75" hidden="false" customHeight="true" outlineLevel="0" collapsed="false">
      <c r="B1825" s="14" t="n">
        <v>23</v>
      </c>
      <c r="C1825" s="7" t="s">
        <v>4082</v>
      </c>
      <c r="D1825" s="7" t="s">
        <v>135</v>
      </c>
      <c r="E1825" s="7" t="s">
        <v>4083</v>
      </c>
      <c r="F1825" s="18" t="n">
        <f aca="false">IF(Equipamiento!O27="","",Equipamiento!O27)</f>
        <v>120</v>
      </c>
      <c r="G1825" s="14"/>
      <c r="H1825" s="28"/>
      <c r="I1825" s="29" t="str">
        <f aca="false">IF(OR($G1825="",$G1825=0),"",IFERROR(ROUND($F1825*$G1825*(1-IF($H1825="",0,$H1825)),2),""))</f>
        <v/>
      </c>
      <c r="J1825" s="7"/>
    </row>
    <row r="1826" customFormat="false" ht="21.75" hidden="false" customHeight="true" outlineLevel="0" collapsed="false">
      <c r="B1826" s="15" t="n">
        <v>24</v>
      </c>
      <c r="C1826" s="9" t="s">
        <v>4082</v>
      </c>
      <c r="D1826" s="9" t="s">
        <v>135</v>
      </c>
      <c r="E1826" s="9" t="s">
        <v>4091</v>
      </c>
      <c r="F1826" s="19" t="n">
        <f aca="false">IF(Equipamiento!O28="","",Equipamiento!O28)</f>
        <v>130</v>
      </c>
      <c r="G1826" s="15"/>
      <c r="H1826" s="30"/>
      <c r="I1826" s="31" t="str">
        <f aca="false">IF(OR($G1826="",$G1826=0),"",IFERROR(ROUND($F1826*$G1826*(1-IF($H1826="",0,$H1826)),2),""))</f>
        <v/>
      </c>
      <c r="J1826" s="9"/>
    </row>
    <row r="1827" customFormat="false" ht="21.75" hidden="false" customHeight="true" outlineLevel="0" collapsed="false">
      <c r="B1827" s="14" t="n">
        <v>25</v>
      </c>
      <c r="C1827" s="7" t="s">
        <v>4023</v>
      </c>
      <c r="D1827" s="7" t="s">
        <v>135</v>
      </c>
      <c r="E1827" s="7" t="s">
        <v>4100</v>
      </c>
      <c r="F1827" s="18" t="n">
        <f aca="false">IF(Equipamiento!O29="","",Equipamiento!O29)</f>
        <v>18</v>
      </c>
      <c r="G1827" s="14"/>
      <c r="H1827" s="28"/>
      <c r="I1827" s="29" t="str">
        <f aca="false">IF(OR($G1827="",$G1827=0),"",IFERROR(ROUND($F1827*$G1827*(1-IF($H1827="",0,$H1827)),2),""))</f>
        <v/>
      </c>
      <c r="J1827" s="7"/>
    </row>
    <row r="1828" customFormat="false" ht="21.75" hidden="false" customHeight="true" outlineLevel="0" collapsed="false">
      <c r="B1828" s="15" t="n">
        <v>26</v>
      </c>
      <c r="C1828" s="9" t="s">
        <v>4109</v>
      </c>
      <c r="D1828" s="9" t="s">
        <v>135</v>
      </c>
      <c r="E1828" s="9" t="s">
        <v>4110</v>
      </c>
      <c r="F1828" s="19" t="n">
        <f aca="false">IF(Equipamiento!O30="","",Equipamiento!O30)</f>
        <v>15</v>
      </c>
      <c r="G1828" s="15"/>
      <c r="H1828" s="30"/>
      <c r="I1828" s="31" t="str">
        <f aca="false">IF(OR($G1828="",$G1828=0),"",IFERROR(ROUND($F1828*$G1828*(1-IF($H1828="",0,$H1828)),2),""))</f>
        <v/>
      </c>
      <c r="J1828" s="9"/>
    </row>
    <row r="1829" customFormat="false" ht="21.75" hidden="false" customHeight="true" outlineLevel="0" collapsed="false">
      <c r="B1829" s="14" t="n">
        <v>27</v>
      </c>
      <c r="C1829" s="7" t="s">
        <v>4118</v>
      </c>
      <c r="D1829" s="7" t="s">
        <v>136</v>
      </c>
      <c r="E1829" s="7" t="s">
        <v>4119</v>
      </c>
      <c r="F1829" s="18" t="n">
        <f aca="false">IF(Equipamiento!O31="","",Equipamiento!O31)</f>
        <v>42</v>
      </c>
      <c r="G1829" s="14"/>
      <c r="H1829" s="28"/>
      <c r="I1829" s="29" t="str">
        <f aca="false">IF(OR($G1829="",$G1829=0),"",IFERROR(ROUND($F1829*$G1829*(1-IF($H1829="",0,$H1829)),2),""))</f>
        <v/>
      </c>
      <c r="J1829" s="7"/>
    </row>
    <row r="1830" customFormat="false" ht="21.75" hidden="false" customHeight="true" outlineLevel="0" collapsed="false">
      <c r="B1830" s="15" t="n">
        <v>28</v>
      </c>
      <c r="C1830" s="9" t="s">
        <v>4118</v>
      </c>
      <c r="D1830" s="9" t="s">
        <v>136</v>
      </c>
      <c r="E1830" s="9" t="s">
        <v>4128</v>
      </c>
      <c r="F1830" s="19" t="n">
        <f aca="false">IF(Equipamiento!O32="","",Equipamiento!O32)</f>
        <v>48</v>
      </c>
      <c r="G1830" s="15"/>
      <c r="H1830" s="30"/>
      <c r="I1830" s="31" t="str">
        <f aca="false">IF(OR($G1830="",$G1830=0),"",IFERROR(ROUND($F1830*$G1830*(1-IF($H1830="",0,$H1830)),2),""))</f>
        <v/>
      </c>
      <c r="J1830" s="9"/>
    </row>
    <row r="1831" customFormat="false" ht="21.75" hidden="false" customHeight="true" outlineLevel="0" collapsed="false">
      <c r="B1831" s="14" t="n">
        <v>29</v>
      </c>
      <c r="C1831" s="7" t="s">
        <v>4118</v>
      </c>
      <c r="D1831" s="7" t="s">
        <v>136</v>
      </c>
      <c r="E1831" s="7" t="s">
        <v>4136</v>
      </c>
      <c r="F1831" s="18" t="n">
        <f aca="false">IF(Equipamiento!O33="","",Equipamiento!O33)</f>
        <v>58</v>
      </c>
      <c r="G1831" s="14"/>
      <c r="H1831" s="28"/>
      <c r="I1831" s="29" t="str">
        <f aca="false">IF(OR($G1831="",$G1831=0),"",IFERROR(ROUND($F1831*$G1831*(1-IF($H1831="",0,$H1831)),2),""))</f>
        <v/>
      </c>
      <c r="J1831" s="7"/>
    </row>
    <row r="1832" customFormat="false" ht="21.75" hidden="false" customHeight="true" outlineLevel="0" collapsed="false">
      <c r="B1832" s="15" t="n">
        <v>30</v>
      </c>
      <c r="C1832" s="9" t="s">
        <v>4118</v>
      </c>
      <c r="D1832" s="9" t="s">
        <v>136</v>
      </c>
      <c r="E1832" s="9" t="s">
        <v>4143</v>
      </c>
      <c r="F1832" s="19" t="n">
        <f aca="false">IF(Equipamiento!O34="","",Equipamiento!O34)</f>
        <v>52</v>
      </c>
      <c r="G1832" s="15"/>
      <c r="H1832" s="30"/>
      <c r="I1832" s="31" t="str">
        <f aca="false">IF(OR($G1832="",$G1832=0),"",IFERROR(ROUND($F1832*$G1832*(1-IF($H1832="",0,$H1832)),2),""))</f>
        <v/>
      </c>
      <c r="J1832" s="9"/>
    </row>
    <row r="1833" customFormat="false" ht="21.75" hidden="false" customHeight="true" outlineLevel="0" collapsed="false">
      <c r="B1833" s="14" t="n">
        <v>31</v>
      </c>
      <c r="C1833" s="7" t="s">
        <v>4150</v>
      </c>
      <c r="D1833" s="7" t="s">
        <v>136</v>
      </c>
      <c r="E1833" s="7" t="s">
        <v>4151</v>
      </c>
      <c r="F1833" s="18" t="n">
        <f aca="false">IF(Equipamiento!O35="","",Equipamiento!O35)</f>
        <v>65</v>
      </c>
      <c r="G1833" s="14"/>
      <c r="H1833" s="28"/>
      <c r="I1833" s="29" t="str">
        <f aca="false">IF(OR($G1833="",$G1833=0),"",IFERROR(ROUND($F1833*$G1833*(1-IF($H1833="",0,$H1833)),2),""))</f>
        <v/>
      </c>
      <c r="J1833" s="7"/>
    </row>
    <row r="1834" customFormat="false" ht="21.75" hidden="false" customHeight="true" outlineLevel="0" collapsed="false">
      <c r="B1834" s="15" t="n">
        <v>32</v>
      </c>
      <c r="C1834" s="9" t="s">
        <v>4158</v>
      </c>
      <c r="D1834" s="9" t="s">
        <v>136</v>
      </c>
      <c r="E1834" s="9" t="s">
        <v>4159</v>
      </c>
      <c r="F1834" s="19" t="n">
        <f aca="false">IF(Equipamiento!O36="","",Equipamiento!O36)</f>
        <v>12</v>
      </c>
      <c r="G1834" s="15"/>
      <c r="H1834" s="30"/>
      <c r="I1834" s="31" t="str">
        <f aca="false">IF(OR($G1834="",$G1834=0),"",IFERROR(ROUND($F1834*$G1834*(1-IF($H1834="",0,$H1834)),2),""))</f>
        <v/>
      </c>
      <c r="J1834" s="9"/>
    </row>
    <row r="1835" customFormat="false" ht="21.75" hidden="false" customHeight="true" outlineLevel="0" collapsed="false">
      <c r="B1835" s="14" t="n">
        <v>33</v>
      </c>
      <c r="C1835" s="7" t="s">
        <v>4167</v>
      </c>
      <c r="D1835" s="7" t="s">
        <v>136</v>
      </c>
      <c r="E1835" s="7" t="s">
        <v>4168</v>
      </c>
      <c r="F1835" s="18" t="n">
        <f aca="false">IF(Equipamiento!O37="","",Equipamiento!O37)</f>
        <v>28</v>
      </c>
      <c r="G1835" s="14"/>
      <c r="H1835" s="28"/>
      <c r="I1835" s="29" t="str">
        <f aca="false">IF(OR($G1835="",$G1835=0),"",IFERROR(ROUND($F1835*$G1835*(1-IF($H1835="",0,$H1835)),2),""))</f>
        <v/>
      </c>
      <c r="J1835" s="7"/>
    </row>
    <row r="1836" customFormat="false" ht="21.75" hidden="false" customHeight="true" outlineLevel="0" collapsed="false">
      <c r="B1836" s="15" t="n">
        <v>34</v>
      </c>
      <c r="C1836" s="9" t="s">
        <v>4175</v>
      </c>
      <c r="D1836" s="9" t="s">
        <v>136</v>
      </c>
      <c r="E1836" s="9" t="s">
        <v>4176</v>
      </c>
      <c r="F1836" s="19" t="n">
        <f aca="false">IF(Equipamiento!O38="","",Equipamiento!O38)</f>
        <v>8</v>
      </c>
      <c r="G1836" s="15"/>
      <c r="H1836" s="30"/>
      <c r="I1836" s="31" t="str">
        <f aca="false">IF(OR($G1836="",$G1836=0),"",IFERROR(ROUND($F1836*$G1836*(1-IF($H1836="",0,$H1836)),2),""))</f>
        <v/>
      </c>
      <c r="J1836" s="9"/>
    </row>
    <row r="1837" customFormat="false" ht="21.75" hidden="false" customHeight="true" outlineLevel="0" collapsed="false">
      <c r="B1837" s="14" t="n">
        <v>35</v>
      </c>
      <c r="C1837" s="7" t="s">
        <v>4185</v>
      </c>
      <c r="D1837" s="7" t="s">
        <v>136</v>
      </c>
      <c r="E1837" s="7" t="s">
        <v>4128</v>
      </c>
      <c r="F1837" s="18" t="n">
        <f aca="false">IF(Equipamiento!O39="","",Equipamiento!O39)</f>
        <v>58</v>
      </c>
      <c r="G1837" s="14"/>
      <c r="H1837" s="28"/>
      <c r="I1837" s="29" t="str">
        <f aca="false">IF(OR($G1837="",$G1837=0),"",IFERROR(ROUND($F1837*$G1837*(1-IF($H1837="",0,$H1837)),2),""))</f>
        <v/>
      </c>
      <c r="J1837" s="7"/>
    </row>
    <row r="1838" customFormat="false" ht="21.75" hidden="false" customHeight="true" outlineLevel="0" collapsed="false">
      <c r="B1838" s="15" t="n">
        <v>36</v>
      </c>
      <c r="C1838" s="9" t="s">
        <v>4185</v>
      </c>
      <c r="D1838" s="9" t="s">
        <v>136</v>
      </c>
      <c r="E1838" s="9" t="s">
        <v>4193</v>
      </c>
      <c r="F1838" s="19" t="n">
        <f aca="false">IF(Equipamiento!O40="","",Equipamiento!O40)</f>
        <v>82</v>
      </c>
      <c r="G1838" s="15"/>
      <c r="H1838" s="30"/>
      <c r="I1838" s="31" t="str">
        <f aca="false">IF(OR($G1838="",$G1838=0),"",IFERROR(ROUND($F1838*$G1838*(1-IF($H1838="",0,$H1838)),2),""))</f>
        <v/>
      </c>
      <c r="J1838" s="9"/>
    </row>
    <row r="1839" customFormat="false" ht="21.75" hidden="false" customHeight="true" outlineLevel="0" collapsed="false">
      <c r="B1839" s="14" t="n">
        <v>37</v>
      </c>
      <c r="C1839" s="7" t="s">
        <v>4201</v>
      </c>
      <c r="D1839" s="7" t="s">
        <v>137</v>
      </c>
      <c r="E1839" s="7" t="s">
        <v>4202</v>
      </c>
      <c r="F1839" s="18" t="n">
        <f aca="false">IF(Equipamiento!O41="","",Equipamiento!O41)</f>
        <v>148</v>
      </c>
      <c r="G1839" s="14"/>
      <c r="H1839" s="28"/>
      <c r="I1839" s="29" t="str">
        <f aca="false">IF(OR($G1839="",$G1839=0),"",IFERROR(ROUND($F1839*$G1839*(1-IF($H1839="",0,$H1839)),2),""))</f>
        <v/>
      </c>
      <c r="J1839" s="7"/>
    </row>
    <row r="1840" customFormat="false" ht="21.75" hidden="false" customHeight="true" outlineLevel="0" collapsed="false">
      <c r="B1840" s="15" t="n">
        <v>38</v>
      </c>
      <c r="C1840" s="9" t="s">
        <v>4201</v>
      </c>
      <c r="D1840" s="9" t="s">
        <v>137</v>
      </c>
      <c r="E1840" s="9" t="s">
        <v>4211</v>
      </c>
      <c r="F1840" s="19" t="n">
        <f aca="false">IF(Equipamiento!O42="","",Equipamiento!O42)</f>
        <v>78</v>
      </c>
      <c r="G1840" s="15"/>
      <c r="H1840" s="30"/>
      <c r="I1840" s="31" t="str">
        <f aca="false">IF(OR($G1840="",$G1840=0),"",IFERROR(ROUND($F1840*$G1840*(1-IF($H1840="",0,$H1840)),2),""))</f>
        <v/>
      </c>
      <c r="J1840" s="9"/>
    </row>
    <row r="1841" customFormat="false" ht="21.75" hidden="false" customHeight="true" outlineLevel="0" collapsed="false">
      <c r="B1841" s="14" t="n">
        <v>39</v>
      </c>
      <c r="C1841" s="7" t="s">
        <v>4201</v>
      </c>
      <c r="D1841" s="7" t="s">
        <v>137</v>
      </c>
      <c r="E1841" s="7" t="s">
        <v>4220</v>
      </c>
      <c r="F1841" s="18" t="n">
        <f aca="false">IF(Equipamiento!O43="","",Equipamiento!O43)</f>
        <v>14</v>
      </c>
      <c r="G1841" s="14"/>
      <c r="H1841" s="28"/>
      <c r="I1841" s="29" t="str">
        <f aca="false">IF(OR($G1841="",$G1841=0),"",IFERROR(ROUND($F1841*$G1841*(1-IF($H1841="",0,$H1841)),2),""))</f>
        <v/>
      </c>
      <c r="J1841" s="7"/>
    </row>
    <row r="1842" customFormat="false" ht="21.75" hidden="false" customHeight="true" outlineLevel="0" collapsed="false">
      <c r="B1842" s="15" t="n">
        <v>40</v>
      </c>
      <c r="C1842" s="9" t="s">
        <v>4229</v>
      </c>
      <c r="D1842" s="9" t="s">
        <v>137</v>
      </c>
      <c r="E1842" s="9" t="s">
        <v>4230</v>
      </c>
      <c r="F1842" s="19" t="n">
        <f aca="false">IF(Equipamiento!O44="","",Equipamiento!O44)</f>
        <v>320</v>
      </c>
      <c r="G1842" s="15"/>
      <c r="H1842" s="30"/>
      <c r="I1842" s="31" t="str">
        <f aca="false">IF(OR($G1842="",$G1842=0),"",IFERROR(ROUND($F1842*$G1842*(1-IF($H1842="",0,$H1842)),2),""))</f>
        <v/>
      </c>
      <c r="J1842" s="9"/>
    </row>
    <row r="1843" customFormat="false" ht="21.75" hidden="false" customHeight="true" outlineLevel="0" collapsed="false">
      <c r="B1843" s="14" t="n">
        <v>41</v>
      </c>
      <c r="C1843" s="7" t="s">
        <v>4238</v>
      </c>
      <c r="D1843" s="7" t="s">
        <v>137</v>
      </c>
      <c r="E1843" s="7" t="s">
        <v>4239</v>
      </c>
      <c r="F1843" s="18" t="n">
        <f aca="false">IF(Equipamiento!O45="","",Equipamiento!O45)</f>
        <v>219</v>
      </c>
      <c r="G1843" s="14"/>
      <c r="H1843" s="28"/>
      <c r="I1843" s="29" t="str">
        <f aca="false">IF(OR($G1843="",$G1843=0),"",IFERROR(ROUND($F1843*$G1843*(1-IF($H1843="",0,$H1843)),2),""))</f>
        <v/>
      </c>
      <c r="J1843" s="7"/>
    </row>
    <row r="1844" customFormat="false" ht="21.75" hidden="false" customHeight="true" outlineLevel="0" collapsed="false">
      <c r="B1844" s="15" t="n">
        <v>42</v>
      </c>
      <c r="C1844" s="9" t="s">
        <v>4248</v>
      </c>
      <c r="D1844" s="9" t="s">
        <v>137</v>
      </c>
      <c r="E1844" s="9" t="s">
        <v>4249</v>
      </c>
      <c r="F1844" s="19" t="n">
        <f aca="false">IF(Equipamiento!O46="","",Equipamiento!O46)</f>
        <v>32</v>
      </c>
      <c r="G1844" s="15"/>
      <c r="H1844" s="30"/>
      <c r="I1844" s="31" t="str">
        <f aca="false">IF(OR($G1844="",$G1844=0),"",IFERROR(ROUND($F1844*$G1844*(1-IF($H1844="",0,$H1844)),2),""))</f>
        <v/>
      </c>
      <c r="J1844" s="9"/>
    </row>
    <row r="1845" customFormat="false" ht="21.75" hidden="false" customHeight="true" outlineLevel="0" collapsed="false">
      <c r="B1845" s="14" t="n">
        <v>43</v>
      </c>
      <c r="C1845" s="7" t="s">
        <v>4258</v>
      </c>
      <c r="D1845" s="7" t="s">
        <v>137</v>
      </c>
      <c r="E1845" s="7" t="s">
        <v>4259</v>
      </c>
      <c r="F1845" s="18" t="n">
        <f aca="false">IF(Equipamiento!O47="","",Equipamiento!O47)</f>
        <v>95</v>
      </c>
      <c r="G1845" s="14"/>
      <c r="H1845" s="28"/>
      <c r="I1845" s="29" t="str">
        <f aca="false">IF(OR($G1845="",$G1845=0),"",IFERROR(ROUND($F1845*$G1845*(1-IF($H1845="",0,$H1845)),2),""))</f>
        <v/>
      </c>
      <c r="J1845" s="7"/>
    </row>
    <row r="1846" customFormat="false" ht="21.75" hidden="false" customHeight="true" outlineLevel="0" collapsed="false">
      <c r="B1846" s="15" t="n">
        <v>44</v>
      </c>
      <c r="C1846" s="9" t="s">
        <v>4267</v>
      </c>
      <c r="D1846" s="9" t="s">
        <v>137</v>
      </c>
      <c r="E1846" s="9" t="s">
        <v>4268</v>
      </c>
      <c r="F1846" s="19" t="n">
        <f aca="false">IF(Equipamiento!O48="","",Equipamiento!O48)</f>
        <v>28</v>
      </c>
      <c r="G1846" s="15"/>
      <c r="H1846" s="30"/>
      <c r="I1846" s="31" t="str">
        <f aca="false">IF(OR($G1846="",$G1846=0),"",IFERROR(ROUND($F1846*$G1846*(1-IF($H1846="",0,$H1846)),2),""))</f>
        <v/>
      </c>
      <c r="J1846" s="9"/>
    </row>
    <row r="1847" customFormat="false" ht="21.75" hidden="false" customHeight="true" outlineLevel="0" collapsed="false">
      <c r="B1847" s="14" t="n">
        <v>45</v>
      </c>
      <c r="C1847" s="7" t="s">
        <v>4275</v>
      </c>
      <c r="D1847" s="7" t="s">
        <v>138</v>
      </c>
      <c r="E1847" s="7" t="s">
        <v>4276</v>
      </c>
      <c r="F1847" s="18" t="n">
        <f aca="false">IF(Equipamiento!O49="","",Equipamiento!O49)</f>
        <v>1895</v>
      </c>
      <c r="G1847" s="14"/>
      <c r="H1847" s="28"/>
      <c r="I1847" s="29" t="str">
        <f aca="false">IF(OR($G1847="",$G1847=0),"",IFERROR(ROUND($F1847*$G1847*(1-IF($H1847="",0,$H1847)),2),""))</f>
        <v/>
      </c>
      <c r="J1847" s="7"/>
    </row>
    <row r="1848" customFormat="false" ht="21.75" hidden="false" customHeight="true" outlineLevel="0" collapsed="false">
      <c r="B1848" s="15" t="n">
        <v>46</v>
      </c>
      <c r="C1848" s="9" t="s">
        <v>4275</v>
      </c>
      <c r="D1848" s="9" t="s">
        <v>138</v>
      </c>
      <c r="E1848" s="9" t="s">
        <v>4285</v>
      </c>
      <c r="F1848" s="19" t="n">
        <f aca="false">IF(Equipamiento!O50="","",Equipamiento!O50)</f>
        <v>2400</v>
      </c>
      <c r="G1848" s="15"/>
      <c r="H1848" s="30"/>
      <c r="I1848" s="31" t="str">
        <f aca="false">IF(OR($G1848="",$G1848=0),"",IFERROR(ROUND($F1848*$G1848*(1-IF($H1848="",0,$H1848)),2),""))</f>
        <v/>
      </c>
      <c r="J1848" s="9"/>
    </row>
    <row r="1849" customFormat="false" ht="21.75" hidden="false" customHeight="true" outlineLevel="0" collapsed="false">
      <c r="B1849" s="14" t="n">
        <v>47</v>
      </c>
      <c r="C1849" s="7" t="s">
        <v>51</v>
      </c>
      <c r="D1849" s="7" t="s">
        <v>138</v>
      </c>
      <c r="E1849" s="7" t="s">
        <v>1845</v>
      </c>
      <c r="F1849" s="18" t="n">
        <f aca="false">IF(Equipamiento!O51="","",Equipamiento!O51)</f>
        <v>135</v>
      </c>
      <c r="G1849" s="14"/>
      <c r="H1849" s="28"/>
      <c r="I1849" s="29" t="str">
        <f aca="false">IF(OR($G1849="",$G1849=0),"",IFERROR(ROUND($F1849*$G1849*(1-IF($H1849="",0,$H1849)),2),""))</f>
        <v/>
      </c>
      <c r="J1849" s="7"/>
    </row>
    <row r="1850" customFormat="false" ht="21.75" hidden="false" customHeight="true" outlineLevel="0" collapsed="false">
      <c r="B1850" s="15" t="n">
        <v>48</v>
      </c>
      <c r="C1850" s="9" t="s">
        <v>43</v>
      </c>
      <c r="D1850" s="9" t="s">
        <v>138</v>
      </c>
      <c r="E1850" s="9" t="s">
        <v>771</v>
      </c>
      <c r="F1850" s="19" t="n">
        <f aca="false">IF(Equipamiento!O52="","",Equipamiento!O52)</f>
        <v>88</v>
      </c>
      <c r="G1850" s="15"/>
      <c r="H1850" s="30"/>
      <c r="I1850" s="31" t="str">
        <f aca="false">IF(OR($G1850="",$G1850=0),"",IFERROR(ROUND($F1850*$G1850*(1-IF($H1850="",0,$H1850)),2),""))</f>
        <v/>
      </c>
      <c r="J1850" s="9"/>
    </row>
    <row r="1851" customFormat="false" ht="21.75" hidden="false" customHeight="true" outlineLevel="0" collapsed="false">
      <c r="B1851" s="14" t="n">
        <v>49</v>
      </c>
      <c r="C1851" s="7" t="s">
        <v>4308</v>
      </c>
      <c r="D1851" s="7" t="s">
        <v>138</v>
      </c>
      <c r="E1851" s="7" t="s">
        <v>4309</v>
      </c>
      <c r="F1851" s="18" t="n">
        <f aca="false">IF(Equipamiento!O53="","",Equipamiento!O53)</f>
        <v>1500</v>
      </c>
      <c r="G1851" s="14"/>
      <c r="H1851" s="28"/>
      <c r="I1851" s="29" t="str">
        <f aca="false">IF(OR($G1851="",$G1851=0),"",IFERROR(ROUND($F1851*$G1851*(1-IF($H1851="",0,$H1851)),2),""))</f>
        <v/>
      </c>
      <c r="J1851" s="7"/>
    </row>
    <row r="1852" customFormat="false" ht="21.75" hidden="false" customHeight="true" outlineLevel="0" collapsed="false">
      <c r="B1852" s="15" t="n">
        <v>50</v>
      </c>
      <c r="C1852" s="9" t="s">
        <v>4317</v>
      </c>
      <c r="D1852" s="9" t="s">
        <v>138</v>
      </c>
      <c r="E1852" s="9" t="s">
        <v>4318</v>
      </c>
      <c r="F1852" s="19" t="n">
        <f aca="false">IF(Equipamiento!O54="","",Equipamiento!O54)</f>
        <v>185</v>
      </c>
      <c r="G1852" s="15"/>
      <c r="H1852" s="30"/>
      <c r="I1852" s="31" t="str">
        <f aca="false">IF(OR($G1852="",$G1852=0),"",IFERROR(ROUND($F1852*$G1852*(1-IF($H1852="",0,$H1852)),2),""))</f>
        <v/>
      </c>
      <c r="J1852" s="9"/>
    </row>
    <row r="1853" customFormat="false" ht="21.75" hidden="false" customHeight="true" outlineLevel="0" collapsed="false">
      <c r="B1853" s="14" t="n">
        <v>51</v>
      </c>
      <c r="C1853" s="7" t="s">
        <v>4326</v>
      </c>
      <c r="D1853" s="7" t="s">
        <v>138</v>
      </c>
      <c r="E1853" s="7" t="s">
        <v>4327</v>
      </c>
      <c r="F1853" s="18" t="n">
        <f aca="false">IF(Equipamiento!O55="","",Equipamiento!O55)</f>
        <v>720</v>
      </c>
      <c r="G1853" s="14"/>
      <c r="H1853" s="28"/>
      <c r="I1853" s="29" t="str">
        <f aca="false">IF(OR($G1853="",$G1853=0),"",IFERROR(ROUND($F1853*$G1853*(1-IF($H1853="",0,$H1853)),2),""))</f>
        <v/>
      </c>
      <c r="J1853" s="7"/>
    </row>
    <row r="1854" customFormat="false" ht="21.75" hidden="false" customHeight="true" outlineLevel="0" collapsed="false">
      <c r="B1854" s="15" t="n">
        <v>52</v>
      </c>
      <c r="C1854" s="9" t="s">
        <v>4336</v>
      </c>
      <c r="D1854" s="9" t="s">
        <v>139</v>
      </c>
      <c r="E1854" s="9" t="s">
        <v>4337</v>
      </c>
      <c r="F1854" s="19" t="n">
        <f aca="false">IF(Equipamiento!O56="","",Equipamiento!O56)</f>
        <v>28</v>
      </c>
      <c r="G1854" s="15"/>
      <c r="H1854" s="30"/>
      <c r="I1854" s="31" t="str">
        <f aca="false">IF(OR($G1854="",$G1854=0),"",IFERROR(ROUND($F1854*$G1854*(1-IF($H1854="",0,$H1854)),2),""))</f>
        <v/>
      </c>
      <c r="J1854" s="9"/>
    </row>
    <row r="1855" customFormat="false" ht="21.75" hidden="false" customHeight="true" outlineLevel="0" collapsed="false">
      <c r="B1855" s="14" t="n">
        <v>53</v>
      </c>
      <c r="C1855" s="7" t="s">
        <v>4345</v>
      </c>
      <c r="D1855" s="7" t="s">
        <v>139</v>
      </c>
      <c r="E1855" s="7" t="s">
        <v>4346</v>
      </c>
      <c r="F1855" s="18" t="n">
        <f aca="false">IF(Equipamiento!O57="","",Equipamiento!O57)</f>
        <v>6</v>
      </c>
      <c r="G1855" s="14"/>
      <c r="H1855" s="28"/>
      <c r="I1855" s="29" t="str">
        <f aca="false">IF(OR($G1855="",$G1855=0),"",IFERROR(ROUND($F1855*$G1855*(1-IF($H1855="",0,$H1855)),2),""))</f>
        <v/>
      </c>
      <c r="J1855" s="7"/>
    </row>
    <row r="1856" customFormat="false" ht="21.75" hidden="false" customHeight="true" outlineLevel="0" collapsed="false">
      <c r="B1856" s="15" t="n">
        <v>54</v>
      </c>
      <c r="C1856" s="9" t="s">
        <v>85</v>
      </c>
      <c r="D1856" s="9" t="s">
        <v>139</v>
      </c>
      <c r="E1856" s="9" t="s">
        <v>4354</v>
      </c>
      <c r="F1856" s="19" t="n">
        <f aca="false">IF(Equipamiento!O58="","",Equipamiento!O58)</f>
        <v>6</v>
      </c>
      <c r="G1856" s="15"/>
      <c r="H1856" s="30"/>
      <c r="I1856" s="31" t="str">
        <f aca="false">IF(OR($G1856="",$G1856=0),"",IFERROR(ROUND($F1856*$G1856*(1-IF($H1856="",0,$H1856)),2),""))</f>
        <v/>
      </c>
      <c r="J1856" s="9"/>
    </row>
    <row r="1857" customFormat="false" ht="21.75" hidden="false" customHeight="true" outlineLevel="0" collapsed="false">
      <c r="B1857" s="14" t="n">
        <v>55</v>
      </c>
      <c r="C1857" s="7" t="s">
        <v>4336</v>
      </c>
      <c r="D1857" s="7" t="s">
        <v>139</v>
      </c>
      <c r="E1857" s="7" t="s">
        <v>4361</v>
      </c>
      <c r="F1857" s="18" t="n">
        <f aca="false">IF(Equipamiento!O59="","",Equipamiento!O59)</f>
        <v>22</v>
      </c>
      <c r="G1857" s="14"/>
      <c r="H1857" s="28"/>
      <c r="I1857" s="29" t="str">
        <f aca="false">IF(OR($G1857="",$G1857=0),"",IFERROR(ROUND($F1857*$G1857*(1-IF($H1857="",0,$H1857)),2),""))</f>
        <v/>
      </c>
      <c r="J1857" s="7"/>
    </row>
    <row r="1858" customFormat="false" ht="21.75" hidden="false" customHeight="true" outlineLevel="0" collapsed="false">
      <c r="B1858" s="15" t="n">
        <v>56</v>
      </c>
      <c r="C1858" s="9" t="s">
        <v>4158</v>
      </c>
      <c r="D1858" s="9" t="s">
        <v>139</v>
      </c>
      <c r="E1858" s="9" t="s">
        <v>4369</v>
      </c>
      <c r="F1858" s="19" t="n">
        <f aca="false">IF(Equipamiento!O60="","",Equipamiento!O60)</f>
        <v>9</v>
      </c>
      <c r="G1858" s="15"/>
      <c r="H1858" s="30"/>
      <c r="I1858" s="31" t="str">
        <f aca="false">IF(OR($G1858="",$G1858=0),"",IFERROR(ROUND($F1858*$G1858*(1-IF($H1858="",0,$H1858)),2),""))</f>
        <v/>
      </c>
      <c r="J1858" s="9"/>
    </row>
    <row r="1859" customFormat="false" ht="21.75" hidden="false" customHeight="true" outlineLevel="0" collapsed="false">
      <c r="B1859" s="14" t="n">
        <v>57</v>
      </c>
      <c r="C1859" s="7" t="s">
        <v>4158</v>
      </c>
      <c r="D1859" s="7" t="s">
        <v>139</v>
      </c>
      <c r="E1859" s="7" t="s">
        <v>4378</v>
      </c>
      <c r="F1859" s="18" t="n">
        <f aca="false">IF(Equipamiento!O61="","",Equipamiento!O61)</f>
        <v>6</v>
      </c>
      <c r="G1859" s="14"/>
      <c r="H1859" s="28"/>
      <c r="I1859" s="29" t="str">
        <f aca="false">IF(OR($G1859="",$G1859=0),"",IFERROR(ROUND($F1859*$G1859*(1-IF($H1859="",0,$H1859)),2),""))</f>
        <v/>
      </c>
      <c r="J1859" s="7"/>
    </row>
    <row r="1860" customFormat="false" ht="21.75" hidden="false" customHeight="true" outlineLevel="0" collapsed="false">
      <c r="B1860" s="15" t="n">
        <v>58</v>
      </c>
      <c r="C1860" s="9" t="s">
        <v>4158</v>
      </c>
      <c r="D1860" s="9" t="s">
        <v>139</v>
      </c>
      <c r="E1860" s="9" t="s">
        <v>4387</v>
      </c>
      <c r="F1860" s="19" t="n">
        <f aca="false">IF(Equipamiento!O62="","",Equipamiento!O62)</f>
        <v>12</v>
      </c>
      <c r="G1860" s="15"/>
      <c r="H1860" s="30"/>
      <c r="I1860" s="31" t="str">
        <f aca="false">IF(OR($G1860="",$G1860=0),"",IFERROR(ROUND($F1860*$G1860*(1-IF($H1860="",0,$H1860)),2),""))</f>
        <v/>
      </c>
      <c r="J1860" s="9"/>
    </row>
    <row r="1861" customFormat="false" ht="21.75" hidden="false" customHeight="true" outlineLevel="0" collapsed="false">
      <c r="B1861" s="14" t="n">
        <v>59</v>
      </c>
      <c r="C1861" s="7" t="s">
        <v>4395</v>
      </c>
      <c r="D1861" s="7" t="s">
        <v>139</v>
      </c>
      <c r="E1861" s="7" t="s">
        <v>4396</v>
      </c>
      <c r="F1861" s="18" t="n">
        <f aca="false">IF(Equipamiento!O63="","",Equipamiento!O63)</f>
        <v>15</v>
      </c>
      <c r="G1861" s="14"/>
      <c r="H1861" s="28"/>
      <c r="I1861" s="29" t="str">
        <f aca="false">IF(OR($G1861="",$G1861=0),"",IFERROR(ROUND($F1861*$G1861*(1-IF($H1861="",0,$H1861)),2),""))</f>
        <v/>
      </c>
      <c r="J1861" s="7"/>
    </row>
    <row r="1862" customFormat="false" ht="21.75" hidden="false" customHeight="true" outlineLevel="0" collapsed="false">
      <c r="B1862" s="15" t="n">
        <v>60</v>
      </c>
      <c r="C1862" s="9" t="s">
        <v>4158</v>
      </c>
      <c r="D1862" s="9" t="s">
        <v>139</v>
      </c>
      <c r="E1862" s="9" t="s">
        <v>4404</v>
      </c>
      <c r="F1862" s="19" t="n">
        <f aca="false">IF(Equipamiento!O64="","",Equipamiento!O64)</f>
        <v>8</v>
      </c>
      <c r="G1862" s="15"/>
      <c r="H1862" s="30"/>
      <c r="I1862" s="31" t="str">
        <f aca="false">IF(OR($G1862="",$G1862=0),"",IFERROR(ROUND($F1862*$G1862*(1-IF($H1862="",0,$H1862)),2),""))</f>
        <v/>
      </c>
      <c r="J1862" s="9"/>
    </row>
    <row r="1863" customFormat="false" ht="21.75" hidden="false" customHeight="true" outlineLevel="0" collapsed="false">
      <c r="B1863" s="14" t="n">
        <v>61</v>
      </c>
      <c r="C1863" s="7" t="s">
        <v>4336</v>
      </c>
      <c r="D1863" s="7" t="s">
        <v>139</v>
      </c>
      <c r="E1863" s="7" t="s">
        <v>4411</v>
      </c>
      <c r="F1863" s="18" t="n">
        <f aca="false">IF(Equipamiento!O65="","",Equipamiento!O65)</f>
        <v>38</v>
      </c>
      <c r="G1863" s="14"/>
      <c r="H1863" s="28"/>
      <c r="I1863" s="29" t="str">
        <f aca="false">IF(OR($G1863="",$G1863=0),"",IFERROR(ROUND($F1863*$G1863*(1-IF($H1863="",0,$H1863)),2),""))</f>
        <v/>
      </c>
      <c r="J1863" s="7"/>
    </row>
    <row r="1864" customFormat="false" ht="21.75" hidden="false" customHeight="true" outlineLevel="0" collapsed="false">
      <c r="B1864" s="15" t="n">
        <v>62</v>
      </c>
      <c r="C1864" s="9" t="s">
        <v>4420</v>
      </c>
      <c r="D1864" s="9" t="s">
        <v>139</v>
      </c>
      <c r="E1864" s="9" t="s">
        <v>4421</v>
      </c>
      <c r="F1864" s="19" t="n">
        <f aca="false">IF(Equipamiento!O66="","",Equipamiento!O66)</f>
        <v>12</v>
      </c>
      <c r="G1864" s="15"/>
      <c r="H1864" s="30"/>
      <c r="I1864" s="31" t="str">
        <f aca="false">IF(OR($G1864="",$G1864=0),"",IFERROR(ROUND($F1864*$G1864*(1-IF($H1864="",0,$H1864)),2),""))</f>
        <v/>
      </c>
      <c r="J1864" s="9"/>
    </row>
    <row r="1865" customFormat="false" ht="21.75" hidden="false" customHeight="true" outlineLevel="0" collapsed="false">
      <c r="B1865" s="14" t="n">
        <v>63</v>
      </c>
      <c r="C1865" s="7" t="s">
        <v>4429</v>
      </c>
      <c r="D1865" s="7" t="s">
        <v>140</v>
      </c>
      <c r="E1865" s="7" t="s">
        <v>4430</v>
      </c>
      <c r="F1865" s="18" t="n">
        <f aca="false">IF(Equipamiento!O67="","",Equipamiento!O67)</f>
        <v>22</v>
      </c>
      <c r="G1865" s="14"/>
      <c r="H1865" s="28"/>
      <c r="I1865" s="29" t="str">
        <f aca="false">IF(OR($G1865="",$G1865=0),"",IFERROR(ROUND($F1865*$G1865*(1-IF($H1865="",0,$H1865)),2),""))</f>
        <v/>
      </c>
      <c r="J1865" s="7"/>
    </row>
    <row r="1866" customFormat="false" ht="21.75" hidden="false" customHeight="true" outlineLevel="0" collapsed="false">
      <c r="B1866" s="15" t="n">
        <v>64</v>
      </c>
      <c r="C1866" s="9" t="s">
        <v>4429</v>
      </c>
      <c r="D1866" s="9" t="s">
        <v>140</v>
      </c>
      <c r="E1866" s="9" t="s">
        <v>4439</v>
      </c>
      <c r="F1866" s="19" t="n">
        <f aca="false">IF(Equipamiento!O68="","",Equipamiento!O68)</f>
        <v>35</v>
      </c>
      <c r="G1866" s="15"/>
      <c r="H1866" s="30"/>
      <c r="I1866" s="31" t="str">
        <f aca="false">IF(OR($G1866="",$G1866=0),"",IFERROR(ROUND($F1866*$G1866*(1-IF($H1866="",0,$H1866)),2),""))</f>
        <v/>
      </c>
      <c r="J1866" s="9"/>
    </row>
    <row r="1867" customFormat="false" ht="21.75" hidden="false" customHeight="true" outlineLevel="0" collapsed="false">
      <c r="B1867" s="14" t="n">
        <v>65</v>
      </c>
      <c r="C1867" s="7" t="s">
        <v>4447</v>
      </c>
      <c r="D1867" s="7" t="s">
        <v>140</v>
      </c>
      <c r="E1867" s="7" t="s">
        <v>4448</v>
      </c>
      <c r="F1867" s="18" t="n">
        <f aca="false">IF(Equipamiento!O69="","",Equipamiento!O69)</f>
        <v>9</v>
      </c>
      <c r="G1867" s="14"/>
      <c r="H1867" s="28"/>
      <c r="I1867" s="29" t="str">
        <f aca="false">IF(OR($G1867="",$G1867=0),"",IFERROR(ROUND($F1867*$G1867*(1-IF($H1867="",0,$H1867)),2),""))</f>
        <v/>
      </c>
      <c r="J1867" s="7"/>
    </row>
    <row r="1868" customFormat="false" ht="21.75" hidden="false" customHeight="true" outlineLevel="0" collapsed="false">
      <c r="B1868" s="15" t="n">
        <v>66</v>
      </c>
      <c r="C1868" s="9" t="s">
        <v>4429</v>
      </c>
      <c r="D1868" s="9" t="s">
        <v>140</v>
      </c>
      <c r="E1868" s="9" t="s">
        <v>4456</v>
      </c>
      <c r="F1868" s="19" t="n">
        <f aca="false">IF(Equipamiento!O70="","",Equipamiento!O70)</f>
        <v>24</v>
      </c>
      <c r="G1868" s="15"/>
      <c r="H1868" s="30"/>
      <c r="I1868" s="31" t="str">
        <f aca="false">IF(OR($G1868="",$G1868=0),"",IFERROR(ROUND($F1868*$G1868*(1-IF($H1868="",0,$H1868)),2),""))</f>
        <v/>
      </c>
      <c r="J1868" s="9"/>
    </row>
    <row r="1869" customFormat="false" ht="21.75" hidden="false" customHeight="true" outlineLevel="0" collapsed="false">
      <c r="B1869" s="14" t="n">
        <v>67</v>
      </c>
      <c r="C1869" s="7" t="s">
        <v>4158</v>
      </c>
      <c r="D1869" s="7" t="s">
        <v>140</v>
      </c>
      <c r="E1869" s="7" t="s">
        <v>4462</v>
      </c>
      <c r="F1869" s="18" t="n">
        <f aca="false">IF(Equipamiento!O71="","",Equipamiento!O71)</f>
        <v>6</v>
      </c>
      <c r="G1869" s="14"/>
      <c r="H1869" s="28"/>
      <c r="I1869" s="29" t="str">
        <f aca="false">IF(OR($G1869="",$G1869=0),"",IFERROR(ROUND($F1869*$G1869*(1-IF($H1869="",0,$H1869)),2),""))</f>
        <v/>
      </c>
      <c r="J1869" s="7"/>
    </row>
    <row r="1870" customFormat="false" ht="21.75" hidden="false" customHeight="true" outlineLevel="0" collapsed="false">
      <c r="B1870" s="15" t="n">
        <v>68</v>
      </c>
      <c r="C1870" s="9" t="s">
        <v>4326</v>
      </c>
      <c r="D1870" s="9" t="s">
        <v>140</v>
      </c>
      <c r="E1870" s="9" t="s">
        <v>4471</v>
      </c>
      <c r="F1870" s="19" t="n">
        <f aca="false">IF(Equipamiento!O72="","",Equipamiento!O72)</f>
        <v>385</v>
      </c>
      <c r="G1870" s="15"/>
      <c r="H1870" s="30"/>
      <c r="I1870" s="31" t="str">
        <f aca="false">IF(OR($G1870="",$G1870=0),"",IFERROR(ROUND($F1870*$G1870*(1-IF($H1870="",0,$H1870)),2),""))</f>
        <v/>
      </c>
      <c r="J1870" s="9"/>
    </row>
    <row r="1871" customFormat="false" ht="25.5" hidden="false" customHeight="true" outlineLevel="0" collapsed="false">
      <c r="B1871" s="16" t="s">
        <v>4661</v>
      </c>
      <c r="C1871" s="16"/>
      <c r="D1871" s="16"/>
      <c r="E1871" s="16"/>
      <c r="F1871" s="16"/>
      <c r="G1871" s="16"/>
      <c r="H1871" s="16"/>
      <c r="I1871" s="32" t="n">
        <f aca="false">SUM(I1803:I1870)</f>
        <v>0</v>
      </c>
      <c r="J1871" s="16"/>
    </row>
    <row r="1873" customFormat="false" ht="24" hidden="false" customHeight="true" outlineLevel="0" collapsed="false">
      <c r="B1873" s="16" t="s">
        <v>4662</v>
      </c>
      <c r="C1873" s="16"/>
      <c r="D1873" s="16"/>
      <c r="E1873" s="16"/>
      <c r="F1873" s="16"/>
      <c r="G1873" s="16"/>
      <c r="H1873" s="16"/>
      <c r="I1873" s="32" t="n">
        <f aca="false">I1083+I1799+I1871</f>
        <v>0</v>
      </c>
      <c r="J1873" s="16"/>
    </row>
    <row r="1875" customFormat="false" ht="15" hidden="false" customHeight="false" outlineLevel="0" collapsed="false">
      <c r="B1875" s="10" t="s">
        <v>4663</v>
      </c>
      <c r="D1875" s="33" t="n">
        <f aca="false">COUNTIF(G11:G1082,"&gt;0")+COUNTIF(G1087:G1798,"&gt;0")+COUNTIF(G1803:G1870,"&gt;0")</f>
        <v>0</v>
      </c>
    </row>
    <row r="1876" customFormat="false" ht="15" hidden="false" customHeight="false" outlineLevel="0" collapsed="false">
      <c r="B1876" s="10" t="s">
        <v>4664</v>
      </c>
      <c r="D1876" s="34" t="n">
        <f aca="false">I1873</f>
        <v>0</v>
      </c>
    </row>
    <row r="1878" customFormat="false" ht="42" hidden="false" customHeight="true" outlineLevel="0" collapsed="false">
      <c r="B1878" s="35" t="s">
        <v>4665</v>
      </c>
      <c r="C1878" s="35"/>
      <c r="D1878" s="35"/>
      <c r="E1878" s="35"/>
      <c r="F1878" s="35"/>
      <c r="G1878" s="35"/>
      <c r="H1878" s="35"/>
      <c r="I1878" s="35"/>
      <c r="J1878" s="35"/>
    </row>
  </sheetData>
  <mergeCells count="9">
    <mergeCell ref="B2:J2"/>
    <mergeCell ref="C4:F4"/>
    <mergeCell ref="C5:F5"/>
    <mergeCell ref="C6:F6"/>
    <mergeCell ref="C7:F7"/>
    <mergeCell ref="B9:J9"/>
    <mergeCell ref="B1085:J1085"/>
    <mergeCell ref="B1801:J1801"/>
    <mergeCell ref="B1878:J1878"/>
  </mergeCells>
  <dataValidations count="1">
    <dataValidation allowBlank="true" error="Ingrese un valor entre 0% y 90%" errorStyle="stop" errorTitle="Descuento inválido" operator="between" showDropDown="false" showErrorMessage="false" showInputMessage="false" sqref="G11:H1082 G1087:H1798 G1803:H1870" type="decimal">
      <formula1>0</formula1>
      <formula2>0.9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2026-10-23T17:58:09Z</dcterms:created>
  <dc:creator>Z.ai</dc:creator>
  <dc:description/>
  <dc:language>en-US</dc:language>
  <cp:lastModifiedBy/>
  <dcterms:modified xsi:type="dcterms:W3CDTF">2026-10-23T17:58:15Z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